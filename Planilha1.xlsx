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9 - Desenvolvimento de Softwares\Python\Localizacaodetorres\"/>
    </mc:Choice>
  </mc:AlternateContent>
  <xr:revisionPtr revIDLastSave="0" documentId="13_ncr:1_{A9288A2D-AF36-4681-9F12-7C82215DDB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orrências" sheetId="1" r:id="rId1"/>
    <sheet name="Dados" sheetId="2" r:id="rId2"/>
  </sheets>
  <externalReferences>
    <externalReference r:id="rId3"/>
  </externalReferences>
  <definedNames>
    <definedName name="_xlnm._FilterDatabase" localSheetId="0" hidden="1">Ocorrências!$A$1:$O$1</definedName>
    <definedName name="ListaCombos">[1]Base!$A:$A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1" l="1"/>
  <c r="K78" i="1"/>
  <c r="I79" i="1"/>
  <c r="K79" i="1"/>
  <c r="I80" i="1"/>
  <c r="K80" i="1"/>
  <c r="I129" i="1"/>
  <c r="K129" i="1"/>
  <c r="I165" i="1"/>
  <c r="K165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7" i="1"/>
  <c r="K183" i="1"/>
  <c r="K184" i="1"/>
  <c r="K185" i="1"/>
  <c r="K186" i="1"/>
  <c r="K92" i="1"/>
  <c r="K187" i="1"/>
  <c r="K188" i="1"/>
  <c r="K189" i="1"/>
  <c r="K190" i="1"/>
  <c r="K191" i="1"/>
  <c r="K192" i="1"/>
  <c r="K10" i="1"/>
  <c r="K93" i="1"/>
  <c r="K94" i="1"/>
  <c r="K130" i="1"/>
  <c r="K95" i="1"/>
  <c r="K11" i="1"/>
  <c r="K131" i="1"/>
  <c r="K132" i="1"/>
  <c r="K193" i="1"/>
  <c r="K194" i="1"/>
  <c r="K195" i="1"/>
  <c r="K133" i="1"/>
  <c r="K12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18" i="1"/>
  <c r="K261" i="1"/>
  <c r="K262" i="1"/>
  <c r="K96" i="1"/>
  <c r="K85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19" i="1"/>
  <c r="K97" i="1"/>
  <c r="K450" i="1"/>
  <c r="K134" i="1"/>
  <c r="K20" i="1"/>
  <c r="K88" i="1"/>
  <c r="K89" i="1"/>
  <c r="K21" i="1"/>
  <c r="K135" i="1"/>
  <c r="K136" i="1"/>
  <c r="K4" i="1"/>
  <c r="K98" i="1"/>
  <c r="K137" i="1"/>
  <c r="K22" i="1"/>
  <c r="K138" i="1"/>
  <c r="K90" i="1"/>
  <c r="K139" i="1"/>
  <c r="K5" i="1"/>
  <c r="K6" i="1"/>
  <c r="K23" i="1"/>
  <c r="K24" i="1"/>
  <c r="K140" i="1"/>
  <c r="K141" i="1"/>
  <c r="K7" i="1"/>
  <c r="K25" i="1"/>
  <c r="K26" i="1"/>
  <c r="K8" i="1"/>
  <c r="K27" i="1"/>
  <c r="K99" i="1"/>
  <c r="K28" i="1"/>
  <c r="K451" i="1"/>
  <c r="K142" i="1"/>
  <c r="K143" i="1"/>
  <c r="K86" i="1"/>
  <c r="K29" i="1"/>
  <c r="K100" i="1"/>
  <c r="K101" i="1"/>
  <c r="K30" i="1"/>
  <c r="K31" i="1"/>
  <c r="K13" i="1"/>
  <c r="K102" i="1"/>
  <c r="K103" i="1"/>
  <c r="K32" i="1"/>
  <c r="K144" i="1"/>
  <c r="K33" i="1"/>
  <c r="K34" i="1"/>
  <c r="K35" i="1"/>
  <c r="K36" i="1"/>
  <c r="K145" i="1"/>
  <c r="K104" i="1"/>
  <c r="K452" i="1"/>
  <c r="K37" i="1"/>
  <c r="K146" i="1"/>
  <c r="K105" i="1"/>
  <c r="K147" i="1"/>
  <c r="K38" i="1"/>
  <c r="K148" i="1"/>
  <c r="K39" i="1"/>
  <c r="K453" i="1"/>
  <c r="K149" i="1"/>
  <c r="K106" i="1"/>
  <c r="K40" i="1"/>
  <c r="K107" i="1"/>
  <c r="K41" i="1"/>
  <c r="K108" i="1"/>
  <c r="K42" i="1"/>
  <c r="K454" i="1"/>
  <c r="K455" i="1"/>
  <c r="K150" i="1"/>
  <c r="K43" i="1"/>
  <c r="K456" i="1"/>
  <c r="K109" i="1"/>
  <c r="K44" i="1"/>
  <c r="K110" i="1"/>
  <c r="K45" i="1"/>
  <c r="K46" i="1"/>
  <c r="K111" i="1"/>
  <c r="K14" i="1"/>
  <c r="K112" i="1"/>
  <c r="K151" i="1"/>
  <c r="K152" i="1"/>
  <c r="K47" i="1"/>
  <c r="K113" i="1"/>
  <c r="K457" i="1"/>
  <c r="K153" i="1"/>
  <c r="K154" i="1"/>
  <c r="K48" i="1"/>
  <c r="K155" i="1"/>
  <c r="K114" i="1"/>
  <c r="K115" i="1"/>
  <c r="K49" i="1"/>
  <c r="K50" i="1"/>
  <c r="K51" i="1"/>
  <c r="K116" i="1"/>
  <c r="K117" i="1"/>
  <c r="K52" i="1"/>
  <c r="K15" i="1"/>
  <c r="K156" i="1"/>
  <c r="K118" i="1"/>
  <c r="K53" i="1"/>
  <c r="K9" i="1"/>
  <c r="K157" i="1"/>
  <c r="K119" i="1"/>
  <c r="K54" i="1"/>
  <c r="K158" i="1"/>
  <c r="K120" i="1"/>
  <c r="K121" i="1"/>
  <c r="K16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55" i="1"/>
  <c r="K479" i="1"/>
  <c r="K56" i="1"/>
  <c r="K159" i="1"/>
  <c r="K3" i="1"/>
  <c r="K480" i="1"/>
  <c r="K481" i="1"/>
  <c r="K482" i="1"/>
  <c r="K483" i="1"/>
  <c r="K122" i="1"/>
  <c r="K57" i="1"/>
  <c r="K160" i="1"/>
  <c r="K167" i="1"/>
  <c r="K123" i="1"/>
  <c r="K91" i="1"/>
  <c r="K161" i="1"/>
  <c r="K58" i="1"/>
  <c r="K59" i="1"/>
  <c r="K60" i="1"/>
  <c r="K61" i="1"/>
  <c r="K124" i="1"/>
  <c r="K62" i="1"/>
  <c r="K484" i="1"/>
  <c r="K168" i="1"/>
  <c r="K162" i="1"/>
  <c r="K163" i="1"/>
  <c r="K63" i="1"/>
  <c r="K125" i="1"/>
  <c r="K126" i="1"/>
  <c r="K87" i="1"/>
  <c r="K64" i="1"/>
  <c r="K2" i="1"/>
  <c r="K164" i="1"/>
  <c r="K65" i="1"/>
  <c r="K66" i="1"/>
  <c r="K67" i="1"/>
  <c r="K68" i="1"/>
  <c r="K69" i="1"/>
  <c r="K70" i="1"/>
  <c r="K81" i="1"/>
  <c r="K82" i="1"/>
  <c r="K83" i="1"/>
  <c r="K84" i="1"/>
  <c r="K127" i="1"/>
  <c r="K166" i="1"/>
  <c r="K128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7" i="1"/>
  <c r="I183" i="1"/>
  <c r="I184" i="1"/>
  <c r="I185" i="1"/>
  <c r="I186" i="1"/>
  <c r="I92" i="1"/>
  <c r="I187" i="1"/>
  <c r="I188" i="1"/>
  <c r="I189" i="1"/>
  <c r="I190" i="1"/>
  <c r="I191" i="1"/>
  <c r="I192" i="1"/>
  <c r="I10" i="1"/>
  <c r="I93" i="1"/>
  <c r="I94" i="1"/>
  <c r="I130" i="1"/>
  <c r="I95" i="1"/>
  <c r="I11" i="1"/>
  <c r="I131" i="1"/>
  <c r="I132" i="1"/>
  <c r="I193" i="1"/>
  <c r="I194" i="1"/>
  <c r="I195" i="1"/>
  <c r="I133" i="1"/>
  <c r="I12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18" i="1"/>
  <c r="I261" i="1"/>
  <c r="I262" i="1"/>
  <c r="I96" i="1"/>
  <c r="I85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19" i="1"/>
  <c r="I97" i="1"/>
  <c r="I450" i="1"/>
  <c r="I134" i="1"/>
  <c r="I20" i="1"/>
  <c r="I88" i="1"/>
  <c r="I89" i="1"/>
  <c r="I21" i="1"/>
  <c r="I135" i="1"/>
  <c r="I136" i="1"/>
  <c r="I4" i="1"/>
  <c r="I98" i="1"/>
  <c r="I137" i="1"/>
  <c r="I22" i="1"/>
  <c r="I138" i="1"/>
  <c r="I90" i="1"/>
  <c r="I139" i="1"/>
  <c r="I5" i="1"/>
  <c r="I6" i="1"/>
  <c r="I23" i="1"/>
  <c r="I24" i="1"/>
  <c r="I140" i="1"/>
  <c r="I141" i="1"/>
  <c r="I7" i="1"/>
  <c r="I25" i="1"/>
  <c r="I26" i="1"/>
  <c r="I8" i="1"/>
  <c r="I27" i="1"/>
  <c r="I99" i="1"/>
  <c r="I28" i="1"/>
  <c r="I451" i="1"/>
  <c r="I142" i="1"/>
  <c r="I143" i="1"/>
  <c r="I86" i="1"/>
  <c r="I29" i="1"/>
  <c r="I100" i="1"/>
  <c r="I101" i="1"/>
  <c r="I30" i="1"/>
  <c r="I31" i="1"/>
  <c r="I13" i="1"/>
  <c r="I102" i="1"/>
  <c r="I103" i="1"/>
  <c r="I32" i="1"/>
  <c r="I144" i="1"/>
  <c r="I33" i="1"/>
  <c r="I34" i="1"/>
  <c r="I35" i="1"/>
  <c r="I36" i="1"/>
  <c r="I145" i="1"/>
  <c r="I104" i="1"/>
  <c r="I452" i="1"/>
  <c r="I37" i="1"/>
  <c r="I146" i="1"/>
  <c r="I105" i="1"/>
  <c r="I147" i="1"/>
  <c r="I38" i="1"/>
  <c r="I148" i="1"/>
  <c r="I39" i="1"/>
  <c r="I453" i="1"/>
  <c r="I149" i="1"/>
  <c r="I106" i="1"/>
  <c r="I40" i="1"/>
  <c r="I107" i="1"/>
  <c r="I41" i="1"/>
  <c r="I108" i="1"/>
  <c r="I42" i="1"/>
  <c r="I454" i="1"/>
  <c r="I455" i="1"/>
  <c r="I150" i="1"/>
  <c r="I43" i="1"/>
  <c r="I456" i="1"/>
  <c r="I109" i="1"/>
  <c r="I44" i="1"/>
  <c r="I110" i="1"/>
  <c r="I45" i="1"/>
  <c r="I46" i="1"/>
  <c r="I111" i="1"/>
  <c r="I14" i="1"/>
  <c r="I112" i="1"/>
  <c r="I151" i="1"/>
  <c r="I152" i="1"/>
  <c r="I47" i="1"/>
  <c r="I113" i="1"/>
  <c r="I457" i="1"/>
  <c r="I153" i="1"/>
  <c r="I154" i="1"/>
  <c r="I48" i="1"/>
  <c r="I155" i="1"/>
  <c r="I114" i="1"/>
  <c r="I115" i="1"/>
  <c r="I49" i="1"/>
  <c r="I50" i="1"/>
  <c r="I51" i="1"/>
  <c r="I116" i="1"/>
  <c r="I117" i="1"/>
  <c r="I52" i="1"/>
  <c r="I15" i="1"/>
  <c r="I156" i="1"/>
  <c r="I118" i="1"/>
  <c r="I53" i="1"/>
  <c r="I9" i="1"/>
  <c r="I157" i="1"/>
  <c r="I119" i="1"/>
  <c r="I54" i="1"/>
  <c r="I158" i="1"/>
  <c r="I120" i="1"/>
  <c r="I121" i="1"/>
  <c r="I16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55" i="1"/>
  <c r="I479" i="1"/>
  <c r="I56" i="1"/>
  <c r="I159" i="1"/>
  <c r="I3" i="1"/>
  <c r="I480" i="1"/>
  <c r="I481" i="1"/>
  <c r="I482" i="1"/>
  <c r="I483" i="1"/>
  <c r="I122" i="1"/>
  <c r="I57" i="1"/>
  <c r="I160" i="1"/>
  <c r="I167" i="1"/>
  <c r="I123" i="1"/>
  <c r="I91" i="1"/>
  <c r="I161" i="1"/>
  <c r="I58" i="1"/>
  <c r="I59" i="1"/>
  <c r="I60" i="1"/>
  <c r="I61" i="1"/>
  <c r="I124" i="1"/>
  <c r="I62" i="1"/>
  <c r="I484" i="1"/>
  <c r="I168" i="1"/>
  <c r="I162" i="1"/>
  <c r="I163" i="1"/>
  <c r="I63" i="1"/>
  <c r="I125" i="1"/>
  <c r="I126" i="1"/>
  <c r="I87" i="1"/>
  <c r="I64" i="1"/>
  <c r="I2" i="1"/>
  <c r="I164" i="1"/>
  <c r="I65" i="1"/>
  <c r="I66" i="1"/>
  <c r="I67" i="1"/>
  <c r="I68" i="1"/>
  <c r="I69" i="1"/>
  <c r="I70" i="1"/>
  <c r="I81" i="1"/>
  <c r="I82" i="1"/>
  <c r="I83" i="1"/>
  <c r="I84" i="1"/>
  <c r="I127" i="1"/>
  <c r="I166" i="1"/>
  <c r="I128" i="1"/>
  <c r="I71" i="1"/>
  <c r="I72" i="1"/>
  <c r="I73" i="1"/>
  <c r="I74" i="1"/>
  <c r="I75" i="1"/>
  <c r="I76" i="1"/>
  <c r="I77" i="1"/>
  <c r="K72" i="1"/>
  <c r="F72" i="1"/>
  <c r="K73" i="1"/>
  <c r="F73" i="1"/>
  <c r="K74" i="1"/>
  <c r="F74" i="1"/>
  <c r="K76" i="1"/>
  <c r="F76" i="1"/>
  <c r="K75" i="1"/>
  <c r="F75" i="1"/>
  <c r="K77" i="1"/>
  <c r="F77" i="1"/>
  <c r="F78" i="1"/>
  <c r="F79" i="1"/>
  <c r="F80" i="1"/>
  <c r="I169" i="1"/>
  <c r="K169" i="1"/>
</calcChain>
</file>

<file path=xl/sharedStrings.xml><?xml version="1.0" encoding="utf-8"?>
<sst xmlns="http://schemas.openxmlformats.org/spreadsheetml/2006/main" count="3023" uniqueCount="602">
  <si>
    <t>FT</t>
  </si>
  <si>
    <t>Data</t>
  </si>
  <si>
    <t>Causa</t>
  </si>
  <si>
    <t>Obs</t>
  </si>
  <si>
    <t>Não encontrado</t>
  </si>
  <si>
    <t>Subestação</t>
  </si>
  <si>
    <t>16:08 16:09</t>
  </si>
  <si>
    <t>Banco Capacitores  SEGU e SESM</t>
  </si>
  <si>
    <t>Desligamento causado por aproximação dos cabos da fase A  com as rochas localizads na encosta.</t>
  </si>
  <si>
    <t>Desligamento causado pelo Banco de Capacitores de Samambaia.</t>
  </si>
  <si>
    <t>10:41  10:43  11:02</t>
  </si>
  <si>
    <t>Descarga atmosferica</t>
  </si>
  <si>
    <t>Escremento de passaro</t>
  </si>
  <si>
    <t>Desligamento por queimada</t>
  </si>
  <si>
    <t>Desligamento causado pelo isolamento do TCSC</t>
  </si>
  <si>
    <t>Deslig. por aproximação cabos fase A com rocha.</t>
  </si>
  <si>
    <t>Queda torres de Furnas</t>
  </si>
  <si>
    <t>Queimada vãos torres 148 - 74,66 km da SE Miracema</t>
  </si>
  <si>
    <t>BSGUMI04</t>
  </si>
  <si>
    <t xml:space="preserve">by-pass auto. BS SMGU2 SE GUR perda comunic PFOI </t>
  </si>
  <si>
    <t>Atuação indevida da proteção Stub Bus</t>
  </si>
  <si>
    <t>DJ9474</t>
  </si>
  <si>
    <t>Falta interna disjuntor 9474 SE Gurupi</t>
  </si>
  <si>
    <t>by-pass BSSMGU2 SE GUR - Condução GAP</t>
  </si>
  <si>
    <t xml:space="preserve">By-pass BSGUMI04 Falha Proteção A </t>
  </si>
  <si>
    <t>by-pass BSSMGU4 SE GUR - Falha Comun - Proteção B</t>
  </si>
  <si>
    <t>by-pass BSSMGU2 SE GUR - Condução GAP fase C</t>
  </si>
  <si>
    <t xml:space="preserve">Causa desconhecida </t>
  </si>
  <si>
    <t xml:space="preserve">Não encontrado </t>
  </si>
  <si>
    <t>Falha no banco SE Gurupi</t>
  </si>
  <si>
    <t>Queimada entre os vãos T42 a T49</t>
  </si>
  <si>
    <t>Queimada entre os vãos T117 a T126</t>
  </si>
  <si>
    <t>Queimada entre os vãos T135 a T141</t>
  </si>
  <si>
    <t>Terceiro - arrastro árvore sob LT</t>
  </si>
  <si>
    <t>Queimada (Vão foi realizado supressão vegetal)</t>
  </si>
  <si>
    <t>Causa indeterminada</t>
  </si>
  <si>
    <t xml:space="preserve">Atividade disjuntor </t>
  </si>
  <si>
    <t xml:space="preserve">Flashover no disjuntor CODJ7-11 </t>
  </si>
  <si>
    <t>Queimada no vão T.085 e T.086</t>
  </si>
  <si>
    <t>Queimada no vão T.089 e T.90</t>
  </si>
  <si>
    <t>Falha no reator de barra da Equatorial</t>
  </si>
  <si>
    <t xml:space="preserve">Queimada </t>
  </si>
  <si>
    <t>Pórtico SE MIR</t>
  </si>
  <si>
    <t>Aproximação</t>
  </si>
  <si>
    <t>Queimada</t>
  </si>
  <si>
    <t>Concessão</t>
  </si>
  <si>
    <t>Concessões</t>
  </si>
  <si>
    <t>NVT</t>
  </si>
  <si>
    <t>TSN</t>
  </si>
  <si>
    <t>BRASNORTE</t>
  </si>
  <si>
    <t>ETEO</t>
  </si>
  <si>
    <t>GTESA</t>
  </si>
  <si>
    <t>PATESA</t>
  </si>
  <si>
    <t>MIT</t>
  </si>
  <si>
    <t>LT SMSD</t>
  </si>
  <si>
    <t>RT-03</t>
  </si>
  <si>
    <t>RTSMSB3</t>
  </si>
  <si>
    <t>RTSMGU2</t>
  </si>
  <si>
    <t>RTGUMI2</t>
  </si>
  <si>
    <t>MCRE7-05</t>
  </si>
  <si>
    <t>MCRE7-04</t>
  </si>
  <si>
    <t>CORE7-05</t>
  </si>
  <si>
    <t>CORE7-06</t>
  </si>
  <si>
    <t>IZRE7-13</t>
  </si>
  <si>
    <t>LT SMSB C3</t>
  </si>
  <si>
    <t>LT SMGU C2</t>
  </si>
  <si>
    <t>LT GUMC C2</t>
  </si>
  <si>
    <t>LT COMC C2</t>
  </si>
  <si>
    <t>LT IZCO C2</t>
  </si>
  <si>
    <t>BSSMGU2</t>
  </si>
  <si>
    <t>BSSMGU02</t>
  </si>
  <si>
    <t>MCCL7-02</t>
  </si>
  <si>
    <t>COCL7-04</t>
  </si>
  <si>
    <t>COCL7-03</t>
  </si>
  <si>
    <t>IZCL7-06</t>
  </si>
  <si>
    <t>LT SDRDE</t>
  </si>
  <si>
    <t>RTSMSD</t>
  </si>
  <si>
    <t>RTSDRE7-02</t>
  </si>
  <si>
    <t>RT 05E1</t>
  </si>
  <si>
    <t>RT 05E3</t>
  </si>
  <si>
    <t>RT 05E6</t>
  </si>
  <si>
    <t>RT 05E2</t>
  </si>
  <si>
    <t>LT JUJB C1</t>
  </si>
  <si>
    <t>LT JUJB C2</t>
  </si>
  <si>
    <t>RT JBRE6-01</t>
  </si>
  <si>
    <t>RT JBRE6-04</t>
  </si>
  <si>
    <t>JBAT6-01</t>
  </si>
  <si>
    <t>JBAT6-02</t>
  </si>
  <si>
    <t>BNAT6-01</t>
  </si>
  <si>
    <t>RT BNRE6-01</t>
  </si>
  <si>
    <t>RT BNRE6-02</t>
  </si>
  <si>
    <t>RT BNRE6-08</t>
  </si>
  <si>
    <t>RT BNRE6-03</t>
  </si>
  <si>
    <t>RT NMRE6-02</t>
  </si>
  <si>
    <t>RT NMRE6-03</t>
  </si>
  <si>
    <t>LT NMBN C1</t>
  </si>
  <si>
    <t>LT NMBN C2</t>
  </si>
  <si>
    <t>LT LJMC C1</t>
  </si>
  <si>
    <t>LT LJMC C2</t>
  </si>
  <si>
    <t>LT LJPL C1</t>
  </si>
  <si>
    <t>LT LJPL C2</t>
  </si>
  <si>
    <t>LT PLPA4 C1</t>
  </si>
  <si>
    <t>LT PLPA2 C1</t>
  </si>
  <si>
    <t>LT PLPA2 C2</t>
  </si>
  <si>
    <t>LJAT7-01</t>
  </si>
  <si>
    <t>LJAT7-02</t>
  </si>
  <si>
    <t>PLAT6-01</t>
  </si>
  <si>
    <t>PLAT6-02</t>
  </si>
  <si>
    <t>Vegetação</t>
  </si>
  <si>
    <t>Descarga Atmosférica</t>
  </si>
  <si>
    <t>Queda de Torre</t>
  </si>
  <si>
    <t>Queimadas</t>
  </si>
  <si>
    <t>Falhas humanas</t>
  </si>
  <si>
    <t>Condições Metereológicas Adversas</t>
  </si>
  <si>
    <t>Outros</t>
  </si>
  <si>
    <t>Excremento de Pássaro</t>
  </si>
  <si>
    <t>150,2-155,4</t>
  </si>
  <si>
    <t>Fase</t>
  </si>
  <si>
    <t>ABC</t>
  </si>
  <si>
    <t>Colisão Avião Agricola</t>
  </si>
  <si>
    <t>V</t>
  </si>
  <si>
    <t>BC</t>
  </si>
  <si>
    <t>LT BNNM C1</t>
  </si>
  <si>
    <t>LT BNNM C2</t>
  </si>
  <si>
    <t xml:space="preserve">LT BNNM C1 / LT BNNM C2 </t>
  </si>
  <si>
    <t>LT JBJU C1 / LT JBJU C2</t>
  </si>
  <si>
    <t>FV</t>
  </si>
  <si>
    <t>12:03 e 12:31</t>
  </si>
  <si>
    <t>15:45 e 15:59</t>
  </si>
  <si>
    <t>13:48 / 16:08</t>
  </si>
  <si>
    <t>14:34 / 14:41</t>
  </si>
  <si>
    <t>Causa desconhecida</t>
  </si>
  <si>
    <t>Causa Extra LT (SE RDE)</t>
  </si>
  <si>
    <t>Desligamento na ATE</t>
  </si>
  <si>
    <t>Aproximação fase na estrutura</t>
  </si>
  <si>
    <t xml:space="preserve">Causa indeterminada </t>
  </si>
  <si>
    <t>Desmembramento de ninho de ave (Carcara)</t>
  </si>
  <si>
    <t>Desmembramento de ninho de ave (Gavião)</t>
  </si>
  <si>
    <t>Excremento de ave</t>
  </si>
  <si>
    <t>Queda de Torre 522 por máquina agrícola</t>
  </si>
  <si>
    <t>Colisão por avião agrícola no vão da T265</t>
  </si>
  <si>
    <t>Ninhos de Gavião</t>
  </si>
  <si>
    <t>Torre 019</t>
  </si>
  <si>
    <t>Torre 006</t>
  </si>
  <si>
    <t>Torre 086</t>
  </si>
  <si>
    <t>Torre 500</t>
  </si>
  <si>
    <t>Torre 481</t>
  </si>
  <si>
    <t>Torre 213</t>
  </si>
  <si>
    <t>Torre 389</t>
  </si>
  <si>
    <t>Torre 028</t>
  </si>
  <si>
    <t>Torre 239</t>
  </si>
  <si>
    <t>Torre 083</t>
  </si>
  <si>
    <t>Torre 291</t>
  </si>
  <si>
    <t>Torre 412</t>
  </si>
  <si>
    <t xml:space="preserve">Torre 508 </t>
  </si>
  <si>
    <t>Torre 315</t>
  </si>
  <si>
    <t>Torre 305</t>
  </si>
  <si>
    <t>Torre 004</t>
  </si>
  <si>
    <t>Torre 215</t>
  </si>
  <si>
    <t>Torre 475</t>
  </si>
  <si>
    <t>Torre 241 - Torre 246</t>
  </si>
  <si>
    <t>Torre 247</t>
  </si>
  <si>
    <t>Torre 088</t>
  </si>
  <si>
    <t>Torre 168</t>
  </si>
  <si>
    <t>Torre 432</t>
  </si>
  <si>
    <t>Torre 003</t>
  </si>
  <si>
    <t>Torre 433</t>
  </si>
  <si>
    <t>Torre 285</t>
  </si>
  <si>
    <t>Torre 222</t>
  </si>
  <si>
    <t>Torre 313 - Torre 323</t>
  </si>
  <si>
    <t>Torre 436</t>
  </si>
  <si>
    <t>Torre 013</t>
  </si>
  <si>
    <t>Torre 337</t>
  </si>
  <si>
    <t>Torre 477</t>
  </si>
  <si>
    <t>Torre 330</t>
  </si>
  <si>
    <t>Torre 283</t>
  </si>
  <si>
    <t>Torre 068</t>
  </si>
  <si>
    <t>Torre 143</t>
  </si>
  <si>
    <t>Torre 266 e Torre 268</t>
  </si>
  <si>
    <t>Torre 327</t>
  </si>
  <si>
    <t>Torre 142</t>
  </si>
  <si>
    <t>Torre 062</t>
  </si>
  <si>
    <t>Torre 328</t>
  </si>
  <si>
    <t>Torre 390</t>
  </si>
  <si>
    <t>Torre 211</t>
  </si>
  <si>
    <t>Torre 242</t>
  </si>
  <si>
    <t>Torre 076</t>
  </si>
  <si>
    <t>Torre 457</t>
  </si>
  <si>
    <t>Torre 255</t>
  </si>
  <si>
    <t>Torre 281</t>
  </si>
  <si>
    <t>Torre 461</t>
  </si>
  <si>
    <t>Torre 384</t>
  </si>
  <si>
    <t>Torre 316 a Torre 324</t>
  </si>
  <si>
    <t>Torre 374</t>
  </si>
  <si>
    <t>Torre 095</t>
  </si>
  <si>
    <t>Torre 326</t>
  </si>
  <si>
    <t>Torre 207</t>
  </si>
  <si>
    <t>Torre 292</t>
  </si>
  <si>
    <t>Torre 159 a Torre 162</t>
  </si>
  <si>
    <t>Torre 082</t>
  </si>
  <si>
    <t>Torre 299</t>
  </si>
  <si>
    <t>Torre 245</t>
  </si>
  <si>
    <t>Torre 78</t>
  </si>
  <si>
    <t>Torre 112 a Torre 114</t>
  </si>
  <si>
    <t>Torre 317</t>
  </si>
  <si>
    <t>Torre 194</t>
  </si>
  <si>
    <t>Torre 118</t>
  </si>
  <si>
    <t>Torre 011</t>
  </si>
  <si>
    <t>Torre 275</t>
  </si>
  <si>
    <t>Torre 415</t>
  </si>
  <si>
    <t>Torre 480</t>
  </si>
  <si>
    <t>Torre 193</t>
  </si>
  <si>
    <t>Torre 232</t>
  </si>
  <si>
    <t>Torre 278</t>
  </si>
  <si>
    <t>Torre 052</t>
  </si>
  <si>
    <t>Torre 451</t>
  </si>
  <si>
    <t>Torre 95</t>
  </si>
  <si>
    <t>Torre 010/011</t>
  </si>
  <si>
    <t>Torre 170/Torre 171</t>
  </si>
  <si>
    <t>Torre 210 a Torre 212</t>
  </si>
  <si>
    <t>Torre 016</t>
  </si>
  <si>
    <t>Torre 487</t>
  </si>
  <si>
    <t>Torre 287</t>
  </si>
  <si>
    <t>Torre 476/Torre 477</t>
  </si>
  <si>
    <t>Torre 034/Torre 035</t>
  </si>
  <si>
    <t>Torre 380</t>
  </si>
  <si>
    <t>Torre 151</t>
  </si>
  <si>
    <t>Torre 428</t>
  </si>
  <si>
    <t>Torre 386</t>
  </si>
  <si>
    <t>Torre 388</t>
  </si>
  <si>
    <t>Torre 472</t>
  </si>
  <si>
    <t>Torre 329</t>
  </si>
  <si>
    <t>Torre 332</t>
  </si>
  <si>
    <t>Torre 271</t>
  </si>
  <si>
    <t>Torre 206 a 209</t>
  </si>
  <si>
    <t>Torre 091</t>
  </si>
  <si>
    <t>Torre 466</t>
  </si>
  <si>
    <t>Torre 320</t>
  </si>
  <si>
    <t>Torre 169</t>
  </si>
  <si>
    <t>Torre 196</t>
  </si>
  <si>
    <t>Torre 078</t>
  </si>
  <si>
    <t>Torre 298</t>
  </si>
  <si>
    <t>Torre 096</t>
  </si>
  <si>
    <t>Torre 279</t>
  </si>
  <si>
    <t>Torre 371</t>
  </si>
  <si>
    <t>Torre 421</t>
  </si>
  <si>
    <t>Torre 124</t>
  </si>
  <si>
    <t>Torre 313</t>
  </si>
  <si>
    <t>Torre 367</t>
  </si>
  <si>
    <t>Torre 243</t>
  </si>
  <si>
    <t>Torre 148</t>
  </si>
  <si>
    <t>Torre 160</t>
  </si>
  <si>
    <t>Torre 065</t>
  </si>
  <si>
    <t>Torre 462</t>
  </si>
  <si>
    <t>Torre 037</t>
  </si>
  <si>
    <t>Torre 070</t>
  </si>
  <si>
    <t>Torre 49</t>
  </si>
  <si>
    <t>Torre 117/121</t>
  </si>
  <si>
    <t xml:space="preserve"> Torre 135/Torre 141</t>
  </si>
  <si>
    <t>Torre 369</t>
  </si>
  <si>
    <t>Torre 064</t>
  </si>
  <si>
    <t>Torre 175</t>
  </si>
  <si>
    <t>Torre 040</t>
  </si>
  <si>
    <t>Torre 295</t>
  </si>
  <si>
    <t>Torre 081</t>
  </si>
  <si>
    <t>Torre 080</t>
  </si>
  <si>
    <t>Torre 002</t>
  </si>
  <si>
    <t>Torre 307</t>
  </si>
  <si>
    <t>Torre 051</t>
  </si>
  <si>
    <t>Torre 170</t>
  </si>
  <si>
    <t>Torre 147</t>
  </si>
  <si>
    <t>Torre 059</t>
  </si>
  <si>
    <t>Torre 482</t>
  </si>
  <si>
    <t>Torre 119</t>
  </si>
  <si>
    <t>Torre 181</t>
  </si>
  <si>
    <t>Torre 85</t>
  </si>
  <si>
    <t>Torre 186</t>
  </si>
  <si>
    <t>Torre 085</t>
  </si>
  <si>
    <t>Torre 089</t>
  </si>
  <si>
    <t>Torre 145</t>
  </si>
  <si>
    <t>Torre 318</t>
  </si>
  <si>
    <t>Torre 322</t>
  </si>
  <si>
    <t>Torre 297</t>
  </si>
  <si>
    <t>Torre 300</t>
  </si>
  <si>
    <t>Torre 094</t>
  </si>
  <si>
    <t>Torre 157</t>
  </si>
  <si>
    <t>Torre 048</t>
  </si>
  <si>
    <t>Torre 404</t>
  </si>
  <si>
    <t>Torre 072</t>
  </si>
  <si>
    <t>Torre 102</t>
  </si>
  <si>
    <t>Torre 227</t>
  </si>
  <si>
    <t>Torre 282</t>
  </si>
  <si>
    <t>Torre 202</t>
  </si>
  <si>
    <t>Torre 199</t>
  </si>
  <si>
    <t>Torre 439</t>
  </si>
  <si>
    <t>Torre 053</t>
  </si>
  <si>
    <t>Torre 101</t>
  </si>
  <si>
    <t>Torre 228</t>
  </si>
  <si>
    <t>Torre 187</t>
  </si>
  <si>
    <t>Torre 153 a Torre 158</t>
  </si>
  <si>
    <t>Torre 221</t>
  </si>
  <si>
    <t>Torre 054 e Torre 055</t>
  </si>
  <si>
    <t xml:space="preserve">Torre 390 </t>
  </si>
  <si>
    <t>Torre 071</t>
  </si>
  <si>
    <t>Torre 216 a Torre 217</t>
  </si>
  <si>
    <t>Torre 130 e Torre 131</t>
  </si>
  <si>
    <t xml:space="preserve">Torre 216 </t>
  </si>
  <si>
    <t>Torre 399</t>
  </si>
  <si>
    <t>Torre 413 a Torre 414</t>
  </si>
  <si>
    <t>Torre 349</t>
  </si>
  <si>
    <t>Torre 59</t>
  </si>
  <si>
    <t>Torre 335</t>
  </si>
  <si>
    <t>Torre 552</t>
  </si>
  <si>
    <t>Torre 557</t>
  </si>
  <si>
    <t>Torre 260</t>
  </si>
  <si>
    <t>Torre 21</t>
  </si>
  <si>
    <t>Torre 265</t>
  </si>
  <si>
    <t>Torre 224</t>
  </si>
  <si>
    <t>Torre 401</t>
  </si>
  <si>
    <t>AC</t>
  </si>
  <si>
    <t>LT RDEBJD</t>
  </si>
  <si>
    <t>13:39
13:43
13:47
14:04</t>
  </si>
  <si>
    <t>12:41
12:45
13::20</t>
  </si>
  <si>
    <t>Torre 267</t>
  </si>
  <si>
    <t>Torre 155</t>
  </si>
  <si>
    <t>Torre 252</t>
  </si>
  <si>
    <t>Torre 112</t>
  </si>
  <si>
    <t>Torre 152</t>
  </si>
  <si>
    <t>Torre 116</t>
  </si>
  <si>
    <t>Torre 179</t>
  </si>
  <si>
    <t>Torre 341</t>
  </si>
  <si>
    <t>Torre 409</t>
  </si>
  <si>
    <t>Torre 358</t>
  </si>
  <si>
    <t>Torre 241</t>
  </si>
  <si>
    <t>Torre 14</t>
  </si>
  <si>
    <t>Torre 379</t>
  </si>
  <si>
    <t>Torre 200</t>
  </si>
  <si>
    <t>Torre 220</t>
  </si>
  <si>
    <t>Torre 188</t>
  </si>
  <si>
    <t>Torre 269</t>
  </si>
  <si>
    <t>Torre 79 a 87</t>
  </si>
  <si>
    <t>Torre 482, 483 e 484</t>
  </si>
  <si>
    <t>Torre 68</t>
  </si>
  <si>
    <t>Torre 77</t>
  </si>
  <si>
    <t>Torre 224 e 226</t>
  </si>
  <si>
    <t>Torre 238</t>
  </si>
  <si>
    <t>Torre 62 e 63</t>
  </si>
  <si>
    <t>Torre 468 e 475</t>
  </si>
  <si>
    <t>Torre 476</t>
  </si>
  <si>
    <t>Torre 75</t>
  </si>
  <si>
    <t>Torre 259</t>
  </si>
  <si>
    <t>Torre 210</t>
  </si>
  <si>
    <t>Torre 72</t>
  </si>
  <si>
    <t>Torre 280</t>
  </si>
  <si>
    <t>Torre 113</t>
  </si>
  <si>
    <t>Torre 251</t>
  </si>
  <si>
    <t>Torre 165</t>
  </si>
  <si>
    <t>Torre 234</t>
  </si>
  <si>
    <t>Torre 153</t>
  </si>
  <si>
    <t>Torre 134</t>
  </si>
  <si>
    <t>Torre 291, 292
293, 294</t>
  </si>
  <si>
    <t>Torre 153 e 154</t>
  </si>
  <si>
    <t>Torre 212</t>
  </si>
  <si>
    <t>Torre 127</t>
  </si>
  <si>
    <t>Torre 132 a 153</t>
  </si>
  <si>
    <t>Torre 319</t>
  </si>
  <si>
    <t>Torre 264</t>
  </si>
  <si>
    <t>Torre 71</t>
  </si>
  <si>
    <t>Torre 4</t>
  </si>
  <si>
    <t>Torre 38</t>
  </si>
  <si>
    <t>Torre 274 a 283</t>
  </si>
  <si>
    <t>Torre 370</t>
  </si>
  <si>
    <t>Torre 62 a 68</t>
  </si>
  <si>
    <t>Torre SE RDE</t>
  </si>
  <si>
    <t>Torre 81</t>
  </si>
  <si>
    <t>Torre 149</t>
  </si>
  <si>
    <t>Torre 61</t>
  </si>
  <si>
    <t>Torre 266</t>
  </si>
  <si>
    <t>Torre 262</t>
  </si>
  <si>
    <t>Torre 250</t>
  </si>
  <si>
    <t>Torre 30</t>
  </si>
  <si>
    <t>Torre 351</t>
  </si>
  <si>
    <t>Torre 70</t>
  </si>
  <si>
    <t>Torre 133</t>
  </si>
  <si>
    <t>Torre 254</t>
  </si>
  <si>
    <t>Torre 192</t>
  </si>
  <si>
    <t>Torre 149 A 153</t>
  </si>
  <si>
    <t>Torre 365 A 370</t>
  </si>
  <si>
    <t>Torre 360 A 399</t>
  </si>
  <si>
    <t>Torre 314 A 323</t>
  </si>
  <si>
    <t>Torre 198</t>
  </si>
  <si>
    <t>Torre 136</t>
  </si>
  <si>
    <t>Torre 33</t>
  </si>
  <si>
    <t>Torre 191</t>
  </si>
  <si>
    <t>Torre 209</t>
  </si>
  <si>
    <t>Torre 522</t>
  </si>
  <si>
    <t>Torre 246</t>
  </si>
  <si>
    <t>Torre 110</t>
  </si>
  <si>
    <t>Torre 162 a Torre 169</t>
  </si>
  <si>
    <t>Torre 269 aTorre  276</t>
  </si>
  <si>
    <t>Torre 500 a Torre 506</t>
  </si>
  <si>
    <t>Torre 301 a Torre 311</t>
  </si>
  <si>
    <t>Torre 279 e Torre 281</t>
  </si>
  <si>
    <t>Torre 295 e Torre 305</t>
  </si>
  <si>
    <t>Torre 510 a Torre 511</t>
  </si>
  <si>
    <t>Torre 030</t>
  </si>
  <si>
    <t>Torre 387</t>
  </si>
  <si>
    <t>Torre 402</t>
  </si>
  <si>
    <t>Torre 504</t>
  </si>
  <si>
    <t>Torre 164</t>
  </si>
  <si>
    <t>Torre 214</t>
  </si>
  <si>
    <t>Torre 375</t>
  </si>
  <si>
    <t>Torre 244</t>
  </si>
  <si>
    <t>Torre 176</t>
  </si>
  <si>
    <t>Torre 111</t>
  </si>
  <si>
    <t>km</t>
  </si>
  <si>
    <t>LT BJDICA</t>
  </si>
  <si>
    <t>LT ICASPU</t>
  </si>
  <si>
    <t>LT CMDSPU</t>
  </si>
  <si>
    <t>LT BJDBJS</t>
  </si>
  <si>
    <t>LT SPUGVM (C2 e 3)</t>
  </si>
  <si>
    <t>LT SPUGVM C1</t>
  </si>
  <si>
    <t>LT SPUFNL C1</t>
  </si>
  <si>
    <t>LT SPUFNL C2</t>
  </si>
  <si>
    <t>LT SPUSTJ</t>
  </si>
  <si>
    <t>LT TAQASS</t>
  </si>
  <si>
    <t>LT ASSSUM</t>
  </si>
  <si>
    <t>LT LONASS</t>
  </si>
  <si>
    <t>LT ASSSTAR</t>
  </si>
  <si>
    <t>LT UTURMBR</t>
  </si>
  <si>
    <t>LT MBRSTA</t>
  </si>
  <si>
    <t xml:space="preserve">LT SOBSJI </t>
  </si>
  <si>
    <t>Definir</t>
  </si>
  <si>
    <t>Erro TW - TB</t>
  </si>
  <si>
    <t>Erro TW TA</t>
  </si>
  <si>
    <t>Desligamento Automático - TRIP Distância 21 Fases A, B e C</t>
  </si>
  <si>
    <t>Desligamento Automático - TRIP Distância 21 Fases A, B e C e TRIP Direcional Neutro 67</t>
  </si>
  <si>
    <t>Instalação de Anti Pouso (Na torre e nas 2 adjacentes)</t>
  </si>
  <si>
    <t>Estão sendo realizadas melhorias na Resistência de Aterramento desta LT. Já foram feitas em 25 Torres, com mais 7 previstas até o final de 2024. 50 torres estão previstas para 2025</t>
  </si>
  <si>
    <t>Causa Externa a FT</t>
  </si>
  <si>
    <t>Baipasse Automático do Banco de Capacitores - Corrente Subsíncrona</t>
  </si>
  <si>
    <t>Queda de Estrutura da LT 500 kV Miracema / Gilbués II C3 (Neoenergia)</t>
  </si>
  <si>
    <t>Banco de Capacitor</t>
  </si>
  <si>
    <t>Desligamento Automático - TRIP Distância 21 Fase BN</t>
  </si>
  <si>
    <t>Abertura Automática; Tentativa de Fechamento sem Sucesso</t>
  </si>
  <si>
    <t>Falha Fechamento DJ - fio solto</t>
  </si>
  <si>
    <t>DJ9318</t>
  </si>
  <si>
    <t>DJ9328</t>
  </si>
  <si>
    <t>Disjuntor</t>
  </si>
  <si>
    <t>AG</t>
  </si>
  <si>
    <t>BG</t>
  </si>
  <si>
    <t>CG</t>
  </si>
  <si>
    <t>BCG</t>
  </si>
  <si>
    <t>ABG</t>
  </si>
  <si>
    <t>ACG</t>
  </si>
  <si>
    <t>LINHA DE TRANSMISSÃO</t>
  </si>
  <si>
    <t>AT</t>
  </si>
  <si>
    <t>Desenergizou e religou automaticamente a LT 230 kV Jauru / Juba Circuito 1.
Alarmes atuados em Prioridade 1:
SE Jauru:
JU 230kV LTJUJBC1 UPD1 TRIP Distancia 21 Z2 POTT
JU 230kV LTJUJBC1 UPD1 Transmissao TDD Fase C
JU 230kV LTJUJBC1 UPD1 Transmissao TDD Fase B
JU 230kV LTJUJBC1 UPD1 Transmissao TDD Fase A
JU 230kV LTJUJBC1 UPD1 TRIP Sobrec. Direc. 67NT POTT
JU 230kV LTJUJBC1 UPD2 Transmissao TDD Fase C
JU 230kV LTJUJBC1 UPD2 Transmissao TDD Fase B
JU 230kV LTJUJBC1 UPD2 Transmissao TDD Fase A
JU 230kV LTJUJBC1 UPD2 TRIP Distancia 21 Z2 POTT
JU 230kV LTJUJBC1 UPD1 Recepcao TDD Fase C
JU 230kV LTJUJBC1 UPD1 Recepcao TDD Fase B
JU 230kV LTJUJBC1 UPD1 Recepcao TDD Fase A
JU 230kV LTJUJBC1 UPD2 Recepcao TDD Fase C
JU 230kV LTJUJBC1 UPD2 Recepcao TDD Fase B
JU 230kV LTJUJBC1 UPD2 Recepcao TDD Fase A
SE Juba:
JB 230kV LTJUJBC1 UPD1 Recepcao TDD Fase C
JB 230kV LTJUJBC1 UPD1 Recepcao TDD Fase B
JB 230kV LTJUJBC1 UPD1 Recepcao TDD Fase A
JB 230kV LTJUJBC1 UPD1 TRIP Distancia 21 Z2 POTT
JB 230kV LTJUJBC1 UPD2 TRIP Distancia 21 Z2 POTT
JB 230kV LTJUJBC1 UPD2 Recepcao TDD Fase C
JB 230kV LTJUJBC1 UPD2 Recepcao TDD Fase B
JB 230kV LTJUJBC1 UPD2 Recepcao TDD Fase A
JB 230kV LTJUJBC1 UPD2 Transmissao TDD Fase C
JB 230kV LTJUJBC1 UPD2 Transmissao TDD Fase B
JB 230kV LTJUJBC1 UPD2 Transmissao TDD Fase A
JB 230kV LTJUJBC1 UPD2 TRIP Distancia 21 Z1
JB 230kV LTJUJBC1 UPD1 Transmissao TDD Fase C
JB 230kV LTJUJBC1 UPD1 Transmissao TDD Fase B
JB 230kV LTJUJBC1 UPD1 Transmissao TDD Fase A
JB 230kV LTJUJBC1 UPD1 TRIP Distancia 21 Z1
Observações:
1. Informado pelo ONS, que não houve outra ocorrência no mesmo horário na região;
2. Verificado no Sistema de Monitoramento e Alerta Climatempo (SMAC) que não há indícios de descargas atmosféricas na região;
3. Distâncias coletadas através do Sistema de Supervisão:
- SE Jauru: UPD1: 127,4 km e UPD2: 127,5 km;
- SE Juba: UPD1: 0.6 km e UPD2: 0.6 km.
4. Os alarmes da SE Juba sinalizaram com 1 hora adiante do horário real.</t>
  </si>
  <si>
    <t>Desenergizou e religou automaticamente a LT 230 kV Jauru / Juba Circuito 1.
Alarmes atuados em Prioridade 1:
SE Jauru:
- JU - 230kV - LTJUJBC1 - UPD1 - TRIP Distancia 21 Z2 POTT;
- JU - 230kV - LTJUJBC1 - UPD2 - TRIP Distancia 21 Z2 POTT;
- JU - 230kV - LTJUJBC1 - UPD1 - Transmissao TDD Fase A;
- JU - 230kV - LTJUJBC1 - UPD1 - Transmissao TDD Fase B;
- JU - 230kV - LTJUJBC1 - UPD1 - Transmissao TDD Fase C;
- JU - 230kV - LTJUJBC1 - UPD2 - Transmissao TDD Fase A;
- JU - 230kV - LTJUJBC1 - UPD2 - Transmissao TDD Fase B;
- JU - 230kV - LTJUJBC1 - UPD2 - Transmissao TDD Fase C;
- JU - 230kV - LTJUJBC1 - UPD1 - Recepcao TDD Fase A;
- JU - 230kV - LTJUJBC1 - UPD1 - Recepcao TDD Fase B;
- JU - 230kV - LTJUJBC1 - UPD1 - Recepcao TDD Fase C;
- JU - 230kV - LTJUJBC1 - UPD2 - Recepcao TDD Fase A;
- JU - 230kV - LTJUJBC1 - UPD2 - Recepcao TDD Fase B;
- JU - 230kV - LTJUJBC1 - UPD2 - Recepcao TDD Fase C;
- JU - 230kV - LTJUJBC1 - UPD2 - TRIP Distancia 21 Z1;
- JU - 230kV - LTJUJBC1 - UPD1 - TRIP Distancia 21 Z1.
SE Juba:
- JB - 230kV - LTJUJBC1 - UPD1 - TRIP Distancia 21 Z2 POTT;
- JB - 230kV - LTJUJBC1 - UPD2 - TRIP Distancia 21 Z2 POTT;
- JB - 230kV - LTJUJBC1 - UPD1 - Transmissao TDD Fase A;
- JB - 230kV - LTJUJBC1 - UPD1 - Transmissao TDD Fase B;
- JB - 230kV - LTJUJBC1 - UPD1 - Transmissao TDD Fase C;
- JB - 230kV - LTJUJBC1 - UPD2 - Transmissao TDD Fase A;
- JB - 230kV - LTJUJBC1 - UPD2 - Transmissao TDD Fase B;
- JB - 230kV - LTJUJBC1 - UPD2 - Transmissao TDD Fase C;
- JB - 230kV - LTJUJBC1 - UPD1 - Recepcao TDD Fase A;
- JB - 230kV - LTJUJBC1 - UPD1 - Recepcao TDD Fase B;
- JB - 230kV - LTJUJBC1 - UPD1 - Recepcao TDD Fase C;
- JB - 230kV - LTJUJBC1 - UPD2 - Recepcao TDD Fase A;
- JB - 230kV - LTJUJBC1 - UPD2 - Recepcao TDD Fase B;
- JB - 230kV - LTJUJBC1 - UPD2 - Recepcao TDD Fase C;
Observações:
1. Informado pelo ONS, que não houve outra ocorrência no mesmo horário na região;
2. Verificado no Sistema de Monitoramento e Alerta Climatempo (SMAC) que não há indícios de descargas atmosféricas na região;
3. Distâncias coletadas através do Sistema de Supervisão:
- SE Jauru: UPD1: 102,5 km e UPD2: 100,4 km;
- SE Juba: UPD1: 73,10 km e UPD2: 72,90 km.</t>
  </si>
  <si>
    <t>Desenergizou e religou automaticamente a LT 230 kV Jauru / Juba Circuito 1.
Alarmes atuados em Prioridade 1:
SE Jauru:
- JU - 230kV - LTJUJBC1 - UPD1 - TRIP Distancia 21 Z2 POTT;
- JU - 230kV - LTJUJBC1 - UPD2 - TRIP Distancia 21 Z2 POTT;
- JU - 230kV - LTJUJBC1 - UPD1 - Transmissao TDD Fase A;
- JU - 230kV - LTJUJBC1 - UPD1 - Transmissao TDD Fase B;
- JU - 230kV - LTJUJBC1 - UPD1 - Transmissao TDD Fase C;
- JU - 230kV - LTJUJBC1 - UPD2 - Transmissao TDD Fase A;
- JU - 230kV - LTJUJBC1 - UPD2 - Transmissao TDD Fase B;
- JU - 230kV - LTJUJBC1 - UPD2 - Transmissao TDD Fase C;
- JU - 230kV - LTJUJBC1 - UPD1 - Recepcao TDD Fase A;
- JU - 230kV - LTJUJBC1 - UPD1 - Recepcao TDD Fase B;
- JU - 230kV - LTJUJBC1 - UPD1 - Recepcao TDD Fase C;
- JU - 230kV - LTJUJBC1 - UPD2 - Recepcao TDD Fase A;
- JU - 230kV - LTJUJBC1 - UPD2 - Recepcao TDD Fase B;
- JU - 230kV - LTJUJBC1 - UPD2 - Recepcao TDD Fase C;
- JU - 230kV - LTJUJBC1 - UPD2 - TRIP Distancia 21 Z1;
- JU - 230kV - LTJUJBC1 - UPD1 - TRIP Distancia 21 Z1.
SE Juba:
- JB - 230kV - LTJUJBC1 - UPD1 - TRIP Distancia 21 Z2 POTT;
- JB - 230kV - LTJUJBC1 - UPD2 - TRIP Distancia 21 Z2 POTT;
- JB - 230kV - LTJUJBC1 - UPD1 - Transmissao TDD Fase A;
- JB - 230kV - LTJUJBC1 - UPD1 - Transmissao TDD Fase B;
- JB - 230kV - LTJUJBC1 - UPD1 - Transmissao TDD Fase C;
- JB - 230kV - LTJUJBC1 - UPD2 - Transmissao TDD Fase A;
- JB - 230kV - LTJUJBC1 - UPD2 - Transmissao TDD Fase B;
- JB - 230kV - LTJUJBC1 - UPD2 - Transmissao TDD Fase C;
- JB - 230kV - LTJUJBC1 - UPD1 - Recepcao TDD Fase A;
- JB - 230kV - LTJUJBC1 - UPD1 - Recepcao TDD Fase B;
- JB - 230kV - LTJUJBC1 - UPD1 - Recepcao TDD Fase C;
- JB - 230kV - LTJUJBC1 - UPD2 - Recepcao TDD Fase A;
- JB - 230kV - LTJUJBC1 - UPD2 - Recepcao TDD Fase B;
- JB - 230kV - LTJUJBC1 - UPD2 - Recepcao TDD Fase C;
- JB - 230kV - LTJUJBC1 - UPD1 - TRIP Distancia 21 Z1;
- JB - 230kV - LTJUJBC1 - UPD2 - TRIP Distancia 21 Z1;
Observações:
1. Informado pelo ONS, que não houve outra ocorrência no mesmo horário na região;
2. Verificado no Sistema de Monitoramento e Alerta Climatempo (SMAC) que não há indícios de descargas atmosféricas na região;
3. Distâncias coletadas através do Sistema de Supervisão:
- SE Jauru: UPD1: 27,1 km e UPD2: 26 km;
- SE Juba: UPD1: 73,1 km e UPD2: 72,9 km.</t>
  </si>
  <si>
    <t>BT</t>
  </si>
  <si>
    <t>Equipamento</t>
  </si>
  <si>
    <t>Torre 167</t>
  </si>
  <si>
    <t>BARRAMENTO JBBR6-02</t>
  </si>
  <si>
    <t>REATOR DE BARRAS JBRE6-04</t>
  </si>
  <si>
    <t>TRANSFORMADOR DE FORÇA</t>
  </si>
  <si>
    <t>BARRAMENTO BNBR5-01</t>
  </si>
  <si>
    <t>BARRAMENTO BNBR5-02</t>
  </si>
  <si>
    <t>REATOR DE BARRAS BNRE6-01</t>
  </si>
  <si>
    <t>REATOR DE BARRAS BNRE6-08</t>
  </si>
  <si>
    <t>LT 230kV Brasnorte - Nova Mutum C1/C2</t>
  </si>
  <si>
    <t>LT 230kV Juba - Jauru C1/C2</t>
  </si>
  <si>
    <t>LT 500kV Lajeado - Miracema C1</t>
  </si>
  <si>
    <t>LT 500kV Lajeado - Miracema C2</t>
  </si>
  <si>
    <t>LT 230kV Lajeado - Palmas C1/C2</t>
  </si>
  <si>
    <t>LT 500kV Colinas - Miracema</t>
  </si>
  <si>
    <t>LT 500kV Gurupi - Miracema</t>
  </si>
  <si>
    <t>LT 500kV Serra da Mesa - Gurupi</t>
  </si>
  <si>
    <t>LT 500kV Serra da Mesa - Samambaia</t>
  </si>
  <si>
    <t>LT 500kV Serra da Mesa - Serra da Mesa 2</t>
  </si>
  <si>
    <t>LT 500kV Serra da Mesa 2 - Rio das Éguas</t>
  </si>
  <si>
    <t>LT 500kV Imperatriz - Colinas</t>
  </si>
  <si>
    <t>LT 500kV Rio das Éguas - Bom Jesus da Lapa</t>
  </si>
  <si>
    <t>Descrição da FT</t>
  </si>
  <si>
    <t>BRA</t>
  </si>
  <si>
    <t>Resumo</t>
  </si>
  <si>
    <t xml:space="preserve">TW - Terminal B </t>
  </si>
  <si>
    <t>Hora</t>
  </si>
  <si>
    <t>TW - Terminal A</t>
  </si>
  <si>
    <t>Classe Equipamento</t>
  </si>
  <si>
    <t>LINHA DE TRANSMISSÃO 500KV</t>
  </si>
  <si>
    <t>KM</t>
  </si>
  <si>
    <t>Torre</t>
  </si>
  <si>
    <t>LINHA DE TRANSMISSÃO 230KV</t>
  </si>
  <si>
    <t>LINHA DE TRANSMISSÃO 138KV</t>
  </si>
  <si>
    <t>Sigla_Concessão</t>
  </si>
  <si>
    <t>Sigla_causa</t>
  </si>
  <si>
    <t>Origem da causa</t>
  </si>
  <si>
    <t>Sigla_origem</t>
  </si>
  <si>
    <t>Natureza elétrica</t>
  </si>
  <si>
    <t>Sigla_natureza</t>
  </si>
  <si>
    <t>Tipo de falta</t>
  </si>
  <si>
    <t>Sigla_falta</t>
  </si>
  <si>
    <t>Fase envolvida</t>
  </si>
  <si>
    <t>Sigla_fase</t>
  </si>
  <si>
    <t>Avaliação atuação da proteção terminal A</t>
  </si>
  <si>
    <t>Sigla_terminal_A</t>
  </si>
  <si>
    <t>Avaliação atuação da proteção terminal B</t>
  </si>
  <si>
    <t>Sigla_terminal_B</t>
  </si>
  <si>
    <t>Avaliação do desempenho do Religamento Automático</t>
  </si>
  <si>
    <t>Sigla_desempenho</t>
  </si>
  <si>
    <t>Avaliação da eficácia do Religamento Automático</t>
  </si>
  <si>
    <t>Sigla_RA</t>
  </si>
  <si>
    <t>NÃO SE APLICA</t>
  </si>
  <si>
    <t>NA</t>
  </si>
  <si>
    <t>NÃO APLICÁVEL</t>
  </si>
  <si>
    <t>DESCARGA ATMOSFÉRICA</t>
  </si>
  <si>
    <t>DAT</t>
  </si>
  <si>
    <t>SECUNDÁRIA</t>
  </si>
  <si>
    <t>SEC</t>
  </si>
  <si>
    <t>FUGITIVA</t>
  </si>
  <si>
    <t>FUG</t>
  </si>
  <si>
    <t>MONOFÁSICA</t>
  </si>
  <si>
    <t>FN</t>
  </si>
  <si>
    <t>FASE A</t>
  </si>
  <si>
    <t>AN</t>
  </si>
  <si>
    <t>ATUAÇÃO CORRETA</t>
  </si>
  <si>
    <t>SPAC</t>
  </si>
  <si>
    <t>ATUAÇÃO SATISFATÓRIA (RA)</t>
  </si>
  <si>
    <t>AS</t>
  </si>
  <si>
    <t>CURICACA / AVES</t>
  </si>
  <si>
    <t>CRC</t>
  </si>
  <si>
    <t>INTERNA</t>
  </si>
  <si>
    <t>INT</t>
  </si>
  <si>
    <t>PERMANENTE</t>
  </si>
  <si>
    <t>PER</t>
  </si>
  <si>
    <t>BIFÁSICA</t>
  </si>
  <si>
    <t>FF</t>
  </si>
  <si>
    <t>FASE B</t>
  </si>
  <si>
    <t>BN</t>
  </si>
  <si>
    <t>ATUAÇÃO INCORRETA</t>
  </si>
  <si>
    <t>SPAI</t>
  </si>
  <si>
    <t>AI</t>
  </si>
  <si>
    <t>ATUAÇÃO INSATISFATÓRIA</t>
  </si>
  <si>
    <t>QUEIMADA</t>
  </si>
  <si>
    <t>QMD</t>
  </si>
  <si>
    <t>EXTERNA</t>
  </si>
  <si>
    <t>EXT</t>
  </si>
  <si>
    <t>BIFÁSICA À TERRA</t>
  </si>
  <si>
    <t>FFN</t>
  </si>
  <si>
    <t>FASE C</t>
  </si>
  <si>
    <t>CN</t>
  </si>
  <si>
    <t>RECUSA DE ATUAÇÃO</t>
  </si>
  <si>
    <t>SPRA</t>
  </si>
  <si>
    <t>NÃO SOLICITADO (RA)</t>
  </si>
  <si>
    <t>NS</t>
  </si>
  <si>
    <t>VEGETAÇÃO</t>
  </si>
  <si>
    <t>VGT</t>
  </si>
  <si>
    <t>OPERACIONAL</t>
  </si>
  <si>
    <t>OPE</t>
  </si>
  <si>
    <t>TRIFÁSICA</t>
  </si>
  <si>
    <t>FFF</t>
  </si>
  <si>
    <t>FASE AB</t>
  </si>
  <si>
    <t>AB</t>
  </si>
  <si>
    <t>ATUAÇÃO ACIDENTAL</t>
  </si>
  <si>
    <t>SPAA</t>
  </si>
  <si>
    <t>RECUSA DE ATUAÇÃO (RA)</t>
  </si>
  <si>
    <t>RA</t>
  </si>
  <si>
    <t>OUTROS</t>
  </si>
  <si>
    <t>OTR</t>
  </si>
  <si>
    <t>TRIFÁSICA À TERRA</t>
  </si>
  <si>
    <t>FFFN</t>
  </si>
  <si>
    <t>FASE BC</t>
  </si>
  <si>
    <t>EXPLOSÃO</t>
  </si>
  <si>
    <t>EXP</t>
  </si>
  <si>
    <t>FASE CA</t>
  </si>
  <si>
    <t>CA</t>
  </si>
  <si>
    <t>ACIDENTAL</t>
  </si>
  <si>
    <t>DAC</t>
  </si>
  <si>
    <t>FASE ABN</t>
  </si>
  <si>
    <t>ABN</t>
  </si>
  <si>
    <t>PROTEÇÃO, MEDIÇÃO E CONTROLE</t>
  </si>
  <si>
    <t>PMC</t>
  </si>
  <si>
    <t>FASE BCN</t>
  </si>
  <si>
    <t>BCN</t>
  </si>
  <si>
    <t>FALHA EM ACESSÓRIOS E COMPONENTES</t>
  </si>
  <si>
    <t>FAC</t>
  </si>
  <si>
    <t>FASE CAN</t>
  </si>
  <si>
    <t>CAN</t>
  </si>
  <si>
    <t>INDETERMINADA</t>
  </si>
  <si>
    <t>IND</t>
  </si>
  <si>
    <t>FASE ABC</t>
  </si>
  <si>
    <t>CONDIÇÕES ANORMAIS DE OPERAÇÃO</t>
  </si>
  <si>
    <t>CAO</t>
  </si>
  <si>
    <t>FASE ABCN</t>
  </si>
  <si>
    <t>ABCN</t>
  </si>
  <si>
    <t>ERRO DE AJUSTE</t>
  </si>
  <si>
    <t>EDA</t>
  </si>
  <si>
    <t>RAJADA DE VENTO</t>
  </si>
  <si>
    <t>RDV</t>
  </si>
  <si>
    <t>QUEDA DE TORRE</t>
  </si>
  <si>
    <t>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</si>
</sst>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24324C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ashed">
        <color indexed="64"/>
      </bottom>
      <diagonal/>
    </border>
    <border>
      <left style="dashed">
        <color indexed="64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/>
      <bottom style="dashed">
        <color indexed="64"/>
      </bottom>
      <diagonal/>
    </border>
    <border>
      <left style="dotted">
        <color auto="1"/>
      </left>
      <right style="thin">
        <color auto="1"/>
      </right>
      <top/>
      <bottom style="dashed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ashed">
        <color indexed="64"/>
      </top>
      <bottom style="dotted">
        <color indexed="64"/>
      </bottom>
      <diagonal/>
    </border>
    <border>
      <left/>
      <right style="dotted">
        <color auto="1"/>
      </right>
      <top/>
      <bottom style="dashed">
        <color indexed="64"/>
      </bottom>
      <diagonal/>
    </border>
    <border>
      <left style="dotted">
        <color auto="1"/>
      </left>
      <right/>
      <top/>
      <bottom/>
      <diagonal/>
    </border>
    <border>
      <left style="dashed">
        <color indexed="64"/>
      </left>
      <right style="dotted">
        <color auto="1"/>
      </right>
      <top style="dash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/>
      <right/>
      <top style="dotted">
        <color auto="1"/>
      </top>
      <bottom style="thin">
        <color indexed="64"/>
      </bottom>
      <diagonal/>
    </border>
    <border>
      <left/>
      <right style="dotted">
        <color indexed="64"/>
      </right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 style="thin">
        <color indexed="64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ashed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theme="4" tint="0.39997558519241921"/>
      </bottom>
      <diagonal/>
    </border>
    <border>
      <left/>
      <right style="dotted">
        <color auto="1"/>
      </right>
      <top style="dotted">
        <color auto="1"/>
      </top>
      <bottom style="thin">
        <color theme="4" tint="0.39997558519241921"/>
      </bottom>
      <diagonal/>
    </border>
    <border>
      <left/>
      <right/>
      <top style="medium">
        <color rgb="FFB6C8E7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97">
    <xf numFmtId="0" fontId="0" fillId="0" borderId="0" xfId="0"/>
    <xf numFmtId="0" fontId="1" fillId="2" borderId="0" xfId="0" applyFont="1" applyFill="1"/>
    <xf numFmtId="0" fontId="0" fillId="2" borderId="0" xfId="0" applyFill="1"/>
    <xf numFmtId="0" fontId="7" fillId="2" borderId="0" xfId="0" applyFont="1" applyFill="1"/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0" fillId="4" borderId="52" xfId="0" applyFill="1" applyBorder="1"/>
    <xf numFmtId="0" fontId="0" fillId="0" borderId="52" xfId="0" applyBorder="1"/>
    <xf numFmtId="0" fontId="0" fillId="0" borderId="52" xfId="0" applyBorder="1" applyProtection="1">
      <protection locked="0"/>
    </xf>
    <xf numFmtId="2" fontId="0" fillId="0" borderId="52" xfId="0" applyNumberFormat="1" applyBorder="1"/>
    <xf numFmtId="0" fontId="0" fillId="3" borderId="52" xfId="0" applyFill="1" applyBorder="1" applyProtection="1">
      <protection locked="0"/>
    </xf>
    <xf numFmtId="0" fontId="7" fillId="2" borderId="52" xfId="0" applyFont="1" applyFill="1" applyBorder="1"/>
    <xf numFmtId="9" fontId="0" fillId="0" borderId="0" xfId="1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53" xfId="0" applyBorder="1"/>
    <xf numFmtId="0" fontId="3" fillId="0" borderId="5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1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48" xfId="0" applyBorder="1" applyProtection="1">
      <protection locked="0"/>
    </xf>
    <xf numFmtId="0" fontId="0" fillId="0" borderId="3" xfId="0" applyBorder="1" applyProtection="1">
      <protection locked="0"/>
    </xf>
    <xf numFmtId="14" fontId="0" fillId="0" borderId="4" xfId="0" applyNumberFormat="1" applyBorder="1" applyProtection="1">
      <protection locked="0"/>
    </xf>
    <xf numFmtId="9" fontId="0" fillId="0" borderId="4" xfId="1" applyFont="1" applyFill="1" applyBorder="1" applyProtection="1">
      <protection locked="0"/>
    </xf>
    <xf numFmtId="2" fontId="0" fillId="0" borderId="4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6" xfId="0" applyBorder="1" applyProtection="1">
      <protection locked="0"/>
    </xf>
    <xf numFmtId="14" fontId="0" fillId="0" borderId="7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0" fontId="0" fillId="0" borderId="7" xfId="0" applyBorder="1" applyProtection="1">
      <protection locked="0"/>
    </xf>
    <xf numFmtId="2" fontId="0" fillId="0" borderId="7" xfId="0" applyNumberForma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14" fontId="0" fillId="0" borderId="7" xfId="0" applyNumberFormat="1" applyBorder="1"/>
    <xf numFmtId="21" fontId="0" fillId="0" borderId="7" xfId="0" applyNumberFormat="1" applyBorder="1" applyProtection="1">
      <protection locked="0"/>
    </xf>
    <xf numFmtId="164" fontId="0" fillId="0" borderId="7" xfId="0" applyNumberFormat="1" applyBorder="1" applyAlignment="1" applyProtection="1">
      <alignment horizontal="righ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21" fontId="0" fillId="0" borderId="7" xfId="0" applyNumberFormat="1" applyBorder="1"/>
    <xf numFmtId="0" fontId="0" fillId="0" borderId="7" xfId="0" applyBorder="1"/>
    <xf numFmtId="0" fontId="0" fillId="0" borderId="10" xfId="0" applyBorder="1" applyAlignment="1" applyProtection="1">
      <alignment vertical="center"/>
      <protection locked="0"/>
    </xf>
    <xf numFmtId="14" fontId="0" fillId="0" borderId="7" xfId="0" applyNumberFormat="1" applyBorder="1" applyAlignment="1" applyProtection="1">
      <alignment vertical="center"/>
      <protection locked="0"/>
    </xf>
    <xf numFmtId="164" fontId="0" fillId="0" borderId="7" xfId="0" applyNumberFormat="1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14" fontId="0" fillId="0" borderId="7" xfId="0" applyNumberFormat="1" applyBorder="1" applyAlignment="1" applyProtection="1">
      <alignment horizontal="right"/>
      <protection locked="0"/>
    </xf>
    <xf numFmtId="20" fontId="0" fillId="0" borderId="7" xfId="0" applyNumberFormat="1" applyBorder="1" applyProtection="1">
      <protection locked="0"/>
    </xf>
    <xf numFmtId="21" fontId="0" fillId="0" borderId="7" xfId="0" applyNumberFormat="1" applyBorder="1" applyAlignment="1" applyProtection="1">
      <alignment vertical="center"/>
      <protection locked="0"/>
    </xf>
    <xf numFmtId="21" fontId="0" fillId="0" borderId="7" xfId="0" applyNumberFormat="1" applyBorder="1" applyAlignment="1" applyProtection="1">
      <alignment horizontal="right"/>
      <protection locked="0"/>
    </xf>
    <xf numFmtId="14" fontId="0" fillId="0" borderId="10" xfId="0" applyNumberFormat="1" applyBorder="1" applyProtection="1">
      <protection locked="0"/>
    </xf>
    <xf numFmtId="0" fontId="0" fillId="0" borderId="12" xfId="0" applyBorder="1" applyProtection="1">
      <protection locked="0"/>
    </xf>
    <xf numFmtId="14" fontId="0" fillId="0" borderId="12" xfId="0" applyNumberFormat="1" applyBorder="1" applyProtection="1">
      <protection locked="0"/>
    </xf>
    <xf numFmtId="0" fontId="6" fillId="0" borderId="14" xfId="0" applyFont="1" applyBorder="1"/>
    <xf numFmtId="0" fontId="0" fillId="0" borderId="14" xfId="0" applyBorder="1" applyProtection="1">
      <protection locked="0"/>
    </xf>
    <xf numFmtId="0" fontId="0" fillId="0" borderId="14" xfId="0" applyBorder="1"/>
    <xf numFmtId="14" fontId="6" fillId="0" borderId="7" xfId="0" applyNumberFormat="1" applyFont="1" applyBorder="1"/>
    <xf numFmtId="21" fontId="6" fillId="0" borderId="7" xfId="0" applyNumberFormat="1" applyFont="1" applyBorder="1"/>
    <xf numFmtId="0" fontId="6" fillId="0" borderId="7" xfId="0" applyFont="1" applyBorder="1"/>
    <xf numFmtId="0" fontId="0" fillId="0" borderId="37" xfId="0" applyBorder="1" applyProtection="1">
      <protection locked="0"/>
    </xf>
    <xf numFmtId="14" fontId="0" fillId="0" borderId="23" xfId="0" applyNumberFormat="1" applyBorder="1" applyProtection="1">
      <protection locked="0"/>
    </xf>
    <xf numFmtId="0" fontId="0" fillId="0" borderId="23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30" xfId="0" applyBorder="1" applyProtection="1">
      <protection locked="0"/>
    </xf>
    <xf numFmtId="14" fontId="0" fillId="0" borderId="20" xfId="0" applyNumberFormat="1" applyBorder="1" applyProtection="1">
      <protection locked="0"/>
    </xf>
    <xf numFmtId="0" fontId="0" fillId="0" borderId="27" xfId="0" applyBorder="1" applyProtection="1">
      <protection locked="0"/>
    </xf>
    <xf numFmtId="14" fontId="0" fillId="0" borderId="27" xfId="0" applyNumberFormat="1" applyBorder="1" applyProtection="1">
      <protection locked="0"/>
    </xf>
    <xf numFmtId="0" fontId="0" fillId="0" borderId="34" xfId="0" applyBorder="1" applyProtection="1">
      <protection locked="0"/>
    </xf>
    <xf numFmtId="0" fontId="0" fillId="0" borderId="50" xfId="0" applyBorder="1" applyProtection="1">
      <protection locked="0"/>
    </xf>
    <xf numFmtId="0" fontId="0" fillId="0" borderId="41" xfId="0" applyBorder="1" applyProtection="1">
      <protection locked="0"/>
    </xf>
    <xf numFmtId="14" fontId="0" fillId="0" borderId="39" xfId="0" applyNumberFormat="1" applyBorder="1" applyProtection="1">
      <protection locked="0"/>
    </xf>
    <xf numFmtId="0" fontId="0" fillId="0" borderId="29" xfId="0" applyBorder="1" applyProtection="1">
      <protection locked="0"/>
    </xf>
    <xf numFmtId="0" fontId="0" fillId="0" borderId="49" xfId="0" applyBorder="1" applyProtection="1">
      <protection locked="0"/>
    </xf>
    <xf numFmtId="0" fontId="0" fillId="0" borderId="43" xfId="0" applyBorder="1" applyProtection="1">
      <protection locked="0"/>
    </xf>
    <xf numFmtId="14" fontId="0" fillId="0" borderId="14" xfId="0" applyNumberFormat="1" applyBorder="1" applyProtection="1">
      <protection locked="0"/>
    </xf>
    <xf numFmtId="14" fontId="0" fillId="0" borderId="37" xfId="0" applyNumberFormat="1" applyBorder="1" applyProtection="1">
      <protection locked="0"/>
    </xf>
    <xf numFmtId="0" fontId="0" fillId="0" borderId="33" xfId="0" applyBorder="1" applyProtection="1">
      <protection locked="0"/>
    </xf>
    <xf numFmtId="14" fontId="0" fillId="0" borderId="43" xfId="0" applyNumberFormat="1" applyBorder="1" applyProtection="1">
      <protection locked="0"/>
    </xf>
    <xf numFmtId="0" fontId="0" fillId="0" borderId="45" xfId="0" applyBorder="1" applyProtection="1">
      <protection locked="0"/>
    </xf>
    <xf numFmtId="14" fontId="0" fillId="0" borderId="45" xfId="0" applyNumberFormat="1" applyBorder="1" applyProtection="1">
      <protection locked="0"/>
    </xf>
    <xf numFmtId="0" fontId="0" fillId="0" borderId="46" xfId="0" applyBorder="1" applyProtection="1">
      <protection locked="0"/>
    </xf>
    <xf numFmtId="0" fontId="0" fillId="0" borderId="10" xfId="0" applyBorder="1"/>
    <xf numFmtId="20" fontId="0" fillId="0" borderId="7" xfId="0" applyNumberFormat="1" applyBorder="1"/>
    <xf numFmtId="0" fontId="0" fillId="0" borderId="10" xfId="0" applyBorder="1" applyAlignment="1" applyProtection="1">
      <alignment horizontal="left"/>
      <protection locked="0"/>
    </xf>
    <xf numFmtId="14" fontId="0" fillId="0" borderId="10" xfId="0" applyNumberFormat="1" applyBorder="1" applyAlignment="1" applyProtection="1">
      <alignment horizontal="right" vertical="center"/>
      <protection locked="0"/>
    </xf>
    <xf numFmtId="21" fontId="0" fillId="0" borderId="18" xfId="0" applyNumberFormat="1" applyBorder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14" fontId="0" fillId="0" borderId="7" xfId="0" applyNumberFormat="1" applyBorder="1" applyAlignment="1" applyProtection="1">
      <alignment horizontal="right" vertical="center"/>
      <protection locked="0"/>
    </xf>
    <xf numFmtId="164" fontId="0" fillId="0" borderId="7" xfId="0" applyNumberFormat="1" applyBorder="1" applyAlignment="1" applyProtection="1">
      <alignment horizontal="right" vertical="center" wrapText="1"/>
      <protection locked="0"/>
    </xf>
    <xf numFmtId="14" fontId="0" fillId="0" borderId="7" xfId="0" applyNumberFormat="1" applyBorder="1" applyAlignment="1">
      <alignment horizontal="right"/>
    </xf>
    <xf numFmtId="0" fontId="0" fillId="0" borderId="18" xfId="0" applyBorder="1" applyProtection="1">
      <protection locked="0"/>
    </xf>
    <xf numFmtId="0" fontId="0" fillId="0" borderId="55" xfId="0" applyBorder="1"/>
    <xf numFmtId="0" fontId="0" fillId="0" borderId="56" xfId="0" applyBorder="1"/>
    <xf numFmtId="0" fontId="0" fillId="5" borderId="57" xfId="0" applyFill="1" applyBorder="1"/>
    <xf numFmtId="0" fontId="0" fillId="0" borderId="42" xfId="0" applyBorder="1"/>
    <xf numFmtId="0" fontId="0" fillId="5" borderId="60" xfId="0" applyFill="1" applyBorder="1"/>
    <xf numFmtId="0" fontId="0" fillId="5" borderId="59" xfId="0" applyFill="1" applyBorder="1"/>
    <xf numFmtId="0" fontId="0" fillId="0" borderId="58" xfId="0" applyBorder="1"/>
    <xf numFmtId="14" fontId="0" fillId="0" borderId="49" xfId="0" applyNumberFormat="1" applyBorder="1" applyAlignment="1" applyProtection="1">
      <alignment horizontal="right" vertical="center"/>
      <protection locked="0"/>
    </xf>
    <xf numFmtId="2" fontId="0" fillId="0" borderId="18" xfId="0" applyNumberFormat="1" applyBorder="1"/>
    <xf numFmtId="0" fontId="11" fillId="7" borderId="63" xfId="0" applyFont="1" applyFill="1" applyBorder="1" applyAlignment="1">
      <alignment vertical="top" wrapText="1"/>
    </xf>
    <xf numFmtId="2" fontId="0" fillId="0" borderId="7" xfId="0" applyNumberFormat="1" applyBorder="1"/>
    <xf numFmtId="0" fontId="3" fillId="0" borderId="0" xfId="0" applyFont="1" applyAlignment="1">
      <alignment vertical="center"/>
    </xf>
    <xf numFmtId="0" fontId="11" fillId="7" borderId="0" xfId="0" applyFont="1" applyFill="1" applyAlignment="1">
      <alignment vertical="top" wrapText="1"/>
    </xf>
    <xf numFmtId="0" fontId="3" fillId="0" borderId="2" xfId="0" applyFont="1" applyBorder="1" applyAlignment="1">
      <alignment horizontal="left" vertical="center" wrapText="1"/>
    </xf>
    <xf numFmtId="0" fontId="0" fillId="0" borderId="8" xfId="0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/>
      <protection locked="0"/>
    </xf>
    <xf numFmtId="0" fontId="6" fillId="0" borderId="8" xfId="0" applyFont="1" applyBorder="1" applyAlignment="1">
      <alignment horizontal="left"/>
    </xf>
    <xf numFmtId="0" fontId="0" fillId="0" borderId="8" xfId="0" applyBorder="1" applyAlignment="1" applyProtection="1">
      <alignment horizontal="left" wrapText="1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6" xfId="0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left"/>
      <protection locked="0"/>
    </xf>
    <xf numFmtId="0" fontId="0" fillId="0" borderId="31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0" fillId="0" borderId="42" xfId="0" applyBorder="1" applyAlignment="1" applyProtection="1">
      <alignment horizontal="left"/>
      <protection locked="0"/>
    </xf>
    <xf numFmtId="0" fontId="0" fillId="0" borderId="47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36" xfId="0" applyBorder="1" applyAlignment="1" applyProtection="1">
      <alignment horizontal="left"/>
      <protection locked="0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2" fontId="0" fillId="0" borderId="18" xfId="0" applyNumberFormat="1" applyBorder="1" applyProtection="1">
      <protection locked="0"/>
    </xf>
    <xf numFmtId="0" fontId="0" fillId="0" borderId="61" xfId="0" applyBorder="1" applyProtection="1">
      <protection locked="0"/>
    </xf>
    <xf numFmtId="164" fontId="0" fillId="0" borderId="18" xfId="0" applyNumberFormat="1" applyBorder="1" applyAlignment="1" applyProtection="1">
      <alignment horizontal="right" vertical="center"/>
      <protection locked="0"/>
    </xf>
    <xf numFmtId="2" fontId="10" fillId="0" borderId="7" xfId="0" applyNumberFormat="1" applyFont="1" applyBorder="1" applyAlignment="1">
      <alignment horizontal="center" vertical="center" wrapText="1"/>
    </xf>
    <xf numFmtId="0" fontId="0" fillId="0" borderId="52" xfId="0" applyBorder="1" applyAlignment="1" applyProtection="1">
      <alignment horizontal="left"/>
      <protection locked="0"/>
    </xf>
    <xf numFmtId="0" fontId="0" fillId="2" borderId="52" xfId="0" applyFill="1" applyBorder="1" applyAlignment="1">
      <alignment horizontal="center" vertical="center"/>
    </xf>
    <xf numFmtId="0" fontId="0" fillId="0" borderId="0" xfId="0" applyProtection="1">
      <protection locked="0"/>
    </xf>
    <xf numFmtId="0" fontId="6" fillId="0" borderId="10" xfId="0" applyFont="1" applyBorder="1"/>
    <xf numFmtId="0" fontId="0" fillId="6" borderId="6" xfId="0" applyFill="1" applyBorder="1"/>
    <xf numFmtId="0" fontId="0" fillId="0" borderId="49" xfId="0" applyBorder="1" applyAlignment="1" applyProtection="1">
      <alignment horizontal="left"/>
      <protection locked="0"/>
    </xf>
    <xf numFmtId="0" fontId="0" fillId="0" borderId="62" xfId="0" applyBorder="1" applyAlignment="1" applyProtection="1">
      <alignment horizontal="left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14" fontId="0" fillId="0" borderId="29" xfId="0" applyNumberFormat="1" applyBorder="1" applyProtection="1">
      <protection locked="0"/>
    </xf>
    <xf numFmtId="14" fontId="0" fillId="0" borderId="0" xfId="0" applyNumberFormat="1" applyAlignment="1" applyProtection="1">
      <alignment horizontal="right" vertical="center"/>
      <protection locked="0"/>
    </xf>
    <xf numFmtId="14" fontId="0" fillId="0" borderId="49" xfId="0" applyNumberFormat="1" applyBorder="1" applyAlignment="1">
      <alignment horizontal="right"/>
    </xf>
    <xf numFmtId="14" fontId="0" fillId="0" borderId="7" xfId="0" applyNumberFormat="1" applyBorder="1" applyAlignment="1">
      <alignment horizontal="right" vertical="center"/>
    </xf>
    <xf numFmtId="14" fontId="0" fillId="0" borderId="9" xfId="0" applyNumberFormat="1" applyBorder="1" applyProtection="1">
      <protection locked="0"/>
    </xf>
    <xf numFmtId="14" fontId="0" fillId="0" borderId="25" xfId="0" applyNumberFormat="1" applyBorder="1" applyProtection="1">
      <protection locked="0"/>
    </xf>
    <xf numFmtId="14" fontId="0" fillId="0" borderId="18" xfId="0" applyNumberFormat="1" applyBorder="1" applyProtection="1">
      <protection locked="0"/>
    </xf>
    <xf numFmtId="14" fontId="0" fillId="0" borderId="0" xfId="0" applyNumberFormat="1" applyProtection="1">
      <protection locked="0"/>
    </xf>
    <xf numFmtId="14" fontId="0" fillId="0" borderId="16" xfId="0" applyNumberFormat="1" applyBorder="1" applyProtection="1">
      <protection locked="0"/>
    </xf>
    <xf numFmtId="21" fontId="0" fillId="0" borderId="4" xfId="0" applyNumberFormat="1" applyBorder="1" applyProtection="1">
      <protection locked="0"/>
    </xf>
    <xf numFmtId="164" fontId="0" fillId="0" borderId="18" xfId="0" applyNumberFormat="1" applyBorder="1" applyProtection="1">
      <protection locked="0"/>
    </xf>
    <xf numFmtId="164" fontId="0" fillId="0" borderId="23" xfId="0" applyNumberFormat="1" applyBorder="1" applyProtection="1">
      <protection locked="0"/>
    </xf>
    <xf numFmtId="164" fontId="0" fillId="0" borderId="29" xfId="0" applyNumberFormat="1" applyBorder="1" applyProtection="1">
      <protection locked="0"/>
    </xf>
    <xf numFmtId="164" fontId="0" fillId="0" borderId="25" xfId="0" applyNumberFormat="1" applyBorder="1" applyProtection="1">
      <protection locked="0"/>
    </xf>
    <xf numFmtId="164" fontId="0" fillId="0" borderId="21" xfId="0" applyNumberFormat="1" applyBorder="1" applyProtection="1">
      <protection locked="0"/>
    </xf>
    <xf numFmtId="164" fontId="0" fillId="0" borderId="12" xfId="0" applyNumberFormat="1" applyBorder="1" applyProtection="1">
      <protection locked="0"/>
    </xf>
    <xf numFmtId="164" fontId="0" fillId="0" borderId="33" xfId="0" applyNumberFormat="1" applyBorder="1" applyProtection="1">
      <protection locked="0"/>
    </xf>
    <xf numFmtId="164" fontId="0" fillId="0" borderId="10" xfId="0" applyNumberFormat="1" applyBorder="1" applyProtection="1">
      <protection locked="0"/>
    </xf>
    <xf numFmtId="164" fontId="0" fillId="0" borderId="44" xfId="0" applyNumberFormat="1" applyBorder="1" applyProtection="1">
      <protection locked="0"/>
    </xf>
    <xf numFmtId="164" fontId="0" fillId="0" borderId="15" xfId="0" applyNumberFormat="1" applyBorder="1" applyProtection="1">
      <protection locked="0"/>
    </xf>
    <xf numFmtId="164" fontId="0" fillId="0" borderId="40" xfId="0" applyNumberFormat="1" applyBorder="1" applyProtection="1">
      <protection locked="0"/>
    </xf>
    <xf numFmtId="0" fontId="10" fillId="0" borderId="7" xfId="0" applyFont="1" applyBorder="1" applyAlignment="1">
      <alignment horizontal="center" vertical="center" wrapText="1"/>
    </xf>
    <xf numFmtId="164" fontId="0" fillId="0" borderId="52" xfId="0" applyNumberFormat="1" applyBorder="1" applyAlignment="1" applyProtection="1">
      <alignment horizontal="right" vertical="center"/>
      <protection locked="0"/>
    </xf>
    <xf numFmtId="164" fontId="0" fillId="0" borderId="54" xfId="0" applyNumberFormat="1" applyBorder="1" applyAlignment="1" applyProtection="1">
      <alignment horizontal="right" vertical="center"/>
      <protection locked="0"/>
    </xf>
    <xf numFmtId="164" fontId="0" fillId="0" borderId="38" xfId="0" applyNumberFormat="1" applyBorder="1" applyProtection="1">
      <protection locked="0"/>
    </xf>
    <xf numFmtId="21" fontId="0" fillId="0" borderId="54" xfId="0" applyNumberFormat="1" applyBorder="1"/>
    <xf numFmtId="164" fontId="0" fillId="0" borderId="14" xfId="0" applyNumberFormat="1" applyBorder="1" applyProtection="1">
      <protection locked="0"/>
    </xf>
    <xf numFmtId="9" fontId="0" fillId="0" borderId="4" xfId="1" applyFont="1" applyFill="1" applyBorder="1"/>
    <xf numFmtId="9" fontId="0" fillId="0" borderId="7" xfId="1" applyFont="1" applyFill="1" applyBorder="1" applyProtection="1">
      <protection locked="0"/>
    </xf>
    <xf numFmtId="9" fontId="0" fillId="0" borderId="18" xfId="1" applyFont="1" applyFill="1" applyBorder="1" applyProtection="1">
      <protection locked="0"/>
    </xf>
    <xf numFmtId="21" fontId="0" fillId="0" borderId="4" xfId="0" applyNumberFormat="1" applyBorder="1"/>
    <xf numFmtId="0" fontId="0" fillId="0" borderId="4" xfId="0" applyBorder="1"/>
    <xf numFmtId="0" fontId="0" fillId="0" borderId="29" xfId="0" applyBorder="1" applyAlignment="1" applyProtection="1">
      <alignment horizontal="left"/>
      <protection locked="0"/>
    </xf>
    <xf numFmtId="0" fontId="0" fillId="0" borderId="19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2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right"/>
      <protection locked="0"/>
    </xf>
    <xf numFmtId="0" fontId="0" fillId="0" borderId="14" xfId="0" applyBorder="1" applyAlignment="1" applyProtection="1">
      <alignment horizontal="left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5" xfId="0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0" fillId="0" borderId="8" xfId="0" applyFont="1" applyBorder="1" applyAlignment="1">
      <alignment horizontal="left" vertical="center" wrapText="1"/>
    </xf>
    <xf numFmtId="0" fontId="0" fillId="0" borderId="35" xfId="0" applyBorder="1" applyAlignment="1" applyProtection="1">
      <alignment horizontal="left"/>
      <protection locked="0"/>
    </xf>
    <xf numFmtId="0" fontId="8" fillId="0" borderId="8" xfId="0" applyFont="1" applyBorder="1" applyAlignment="1">
      <alignment horizontal="left"/>
    </xf>
    <xf numFmtId="0" fontId="0" fillId="0" borderId="22" xfId="0" applyBorder="1" applyAlignment="1" applyProtection="1">
      <alignment horizontal="left"/>
      <protection locked="0"/>
    </xf>
    <xf numFmtId="0" fontId="12" fillId="0" borderId="60" xfId="0" applyFont="1" applyBorder="1"/>
    <xf numFmtId="0" fontId="12" fillId="0" borderId="65" xfId="0" applyFont="1" applyBorder="1"/>
    <xf numFmtId="0" fontId="12" fillId="0" borderId="57" xfId="0" applyFont="1" applyBorder="1"/>
    <xf numFmtId="0" fontId="13" fillId="0" borderId="55" xfId="0" applyFont="1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55" xfId="0" applyBorder="1" applyAlignment="1">
      <alignment horizontal="left"/>
    </xf>
    <xf numFmtId="49" fontId="0" fillId="0" borderId="66" xfId="0" applyNumberForma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left"/>
    </xf>
    <xf numFmtId="49" fontId="0" fillId="0" borderId="64" xfId="0" applyNumberFormat="1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4" xfId="0" applyBorder="1" applyAlignment="1">
      <alignment horizontal="left"/>
    </xf>
  </cellXfs>
  <cellStyles count="2">
    <cellStyle name="Normal" xfId="0" builtinId="0"/>
    <cellStyle name="Porcentagem" xfId="1" builtinId="5"/>
  </cellStyles>
  <dxfs count="106"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24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24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numFmt numFmtId="2" formatCode="0.0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dotted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dotted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font>
        <sz val="9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dotted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sz val="9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sz val="9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numFmt numFmtId="26" formatCode="hh:mm:ss"/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dotted">
          <color indexed="64"/>
        </right>
        <top/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dotted">
          <color indexed="64"/>
        </right>
        <top/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dotted">
          <color indexed="64"/>
        </right>
        <top/>
        <bottom/>
      </border>
      <protection locked="0" hidden="0"/>
    </dxf>
    <dxf>
      <border diagonalUp="0" diagonalDown="0">
        <left/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 outline="0">
        <left/>
        <right style="dotted">
          <color indexed="64"/>
        </right>
        <top/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  <protection locked="0" hidden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9%20-%20Desenvolvimento%20de%20Softwares\Python\Localizacaodetorres\Controle%20Resist&#234;ncia%20Aterramento.xlsx" TargetMode="External"/><Relationship Id="rId1" Type="http://schemas.openxmlformats.org/officeDocument/2006/relationships/externalLinkPath" Target="Controle%20Resist&#234;ncia%20Aterr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T Torre"/>
      <sheetName val="Planilha1"/>
      <sheetName val="Base"/>
      <sheetName val="Lista de Módulos"/>
    </sheetNames>
    <sheetDataSet>
      <sheetData sheetId="0"/>
      <sheetData sheetId="1"/>
      <sheetData sheetId="2">
        <row r="1">
          <cell r="A1" t="str">
            <v>tipoEntidade</v>
          </cell>
        </row>
        <row r="2">
          <cell r="A2" t="str">
            <v>idTransmissoraSIGET</v>
          </cell>
        </row>
        <row r="3">
          <cell r="A3" t="str">
            <v>idConcessaoSIGET</v>
          </cell>
        </row>
        <row r="4">
          <cell r="A4" t="str">
            <v>combo-subestacao-valores</v>
          </cell>
        </row>
        <row r="5">
          <cell r="A5" t="str">
            <v>conectividadeAtivo</v>
          </cell>
        </row>
        <row r="6">
          <cell r="A6" t="str">
            <v>conectividadeAtivoSecundaria</v>
          </cell>
        </row>
        <row r="7">
          <cell r="A7" t="str">
            <v>tipoCorrente</v>
          </cell>
        </row>
        <row r="8">
          <cell r="A8" t="str">
            <v>projeto</v>
          </cell>
        </row>
        <row r="9">
          <cell r="A9" t="str">
            <v>portico</v>
          </cell>
        </row>
        <row r="10">
          <cell r="A10" t="str">
            <v>numeroSegmento</v>
          </cell>
        </row>
        <row r="11">
          <cell r="A11" t="str">
            <v>tipoFundacaoPe1</v>
          </cell>
        </row>
        <row r="12">
          <cell r="A12" t="str">
            <v>tipoFundacaoPe2</v>
          </cell>
        </row>
        <row r="13">
          <cell r="A13" t="str">
            <v>tipoFundacaoPe3</v>
          </cell>
        </row>
        <row r="14">
          <cell r="A14" t="str">
            <v>tipoFundacaoPe4</v>
          </cell>
        </row>
        <row r="15">
          <cell r="A15" t="str">
            <v>tipoFaseProximaSolo</v>
          </cell>
        </row>
        <row r="16">
          <cell r="A16" t="str">
            <v>quantidadeMastros</v>
          </cell>
        </row>
        <row r="17">
          <cell r="A17" t="str">
            <v>tipoFundacaoEstai1</v>
          </cell>
        </row>
        <row r="18">
          <cell r="A18" t="str">
            <v>tipoFundacaoEstai2</v>
          </cell>
        </row>
        <row r="19">
          <cell r="A19" t="str">
            <v>tipoFundacaoEstai3</v>
          </cell>
        </row>
        <row r="20">
          <cell r="A20" t="str">
            <v>tipoFundacaoEstai4</v>
          </cell>
        </row>
        <row r="21">
          <cell r="A21" t="str">
            <v>tipoFundacaoMastro1</v>
          </cell>
        </row>
        <row r="22">
          <cell r="A22" t="str">
            <v>tipoFundacaoMastro2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1ADE6-3238-4DFC-8DD7-A4ABA8DD8A64}" name="Tabela2" displayName="Tabela2" ref="A1:O484" totalsRowShown="0" headerRowDxfId="105" dataDxfId="104" totalsRowDxfId="103">
  <autoFilter ref="A1:O484" xr:uid="{1E61ADE6-3238-4DFC-8DD7-A4ABA8DD8A64}"/>
  <sortState xmlns:xlrd2="http://schemas.microsoft.com/office/spreadsheetml/2017/richdata2" ref="A2:O484">
    <sortCondition ref="D1:D484"/>
  </sortState>
  <tableColumns count="15">
    <tableColumn id="1" xr3:uid="{71DBC194-B793-4823-B2B6-DB2DC1319480}" name="Concessão" dataDxfId="102" totalsRowDxfId="101"/>
    <tableColumn id="23" xr3:uid="{E21A5372-6D99-4FE5-B362-6530AFBDA308}" name="Classe Equipamento" dataDxfId="100" totalsRowDxfId="99"/>
    <tableColumn id="2" xr3:uid="{53FA152B-4A5F-4AEC-9CDE-659DDBE5AF79}" name="FT" dataDxfId="98" totalsRowDxfId="97"/>
    <tableColumn id="13" xr3:uid="{8DFC9202-57D7-408E-B594-A1F4F869F257}" name="Fase" dataDxfId="96" totalsRowDxfId="95"/>
    <tableColumn id="3" xr3:uid="{5BFB07A0-DEBC-4379-B94D-97BDDC6271AB}" name="Data" dataDxfId="94" totalsRowDxfId="93"/>
    <tableColumn id="4" xr3:uid="{9E2E2F52-EA8B-4640-84D1-8502E7F6CE6E}" name="Hora" dataDxfId="92" totalsRowDxfId="91"/>
    <tableColumn id="22" xr3:uid="{89FDAC65-6577-407F-9ACF-64FD41CE961A}" name="Resumo" dataDxfId="90" totalsRowDxfId="89"/>
    <tableColumn id="14" xr3:uid="{CC55AC59-832F-42A4-B903-2BE93B51EBD3}" name="TW - Terminal A" dataDxfId="88" totalsRowDxfId="87"/>
    <tableColumn id="19" xr3:uid="{02665339-B59D-4DF9-8F34-CC4128B0AAC8}" name="Erro TW TA" dataDxfId="86" totalsRowDxfId="85" dataCellStyle="Porcentagem">
      <calculatedColumnFormula>((Tabela2[[#This Row],[TW - Terminal A]]-Tabela2[[#This Row],[KM]])/(Tabela2[[#This Row],[KM]]))</calculatedColumnFormula>
    </tableColumn>
    <tableColumn id="17" xr3:uid="{2E73563C-4EF7-4FBF-81CC-4569B35927AC}" name="TW - Terminal B " dataDxfId="84" totalsRowDxfId="83"/>
    <tableColumn id="20" xr3:uid="{EEF8EB0D-1607-40F5-8AFC-285957D0D083}" name="Erro TW - TB" dataDxfId="82" totalsRowDxfId="81" dataCellStyle="Porcentagem">
      <calculatedColumnFormula>((Tabela2[[#This Row],[TW - Terminal B ]]-Tabela2[[#This Row],[KM]])/(Tabela2[[#This Row],[KM]]))</calculatedColumnFormula>
    </tableColumn>
    <tableColumn id="7" xr3:uid="{66BDD5C1-80AF-4453-ABD3-938392158A94}" name="Torre" dataDxfId="80" totalsRowDxfId="79"/>
    <tableColumn id="8" xr3:uid="{8B64ADE1-FFF6-45CE-B3C1-48C5BB002296}" name="KM" dataDxfId="78" totalsRowDxfId="77"/>
    <tableColumn id="9" xr3:uid="{2E279850-AE14-4A11-B7FB-8A37240D7AAF}" name="Causa" dataDxfId="76" totalsRowDxfId="75"/>
    <tableColumn id="12" xr3:uid="{F47D0345-4D20-4C59-A1EB-2A1A1F685A71}" name="Obs" dataDxfId="74" totalsRow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405D9C-085D-4E6F-859B-7718598A198E}" name="Tabela4" displayName="Tabela4" ref="B1:E80" totalsRowShown="0" headerRowDxfId="72" headerRowBorderDxfId="71" tableBorderDxfId="70">
  <autoFilter ref="B1:E80" xr:uid="{3C405D9C-085D-4E6F-859B-7718598A198E}"/>
  <tableColumns count="4">
    <tableColumn id="1" xr3:uid="{BCC592FC-0DDA-4A1B-A70B-3E4DD55E1877}" name="Sigla_Concessão" dataDxfId="69"/>
    <tableColumn id="2" xr3:uid="{ECADEED6-443D-4E37-A775-CAB2EB4E818C}" name="FT" dataDxfId="68"/>
    <tableColumn id="3" xr3:uid="{DAA0A297-E2A4-4586-A84D-AD1CD9695499}" name="km" dataDxfId="67"/>
    <tableColumn id="4" xr3:uid="{1FE4B823-77D5-4F7F-A7B1-8686106C1793}" name="Descrição da FT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A30DC3-ED2F-430F-A78A-ACF7DFE4D215}" name="Tabela5" displayName="Tabela5" ref="A1:A8" totalsRowShown="0" headerRowDxfId="65" headerRowBorderDxfId="64" tableBorderDxfId="63" totalsRowBorderDxfId="62">
  <autoFilter ref="A1:A8" xr:uid="{45A30DC3-ED2F-430F-A78A-ACF7DFE4D215}"/>
  <tableColumns count="1">
    <tableColumn id="1" xr3:uid="{55E72EBC-E152-4910-9A69-B3417CE604A8}" name="Concessões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BA5934-5661-48F3-B1B4-D56B494D0C82}" name="Tabela6" displayName="Tabela6" ref="F1:F14" totalsRowShown="0" dataDxfId="60">
  <autoFilter ref="F1:F14" xr:uid="{ADBA5934-5661-48F3-B1B4-D56B494D0C82}"/>
  <tableColumns count="1">
    <tableColumn id="1" xr3:uid="{BFAAC50B-8B40-4E2A-821F-43ABA546DBC1}" name="Equipamento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BD7B0-2CF4-4A20-8D0F-009A7325DCB6}" name="Tabela1" displayName="Tabela1" ref="G1:H16" totalsRowShown="0" headerRowDxfId="58" headerRowBorderDxfId="57" tableBorderDxfId="56" totalsRowBorderDxfId="55">
  <autoFilter ref="G1:H16" xr:uid="{1D6BD7B0-2CF4-4A20-8D0F-009A7325DCB6}"/>
  <tableColumns count="2">
    <tableColumn id="1" xr3:uid="{623AB556-9AF4-4A5C-A6D7-6D17E066407B}" name="Causa" dataDxfId="54"/>
    <tableColumn id="2" xr3:uid="{177BCE1C-E5CE-4402-B0D3-23BBF43420A3}" name="Sigla_causa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1FD34-B9D3-4A92-94D6-BBCB956492FE}" name="Tabela24" displayName="Tabela24" ref="I1:J6" totalsRowShown="0" headerRowDxfId="52" headerRowBorderDxfId="51" tableBorderDxfId="50" totalsRowBorderDxfId="49">
  <autoFilter ref="I1:J6" xr:uid="{9E61FD34-B9D3-4A92-94D6-BBCB956492FE}"/>
  <tableColumns count="2">
    <tableColumn id="1" xr3:uid="{832188A6-580E-426D-9114-72081C917A9C}" name="Origem da causa" dataDxfId="48"/>
    <tableColumn id="2" xr3:uid="{31358A8E-4E05-422C-887D-8D00BD8771AD}" name="Sigla_origem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C5562-BD07-49B9-B30A-8B8F4B5543F6}" name="Tabela3" displayName="Tabela3" ref="K1:L4" totalsRowShown="0" headerRowDxfId="46" headerRowBorderDxfId="45" tableBorderDxfId="44" totalsRowBorderDxfId="43">
  <autoFilter ref="K1:L4" xr:uid="{738C5562-BD07-49B9-B30A-8B8F4B5543F6}"/>
  <tableColumns count="2">
    <tableColumn id="1" xr3:uid="{E37E2414-FFF8-41D0-AB88-16A3C08D3DED}" name="Natureza elétrica" dataDxfId="42"/>
    <tableColumn id="2" xr3:uid="{F3BE3050-AA33-4FBE-A91F-B8F093052015}" name="Sigla_natureza" dataDxfId="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9343AD-995E-49B1-BD96-E7729AD757C8}" name="Tabela49" displayName="Tabela49" ref="M1:N7" totalsRowShown="0" headerRowDxfId="40" headerRowBorderDxfId="39" tableBorderDxfId="38" totalsRowBorderDxfId="37">
  <autoFilter ref="M1:N7" xr:uid="{909343AD-995E-49B1-BD96-E7729AD757C8}"/>
  <tableColumns count="2">
    <tableColumn id="1" xr3:uid="{FF405E6D-4D80-4233-A36F-E060E79DDF74}" name="Tipo de falta" dataDxfId="36"/>
    <tableColumn id="2" xr3:uid="{13B9D310-3570-4D81-B6E2-5278D9CB9D69}" name="Sigla_falta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15605C-7097-49CD-A4E7-B42CF42388E3}" name="Tabela510" displayName="Tabela510" ref="O1:P13" totalsRowShown="0" headerRowDxfId="34" headerRowBorderDxfId="33" tableBorderDxfId="32" totalsRowBorderDxfId="31">
  <autoFilter ref="O1:P13" xr:uid="{4315605C-7097-49CD-A4E7-B42CF42388E3}"/>
  <tableColumns count="2">
    <tableColumn id="1" xr3:uid="{26C04D5A-1E80-4815-9377-CA7539BCA2BD}" name="Fase envolvida" dataDxfId="30"/>
    <tableColumn id="2" xr3:uid="{A7D28498-6FD8-492B-988F-05D685BF0726}" name="Sigla_fase" dataDxfId="2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CDE9FB-4E76-464D-896B-7F0537E658B1}" name="Tabela611" displayName="Tabela611" ref="Q1:R6" totalsRowShown="0" headerRowDxfId="28" headerRowBorderDxfId="27" tableBorderDxfId="26" totalsRowBorderDxfId="25">
  <autoFilter ref="Q1:R6" xr:uid="{9ECDE9FB-4E76-464D-896B-7F0537E658B1}"/>
  <tableColumns count="2">
    <tableColumn id="1" xr3:uid="{7C3C8ECF-0D9D-4104-90DA-9E38D8A9A5A5}" name="Avaliação atuação da proteção terminal A" dataDxfId="24"/>
    <tableColumn id="2" xr3:uid="{1A6A56F8-AFE3-49ED-AFA6-704F288F55AD}" name="Sigla_terminal_A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A824E2-6AC0-487D-A7AE-EB0C03D6D831}" name="Tabela7" displayName="Tabela7" ref="S1:T6" totalsRowShown="0" headerRowDxfId="22" headerRowBorderDxfId="21" tableBorderDxfId="20" totalsRowBorderDxfId="19">
  <autoFilter ref="S1:T6" xr:uid="{C9A824E2-6AC0-487D-A7AE-EB0C03D6D831}"/>
  <tableColumns count="2">
    <tableColumn id="1" xr3:uid="{1B6E3DBC-AAC8-4D63-BCBD-3E32D0643CE1}" name="Avaliação atuação da proteção terminal B" dataDxfId="18"/>
    <tableColumn id="2" xr3:uid="{C696EBF5-1049-4EED-BB82-C1D8869B2CD1}" name="Sigla_terminal_B" dataDxfId="1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53CFB30-37DC-4335-AB65-75ECF3FEFECB}" name="Tabela8" displayName="Tabela8" ref="U1:V6" totalsRowShown="0" headerRowDxfId="16" headerRowBorderDxfId="15" tableBorderDxfId="14" totalsRowBorderDxfId="13">
  <autoFilter ref="U1:V6" xr:uid="{653CFB30-37DC-4335-AB65-75ECF3FEFECB}"/>
  <tableColumns count="2">
    <tableColumn id="1" xr3:uid="{DC98FEDE-B4B1-4AE3-B5F9-DD54EC4300C1}" name="Avaliação do desempenho do Religamento Automático" dataDxfId="12"/>
    <tableColumn id="2" xr3:uid="{8E45B47E-ADDC-46B3-8C16-BCFC48D3DA39}" name="Sigla_desempenho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F043C9-E9F6-4017-8636-C2CB0435629D}" name="Tabela9" displayName="Tabela9" ref="W1:X4" totalsRowShown="0" headerRowDxfId="10" headerRowBorderDxfId="9" tableBorderDxfId="8" totalsRowBorderDxfId="7">
  <autoFilter ref="W1:X4" xr:uid="{0FF043C9-E9F6-4017-8636-C2CB0435629D}"/>
  <tableColumns count="2">
    <tableColumn id="1" xr3:uid="{A95C0749-BF4F-41FB-BC09-389578167599}" name="Avaliação da eficácia do Religamento Automático" dataDxfId="6"/>
    <tableColumn id="2" xr3:uid="{F4B4638C-7EF9-4E17-9800-40975D49C5C5}" name="Sigla_RA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4"/>
  <sheetViews>
    <sheetView showGridLines="0" tabSelected="1" zoomScale="85" zoomScaleNormal="85" workbookViewId="0">
      <pane ySplit="1" topLeftCell="A202" activePane="bottomLeft" state="frozen"/>
      <selection pane="bottomLeft" activeCell="C213" sqref="C213"/>
    </sheetView>
  </sheetViews>
  <sheetFormatPr defaultRowHeight="14.4" x14ac:dyDescent="0.3"/>
  <cols>
    <col min="1" max="1" width="13.6640625" customWidth="1"/>
    <col min="2" max="2" width="23.33203125" customWidth="1"/>
    <col min="3" max="3" width="21.88671875" customWidth="1"/>
    <col min="4" max="4" width="8.5546875" style="15" customWidth="1"/>
    <col min="5" max="5" width="13.33203125" customWidth="1"/>
    <col min="6" max="6" width="11.44140625" customWidth="1"/>
    <col min="7" max="7" width="11.33203125" customWidth="1"/>
    <col min="8" max="8" width="17.88671875" style="14" bestFit="1" customWidth="1"/>
    <col min="9" max="9" width="13.5546875" style="13" bestFit="1" customWidth="1"/>
    <col min="10" max="10" width="17.6640625" style="14" bestFit="1" customWidth="1"/>
    <col min="11" max="11" width="14.88671875" style="13" bestFit="1" customWidth="1"/>
    <col min="12" max="12" width="20.33203125" customWidth="1"/>
    <col min="13" max="13" width="14.33203125" customWidth="1"/>
    <col min="14" max="14" width="31.88671875" bestFit="1" customWidth="1"/>
    <col min="15" max="15" width="44.109375" style="15" customWidth="1"/>
    <col min="16" max="16" width="12.88671875" style="5" customWidth="1"/>
    <col min="17" max="18" width="9.33203125" style="1"/>
  </cols>
  <sheetData>
    <row r="1" spans="1:28" ht="41.25" customHeight="1" x14ac:dyDescent="0.3">
      <c r="A1" s="17" t="s">
        <v>45</v>
      </c>
      <c r="B1" s="105" t="s">
        <v>489</v>
      </c>
      <c r="C1" s="18" t="s">
        <v>0</v>
      </c>
      <c r="D1" s="19" t="s">
        <v>117</v>
      </c>
      <c r="E1" s="20" t="s">
        <v>1</v>
      </c>
      <c r="F1" s="21" t="s">
        <v>487</v>
      </c>
      <c r="G1" s="20" t="s">
        <v>485</v>
      </c>
      <c r="H1" s="22" t="s">
        <v>488</v>
      </c>
      <c r="I1" s="23" t="s">
        <v>434</v>
      </c>
      <c r="J1" s="22" t="s">
        <v>486</v>
      </c>
      <c r="K1" s="23" t="s">
        <v>433</v>
      </c>
      <c r="L1" s="24" t="s">
        <v>492</v>
      </c>
      <c r="M1" s="24" t="s">
        <v>491</v>
      </c>
      <c r="N1" s="24" t="s">
        <v>2</v>
      </c>
      <c r="O1" s="107" t="s">
        <v>3</v>
      </c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3">
      <c r="A2" s="25" t="s">
        <v>47</v>
      </c>
      <c r="B2" s="25" t="s">
        <v>455</v>
      </c>
      <c r="C2" s="26" t="s">
        <v>67</v>
      </c>
      <c r="D2" s="25">
        <v>87</v>
      </c>
      <c r="E2" s="27">
        <v>40875</v>
      </c>
      <c r="F2" s="148">
        <v>0.99583333333333335</v>
      </c>
      <c r="G2" s="148"/>
      <c r="H2" s="29"/>
      <c r="I2" s="28" t="e">
        <f>((Tabela2[[#This Row],[TW - Terminal A]]-Tabela2[[#This Row],[KM]])/(Tabela2[[#This Row],[KM]]))</f>
        <v>#DIV/0!</v>
      </c>
      <c r="J2" s="29"/>
      <c r="K2" s="28" t="e">
        <f>((Tabela2[[#This Row],[TW - Terminal B ]]-Tabela2[[#This Row],[KM]])/(Tabela2[[#This Row],[KM]]))</f>
        <v>#DIV/0!</v>
      </c>
      <c r="L2" s="170"/>
      <c r="M2" s="29"/>
      <c r="N2" s="175"/>
      <c r="O2" s="179"/>
      <c r="P2" s="6"/>
      <c r="Q2" s="4"/>
      <c r="R2" s="4"/>
      <c r="S2" s="4"/>
      <c r="T2" s="4"/>
      <c r="U2" s="4"/>
      <c r="V2" s="4"/>
    </row>
    <row r="3" spans="1:28" x14ac:dyDescent="0.3">
      <c r="A3" s="30" t="s">
        <v>484</v>
      </c>
      <c r="B3" s="30" t="s">
        <v>455</v>
      </c>
      <c r="C3" s="31" t="s">
        <v>122</v>
      </c>
      <c r="D3" s="83" t="s">
        <v>118</v>
      </c>
      <c r="E3" s="90">
        <v>44972</v>
      </c>
      <c r="F3" s="39">
        <v>0.71875</v>
      </c>
      <c r="G3" s="39"/>
      <c r="H3" s="104"/>
      <c r="I3" s="28" t="e">
        <f>((Tabela2[[#This Row],[TW - Terminal A]]-Tabela2[[#This Row],[KM]])/(Tabela2[[#This Row],[KM]]))</f>
        <v>#DIV/0!</v>
      </c>
      <c r="J3" s="104"/>
      <c r="K3" s="28" t="e">
        <f>((Tabela2[[#This Row],[TW - Terminal B ]]-Tabela2[[#This Row],[KM]])/(Tabela2[[#This Row],[KM]]))</f>
        <v>#DIV/0!</v>
      </c>
      <c r="L3" s="40" t="s">
        <v>395</v>
      </c>
      <c r="M3" s="104"/>
      <c r="N3" s="170" t="s">
        <v>114</v>
      </c>
      <c r="O3" s="108" t="s">
        <v>139</v>
      </c>
      <c r="P3" s="6"/>
      <c r="Q3" s="4"/>
      <c r="R3" s="4"/>
      <c r="S3" s="4"/>
      <c r="T3" s="4"/>
      <c r="U3" s="4"/>
      <c r="V3" s="4"/>
    </row>
    <row r="4" spans="1:28" x14ac:dyDescent="0.3">
      <c r="A4" s="30" t="s">
        <v>48</v>
      </c>
      <c r="B4" s="30" t="s">
        <v>455</v>
      </c>
      <c r="C4" s="31" t="s">
        <v>320</v>
      </c>
      <c r="D4" s="83" t="s">
        <v>453</v>
      </c>
      <c r="E4" s="90">
        <v>40811</v>
      </c>
      <c r="F4" s="39" t="s">
        <v>130</v>
      </c>
      <c r="G4" s="39"/>
      <c r="H4" s="104"/>
      <c r="I4" s="28" t="e">
        <f>((Tabela2[[#This Row],[TW - Terminal A]]-Tabela2[[#This Row],[KM]])/(Tabela2[[#This Row],[KM]]))</f>
        <v>#DIV/0!</v>
      </c>
      <c r="J4" s="104"/>
      <c r="K4" s="28" t="e">
        <f>((Tabela2[[#This Row],[TW - Terminal B ]]-Tabela2[[#This Row],[KM]])/(Tabela2[[#This Row],[KM]]))</f>
        <v>#DIV/0!</v>
      </c>
      <c r="L4" s="40" t="s">
        <v>341</v>
      </c>
      <c r="M4" s="104"/>
      <c r="N4" s="43" t="s">
        <v>111</v>
      </c>
      <c r="O4" s="108"/>
      <c r="P4" s="6"/>
      <c r="Q4" s="4"/>
      <c r="R4" s="4"/>
      <c r="S4" s="4"/>
      <c r="T4" s="4"/>
      <c r="U4" s="4"/>
      <c r="V4" s="4"/>
    </row>
    <row r="5" spans="1:28" x14ac:dyDescent="0.3">
      <c r="A5" s="30" t="s">
        <v>48</v>
      </c>
      <c r="B5" s="30" t="s">
        <v>455</v>
      </c>
      <c r="C5" s="31" t="s">
        <v>320</v>
      </c>
      <c r="D5" s="83" t="s">
        <v>453</v>
      </c>
      <c r="E5" s="90">
        <v>41172</v>
      </c>
      <c r="F5" s="39">
        <v>0.65208333333333335</v>
      </c>
      <c r="G5" s="39"/>
      <c r="H5" s="104"/>
      <c r="I5" s="28" t="e">
        <f>((Tabela2[[#This Row],[TW - Terminal A]]-Tabela2[[#This Row],[KM]])/(Tabela2[[#This Row],[KM]]))</f>
        <v>#DIV/0!</v>
      </c>
      <c r="J5" s="104"/>
      <c r="K5" s="28" t="e">
        <f>((Tabela2[[#This Row],[TW - Terminal B ]]-Tabela2[[#This Row],[KM]])/(Tabela2[[#This Row],[KM]]))</f>
        <v>#DIV/0!</v>
      </c>
      <c r="L5" s="40" t="s">
        <v>346</v>
      </c>
      <c r="M5" s="104"/>
      <c r="N5" s="43" t="s">
        <v>111</v>
      </c>
      <c r="O5" s="108"/>
      <c r="P5" s="6"/>
      <c r="Q5" s="4"/>
      <c r="R5" s="4"/>
      <c r="S5" s="4"/>
      <c r="T5" s="4"/>
      <c r="U5" s="4"/>
      <c r="V5" s="4"/>
    </row>
    <row r="6" spans="1:28" x14ac:dyDescent="0.3">
      <c r="A6" s="30" t="s">
        <v>48</v>
      </c>
      <c r="B6" s="30" t="s">
        <v>455</v>
      </c>
      <c r="C6" s="31" t="s">
        <v>320</v>
      </c>
      <c r="D6" s="83" t="s">
        <v>453</v>
      </c>
      <c r="E6" s="90">
        <v>41211</v>
      </c>
      <c r="F6" s="39">
        <v>0.6166666666666667</v>
      </c>
      <c r="G6" s="39"/>
      <c r="H6" s="104"/>
      <c r="I6" s="28" t="e">
        <f>((Tabela2[[#This Row],[TW - Terminal A]]-Tabela2[[#This Row],[KM]])/(Tabela2[[#This Row],[KM]]))</f>
        <v>#DIV/0!</v>
      </c>
      <c r="J6" s="104"/>
      <c r="K6" s="28" t="e">
        <f>((Tabela2[[#This Row],[TW - Terminal B ]]-Tabela2[[#This Row],[KM]])/(Tabela2[[#This Row],[KM]]))</f>
        <v>#DIV/0!</v>
      </c>
      <c r="L6" s="40" t="s">
        <v>347</v>
      </c>
      <c r="M6" s="104"/>
      <c r="N6" s="43" t="s">
        <v>111</v>
      </c>
      <c r="O6" s="108"/>
      <c r="P6" s="6"/>
      <c r="Q6" s="4"/>
      <c r="R6" s="4"/>
      <c r="S6" s="4"/>
      <c r="T6" s="4"/>
      <c r="U6" s="4"/>
      <c r="V6" s="4"/>
    </row>
    <row r="7" spans="1:28" x14ac:dyDescent="0.3">
      <c r="A7" s="30" t="s">
        <v>48</v>
      </c>
      <c r="B7" s="30" t="s">
        <v>455</v>
      </c>
      <c r="C7" s="31" t="s">
        <v>75</v>
      </c>
      <c r="D7" s="83" t="s">
        <v>453</v>
      </c>
      <c r="E7" s="90">
        <v>41282</v>
      </c>
      <c r="F7" s="39">
        <v>0.64930555555555558</v>
      </c>
      <c r="G7" s="39"/>
      <c r="H7" s="104"/>
      <c r="I7" s="28" t="e">
        <f>((Tabela2[[#This Row],[TW - Terminal A]]-Tabela2[[#This Row],[KM]])/(Tabela2[[#This Row],[KM]]))</f>
        <v>#DIV/0!</v>
      </c>
      <c r="J7" s="104"/>
      <c r="K7" s="28" t="e">
        <f>((Tabela2[[#This Row],[TW - Terminal B ]]-Tabela2[[#This Row],[KM]])/(Tabela2[[#This Row],[KM]]))</f>
        <v>#DIV/0!</v>
      </c>
      <c r="L7" s="40" t="s">
        <v>351</v>
      </c>
      <c r="M7" s="104"/>
      <c r="N7" s="43" t="s">
        <v>109</v>
      </c>
      <c r="O7" s="108"/>
      <c r="P7" s="6"/>
      <c r="Q7" s="4"/>
      <c r="R7" s="4"/>
      <c r="S7" s="4"/>
      <c r="T7" s="4"/>
      <c r="U7" s="4"/>
      <c r="V7" s="4"/>
    </row>
    <row r="8" spans="1:28" x14ac:dyDescent="0.3">
      <c r="A8" s="30" t="s">
        <v>48</v>
      </c>
      <c r="B8" s="30" t="s">
        <v>455</v>
      </c>
      <c r="C8" s="31" t="s">
        <v>75</v>
      </c>
      <c r="D8" s="83" t="s">
        <v>453</v>
      </c>
      <c r="E8" s="90">
        <v>41329</v>
      </c>
      <c r="F8" s="39">
        <v>0.71458333333333335</v>
      </c>
      <c r="G8" s="39"/>
      <c r="H8" s="104"/>
      <c r="I8" s="28" t="e">
        <f>((Tabela2[[#This Row],[TW - Terminal A]]-Tabela2[[#This Row],[KM]])/(Tabela2[[#This Row],[KM]]))</f>
        <v>#DIV/0!</v>
      </c>
      <c r="J8" s="104"/>
      <c r="K8" s="28" t="e">
        <f>((Tabela2[[#This Row],[TW - Terminal B ]]-Tabela2[[#This Row],[KM]])/(Tabela2[[#This Row],[KM]]))</f>
        <v>#DIV/0!</v>
      </c>
      <c r="L8" s="40" t="s">
        <v>352</v>
      </c>
      <c r="M8" s="104"/>
      <c r="N8" s="43" t="s">
        <v>109</v>
      </c>
      <c r="O8" s="108"/>
      <c r="P8" s="6"/>
      <c r="Q8" s="4"/>
      <c r="R8" s="4"/>
      <c r="S8" s="4"/>
      <c r="T8" s="4"/>
      <c r="U8" s="4"/>
      <c r="V8" s="4"/>
    </row>
    <row r="9" spans="1:28" x14ac:dyDescent="0.3">
      <c r="A9" s="30" t="s">
        <v>48</v>
      </c>
      <c r="B9" s="30" t="s">
        <v>455</v>
      </c>
      <c r="C9" s="31" t="s">
        <v>320</v>
      </c>
      <c r="D9" s="83" t="s">
        <v>453</v>
      </c>
      <c r="E9" s="90">
        <v>44477</v>
      </c>
      <c r="F9" s="39">
        <v>0.61041666666666672</v>
      </c>
      <c r="G9" s="39"/>
      <c r="H9" s="104"/>
      <c r="I9" s="28" t="e">
        <f>((Tabela2[[#This Row],[TW - Terminal A]]-Tabela2[[#This Row],[KM]])/(Tabela2[[#This Row],[KM]]))</f>
        <v>#DIV/0!</v>
      </c>
      <c r="J9" s="104"/>
      <c r="K9" s="28" t="e">
        <f>((Tabela2[[#This Row],[TW - Terminal B ]]-Tabela2[[#This Row],[KM]])/(Tabela2[[#This Row],[KM]]))</f>
        <v>#DIV/0!</v>
      </c>
      <c r="L9" s="40" t="s">
        <v>389</v>
      </c>
      <c r="M9" s="104"/>
      <c r="N9" s="43" t="s">
        <v>111</v>
      </c>
      <c r="O9" s="108"/>
      <c r="P9" s="6"/>
      <c r="Q9" s="4"/>
      <c r="R9" s="4"/>
      <c r="S9" s="4"/>
      <c r="T9" s="4"/>
      <c r="U9" s="4"/>
      <c r="V9" s="4"/>
    </row>
    <row r="10" spans="1:28" x14ac:dyDescent="0.3">
      <c r="A10" s="30" t="s">
        <v>47</v>
      </c>
      <c r="B10" s="30" t="s">
        <v>455</v>
      </c>
      <c r="C10" s="31" t="s">
        <v>66</v>
      </c>
      <c r="D10" s="30" t="s">
        <v>319</v>
      </c>
      <c r="E10" s="32">
        <v>40991</v>
      </c>
      <c r="F10" s="33">
        <v>0.21041666666666667</v>
      </c>
      <c r="G10" s="33"/>
      <c r="H10" s="35">
        <v>15.2</v>
      </c>
      <c r="I10" s="28">
        <f>((Tabela2[[#This Row],[TW - Terminal A]]-Tabela2[[#This Row],[KM]])/(Tabela2[[#This Row],[KM]]))</f>
        <v>-0.10059171597633133</v>
      </c>
      <c r="J10" s="35">
        <v>239.8</v>
      </c>
      <c r="K10" s="28">
        <f>((Tabela2[[#This Row],[TW - Terminal B ]]-Tabela2[[#This Row],[KM]])/(Tabela2[[#This Row],[KM]]))</f>
        <v>13.189349112426036</v>
      </c>
      <c r="L10" s="34" t="s">
        <v>159</v>
      </c>
      <c r="M10" s="35">
        <v>16.899999999999999</v>
      </c>
      <c r="N10" s="34" t="s">
        <v>109</v>
      </c>
      <c r="O10" s="108"/>
      <c r="P10" s="6"/>
      <c r="Q10" s="4"/>
      <c r="R10" s="4"/>
      <c r="S10" s="4"/>
      <c r="T10" s="4"/>
      <c r="U10" s="4"/>
      <c r="V10" s="4"/>
    </row>
    <row r="11" spans="1:28" x14ac:dyDescent="0.3">
      <c r="A11" s="30" t="s">
        <v>47</v>
      </c>
      <c r="B11" s="30" t="s">
        <v>455</v>
      </c>
      <c r="C11" s="31" t="s">
        <v>67</v>
      </c>
      <c r="D11" s="30" t="s">
        <v>319</v>
      </c>
      <c r="E11" s="32">
        <v>41020</v>
      </c>
      <c r="F11" s="33">
        <v>4.8611111111111112E-3</v>
      </c>
      <c r="G11" s="33"/>
      <c r="H11" s="35">
        <v>42.6</v>
      </c>
      <c r="I11" s="28">
        <f>((Tabela2[[#This Row],[TW - Terminal A]]-Tabela2[[#This Row],[KM]])/(Tabela2[[#This Row],[KM]]))</f>
        <v>-1.4117102522564208E-2</v>
      </c>
      <c r="J11" s="35">
        <v>131.5</v>
      </c>
      <c r="K11" s="28">
        <f>((Tabela2[[#This Row],[TW - Terminal B ]]-Tabela2[[#This Row],[KM]])/(Tabela2[[#This Row],[KM]]))</f>
        <v>2.0432770192085163</v>
      </c>
      <c r="L11" s="34" t="s">
        <v>162</v>
      </c>
      <c r="M11" s="35">
        <v>43.21</v>
      </c>
      <c r="N11" s="34" t="s">
        <v>109</v>
      </c>
      <c r="O11" s="108"/>
      <c r="P11" s="6"/>
      <c r="Q11" s="4"/>
      <c r="R11" s="4"/>
      <c r="S11" s="4"/>
      <c r="T11" s="4"/>
      <c r="U11" s="4"/>
      <c r="V11" s="4"/>
    </row>
    <row r="12" spans="1:28" x14ac:dyDescent="0.3">
      <c r="A12" s="30" t="s">
        <v>47</v>
      </c>
      <c r="B12" s="30" t="s">
        <v>455</v>
      </c>
      <c r="C12" s="31" t="s">
        <v>64</v>
      </c>
      <c r="D12" s="30" t="s">
        <v>319</v>
      </c>
      <c r="E12" s="32">
        <v>41137</v>
      </c>
      <c r="F12" s="33">
        <v>0.99236111111111114</v>
      </c>
      <c r="G12" s="33"/>
      <c r="H12" s="35">
        <v>97.8</v>
      </c>
      <c r="I12" s="28">
        <f>((Tabela2[[#This Row],[TW - Terminal A]]-Tabela2[[#This Row],[KM]])/(Tabela2[[#This Row],[KM]]))</f>
        <v>-0.34973404255319152</v>
      </c>
      <c r="J12" s="35">
        <v>150.69999999999999</v>
      </c>
      <c r="K12" s="28">
        <f>((Tabela2[[#This Row],[TW - Terminal B ]]-Tabela2[[#This Row],[KM]])/(Tabela2[[#This Row],[KM]]))</f>
        <v>1.9946808510637164E-3</v>
      </c>
      <c r="L12" s="34" t="s">
        <v>152</v>
      </c>
      <c r="M12" s="35">
        <v>150.4</v>
      </c>
      <c r="N12" s="34" t="s">
        <v>115</v>
      </c>
      <c r="O12" s="108"/>
      <c r="P12" s="6"/>
      <c r="Q12" s="4"/>
      <c r="R12" s="4"/>
      <c r="S12" s="4"/>
      <c r="T12" s="4"/>
      <c r="U12" s="4"/>
      <c r="V12" s="4"/>
    </row>
    <row r="13" spans="1:28" ht="57.6" x14ac:dyDescent="0.3">
      <c r="A13" s="30" t="s">
        <v>48</v>
      </c>
      <c r="B13" s="30" t="s">
        <v>455</v>
      </c>
      <c r="C13" s="31" t="s">
        <v>320</v>
      </c>
      <c r="D13" s="83" t="s">
        <v>454</v>
      </c>
      <c r="E13" s="90">
        <v>41927</v>
      </c>
      <c r="F13" s="91" t="s">
        <v>321</v>
      </c>
      <c r="G13" s="91"/>
      <c r="H13" s="104"/>
      <c r="I13" s="28" t="e">
        <f>((Tabela2[[#This Row],[TW - Terminal A]]-Tabela2[[#This Row],[KM]])/(Tabela2[[#This Row],[KM]]))</f>
        <v>#DIV/0!</v>
      </c>
      <c r="J13" s="104"/>
      <c r="K13" s="28" t="e">
        <f>((Tabela2[[#This Row],[TW - Terminal B ]]-Tabela2[[#This Row],[KM]])/(Tabela2[[#This Row],[KM]]))</f>
        <v>#DIV/0!</v>
      </c>
      <c r="L13" s="40" t="s">
        <v>360</v>
      </c>
      <c r="M13" s="104"/>
      <c r="N13" s="43" t="s">
        <v>111</v>
      </c>
      <c r="O13" s="108"/>
      <c r="P13" s="6"/>
      <c r="Q13" s="4"/>
      <c r="R13" s="4"/>
      <c r="S13" s="4"/>
      <c r="T13" s="4"/>
      <c r="U13" s="4"/>
      <c r="V13" s="4"/>
    </row>
    <row r="14" spans="1:28" x14ac:dyDescent="0.3">
      <c r="A14" s="30" t="s">
        <v>48</v>
      </c>
      <c r="B14" s="30" t="s">
        <v>455</v>
      </c>
      <c r="C14" s="31" t="s">
        <v>320</v>
      </c>
      <c r="D14" s="83" t="s">
        <v>454</v>
      </c>
      <c r="E14" s="90">
        <v>43503</v>
      </c>
      <c r="F14" s="39">
        <v>0.8041666666666667</v>
      </c>
      <c r="G14" s="39"/>
      <c r="H14" s="104"/>
      <c r="I14" s="28" t="e">
        <f>((Tabela2[[#This Row],[TW - Terminal A]]-Tabela2[[#This Row],[KM]])/(Tabela2[[#This Row],[KM]]))</f>
        <v>#DIV/0!</v>
      </c>
      <c r="J14" s="104"/>
      <c r="K14" s="28" t="e">
        <f>((Tabela2[[#This Row],[TW - Terminal B ]]-Tabela2[[#This Row],[KM]])/(Tabela2[[#This Row],[KM]]))</f>
        <v>#DIV/0!</v>
      </c>
      <c r="L14" s="40" t="s">
        <v>243</v>
      </c>
      <c r="M14" s="104"/>
      <c r="N14" s="43" t="s">
        <v>109</v>
      </c>
      <c r="O14" s="108"/>
      <c r="P14" s="6"/>
      <c r="Q14" s="4"/>
      <c r="R14" s="4"/>
      <c r="S14" s="4"/>
      <c r="T14" s="4"/>
      <c r="U14" s="4"/>
      <c r="V14" s="4"/>
    </row>
    <row r="15" spans="1:28" x14ac:dyDescent="0.3">
      <c r="A15" s="30" t="s">
        <v>48</v>
      </c>
      <c r="B15" s="30" t="s">
        <v>455</v>
      </c>
      <c r="C15" s="31" t="s">
        <v>320</v>
      </c>
      <c r="D15" s="83" t="s">
        <v>454</v>
      </c>
      <c r="E15" s="90">
        <v>44266</v>
      </c>
      <c r="F15" s="39">
        <v>0.71875</v>
      </c>
      <c r="G15" s="39"/>
      <c r="H15" s="104"/>
      <c r="I15" s="28" t="e">
        <f>((Tabela2[[#This Row],[TW - Terminal A]]-Tabela2[[#This Row],[KM]])/(Tabela2[[#This Row],[KM]]))</f>
        <v>#DIV/0!</v>
      </c>
      <c r="J15" s="104"/>
      <c r="K15" s="28" t="e">
        <f>((Tabela2[[#This Row],[TW - Terminal B ]]-Tabela2[[#This Row],[KM]])/(Tabela2[[#This Row],[KM]]))</f>
        <v>#DIV/0!</v>
      </c>
      <c r="L15" s="40" t="s">
        <v>385</v>
      </c>
      <c r="M15" s="104"/>
      <c r="N15" s="43" t="s">
        <v>109</v>
      </c>
      <c r="O15" s="108"/>
      <c r="P15" s="6"/>
      <c r="Q15" s="4"/>
      <c r="R15" s="4"/>
      <c r="S15" s="4"/>
      <c r="T15" s="4"/>
      <c r="U15" s="4"/>
      <c r="V15" s="4"/>
    </row>
    <row r="16" spans="1:28" x14ac:dyDescent="0.3">
      <c r="A16" s="30" t="s">
        <v>48</v>
      </c>
      <c r="B16" s="30" t="s">
        <v>455</v>
      </c>
      <c r="C16" s="31" t="s">
        <v>320</v>
      </c>
      <c r="D16" s="83" t="s">
        <v>454</v>
      </c>
      <c r="E16" s="90">
        <v>44665</v>
      </c>
      <c r="F16" s="39">
        <v>0.70763888888888893</v>
      </c>
      <c r="G16" s="39"/>
      <c r="H16" s="104"/>
      <c r="I16" s="28" t="e">
        <f>((Tabela2[[#This Row],[TW - Terminal A]]-Tabela2[[#This Row],[KM]])/(Tabela2[[#This Row],[KM]]))</f>
        <v>#DIV/0!</v>
      </c>
      <c r="J16" s="104"/>
      <c r="K16" s="28" t="e">
        <f>((Tabela2[[#This Row],[TW - Terminal B ]]-Tabela2[[#This Row],[KM]])/(Tabela2[[#This Row],[KM]]))</f>
        <v>#DIV/0!</v>
      </c>
      <c r="L16" s="40" t="s">
        <v>392</v>
      </c>
      <c r="M16" s="104"/>
      <c r="N16" s="43" t="s">
        <v>109</v>
      </c>
      <c r="O16" s="108"/>
      <c r="P16" s="6"/>
      <c r="Q16" s="4"/>
      <c r="R16" s="4"/>
      <c r="S16" s="4"/>
      <c r="T16" s="4"/>
      <c r="U16" s="4"/>
      <c r="V16" s="4"/>
    </row>
    <row r="17" spans="1:22" x14ac:dyDescent="0.3">
      <c r="A17" s="30" t="s">
        <v>47</v>
      </c>
      <c r="B17" s="30" t="s">
        <v>455</v>
      </c>
      <c r="C17" s="31" t="s">
        <v>66</v>
      </c>
      <c r="D17" s="85" t="s">
        <v>449</v>
      </c>
      <c r="E17" s="32">
        <v>40812</v>
      </c>
      <c r="F17" s="33">
        <v>0.61041666666666672</v>
      </c>
      <c r="G17" s="33"/>
      <c r="H17" s="35">
        <v>39.5</v>
      </c>
      <c r="I17" s="28">
        <f>((Tabela2[[#This Row],[TW - Terminal A]]-Tabela2[[#This Row],[KM]])/(Tabela2[[#This Row],[KM]]))</f>
        <v>-2.525252525252561E-3</v>
      </c>
      <c r="J17" s="35">
        <v>215.5</v>
      </c>
      <c r="K17" s="28">
        <f>((Tabela2[[#This Row],[TW - Terminal B ]]-Tabela2[[#This Row],[KM]])/(Tabela2[[#This Row],[KM]]))</f>
        <v>4.441919191919192</v>
      </c>
      <c r="L17" s="34" t="s">
        <v>151</v>
      </c>
      <c r="M17" s="35">
        <v>39.6</v>
      </c>
      <c r="N17" s="34" t="s">
        <v>111</v>
      </c>
      <c r="O17" s="108"/>
      <c r="P17" s="6"/>
      <c r="Q17" s="4"/>
      <c r="R17" s="4"/>
      <c r="S17" s="4"/>
      <c r="T17" s="4"/>
      <c r="U17" s="4"/>
      <c r="V17" s="4"/>
    </row>
    <row r="18" spans="1:22" x14ac:dyDescent="0.3">
      <c r="A18" s="30" t="s">
        <v>47</v>
      </c>
      <c r="B18" s="30" t="s">
        <v>455</v>
      </c>
      <c r="C18" s="31" t="s">
        <v>64</v>
      </c>
      <c r="D18" s="85" t="s">
        <v>449</v>
      </c>
      <c r="E18" s="32">
        <v>42767</v>
      </c>
      <c r="F18" s="33">
        <v>0.64583333333333337</v>
      </c>
      <c r="G18" s="33"/>
      <c r="H18" s="35">
        <v>40.11</v>
      </c>
      <c r="I18" s="28">
        <f>((Tabela2[[#This Row],[TW - Terminal A]]-Tabela2[[#This Row],[KM]])/(Tabela2[[#This Row],[KM]]))</f>
        <v>2.2953328232593689E-2</v>
      </c>
      <c r="J18" s="35">
        <v>208.45</v>
      </c>
      <c r="K18" s="28">
        <f>((Tabela2[[#This Row],[TW - Terminal B ]]-Tabela2[[#This Row],[KM]])/(Tabela2[[#This Row],[KM]]))</f>
        <v>4.3162458556490684</v>
      </c>
      <c r="L18" s="34" t="s">
        <v>202</v>
      </c>
      <c r="M18" s="35">
        <v>39.21</v>
      </c>
      <c r="N18" s="34" t="s">
        <v>113</v>
      </c>
      <c r="O18" s="108" t="s">
        <v>8</v>
      </c>
      <c r="P18" s="6"/>
      <c r="Q18"/>
      <c r="R18"/>
    </row>
    <row r="19" spans="1:22" x14ac:dyDescent="0.3">
      <c r="A19" s="30" t="s">
        <v>48</v>
      </c>
      <c r="B19" s="30" t="s">
        <v>455</v>
      </c>
      <c r="C19" s="31" t="s">
        <v>75</v>
      </c>
      <c r="D19" s="85" t="s">
        <v>449</v>
      </c>
      <c r="E19" s="90">
        <v>40567</v>
      </c>
      <c r="F19" s="39" t="s">
        <v>129</v>
      </c>
      <c r="G19" s="39"/>
      <c r="H19" s="104"/>
      <c r="I19" s="28" t="e">
        <f>((Tabela2[[#This Row],[TW - Terminal A]]-Tabela2[[#This Row],[KM]])/(Tabela2[[#This Row],[KM]]))</f>
        <v>#DIV/0!</v>
      </c>
      <c r="J19" s="104"/>
      <c r="K19" s="28" t="e">
        <f>((Tabela2[[#This Row],[TW - Terminal B ]]-Tabela2[[#This Row],[KM]])/(Tabela2[[#This Row],[KM]]))</f>
        <v>#DIV/0!</v>
      </c>
      <c r="L19" s="40" t="s">
        <v>334</v>
      </c>
      <c r="M19" s="104"/>
      <c r="N19" s="43" t="s">
        <v>108</v>
      </c>
      <c r="O19" s="108"/>
      <c r="P19" s="6"/>
      <c r="Q19"/>
      <c r="R19"/>
    </row>
    <row r="20" spans="1:22" x14ac:dyDescent="0.3">
      <c r="A20" s="30" t="s">
        <v>48</v>
      </c>
      <c r="B20" s="30" t="s">
        <v>455</v>
      </c>
      <c r="C20" s="31" t="s">
        <v>75</v>
      </c>
      <c r="D20" s="85" t="s">
        <v>449</v>
      </c>
      <c r="E20" s="90">
        <v>40887</v>
      </c>
      <c r="F20" s="39">
        <v>0.77083333333333337</v>
      </c>
      <c r="G20" s="39"/>
      <c r="H20" s="104"/>
      <c r="I20" s="28" t="e">
        <f>((Tabela2[[#This Row],[TW - Terminal A]]-Tabela2[[#This Row],[KM]])/(Tabela2[[#This Row],[KM]]))</f>
        <v>#DIV/0!</v>
      </c>
      <c r="J20" s="104"/>
      <c r="K20" s="28" t="e">
        <f>((Tabela2[[#This Row],[TW - Terminal B ]]-Tabela2[[#This Row],[KM]])/(Tabela2[[#This Row],[KM]]))</f>
        <v>#DIV/0!</v>
      </c>
      <c r="L20" s="40" t="s">
        <v>337</v>
      </c>
      <c r="M20" s="104"/>
      <c r="N20" s="43" t="s">
        <v>109</v>
      </c>
      <c r="O20" s="108"/>
      <c r="P20" s="6"/>
      <c r="Q20"/>
      <c r="R20"/>
    </row>
    <row r="21" spans="1:22" x14ac:dyDescent="0.3">
      <c r="A21" s="30" t="s">
        <v>48</v>
      </c>
      <c r="B21" s="30" t="s">
        <v>455</v>
      </c>
      <c r="C21" s="31" t="s">
        <v>320</v>
      </c>
      <c r="D21" s="85" t="s">
        <v>449</v>
      </c>
      <c r="E21" s="90">
        <v>40798</v>
      </c>
      <c r="F21" s="39">
        <v>0.62291666666666667</v>
      </c>
      <c r="G21" s="39"/>
      <c r="H21" s="104"/>
      <c r="I21" s="28" t="e">
        <f>((Tabela2[[#This Row],[TW - Terminal A]]-Tabela2[[#This Row],[KM]])/(Tabela2[[#This Row],[KM]]))</f>
        <v>#DIV/0!</v>
      </c>
      <c r="J21" s="104"/>
      <c r="K21" s="28" t="e">
        <f>((Tabela2[[#This Row],[TW - Terminal B ]]-Tabela2[[#This Row],[KM]])/(Tabela2[[#This Row],[KM]]))</f>
        <v>#DIV/0!</v>
      </c>
      <c r="L21" s="40"/>
      <c r="M21" s="104"/>
      <c r="N21" s="43" t="s">
        <v>111</v>
      </c>
      <c r="O21" s="108"/>
      <c r="P21" s="6"/>
      <c r="Q21"/>
      <c r="R21"/>
    </row>
    <row r="22" spans="1:22" x14ac:dyDescent="0.3">
      <c r="A22" s="30" t="s">
        <v>48</v>
      </c>
      <c r="B22" s="30" t="s">
        <v>455</v>
      </c>
      <c r="C22" s="31" t="s">
        <v>75</v>
      </c>
      <c r="D22" s="85" t="s">
        <v>449</v>
      </c>
      <c r="E22" s="90">
        <v>41164</v>
      </c>
      <c r="F22" s="39">
        <v>0.43611111111111112</v>
      </c>
      <c r="G22" s="39"/>
      <c r="H22" s="104"/>
      <c r="I22" s="28" t="e">
        <f>((Tabela2[[#This Row],[TW - Terminal A]]-Tabela2[[#This Row],[KM]])/(Tabela2[[#This Row],[KM]]))</f>
        <v>#DIV/0!</v>
      </c>
      <c r="J22" s="104"/>
      <c r="K22" s="28" t="e">
        <f>((Tabela2[[#This Row],[TW - Terminal B ]]-Tabela2[[#This Row],[KM]])/(Tabela2[[#This Row],[KM]]))</f>
        <v>#DIV/0!</v>
      </c>
      <c r="L22" s="40" t="s">
        <v>342</v>
      </c>
      <c r="M22" s="104"/>
      <c r="N22" s="43" t="s">
        <v>111</v>
      </c>
      <c r="O22" s="108"/>
      <c r="P22" s="6"/>
      <c r="Q22"/>
      <c r="R22"/>
    </row>
    <row r="23" spans="1:22" x14ac:dyDescent="0.3">
      <c r="A23" s="30" t="s">
        <v>48</v>
      </c>
      <c r="B23" s="30" t="s">
        <v>455</v>
      </c>
      <c r="C23" s="31" t="s">
        <v>320</v>
      </c>
      <c r="D23" s="85" t="s">
        <v>449</v>
      </c>
      <c r="E23" s="90">
        <v>41212</v>
      </c>
      <c r="F23" s="39">
        <v>0.57499999999999996</v>
      </c>
      <c r="G23" s="39"/>
      <c r="H23" s="104"/>
      <c r="I23" s="28" t="e">
        <f>((Tabela2[[#This Row],[TW - Terminal A]]-Tabela2[[#This Row],[KM]])/(Tabela2[[#This Row],[KM]]))</f>
        <v>#DIV/0!</v>
      </c>
      <c r="J23" s="104"/>
      <c r="K23" s="28" t="e">
        <f>((Tabela2[[#This Row],[TW - Terminal B ]]-Tabela2[[#This Row],[KM]])/(Tabela2[[#This Row],[KM]]))</f>
        <v>#DIV/0!</v>
      </c>
      <c r="L23" s="40" t="s">
        <v>348</v>
      </c>
      <c r="M23" s="104"/>
      <c r="N23" s="43" t="s">
        <v>111</v>
      </c>
      <c r="O23" s="108"/>
      <c r="P23" s="6"/>
      <c r="Q23"/>
      <c r="R23"/>
    </row>
    <row r="24" spans="1:22" x14ac:dyDescent="0.3">
      <c r="A24" s="30" t="s">
        <v>48</v>
      </c>
      <c r="B24" s="30" t="s">
        <v>455</v>
      </c>
      <c r="C24" s="31" t="s">
        <v>320</v>
      </c>
      <c r="D24" s="85" t="s">
        <v>449</v>
      </c>
      <c r="E24" s="90">
        <v>41213</v>
      </c>
      <c r="F24" s="39">
        <v>0.63194444444444442</v>
      </c>
      <c r="G24" s="39"/>
      <c r="H24" s="104"/>
      <c r="I24" s="28" t="e">
        <f>((Tabela2[[#This Row],[TW - Terminal A]]-Tabela2[[#This Row],[KM]])/(Tabela2[[#This Row],[KM]]))</f>
        <v>#DIV/0!</v>
      </c>
      <c r="J24" s="104"/>
      <c r="K24" s="28" t="e">
        <f>((Tabela2[[#This Row],[TW - Terminal B ]]-Tabela2[[#This Row],[KM]])/(Tabela2[[#This Row],[KM]]))</f>
        <v>#DIV/0!</v>
      </c>
      <c r="L24" s="40" t="s">
        <v>349</v>
      </c>
      <c r="M24" s="104"/>
      <c r="N24" s="43" t="s">
        <v>109</v>
      </c>
      <c r="O24" s="108"/>
      <c r="P24" s="6"/>
      <c r="Q24"/>
      <c r="R24"/>
    </row>
    <row r="25" spans="1:22" x14ac:dyDescent="0.3">
      <c r="A25" s="30" t="s">
        <v>48</v>
      </c>
      <c r="B25" s="30" t="s">
        <v>455</v>
      </c>
      <c r="C25" s="31" t="s">
        <v>75</v>
      </c>
      <c r="D25" s="85" t="s">
        <v>449</v>
      </c>
      <c r="E25" s="90">
        <v>41288</v>
      </c>
      <c r="F25" s="39">
        <v>0.60833333333333328</v>
      </c>
      <c r="G25" s="39"/>
      <c r="H25" s="104"/>
      <c r="I25" s="28" t="e">
        <f>((Tabela2[[#This Row],[TW - Terminal A]]-Tabela2[[#This Row],[KM]])/(Tabela2[[#This Row],[KM]]))</f>
        <v>#DIV/0!</v>
      </c>
      <c r="J25" s="104"/>
      <c r="K25" s="28" t="e">
        <f>((Tabela2[[#This Row],[TW - Terminal B ]]-Tabela2[[#This Row],[KM]])/(Tabela2[[#This Row],[KM]]))</f>
        <v>#DIV/0!</v>
      </c>
      <c r="L25" s="34" t="s">
        <v>4</v>
      </c>
      <c r="M25" s="104"/>
      <c r="N25" s="43" t="s">
        <v>114</v>
      </c>
      <c r="O25" s="108"/>
      <c r="P25" s="6"/>
      <c r="Q25"/>
      <c r="R25"/>
    </row>
    <row r="26" spans="1:22" x14ac:dyDescent="0.3">
      <c r="A26" s="30" t="s">
        <v>48</v>
      </c>
      <c r="B26" s="30" t="s">
        <v>455</v>
      </c>
      <c r="C26" s="31" t="s">
        <v>75</v>
      </c>
      <c r="D26" s="85" t="s">
        <v>449</v>
      </c>
      <c r="E26" s="90">
        <v>41293</v>
      </c>
      <c r="F26" s="39">
        <v>0.60277777777777775</v>
      </c>
      <c r="G26" s="39"/>
      <c r="H26" s="104"/>
      <c r="I26" s="28" t="e">
        <f>((Tabela2[[#This Row],[TW - Terminal A]]-Tabela2[[#This Row],[KM]])/(Tabela2[[#This Row],[KM]]))</f>
        <v>#DIV/0!</v>
      </c>
      <c r="J26" s="104"/>
      <c r="K26" s="28" t="e">
        <f>((Tabela2[[#This Row],[TW - Terminal B ]]-Tabela2[[#This Row],[KM]])/(Tabela2[[#This Row],[KM]]))</f>
        <v>#DIV/0!</v>
      </c>
      <c r="L26" s="40"/>
      <c r="M26" s="104"/>
      <c r="N26" s="43" t="s">
        <v>114</v>
      </c>
      <c r="O26" s="108" t="s">
        <v>132</v>
      </c>
      <c r="P26" s="6"/>
      <c r="Q26"/>
      <c r="R26"/>
    </row>
    <row r="27" spans="1:22" x14ac:dyDescent="0.3">
      <c r="A27" s="30" t="s">
        <v>48</v>
      </c>
      <c r="B27" s="30" t="s">
        <v>455</v>
      </c>
      <c r="C27" s="31" t="s">
        <v>75</v>
      </c>
      <c r="D27" s="85" t="s">
        <v>449</v>
      </c>
      <c r="E27" s="90">
        <v>41370</v>
      </c>
      <c r="F27" s="39">
        <v>0.50555555555555554</v>
      </c>
      <c r="G27" s="39"/>
      <c r="H27" s="104"/>
      <c r="I27" s="28" t="e">
        <f>((Tabela2[[#This Row],[TW - Terminal A]]-Tabela2[[#This Row],[KM]])/(Tabela2[[#This Row],[KM]]))</f>
        <v>#DIV/0!</v>
      </c>
      <c r="J27" s="104"/>
      <c r="K27" s="28" t="e">
        <f>((Tabela2[[#This Row],[TW - Terminal B ]]-Tabela2[[#This Row],[KM]])/(Tabela2[[#This Row],[KM]]))</f>
        <v>#DIV/0!</v>
      </c>
      <c r="L27" s="34" t="s">
        <v>4</v>
      </c>
      <c r="M27" s="104"/>
      <c r="N27" s="43" t="s">
        <v>114</v>
      </c>
      <c r="O27" s="108"/>
      <c r="P27" s="6"/>
      <c r="Q27"/>
      <c r="R27"/>
    </row>
    <row r="28" spans="1:22" x14ac:dyDescent="0.3">
      <c r="A28" s="30" t="s">
        <v>48</v>
      </c>
      <c r="B28" s="30" t="s">
        <v>455</v>
      </c>
      <c r="C28" s="31" t="s">
        <v>320</v>
      </c>
      <c r="D28" s="85" t="s">
        <v>449</v>
      </c>
      <c r="E28" s="90">
        <v>41374</v>
      </c>
      <c r="F28" s="39">
        <v>0.85277777777777775</v>
      </c>
      <c r="G28" s="39"/>
      <c r="H28" s="104"/>
      <c r="I28" s="28" t="e">
        <f>((Tabela2[[#This Row],[TW - Terminal A]]-Tabela2[[#This Row],[KM]])/(Tabela2[[#This Row],[KM]]))</f>
        <v>#DIV/0!</v>
      </c>
      <c r="J28" s="104"/>
      <c r="K28" s="28" t="e">
        <f>((Tabela2[[#This Row],[TW - Terminal B ]]-Tabela2[[#This Row],[KM]])/(Tabela2[[#This Row],[KM]]))</f>
        <v>#DIV/0!</v>
      </c>
      <c r="L28" s="40" t="s">
        <v>353</v>
      </c>
      <c r="M28" s="104"/>
      <c r="N28" s="43" t="s">
        <v>109</v>
      </c>
      <c r="O28" s="108"/>
      <c r="P28" s="6"/>
      <c r="Q28"/>
      <c r="R28"/>
    </row>
    <row r="29" spans="1:22" x14ac:dyDescent="0.3">
      <c r="A29" s="30" t="s">
        <v>48</v>
      </c>
      <c r="B29" s="30" t="s">
        <v>455</v>
      </c>
      <c r="C29" s="31" t="s">
        <v>75</v>
      </c>
      <c r="D29" s="85" t="s">
        <v>449</v>
      </c>
      <c r="E29" s="90">
        <v>41974</v>
      </c>
      <c r="F29" s="39">
        <v>0.12916666666666668</v>
      </c>
      <c r="G29" s="39"/>
      <c r="H29" s="104"/>
      <c r="I29" s="28" t="e">
        <f>((Tabela2[[#This Row],[TW - Terminal A]]-Tabela2[[#This Row],[KM]])/(Tabela2[[#This Row],[KM]]))</f>
        <v>#DIV/0!</v>
      </c>
      <c r="J29" s="104"/>
      <c r="K29" s="28" t="e">
        <f>((Tabela2[[#This Row],[TW - Terminal B ]]-Tabela2[[#This Row],[KM]])/(Tabela2[[#This Row],[KM]]))</f>
        <v>#DIV/0!</v>
      </c>
      <c r="L29" s="40" t="s">
        <v>356</v>
      </c>
      <c r="M29" s="104"/>
      <c r="N29" s="43" t="s">
        <v>108</v>
      </c>
      <c r="O29" s="108"/>
      <c r="P29" s="6"/>
      <c r="Q29"/>
      <c r="R29"/>
    </row>
    <row r="30" spans="1:22" x14ac:dyDescent="0.3">
      <c r="A30" s="30" t="s">
        <v>48</v>
      </c>
      <c r="B30" s="30" t="s">
        <v>455</v>
      </c>
      <c r="C30" s="31" t="s">
        <v>320</v>
      </c>
      <c r="D30" s="85" t="s">
        <v>449</v>
      </c>
      <c r="E30" s="90">
        <v>41744</v>
      </c>
      <c r="F30" s="39">
        <v>0.80069444444444449</v>
      </c>
      <c r="G30" s="39"/>
      <c r="H30" s="104"/>
      <c r="I30" s="28" t="e">
        <f>((Tabela2[[#This Row],[TW - Terminal A]]-Tabela2[[#This Row],[KM]])/(Tabela2[[#This Row],[KM]]))</f>
        <v>#DIV/0!</v>
      </c>
      <c r="J30" s="104"/>
      <c r="K30" s="28" t="e">
        <f>((Tabela2[[#This Row],[TW - Terminal B ]]-Tabela2[[#This Row],[KM]])/(Tabela2[[#This Row],[KM]]))</f>
        <v>#DIV/0!</v>
      </c>
      <c r="L30" s="40" t="s">
        <v>359</v>
      </c>
      <c r="M30" s="104"/>
      <c r="N30" s="43" t="s">
        <v>109</v>
      </c>
      <c r="O30" s="108"/>
      <c r="P30" s="6"/>
      <c r="Q30"/>
      <c r="R30"/>
    </row>
    <row r="31" spans="1:22" x14ac:dyDescent="0.3">
      <c r="A31" s="30" t="s">
        <v>48</v>
      </c>
      <c r="B31" s="30" t="s">
        <v>455</v>
      </c>
      <c r="C31" s="31" t="s">
        <v>320</v>
      </c>
      <c r="D31" s="85" t="s">
        <v>449</v>
      </c>
      <c r="E31" s="90">
        <v>41926</v>
      </c>
      <c r="F31" s="39">
        <v>0.63958333333333328</v>
      </c>
      <c r="G31" s="39"/>
      <c r="H31" s="104"/>
      <c r="I31" s="28" t="e">
        <f>((Tabela2[[#This Row],[TW - Terminal A]]-Tabela2[[#This Row],[KM]])/(Tabela2[[#This Row],[KM]]))</f>
        <v>#DIV/0!</v>
      </c>
      <c r="J31" s="104"/>
      <c r="K31" s="28" t="e">
        <f>((Tabela2[[#This Row],[TW - Terminal B ]]-Tabela2[[#This Row],[KM]])/(Tabela2[[#This Row],[KM]]))</f>
        <v>#DIV/0!</v>
      </c>
      <c r="L31" s="40" t="s">
        <v>193</v>
      </c>
      <c r="M31" s="104"/>
      <c r="N31" s="43" t="s">
        <v>111</v>
      </c>
      <c r="O31" s="108"/>
      <c r="P31" s="6"/>
      <c r="Q31"/>
      <c r="R31"/>
    </row>
    <row r="32" spans="1:22" x14ac:dyDescent="0.3">
      <c r="A32" s="30" t="s">
        <v>48</v>
      </c>
      <c r="B32" s="30" t="s">
        <v>455</v>
      </c>
      <c r="C32" s="31" t="s">
        <v>75</v>
      </c>
      <c r="D32" s="85" t="s">
        <v>449</v>
      </c>
      <c r="E32" s="90">
        <v>42115</v>
      </c>
      <c r="F32" s="39">
        <v>0.77500000000000002</v>
      </c>
      <c r="G32" s="39"/>
      <c r="H32" s="104"/>
      <c r="I32" s="28" t="e">
        <f>((Tabela2[[#This Row],[TW - Terminal A]]-Tabela2[[#This Row],[KM]])/(Tabela2[[#This Row],[KM]]))</f>
        <v>#DIV/0!</v>
      </c>
      <c r="J32" s="104"/>
      <c r="K32" s="28" t="e">
        <f>((Tabela2[[#This Row],[TW - Terminal B ]]-Tabela2[[#This Row],[KM]])/(Tabela2[[#This Row],[KM]]))</f>
        <v>#DIV/0!</v>
      </c>
      <c r="L32" s="40" t="s">
        <v>285</v>
      </c>
      <c r="M32" s="104"/>
      <c r="N32" s="43" t="s">
        <v>109</v>
      </c>
      <c r="O32" s="108"/>
      <c r="P32" s="6"/>
      <c r="Q32"/>
      <c r="R32"/>
    </row>
    <row r="33" spans="1:18" x14ac:dyDescent="0.3">
      <c r="A33" s="30" t="s">
        <v>48</v>
      </c>
      <c r="B33" s="30" t="s">
        <v>455</v>
      </c>
      <c r="C33" s="31" t="s">
        <v>320</v>
      </c>
      <c r="D33" s="85" t="s">
        <v>449</v>
      </c>
      <c r="E33" s="90">
        <v>42038</v>
      </c>
      <c r="F33" s="39">
        <v>0.56527777777777777</v>
      </c>
      <c r="G33" s="39"/>
      <c r="H33" s="104"/>
      <c r="I33" s="28" t="e">
        <f>((Tabela2[[#This Row],[TW - Terminal A]]-Tabela2[[#This Row],[KM]])/(Tabela2[[#This Row],[KM]]))</f>
        <v>#DIV/0!</v>
      </c>
      <c r="J33" s="104"/>
      <c r="K33" s="28" t="e">
        <f>((Tabela2[[#This Row],[TW - Terminal B ]]-Tabela2[[#This Row],[KM]])/(Tabela2[[#This Row],[KM]]))</f>
        <v>#DIV/0!</v>
      </c>
      <c r="L33" s="40" t="s">
        <v>274</v>
      </c>
      <c r="M33" s="104"/>
      <c r="N33" s="43" t="s">
        <v>109</v>
      </c>
      <c r="O33" s="108"/>
      <c r="P33" s="6"/>
      <c r="Q33"/>
      <c r="R33"/>
    </row>
    <row r="34" spans="1:18" x14ac:dyDescent="0.3">
      <c r="A34" s="30" t="s">
        <v>48</v>
      </c>
      <c r="B34" s="30" t="s">
        <v>455</v>
      </c>
      <c r="C34" s="31" t="s">
        <v>320</v>
      </c>
      <c r="D34" s="85" t="s">
        <v>449</v>
      </c>
      <c r="E34" s="90">
        <v>42062</v>
      </c>
      <c r="F34" s="39">
        <v>0.41736111111111113</v>
      </c>
      <c r="G34" s="39"/>
      <c r="H34" s="104"/>
      <c r="I34" s="28" t="e">
        <f>((Tabela2[[#This Row],[TW - Terminal A]]-Tabela2[[#This Row],[KM]])/(Tabela2[[#This Row],[KM]]))</f>
        <v>#DIV/0!</v>
      </c>
      <c r="J34" s="104"/>
      <c r="K34" s="28" t="e">
        <f>((Tabela2[[#This Row],[TW - Terminal B ]]-Tabela2[[#This Row],[KM]])/(Tabela2[[#This Row],[KM]]))</f>
        <v>#DIV/0!</v>
      </c>
      <c r="L34" s="40" t="s">
        <v>362</v>
      </c>
      <c r="M34" s="104"/>
      <c r="N34" s="43" t="s">
        <v>109</v>
      </c>
      <c r="O34" s="108"/>
      <c r="P34" s="6"/>
      <c r="Q34"/>
      <c r="R34"/>
    </row>
    <row r="35" spans="1:18" x14ac:dyDescent="0.3">
      <c r="A35" s="30" t="s">
        <v>48</v>
      </c>
      <c r="B35" s="30" t="s">
        <v>455</v>
      </c>
      <c r="C35" s="31" t="s">
        <v>320</v>
      </c>
      <c r="D35" s="85" t="s">
        <v>449</v>
      </c>
      <c r="E35" s="90">
        <v>42248</v>
      </c>
      <c r="F35" s="39">
        <v>0.84583333333333333</v>
      </c>
      <c r="G35" s="39"/>
      <c r="H35" s="104"/>
      <c r="I35" s="28" t="e">
        <f>((Tabela2[[#This Row],[TW - Terminal A]]-Tabela2[[#This Row],[KM]])/(Tabela2[[#This Row],[KM]]))</f>
        <v>#DIV/0!</v>
      </c>
      <c r="J35" s="104"/>
      <c r="K35" s="28" t="e">
        <f>((Tabela2[[#This Row],[TW - Terminal B ]]-Tabela2[[#This Row],[KM]])/(Tabela2[[#This Row],[KM]]))</f>
        <v>#DIV/0!</v>
      </c>
      <c r="L35" s="40" t="s">
        <v>363</v>
      </c>
      <c r="M35" s="104"/>
      <c r="N35" s="43" t="s">
        <v>115</v>
      </c>
      <c r="O35" s="108"/>
      <c r="P35" s="6"/>
      <c r="Q35"/>
      <c r="R35"/>
    </row>
    <row r="36" spans="1:18" x14ac:dyDescent="0.3">
      <c r="A36" s="30" t="s">
        <v>48</v>
      </c>
      <c r="B36" s="30" t="s">
        <v>455</v>
      </c>
      <c r="C36" s="31" t="s">
        <v>320</v>
      </c>
      <c r="D36" s="85" t="s">
        <v>449</v>
      </c>
      <c r="E36" s="90">
        <v>42251</v>
      </c>
      <c r="F36" s="39">
        <v>0.85972222222222228</v>
      </c>
      <c r="G36" s="39"/>
      <c r="H36" s="104"/>
      <c r="I36" s="28" t="e">
        <f>((Tabela2[[#This Row],[TW - Terminal A]]-Tabela2[[#This Row],[KM]])/(Tabela2[[#This Row],[KM]]))</f>
        <v>#DIV/0!</v>
      </c>
      <c r="J36" s="104"/>
      <c r="K36" s="28" t="e">
        <f>((Tabela2[[#This Row],[TW - Terminal B ]]-Tabela2[[#This Row],[KM]])/(Tabela2[[#This Row],[KM]]))</f>
        <v>#DIV/0!</v>
      </c>
      <c r="L36" s="40" t="s">
        <v>363</v>
      </c>
      <c r="M36" s="104"/>
      <c r="N36" s="43" t="s">
        <v>115</v>
      </c>
      <c r="O36" s="108"/>
      <c r="P36" s="6"/>
      <c r="Q36"/>
      <c r="R36"/>
    </row>
    <row r="37" spans="1:18" x14ac:dyDescent="0.3">
      <c r="A37" s="30" t="s">
        <v>48</v>
      </c>
      <c r="B37" s="30" t="s">
        <v>455</v>
      </c>
      <c r="C37" s="31" t="s">
        <v>320</v>
      </c>
      <c r="D37" s="85" t="s">
        <v>449</v>
      </c>
      <c r="E37" s="90">
        <v>42414</v>
      </c>
      <c r="F37" s="39">
        <v>0.80069444444444449</v>
      </c>
      <c r="G37" s="39"/>
      <c r="H37" s="104"/>
      <c r="I37" s="28" t="e">
        <f>((Tabela2[[#This Row],[TW - Terminal A]]-Tabela2[[#This Row],[KM]])/(Tabela2[[#This Row],[KM]]))</f>
        <v>#DIV/0!</v>
      </c>
      <c r="J37" s="104"/>
      <c r="K37" s="28" t="e">
        <f>((Tabela2[[#This Row],[TW - Terminal B ]]-Tabela2[[#This Row],[KM]])/(Tabela2[[#This Row],[KM]]))</f>
        <v>#DIV/0!</v>
      </c>
      <c r="L37" s="40" t="s">
        <v>353</v>
      </c>
      <c r="M37" s="104"/>
      <c r="N37" s="43" t="s">
        <v>109</v>
      </c>
      <c r="O37" s="108"/>
      <c r="P37" s="6"/>
      <c r="Q37"/>
      <c r="R37"/>
    </row>
    <row r="38" spans="1:18" x14ac:dyDescent="0.3">
      <c r="A38" s="30" t="s">
        <v>48</v>
      </c>
      <c r="B38" s="30" t="s">
        <v>455</v>
      </c>
      <c r="C38" s="31" t="s">
        <v>75</v>
      </c>
      <c r="D38" s="85" t="s">
        <v>449</v>
      </c>
      <c r="E38" s="90">
        <v>43076</v>
      </c>
      <c r="F38" s="39">
        <v>0.90208333333333335</v>
      </c>
      <c r="G38" s="39"/>
      <c r="H38" s="104"/>
      <c r="I38" s="28" t="e">
        <f>((Tabela2[[#This Row],[TW - Terminal A]]-Tabela2[[#This Row],[KM]])/(Tabela2[[#This Row],[KM]]))</f>
        <v>#DIV/0!</v>
      </c>
      <c r="J38" s="104"/>
      <c r="K38" s="28" t="e">
        <f>((Tabela2[[#This Row],[TW - Terminal B ]]-Tabela2[[#This Row],[KM]])/(Tabela2[[#This Row],[KM]]))</f>
        <v>#DIV/0!</v>
      </c>
      <c r="L38" s="40" t="s">
        <v>349</v>
      </c>
      <c r="M38" s="104"/>
      <c r="N38" s="43" t="s">
        <v>115</v>
      </c>
      <c r="O38" s="108"/>
      <c r="P38" s="6"/>
      <c r="Q38"/>
      <c r="R38"/>
    </row>
    <row r="39" spans="1:18" x14ac:dyDescent="0.3">
      <c r="A39" s="30" t="s">
        <v>48</v>
      </c>
      <c r="B39" s="30" t="s">
        <v>455</v>
      </c>
      <c r="C39" s="31" t="s">
        <v>320</v>
      </c>
      <c r="D39" s="85" t="s">
        <v>449</v>
      </c>
      <c r="E39" s="90">
        <v>42812</v>
      </c>
      <c r="F39" s="39">
        <v>0.58958333333333335</v>
      </c>
      <c r="G39" s="39"/>
      <c r="H39" s="104"/>
      <c r="I39" s="28" t="e">
        <f>((Tabela2[[#This Row],[TW - Terminal A]]-Tabela2[[#This Row],[KM]])/(Tabela2[[#This Row],[KM]]))</f>
        <v>#DIV/0!</v>
      </c>
      <c r="J39" s="104"/>
      <c r="K39" s="28" t="e">
        <f>((Tabela2[[#This Row],[TW - Terminal B ]]-Tabela2[[#This Row],[KM]])/(Tabela2[[#This Row],[KM]]))</f>
        <v>#DIV/0!</v>
      </c>
      <c r="L39" s="40" t="s">
        <v>243</v>
      </c>
      <c r="M39" s="104"/>
      <c r="N39" s="43" t="s">
        <v>109</v>
      </c>
      <c r="O39" s="108"/>
      <c r="P39" s="6"/>
      <c r="Q39"/>
      <c r="R39"/>
    </row>
    <row r="40" spans="1:18" x14ac:dyDescent="0.3">
      <c r="A40" s="30" t="s">
        <v>48</v>
      </c>
      <c r="B40" s="30" t="s">
        <v>455</v>
      </c>
      <c r="C40" s="31" t="s">
        <v>75</v>
      </c>
      <c r="D40" s="85" t="s">
        <v>449</v>
      </c>
      <c r="E40" s="90">
        <v>43152</v>
      </c>
      <c r="F40" s="39">
        <v>0.85972222222222228</v>
      </c>
      <c r="G40" s="39"/>
      <c r="H40" s="104"/>
      <c r="I40" s="28" t="e">
        <f>((Tabela2[[#This Row],[TW - Terminal A]]-Tabela2[[#This Row],[KM]])/(Tabela2[[#This Row],[KM]]))</f>
        <v>#DIV/0!</v>
      </c>
      <c r="J40" s="104"/>
      <c r="K40" s="28" t="e">
        <f>((Tabela2[[#This Row],[TW - Terminal B ]]-Tabela2[[#This Row],[KM]])/(Tabela2[[#This Row],[KM]]))</f>
        <v>#DIV/0!</v>
      </c>
      <c r="L40" s="40" t="s">
        <v>368</v>
      </c>
      <c r="M40" s="104"/>
      <c r="N40" s="43" t="s">
        <v>109</v>
      </c>
      <c r="O40" s="108"/>
      <c r="P40" s="6"/>
      <c r="Q40"/>
      <c r="R40"/>
    </row>
    <row r="41" spans="1:18" x14ac:dyDescent="0.3">
      <c r="A41" s="30" t="s">
        <v>48</v>
      </c>
      <c r="B41" s="30" t="s">
        <v>455</v>
      </c>
      <c r="C41" s="31" t="s">
        <v>320</v>
      </c>
      <c r="D41" s="85" t="s">
        <v>449</v>
      </c>
      <c r="E41" s="90">
        <v>43155</v>
      </c>
      <c r="F41" s="39">
        <v>0.70972222222222225</v>
      </c>
      <c r="G41" s="39"/>
      <c r="H41" s="104"/>
      <c r="I41" s="28" t="e">
        <f>((Tabela2[[#This Row],[TW - Terminal A]]-Tabela2[[#This Row],[KM]])/(Tabela2[[#This Row],[KM]]))</f>
        <v>#DIV/0!</v>
      </c>
      <c r="J41" s="104"/>
      <c r="K41" s="28" t="e">
        <f>((Tabela2[[#This Row],[TW - Terminal B ]]-Tabela2[[#This Row],[KM]])/(Tabela2[[#This Row],[KM]]))</f>
        <v>#DIV/0!</v>
      </c>
      <c r="L41" s="40" t="s">
        <v>369</v>
      </c>
      <c r="M41" s="104"/>
      <c r="N41" s="43" t="s">
        <v>109</v>
      </c>
      <c r="O41" s="108"/>
      <c r="P41" s="6"/>
      <c r="Q41"/>
      <c r="R41"/>
    </row>
    <row r="42" spans="1:18" x14ac:dyDescent="0.3">
      <c r="A42" s="30" t="s">
        <v>48</v>
      </c>
      <c r="B42" s="30" t="s">
        <v>455</v>
      </c>
      <c r="C42" s="31" t="s">
        <v>320</v>
      </c>
      <c r="D42" s="85" t="s">
        <v>449</v>
      </c>
      <c r="E42" s="90">
        <v>43346</v>
      </c>
      <c r="F42" s="39">
        <v>0.96180555555555558</v>
      </c>
      <c r="G42" s="39"/>
      <c r="H42" s="104"/>
      <c r="I42" s="28" t="e">
        <f>((Tabela2[[#This Row],[TW - Terminal A]]-Tabela2[[#This Row],[KM]])/(Tabela2[[#This Row],[KM]]))</f>
        <v>#DIV/0!</v>
      </c>
      <c r="J42" s="104"/>
      <c r="K42" s="28" t="e">
        <f>((Tabela2[[#This Row],[TW - Terminal B ]]-Tabela2[[#This Row],[KM]])/(Tabela2[[#This Row],[KM]]))</f>
        <v>#DIV/0!</v>
      </c>
      <c r="L42" s="40" t="s">
        <v>363</v>
      </c>
      <c r="M42" s="104"/>
      <c r="N42" s="43" t="s">
        <v>115</v>
      </c>
      <c r="O42" s="108"/>
      <c r="P42" s="6"/>
      <c r="Q42"/>
      <c r="R42"/>
    </row>
    <row r="43" spans="1:18" x14ac:dyDescent="0.3">
      <c r="A43" s="30" t="s">
        <v>48</v>
      </c>
      <c r="B43" s="30" t="s">
        <v>455</v>
      </c>
      <c r="C43" s="31" t="s">
        <v>320</v>
      </c>
      <c r="D43" s="85" t="s">
        <v>449</v>
      </c>
      <c r="E43" s="90">
        <v>43399</v>
      </c>
      <c r="F43" s="39">
        <v>0.63055555555555554</v>
      </c>
      <c r="G43" s="39"/>
      <c r="H43" s="104"/>
      <c r="I43" s="28" t="e">
        <f>((Tabela2[[#This Row],[TW - Terminal A]]-Tabela2[[#This Row],[KM]])/(Tabela2[[#This Row],[KM]]))</f>
        <v>#DIV/0!</v>
      </c>
      <c r="J43" s="104"/>
      <c r="K43" s="28" t="e">
        <f>((Tabela2[[#This Row],[TW - Terminal B ]]-Tabela2[[#This Row],[KM]])/(Tabela2[[#This Row],[KM]]))</f>
        <v>#DIV/0!</v>
      </c>
      <c r="L43" s="40"/>
      <c r="M43" s="104"/>
      <c r="N43" s="43" t="s">
        <v>114</v>
      </c>
      <c r="O43" s="108"/>
      <c r="P43" s="6"/>
      <c r="Q43"/>
      <c r="R43"/>
    </row>
    <row r="44" spans="1:18" x14ac:dyDescent="0.3">
      <c r="A44" s="30" t="s">
        <v>48</v>
      </c>
      <c r="B44" s="30" t="s">
        <v>455</v>
      </c>
      <c r="C44" s="31" t="s">
        <v>75</v>
      </c>
      <c r="D44" s="85" t="s">
        <v>449</v>
      </c>
      <c r="E44" s="90">
        <v>43717</v>
      </c>
      <c r="F44" s="39">
        <v>0.66249999999999998</v>
      </c>
      <c r="G44" s="39"/>
      <c r="H44" s="104"/>
      <c r="I44" s="28" t="e">
        <f>((Tabela2[[#This Row],[TW - Terminal A]]-Tabela2[[#This Row],[KM]])/(Tabela2[[#This Row],[KM]]))</f>
        <v>#DIV/0!</v>
      </c>
      <c r="J44" s="104"/>
      <c r="K44" s="28" t="e">
        <f>((Tabela2[[#This Row],[TW - Terminal B ]]-Tabela2[[#This Row],[KM]])/(Tabela2[[#This Row],[KM]]))</f>
        <v>#DIV/0!</v>
      </c>
      <c r="L44" s="40" t="s">
        <v>372</v>
      </c>
      <c r="M44" s="104"/>
      <c r="N44" s="43" t="s">
        <v>111</v>
      </c>
      <c r="O44" s="108"/>
      <c r="P44" s="6"/>
      <c r="Q44"/>
      <c r="R44"/>
    </row>
    <row r="45" spans="1:18" x14ac:dyDescent="0.3">
      <c r="A45" s="30" t="s">
        <v>48</v>
      </c>
      <c r="B45" s="30" t="s">
        <v>455</v>
      </c>
      <c r="C45" s="31" t="s">
        <v>75</v>
      </c>
      <c r="D45" s="85" t="s">
        <v>449</v>
      </c>
      <c r="E45" s="90">
        <v>43744</v>
      </c>
      <c r="F45" s="39">
        <v>0.6020833333333333</v>
      </c>
      <c r="G45" s="39"/>
      <c r="H45" s="104"/>
      <c r="I45" s="28" t="e">
        <f>((Tabela2[[#This Row],[TW - Terminal A]]-Tabela2[[#This Row],[KM]])/(Tabela2[[#This Row],[KM]]))</f>
        <v>#DIV/0!</v>
      </c>
      <c r="J45" s="104"/>
      <c r="K45" s="28" t="e">
        <f>((Tabela2[[#This Row],[TW - Terminal B ]]-Tabela2[[#This Row],[KM]])/(Tabela2[[#This Row],[KM]]))</f>
        <v>#DIV/0!</v>
      </c>
      <c r="L45" s="40" t="s">
        <v>373</v>
      </c>
      <c r="M45" s="104"/>
      <c r="N45" s="43"/>
      <c r="O45" s="108"/>
      <c r="P45" s="6"/>
      <c r="Q45"/>
      <c r="R45"/>
    </row>
    <row r="46" spans="1:18" x14ac:dyDescent="0.3">
      <c r="A46" s="30" t="s">
        <v>48</v>
      </c>
      <c r="B46" s="30" t="s">
        <v>455</v>
      </c>
      <c r="C46" s="31" t="s">
        <v>75</v>
      </c>
      <c r="D46" s="85" t="s">
        <v>449</v>
      </c>
      <c r="E46" s="90">
        <v>43785</v>
      </c>
      <c r="F46" s="39">
        <v>0.54861111111111116</v>
      </c>
      <c r="G46" s="39"/>
      <c r="H46" s="104"/>
      <c r="I46" s="28" t="e">
        <f>((Tabela2[[#This Row],[TW - Terminal A]]-Tabela2[[#This Row],[KM]])/(Tabela2[[#This Row],[KM]]))</f>
        <v>#DIV/0!</v>
      </c>
      <c r="J46" s="104"/>
      <c r="K46" s="28" t="e">
        <f>((Tabela2[[#This Row],[TW - Terminal B ]]-Tabela2[[#This Row],[KM]])/(Tabela2[[#This Row],[KM]]))</f>
        <v>#DIV/0!</v>
      </c>
      <c r="L46" s="40" t="s">
        <v>290</v>
      </c>
      <c r="M46" s="104"/>
      <c r="N46" s="43" t="s">
        <v>109</v>
      </c>
      <c r="O46" s="108"/>
      <c r="P46" s="6"/>
      <c r="Q46"/>
      <c r="R46"/>
    </row>
    <row r="47" spans="1:18" x14ac:dyDescent="0.3">
      <c r="A47" s="30" t="s">
        <v>48</v>
      </c>
      <c r="B47" s="30" t="s">
        <v>455</v>
      </c>
      <c r="C47" s="31" t="s">
        <v>320</v>
      </c>
      <c r="D47" s="85" t="s">
        <v>449</v>
      </c>
      <c r="E47" s="90">
        <v>43547</v>
      </c>
      <c r="F47" s="39">
        <v>0.23680555555555555</v>
      </c>
      <c r="G47" s="39"/>
      <c r="H47" s="104"/>
      <c r="I47" s="28" t="e">
        <f>((Tabela2[[#This Row],[TW - Terminal A]]-Tabela2[[#This Row],[KM]])/(Tabela2[[#This Row],[KM]]))</f>
        <v>#DIV/0!</v>
      </c>
      <c r="J47" s="104"/>
      <c r="K47" s="28" t="e">
        <f>((Tabela2[[#This Row],[TW - Terminal B ]]-Tabela2[[#This Row],[KM]])/(Tabela2[[#This Row],[KM]]))</f>
        <v>#DIV/0!</v>
      </c>
      <c r="L47" s="40" t="s">
        <v>163</v>
      </c>
      <c r="M47" s="104"/>
      <c r="N47" s="43" t="s">
        <v>109</v>
      </c>
      <c r="O47" s="108"/>
      <c r="P47" s="6"/>
      <c r="Q47"/>
      <c r="R47"/>
    </row>
    <row r="48" spans="1:18" x14ac:dyDescent="0.3">
      <c r="A48" s="30" t="s">
        <v>48</v>
      </c>
      <c r="B48" s="30" t="s">
        <v>455</v>
      </c>
      <c r="C48" s="31" t="s">
        <v>320</v>
      </c>
      <c r="D48" s="85" t="s">
        <v>449</v>
      </c>
      <c r="E48" s="90">
        <v>43786</v>
      </c>
      <c r="F48" s="39">
        <v>0.58888888888888891</v>
      </c>
      <c r="G48" s="39"/>
      <c r="H48" s="104"/>
      <c r="I48" s="28" t="e">
        <f>((Tabela2[[#This Row],[TW - Terminal A]]-Tabela2[[#This Row],[KM]])/(Tabela2[[#This Row],[KM]]))</f>
        <v>#DIV/0!</v>
      </c>
      <c r="J48" s="104"/>
      <c r="K48" s="28" t="e">
        <f>((Tabela2[[#This Row],[TW - Terminal B ]]-Tabela2[[#This Row],[KM]])/(Tabela2[[#This Row],[KM]]))</f>
        <v>#DIV/0!</v>
      </c>
      <c r="L48" s="40" t="s">
        <v>378</v>
      </c>
      <c r="M48" s="104"/>
      <c r="N48" s="43" t="s">
        <v>109</v>
      </c>
      <c r="O48" s="108"/>
      <c r="P48" s="6"/>
      <c r="Q48"/>
      <c r="R48"/>
    </row>
    <row r="49" spans="1:18" x14ac:dyDescent="0.3">
      <c r="A49" s="30" t="s">
        <v>48</v>
      </c>
      <c r="B49" s="30" t="s">
        <v>455</v>
      </c>
      <c r="C49" s="31" t="s">
        <v>75</v>
      </c>
      <c r="D49" s="85" t="s">
        <v>449</v>
      </c>
      <c r="E49" s="90">
        <v>43929</v>
      </c>
      <c r="F49" s="39">
        <v>0.25486111111111109</v>
      </c>
      <c r="G49" s="39"/>
      <c r="H49" s="104"/>
      <c r="I49" s="28" t="e">
        <f>((Tabela2[[#This Row],[TW - Terminal A]]-Tabela2[[#This Row],[KM]])/(Tabela2[[#This Row],[KM]]))</f>
        <v>#DIV/0!</v>
      </c>
      <c r="J49" s="104"/>
      <c r="K49" s="28" t="e">
        <f>((Tabela2[[#This Row],[TW - Terminal B ]]-Tabela2[[#This Row],[KM]])/(Tabela2[[#This Row],[KM]]))</f>
        <v>#DIV/0!</v>
      </c>
      <c r="L49" s="40" t="s">
        <v>382</v>
      </c>
      <c r="M49" s="104"/>
      <c r="N49" s="43" t="s">
        <v>115</v>
      </c>
      <c r="O49" s="108"/>
      <c r="P49" s="6"/>
      <c r="Q49"/>
      <c r="R49"/>
    </row>
    <row r="50" spans="1:18" x14ac:dyDescent="0.3">
      <c r="A50" s="30" t="s">
        <v>48</v>
      </c>
      <c r="B50" s="30" t="s">
        <v>455</v>
      </c>
      <c r="C50" s="31" t="s">
        <v>320</v>
      </c>
      <c r="D50" s="85" t="s">
        <v>449</v>
      </c>
      <c r="E50" s="90">
        <v>43839</v>
      </c>
      <c r="F50" s="39">
        <v>0.57847222222222228</v>
      </c>
      <c r="G50" s="39"/>
      <c r="H50" s="104"/>
      <c r="I50" s="28" t="e">
        <f>((Tabela2[[#This Row],[TW - Terminal A]]-Tabela2[[#This Row],[KM]])/(Tabela2[[#This Row],[KM]]))</f>
        <v>#DIV/0!</v>
      </c>
      <c r="J50" s="104"/>
      <c r="K50" s="28" t="e">
        <f>((Tabela2[[#This Row],[TW - Terminal B ]]-Tabela2[[#This Row],[KM]])/(Tabela2[[#This Row],[KM]]))</f>
        <v>#DIV/0!</v>
      </c>
      <c r="L50" s="40" t="s">
        <v>337</v>
      </c>
      <c r="M50" s="104"/>
      <c r="N50" s="43" t="s">
        <v>109</v>
      </c>
      <c r="O50" s="108"/>
      <c r="P50" s="6"/>
      <c r="Q50"/>
      <c r="R50"/>
    </row>
    <row r="51" spans="1:18" x14ac:dyDescent="0.3">
      <c r="A51" s="30" t="s">
        <v>48</v>
      </c>
      <c r="B51" s="30" t="s">
        <v>455</v>
      </c>
      <c r="C51" s="31" t="s">
        <v>320</v>
      </c>
      <c r="D51" s="85" t="s">
        <v>449</v>
      </c>
      <c r="E51" s="90">
        <v>43869</v>
      </c>
      <c r="F51" s="39">
        <v>0.22708333333333333</v>
      </c>
      <c r="G51" s="39"/>
      <c r="H51" s="104"/>
      <c r="I51" s="28" t="e">
        <f>((Tabela2[[#This Row],[TW - Terminal A]]-Tabela2[[#This Row],[KM]])/(Tabela2[[#This Row],[KM]]))</f>
        <v>#DIV/0!</v>
      </c>
      <c r="J51" s="104"/>
      <c r="K51" s="28" t="e">
        <f>((Tabela2[[#This Row],[TW - Terminal B ]]-Tabela2[[#This Row],[KM]])/(Tabela2[[#This Row],[KM]]))</f>
        <v>#DIV/0!</v>
      </c>
      <c r="L51" s="40" t="s">
        <v>383</v>
      </c>
      <c r="M51" s="104"/>
      <c r="N51" s="43" t="s">
        <v>109</v>
      </c>
      <c r="O51" s="108"/>
      <c r="P51" s="6"/>
      <c r="Q51"/>
      <c r="R51"/>
    </row>
    <row r="52" spans="1:18" x14ac:dyDescent="0.3">
      <c r="A52" s="30" t="s">
        <v>48</v>
      </c>
      <c r="B52" s="30" t="s">
        <v>455</v>
      </c>
      <c r="C52" s="31" t="s">
        <v>75</v>
      </c>
      <c r="D52" s="85" t="s">
        <v>449</v>
      </c>
      <c r="E52" s="90">
        <v>44239</v>
      </c>
      <c r="F52" s="39">
        <v>0.80902777777777779</v>
      </c>
      <c r="G52" s="39"/>
      <c r="H52" s="104"/>
      <c r="I52" s="28" t="e">
        <f>((Tabela2[[#This Row],[TW - Terminal A]]-Tabela2[[#This Row],[KM]])/(Tabela2[[#This Row],[KM]]))</f>
        <v>#DIV/0!</v>
      </c>
      <c r="J52" s="104"/>
      <c r="K52" s="28" t="e">
        <f>((Tabela2[[#This Row],[TW - Terminal B ]]-Tabela2[[#This Row],[KM]])/(Tabela2[[#This Row],[KM]]))</f>
        <v>#DIV/0!</v>
      </c>
      <c r="L52" s="40" t="s">
        <v>263</v>
      </c>
      <c r="M52" s="104"/>
      <c r="N52" s="43" t="s">
        <v>109</v>
      </c>
      <c r="O52" s="108"/>
      <c r="P52" s="6"/>
      <c r="Q52"/>
      <c r="R52"/>
    </row>
    <row r="53" spans="1:18" x14ac:dyDescent="0.3">
      <c r="A53" s="30" t="s">
        <v>48</v>
      </c>
      <c r="B53" s="30" t="s">
        <v>455</v>
      </c>
      <c r="C53" s="31" t="s">
        <v>320</v>
      </c>
      <c r="D53" s="85" t="s">
        <v>449</v>
      </c>
      <c r="E53" s="90">
        <v>44476</v>
      </c>
      <c r="F53" s="39">
        <v>0.61041666666666672</v>
      </c>
      <c r="G53" s="39"/>
      <c r="H53" s="104"/>
      <c r="I53" s="28" t="e">
        <f>((Tabela2[[#This Row],[TW - Terminal A]]-Tabela2[[#This Row],[KM]])/(Tabela2[[#This Row],[KM]]))</f>
        <v>#DIV/0!</v>
      </c>
      <c r="J53" s="104"/>
      <c r="K53" s="28" t="e">
        <f>((Tabela2[[#This Row],[TW - Terminal B ]]-Tabela2[[#This Row],[KM]])/(Tabela2[[#This Row],[KM]]))</f>
        <v>#DIV/0!</v>
      </c>
      <c r="L53" s="40" t="s">
        <v>388</v>
      </c>
      <c r="M53" s="104"/>
      <c r="N53" s="43" t="s">
        <v>111</v>
      </c>
      <c r="O53" s="108"/>
      <c r="P53" s="6"/>
      <c r="Q53"/>
      <c r="R53"/>
    </row>
    <row r="54" spans="1:18" x14ac:dyDescent="0.3">
      <c r="A54" s="30" t="s">
        <v>48</v>
      </c>
      <c r="B54" s="30" t="s">
        <v>455</v>
      </c>
      <c r="C54" s="31" t="s">
        <v>320</v>
      </c>
      <c r="D54" s="85" t="s">
        <v>449</v>
      </c>
      <c r="E54" s="90">
        <v>44547</v>
      </c>
      <c r="F54" s="39">
        <v>0.8847222222222223</v>
      </c>
      <c r="G54" s="39"/>
      <c r="H54" s="104"/>
      <c r="I54" s="28" t="e">
        <f>((Tabela2[[#This Row],[TW - Terminal A]]-Tabela2[[#This Row],[KM]])/(Tabela2[[#This Row],[KM]]))</f>
        <v>#DIV/0!</v>
      </c>
      <c r="J54" s="104"/>
      <c r="K54" s="28" t="e">
        <f>((Tabela2[[#This Row],[TW - Terminal B ]]-Tabela2[[#This Row],[KM]])/(Tabela2[[#This Row],[KM]]))</f>
        <v>#DIV/0!</v>
      </c>
      <c r="L54" s="40" t="s">
        <v>391</v>
      </c>
      <c r="M54" s="104"/>
      <c r="N54" s="43" t="s">
        <v>109</v>
      </c>
      <c r="O54" s="108"/>
      <c r="P54" s="6"/>
      <c r="Q54"/>
      <c r="R54"/>
    </row>
    <row r="55" spans="1:18" x14ac:dyDescent="0.3">
      <c r="A55" s="30" t="s">
        <v>484</v>
      </c>
      <c r="B55" s="30" t="s">
        <v>455</v>
      </c>
      <c r="C55" s="31" t="s">
        <v>122</v>
      </c>
      <c r="D55" s="85" t="s">
        <v>449</v>
      </c>
      <c r="E55" s="90">
        <v>44941</v>
      </c>
      <c r="F55" s="42">
        <v>0.74097222222222225</v>
      </c>
      <c r="G55" s="42"/>
      <c r="H55" s="104"/>
      <c r="I55" s="28" t="e">
        <f>((Tabela2[[#This Row],[TW - Terminal A]]-Tabela2[[#This Row],[KM]])/(Tabela2[[#This Row],[KM]]))</f>
        <v>#DIV/0!</v>
      </c>
      <c r="J55" s="104"/>
      <c r="K55" s="28" t="e">
        <f>((Tabela2[[#This Row],[TW - Terminal B ]]-Tabela2[[#This Row],[KM]])/(Tabela2[[#This Row],[KM]]))</f>
        <v>#DIV/0!</v>
      </c>
      <c r="L55" s="43" t="s">
        <v>211</v>
      </c>
      <c r="M55" s="104"/>
      <c r="N55" s="43" t="s">
        <v>109</v>
      </c>
      <c r="O55" s="125"/>
      <c r="P55" s="6"/>
      <c r="Q55"/>
      <c r="R55"/>
    </row>
    <row r="56" spans="1:18" x14ac:dyDescent="0.3">
      <c r="A56" s="30" t="s">
        <v>484</v>
      </c>
      <c r="B56" s="30" t="s">
        <v>455</v>
      </c>
      <c r="C56" s="31" t="s">
        <v>123</v>
      </c>
      <c r="D56" s="85" t="s">
        <v>449</v>
      </c>
      <c r="E56" s="92">
        <v>44967</v>
      </c>
      <c r="F56" s="42">
        <v>0.63749999999999996</v>
      </c>
      <c r="G56" s="42"/>
      <c r="H56" s="104"/>
      <c r="I56" s="28" t="e">
        <f>((Tabela2[[#This Row],[TW - Terminal A]]-Tabela2[[#This Row],[KM]])/(Tabela2[[#This Row],[KM]]))</f>
        <v>#DIV/0!</v>
      </c>
      <c r="J56" s="104"/>
      <c r="K56" s="28" t="e">
        <f>((Tabela2[[#This Row],[TW - Terminal B ]]-Tabela2[[#This Row],[KM]])/(Tabela2[[#This Row],[KM]]))</f>
        <v>#DIV/0!</v>
      </c>
      <c r="L56" s="43" t="s">
        <v>317</v>
      </c>
      <c r="M56" s="104"/>
      <c r="N56" s="43" t="s">
        <v>109</v>
      </c>
      <c r="O56" s="125"/>
      <c r="P56" s="6"/>
      <c r="Q56"/>
      <c r="R56"/>
    </row>
    <row r="57" spans="1:18" x14ac:dyDescent="0.3">
      <c r="A57" s="30" t="s">
        <v>484</v>
      </c>
      <c r="B57" s="30" t="s">
        <v>455</v>
      </c>
      <c r="C57" s="31" t="s">
        <v>83</v>
      </c>
      <c r="D57" s="85" t="s">
        <v>449</v>
      </c>
      <c r="E57" s="90">
        <v>45008</v>
      </c>
      <c r="F57" s="42">
        <v>0.57499999999999996</v>
      </c>
      <c r="G57" s="42"/>
      <c r="H57" s="104"/>
      <c r="I57" s="28" t="e">
        <f>((Tabela2[[#This Row],[TW - Terminal A]]-Tabela2[[#This Row],[KM]])/(Tabela2[[#This Row],[KM]]))</f>
        <v>#DIV/0!</v>
      </c>
      <c r="J57" s="104"/>
      <c r="K57" s="28" t="e">
        <f>((Tabela2[[#This Row],[TW - Terminal B ]]-Tabela2[[#This Row],[KM]])/(Tabela2[[#This Row],[KM]]))</f>
        <v>#DIV/0!</v>
      </c>
      <c r="L57" s="43" t="s">
        <v>314</v>
      </c>
      <c r="M57" s="104"/>
      <c r="N57" s="43" t="s">
        <v>109</v>
      </c>
      <c r="O57" s="125"/>
      <c r="P57" s="6"/>
      <c r="Q57"/>
      <c r="R57"/>
    </row>
    <row r="58" spans="1:18" x14ac:dyDescent="0.3">
      <c r="A58" s="30" t="s">
        <v>48</v>
      </c>
      <c r="B58" s="30" t="s">
        <v>455</v>
      </c>
      <c r="C58" s="31" t="s">
        <v>320</v>
      </c>
      <c r="D58" s="85" t="s">
        <v>449</v>
      </c>
      <c r="E58" s="90">
        <v>44935</v>
      </c>
      <c r="F58" s="39">
        <v>0.74861111111111101</v>
      </c>
      <c r="G58" s="39"/>
      <c r="H58" s="104"/>
      <c r="I58" s="28" t="e">
        <f>((Tabela2[[#This Row],[TW - Terminal A]]-Tabela2[[#This Row],[KM]])/(Tabela2[[#This Row],[KM]]))</f>
        <v>#DIV/0!</v>
      </c>
      <c r="J58" s="104"/>
      <c r="K58" s="28" t="e">
        <f>((Tabela2[[#This Row],[TW - Terminal B ]]-Tabela2[[#This Row],[KM]])/(Tabela2[[#This Row],[KM]]))</f>
        <v>#DIV/0!</v>
      </c>
      <c r="L58" s="40" t="s">
        <v>327</v>
      </c>
      <c r="M58" s="104"/>
      <c r="N58" s="43" t="s">
        <v>109</v>
      </c>
      <c r="O58" s="108" t="s">
        <v>11</v>
      </c>
      <c r="P58" s="6"/>
      <c r="Q58"/>
      <c r="R58"/>
    </row>
    <row r="59" spans="1:18" x14ac:dyDescent="0.3">
      <c r="A59" s="30" t="s">
        <v>48</v>
      </c>
      <c r="B59" s="30" t="s">
        <v>455</v>
      </c>
      <c r="C59" s="31" t="s">
        <v>320</v>
      </c>
      <c r="D59" s="85" t="s">
        <v>449</v>
      </c>
      <c r="E59" s="90">
        <v>44977</v>
      </c>
      <c r="F59" s="39">
        <v>8.1250000000000003E-2</v>
      </c>
      <c r="G59" s="39"/>
      <c r="H59" s="104"/>
      <c r="I59" s="28" t="e">
        <f>((Tabela2[[#This Row],[TW - Terminal A]]-Tabela2[[#This Row],[KM]])/(Tabela2[[#This Row],[KM]]))</f>
        <v>#DIV/0!</v>
      </c>
      <c r="J59" s="104"/>
      <c r="K59" s="28" t="e">
        <f>((Tabela2[[#This Row],[TW - Terminal B ]]-Tabela2[[#This Row],[KM]])/(Tabela2[[#This Row],[KM]]))</f>
        <v>#DIV/0!</v>
      </c>
      <c r="L59" s="40" t="s">
        <v>393</v>
      </c>
      <c r="M59" s="104"/>
      <c r="N59" s="43" t="s">
        <v>115</v>
      </c>
      <c r="O59" s="108" t="s">
        <v>138</v>
      </c>
      <c r="P59" s="6"/>
      <c r="Q59"/>
      <c r="R59"/>
    </row>
    <row r="60" spans="1:18" x14ac:dyDescent="0.3">
      <c r="A60" s="30" t="s">
        <v>48</v>
      </c>
      <c r="B60" s="30" t="s">
        <v>455</v>
      </c>
      <c r="C60" s="31" t="s">
        <v>320</v>
      </c>
      <c r="D60" s="85" t="s">
        <v>449</v>
      </c>
      <c r="E60" s="90">
        <v>45005</v>
      </c>
      <c r="F60" s="39">
        <v>0.92291666666666661</v>
      </c>
      <c r="G60" s="39"/>
      <c r="H60" s="104"/>
      <c r="I60" s="28" t="e">
        <f>((Tabela2[[#This Row],[TW - Terminal A]]-Tabela2[[#This Row],[KM]])/(Tabela2[[#This Row],[KM]]))</f>
        <v>#DIV/0!</v>
      </c>
      <c r="J60" s="104"/>
      <c r="K60" s="28" t="e">
        <f>((Tabela2[[#This Row],[TW - Terminal B ]]-Tabela2[[#This Row],[KM]])/(Tabela2[[#This Row],[KM]]))</f>
        <v>#DIV/0!</v>
      </c>
      <c r="L60" s="40" t="s">
        <v>356</v>
      </c>
      <c r="M60" s="104"/>
      <c r="N60" s="43" t="s">
        <v>115</v>
      </c>
      <c r="O60" s="108" t="s">
        <v>138</v>
      </c>
      <c r="P60" s="6"/>
      <c r="Q60"/>
      <c r="R60"/>
    </row>
    <row r="61" spans="1:18" x14ac:dyDescent="0.3">
      <c r="A61" s="30" t="s">
        <v>48</v>
      </c>
      <c r="B61" s="30" t="s">
        <v>455</v>
      </c>
      <c r="C61" s="31" t="s">
        <v>320</v>
      </c>
      <c r="D61" s="85" t="s">
        <v>449</v>
      </c>
      <c r="E61" s="90">
        <v>45030</v>
      </c>
      <c r="F61" s="39">
        <v>0.92986111111111114</v>
      </c>
      <c r="G61" s="39"/>
      <c r="H61" s="104"/>
      <c r="I61" s="28" t="e">
        <f>((Tabela2[[#This Row],[TW - Terminal A]]-Tabela2[[#This Row],[KM]])/(Tabela2[[#This Row],[KM]]))</f>
        <v>#DIV/0!</v>
      </c>
      <c r="J61" s="104"/>
      <c r="K61" s="28" t="e">
        <f>((Tabela2[[#This Row],[TW - Terminal B ]]-Tabela2[[#This Row],[KM]])/(Tabela2[[#This Row],[KM]]))</f>
        <v>#DIV/0!</v>
      </c>
      <c r="L61" s="40" t="s">
        <v>359</v>
      </c>
      <c r="M61" s="104"/>
      <c r="N61" s="43" t="s">
        <v>115</v>
      </c>
      <c r="O61" s="108" t="s">
        <v>138</v>
      </c>
      <c r="P61" s="6"/>
      <c r="Q61"/>
      <c r="R61"/>
    </row>
    <row r="62" spans="1:18" x14ac:dyDescent="0.3">
      <c r="A62" s="30" t="s">
        <v>484</v>
      </c>
      <c r="B62" s="30" t="s">
        <v>455</v>
      </c>
      <c r="C62" s="31" t="s">
        <v>123</v>
      </c>
      <c r="D62" s="85" t="s">
        <v>449</v>
      </c>
      <c r="E62" s="90">
        <v>45201</v>
      </c>
      <c r="F62" s="39">
        <v>0.63750000000000007</v>
      </c>
      <c r="G62" s="39"/>
      <c r="H62" s="104"/>
      <c r="I62" s="28" t="e">
        <f>((Tabela2[[#This Row],[TW - Terminal A]]-Tabela2[[#This Row],[KM]])/(Tabela2[[#This Row],[KM]]))</f>
        <v>#DIV/0!</v>
      </c>
      <c r="J62" s="104"/>
      <c r="K62" s="28" t="e">
        <f>((Tabela2[[#This Row],[TW - Terminal B ]]-Tabela2[[#This Row],[KM]])/(Tabela2[[#This Row],[KM]]))</f>
        <v>#DIV/0!</v>
      </c>
      <c r="L62" s="40" t="s">
        <v>317</v>
      </c>
      <c r="M62" s="104"/>
      <c r="N62" s="43" t="s">
        <v>109</v>
      </c>
      <c r="O62" s="108" t="s">
        <v>11</v>
      </c>
      <c r="P62" s="6"/>
      <c r="Q62"/>
      <c r="R62"/>
    </row>
    <row r="63" spans="1:18" x14ac:dyDescent="0.3">
      <c r="A63" s="30" t="s">
        <v>484</v>
      </c>
      <c r="B63" s="30" t="s">
        <v>455</v>
      </c>
      <c r="C63" s="31" t="s">
        <v>122</v>
      </c>
      <c r="D63" s="85" t="s">
        <v>449</v>
      </c>
      <c r="E63" s="90">
        <v>45242</v>
      </c>
      <c r="F63" s="39">
        <v>0.72611111111111104</v>
      </c>
      <c r="G63" s="39"/>
      <c r="H63" s="104"/>
      <c r="I63" s="28" t="e">
        <f>((Tabela2[[#This Row],[TW - Terminal A]]-Tabela2[[#This Row],[KM]])/(Tabela2[[#This Row],[KM]]))</f>
        <v>#DIV/0!</v>
      </c>
      <c r="J63" s="104"/>
      <c r="K63" s="28" t="e">
        <f>((Tabela2[[#This Row],[TW - Terminal B ]]-Tabela2[[#This Row],[KM]])/(Tabela2[[#This Row],[KM]]))</f>
        <v>#DIV/0!</v>
      </c>
      <c r="L63" s="40" t="s">
        <v>384</v>
      </c>
      <c r="M63" s="104"/>
      <c r="N63" s="43" t="s">
        <v>109</v>
      </c>
      <c r="O63" s="108" t="s">
        <v>11</v>
      </c>
      <c r="P63" s="6"/>
      <c r="Q63"/>
      <c r="R63"/>
    </row>
    <row r="64" spans="1:18" x14ac:dyDescent="0.3">
      <c r="A64" s="30" t="s">
        <v>484</v>
      </c>
      <c r="B64" s="30" t="s">
        <v>455</v>
      </c>
      <c r="C64" s="31" t="s">
        <v>83</v>
      </c>
      <c r="D64" s="85" t="s">
        <v>449</v>
      </c>
      <c r="E64" s="90">
        <v>45281</v>
      </c>
      <c r="F64" s="39">
        <v>0.74305555555555547</v>
      </c>
      <c r="G64" s="39"/>
      <c r="H64" s="104"/>
      <c r="I64" s="28" t="e">
        <f>((Tabela2[[#This Row],[TW - Terminal A]]-Tabela2[[#This Row],[KM]])/(Tabela2[[#This Row],[KM]]))</f>
        <v>#DIV/0!</v>
      </c>
      <c r="J64" s="104"/>
      <c r="K64" s="28" t="e">
        <f>((Tabela2[[#This Row],[TW - Terminal B ]]-Tabela2[[#This Row],[KM]])/(Tabela2[[#This Row],[KM]]))</f>
        <v>#DIV/0!</v>
      </c>
      <c r="L64" s="40" t="s">
        <v>397</v>
      </c>
      <c r="M64" s="104"/>
      <c r="N64" s="43" t="s">
        <v>109</v>
      </c>
      <c r="O64" s="108" t="s">
        <v>11</v>
      </c>
      <c r="P64" s="6"/>
      <c r="Q64"/>
      <c r="R64"/>
    </row>
    <row r="65" spans="1:18" x14ac:dyDescent="0.3">
      <c r="A65" s="30" t="s">
        <v>47</v>
      </c>
      <c r="B65" s="30" t="s">
        <v>455</v>
      </c>
      <c r="C65" s="31" t="s">
        <v>68</v>
      </c>
      <c r="D65" s="85" t="s">
        <v>449</v>
      </c>
      <c r="E65" s="142">
        <v>41141</v>
      </c>
      <c r="F65" s="38">
        <v>0.60416666666666663</v>
      </c>
      <c r="G65" s="38"/>
      <c r="H65" s="35">
        <v>0</v>
      </c>
      <c r="I65" s="28">
        <f>((Tabela2[[#This Row],[TW - Terminal A]]-Tabela2[[#This Row],[KM]])/(Tabela2[[#This Row],[KM]]))</f>
        <v>-1</v>
      </c>
      <c r="J65" s="35">
        <v>147.69999999999999</v>
      </c>
      <c r="K65" s="28">
        <f>((Tabela2[[#This Row],[TW - Terminal B ]]-Tabela2[[#This Row],[KM]])/(Tabela2[[#This Row],[KM]]))</f>
        <v>-1.0053619302949063E-2</v>
      </c>
      <c r="L65" s="43"/>
      <c r="M65" s="35">
        <v>149.19999999999999</v>
      </c>
      <c r="N65" s="34" t="s">
        <v>111</v>
      </c>
      <c r="O65" s="183"/>
      <c r="P65" s="6"/>
      <c r="Q65"/>
      <c r="R65"/>
    </row>
    <row r="66" spans="1:18" x14ac:dyDescent="0.3">
      <c r="A66" s="30" t="s">
        <v>47</v>
      </c>
      <c r="B66" s="30" t="s">
        <v>455</v>
      </c>
      <c r="C66" s="31" t="s">
        <v>68</v>
      </c>
      <c r="D66" s="85" t="s">
        <v>449</v>
      </c>
      <c r="E66" s="142">
        <v>41155</v>
      </c>
      <c r="F66" s="38">
        <v>0.8125</v>
      </c>
      <c r="G66" s="38"/>
      <c r="H66" s="35">
        <v>0</v>
      </c>
      <c r="I66" s="28">
        <f>((Tabela2[[#This Row],[TW - Terminal A]]-Tabela2[[#This Row],[KM]])/(Tabela2[[#This Row],[KM]]))</f>
        <v>-1</v>
      </c>
      <c r="J66" s="35">
        <v>147.69999999999999</v>
      </c>
      <c r="K66" s="28">
        <f>((Tabela2[[#This Row],[TW - Terminal B ]]-Tabela2[[#This Row],[KM]])/(Tabela2[[#This Row],[KM]]))</f>
        <v>0.73969375736160159</v>
      </c>
      <c r="L66" s="43"/>
      <c r="M66" s="35">
        <v>84.9</v>
      </c>
      <c r="N66" s="34" t="s">
        <v>111</v>
      </c>
      <c r="O66" s="183"/>
      <c r="P66" s="6"/>
      <c r="Q66"/>
      <c r="R66"/>
    </row>
    <row r="67" spans="1:18" ht="68.400000000000006" x14ac:dyDescent="0.3">
      <c r="A67" s="30" t="s">
        <v>484</v>
      </c>
      <c r="B67" s="30" t="s">
        <v>455</v>
      </c>
      <c r="C67" s="31" t="s">
        <v>82</v>
      </c>
      <c r="D67" s="85" t="s">
        <v>449</v>
      </c>
      <c r="E67" s="90">
        <v>45577</v>
      </c>
      <c r="F67" s="42">
        <v>0.33680555555555558</v>
      </c>
      <c r="G67" s="160" t="s">
        <v>435</v>
      </c>
      <c r="H67" s="104"/>
      <c r="I67" s="28" t="e">
        <f>((Tabela2[[#This Row],[TW - Terminal A]]-Tabela2[[#This Row],[KM]])/(Tabela2[[#This Row],[KM]]))</f>
        <v>#DIV/0!</v>
      </c>
      <c r="J67" s="104"/>
      <c r="K67" s="28" t="e">
        <f>((Tabela2[[#This Row],[TW - Terminal B ]]-Tabela2[[#This Row],[KM]])/(Tabela2[[#This Row],[KM]]))</f>
        <v>#DIV/0!</v>
      </c>
      <c r="L67" s="43" t="s">
        <v>274</v>
      </c>
      <c r="M67" s="104"/>
      <c r="N67" s="43" t="s">
        <v>115</v>
      </c>
      <c r="O67" s="181" t="s">
        <v>437</v>
      </c>
      <c r="P67" s="6"/>
      <c r="Q67"/>
      <c r="R67"/>
    </row>
    <row r="68" spans="1:18" ht="68.400000000000006" x14ac:dyDescent="0.3">
      <c r="A68" s="30" t="s">
        <v>484</v>
      </c>
      <c r="B68" s="30" t="s">
        <v>455</v>
      </c>
      <c r="C68" s="31" t="s">
        <v>82</v>
      </c>
      <c r="D68" s="85" t="s">
        <v>449</v>
      </c>
      <c r="E68" s="90">
        <v>45577</v>
      </c>
      <c r="F68" s="42">
        <v>0.70486111111111116</v>
      </c>
      <c r="G68" s="160" t="s">
        <v>435</v>
      </c>
      <c r="H68" s="104"/>
      <c r="I68" s="28" t="e">
        <f>((Tabela2[[#This Row],[TW - Terminal A]]-Tabela2[[#This Row],[KM]])/(Tabela2[[#This Row],[KM]]))</f>
        <v>#DIV/0!</v>
      </c>
      <c r="J68" s="104"/>
      <c r="K68" s="28" t="e">
        <f>((Tabela2[[#This Row],[TW - Terminal B ]]-Tabela2[[#This Row],[KM]])/(Tabela2[[#This Row],[KM]]))</f>
        <v>#DIV/0!</v>
      </c>
      <c r="L68" s="43" t="s">
        <v>274</v>
      </c>
      <c r="M68" s="104"/>
      <c r="N68" s="43" t="s">
        <v>115</v>
      </c>
      <c r="O68" s="181" t="s">
        <v>437</v>
      </c>
      <c r="P68" s="6"/>
      <c r="Q68"/>
      <c r="R68"/>
    </row>
    <row r="69" spans="1:18" ht="91.2" x14ac:dyDescent="0.3">
      <c r="A69" s="30" t="s">
        <v>484</v>
      </c>
      <c r="B69" s="30" t="s">
        <v>455</v>
      </c>
      <c r="C69" s="31" t="s">
        <v>122</v>
      </c>
      <c r="D69" s="85" t="s">
        <v>449</v>
      </c>
      <c r="E69" s="90">
        <v>45584</v>
      </c>
      <c r="F69" s="42">
        <v>0.33402777777777776</v>
      </c>
      <c r="G69" s="160" t="s">
        <v>436</v>
      </c>
      <c r="H69" s="104"/>
      <c r="I69" s="28" t="e">
        <f>((Tabela2[[#This Row],[TW - Terminal A]]-Tabela2[[#This Row],[KM]])/(Tabela2[[#This Row],[KM]]))</f>
        <v>#DIV/0!</v>
      </c>
      <c r="J69" s="104"/>
      <c r="K69" s="28" t="e">
        <f>((Tabela2[[#This Row],[TW - Terminal B ]]-Tabela2[[#This Row],[KM]])/(Tabela2[[#This Row],[KM]]))</f>
        <v>#DIV/0!</v>
      </c>
      <c r="L69" s="43" t="s">
        <v>379</v>
      </c>
      <c r="M69" s="104"/>
      <c r="N69" s="43" t="s">
        <v>109</v>
      </c>
      <c r="O69" s="181" t="s">
        <v>438</v>
      </c>
      <c r="P69" s="6"/>
      <c r="Q69"/>
      <c r="R69"/>
    </row>
    <row r="70" spans="1:18" ht="91.2" x14ac:dyDescent="0.3">
      <c r="A70" s="30" t="s">
        <v>484</v>
      </c>
      <c r="B70" s="30" t="s">
        <v>455</v>
      </c>
      <c r="C70" s="31" t="s">
        <v>96</v>
      </c>
      <c r="D70" s="85" t="s">
        <v>449</v>
      </c>
      <c r="E70" s="90">
        <v>45584</v>
      </c>
      <c r="F70" s="42">
        <v>0.33402777777777776</v>
      </c>
      <c r="G70" s="160" t="s">
        <v>436</v>
      </c>
      <c r="H70" s="104"/>
      <c r="I70" s="28" t="e">
        <f>((Tabela2[[#This Row],[TW - Terminal A]]-Tabela2[[#This Row],[KM]])/(Tabela2[[#This Row],[KM]]))</f>
        <v>#DIV/0!</v>
      </c>
      <c r="J70" s="104"/>
      <c r="K70" s="28" t="e">
        <f>((Tabela2[[#This Row],[TW - Terminal B ]]-Tabela2[[#This Row],[KM]])/(Tabela2[[#This Row],[KM]]))</f>
        <v>#DIV/0!</v>
      </c>
      <c r="L70" s="43" t="s">
        <v>379</v>
      </c>
      <c r="M70" s="104"/>
      <c r="N70" s="43" t="s">
        <v>109</v>
      </c>
      <c r="O70" s="181" t="s">
        <v>438</v>
      </c>
      <c r="P70" s="6"/>
      <c r="Q70"/>
      <c r="R70"/>
    </row>
    <row r="71" spans="1:18" x14ac:dyDescent="0.3">
      <c r="A71" s="30" t="s">
        <v>484</v>
      </c>
      <c r="B71" s="30" t="s">
        <v>455</v>
      </c>
      <c r="C71" s="31" t="s">
        <v>82</v>
      </c>
      <c r="D71" s="30" t="s">
        <v>456</v>
      </c>
      <c r="E71" s="90">
        <v>45584</v>
      </c>
      <c r="F71" s="42">
        <v>0.33402777777777776</v>
      </c>
      <c r="G71" s="160"/>
      <c r="H71" s="35"/>
      <c r="I71" s="28" t="e">
        <f>((Tabela2[[#This Row],[TW - Terminal A]]-Tabela2[[#This Row],[KM]])/(Tabela2[[#This Row],[KM]]))</f>
        <v>#DIV/0!</v>
      </c>
      <c r="J71" s="35"/>
      <c r="K71" s="169"/>
      <c r="L71" s="43"/>
      <c r="M71" s="130"/>
      <c r="N71" s="43"/>
      <c r="O71" s="125"/>
      <c r="P71" s="6"/>
      <c r="Q71"/>
      <c r="R71"/>
    </row>
    <row r="72" spans="1:18" x14ac:dyDescent="0.3">
      <c r="A72" s="30" t="s">
        <v>484</v>
      </c>
      <c r="B72" s="30" t="s">
        <v>455</v>
      </c>
      <c r="C72" s="31" t="s">
        <v>82</v>
      </c>
      <c r="D72" s="30" t="s">
        <v>456</v>
      </c>
      <c r="E72" s="37">
        <v>45629.758333333331</v>
      </c>
      <c r="F72" s="42">
        <f t="shared" ref="F72:F80" si="0">E72-LEFT(E72/10)</f>
        <v>45625.758333333331</v>
      </c>
      <c r="G72" s="160"/>
      <c r="H72" s="35"/>
      <c r="I72" s="28" t="e">
        <f>((Tabela2[[#This Row],[TW - Terminal A]]-Tabela2[[#This Row],[KM]])/(Tabela2[[#This Row],[KM]]))</f>
        <v>#DIV/0!</v>
      </c>
      <c r="J72" s="35"/>
      <c r="K72" s="166" t="e">
        <f>((Tabela2[[#This Row],[TW - Terminal B ]]-Tabela2[[#This Row],[KM]])/(Tabela2[[#This Row],[KM]]))</f>
        <v>#DIV/0!</v>
      </c>
      <c r="L72" s="43"/>
      <c r="M72" s="130"/>
      <c r="N72" s="43"/>
      <c r="O72" s="125"/>
      <c r="P72" s="6"/>
      <c r="Q72"/>
      <c r="R72"/>
    </row>
    <row r="73" spans="1:18" x14ac:dyDescent="0.3">
      <c r="A73" s="30" t="s">
        <v>484</v>
      </c>
      <c r="B73" s="30" t="s">
        <v>455</v>
      </c>
      <c r="C73" s="31" t="s">
        <v>82</v>
      </c>
      <c r="D73" s="30" t="s">
        <v>456</v>
      </c>
      <c r="E73" s="37">
        <v>45644.956944444442</v>
      </c>
      <c r="F73" s="42">
        <f t="shared" si="0"/>
        <v>45640.956944444442</v>
      </c>
      <c r="G73" s="160"/>
      <c r="H73" s="35"/>
      <c r="I73" s="28" t="e">
        <f>((Tabela2[[#This Row],[TW - Terminal A]]-Tabela2[[#This Row],[KM]])/(Tabela2[[#This Row],[KM]]))</f>
        <v>#DIV/0!</v>
      </c>
      <c r="J73" s="35"/>
      <c r="K73" s="166" t="e">
        <f>((Tabela2[[#This Row],[TW - Terminal B ]]-Tabela2[[#This Row],[KM]])/(Tabela2[[#This Row],[KM]]))</f>
        <v>#DIV/0!</v>
      </c>
      <c r="L73" s="43"/>
      <c r="M73" s="130"/>
      <c r="N73" s="43"/>
      <c r="O73" s="125"/>
      <c r="P73" s="6"/>
      <c r="Q73"/>
      <c r="R73"/>
    </row>
    <row r="74" spans="1:18" x14ac:dyDescent="0.3">
      <c r="A74" s="30" t="s">
        <v>484</v>
      </c>
      <c r="B74" s="30" t="s">
        <v>455</v>
      </c>
      <c r="C74" s="31" t="s">
        <v>95</v>
      </c>
      <c r="D74" s="30" t="s">
        <v>456</v>
      </c>
      <c r="E74" s="37">
        <v>45766.654861111114</v>
      </c>
      <c r="F74" s="42">
        <f t="shared" si="0"/>
        <v>45762.654861111114</v>
      </c>
      <c r="G74" s="160"/>
      <c r="H74" s="35"/>
      <c r="I74" s="28" t="e">
        <f>((Tabela2[[#This Row],[TW - Terminal A]]-Tabela2[[#This Row],[KM]])/(Tabela2[[#This Row],[KM]]))</f>
        <v>#DIV/0!</v>
      </c>
      <c r="J74" s="35"/>
      <c r="K74" s="166" t="e">
        <f>((Tabela2[[#This Row],[TW - Terminal B ]]-Tabela2[[#This Row],[KM]])/(Tabela2[[#This Row],[KM]]))</f>
        <v>#DIV/0!</v>
      </c>
      <c r="L74" s="43"/>
      <c r="M74" s="130"/>
      <c r="N74" s="43"/>
      <c r="O74" s="125"/>
      <c r="P74" s="6"/>
      <c r="Q74"/>
      <c r="R74"/>
    </row>
    <row r="75" spans="1:18" x14ac:dyDescent="0.3">
      <c r="A75" s="30" t="s">
        <v>484</v>
      </c>
      <c r="B75" s="30" t="s">
        <v>455</v>
      </c>
      <c r="C75" s="31" t="s">
        <v>95</v>
      </c>
      <c r="D75" s="30" t="s">
        <v>456</v>
      </c>
      <c r="E75" s="37">
        <v>45766.661111111112</v>
      </c>
      <c r="F75" s="42">
        <f t="shared" si="0"/>
        <v>45762.661111111112</v>
      </c>
      <c r="G75" s="160"/>
      <c r="H75" s="35"/>
      <c r="I75" s="28" t="e">
        <f>((Tabela2[[#This Row],[TW - Terminal A]]-Tabela2[[#This Row],[KM]])/(Tabela2[[#This Row],[KM]]))</f>
        <v>#DIV/0!</v>
      </c>
      <c r="J75" s="35"/>
      <c r="K75" s="166" t="e">
        <f>((Tabela2[[#This Row],[TW - Terminal B ]]-Tabela2[[#This Row],[KM]])/(Tabela2[[#This Row],[KM]]))</f>
        <v>#DIV/0!</v>
      </c>
      <c r="L75" s="43"/>
      <c r="M75" s="130"/>
      <c r="N75" s="43"/>
      <c r="O75" s="125"/>
      <c r="P75" s="6"/>
      <c r="Q75"/>
      <c r="R75"/>
    </row>
    <row r="76" spans="1:18" x14ac:dyDescent="0.3">
      <c r="A76" s="30" t="s">
        <v>484</v>
      </c>
      <c r="B76" s="30" t="s">
        <v>455</v>
      </c>
      <c r="C76" s="31" t="s">
        <v>96</v>
      </c>
      <c r="D76" s="30" t="s">
        <v>456</v>
      </c>
      <c r="E76" s="37">
        <v>45766.661111111112</v>
      </c>
      <c r="F76" s="42">
        <f t="shared" si="0"/>
        <v>45762.661111111112</v>
      </c>
      <c r="G76" s="160"/>
      <c r="H76" s="35"/>
      <c r="I76" s="28" t="e">
        <f>((Tabela2[[#This Row],[TW - Terminal A]]-Tabela2[[#This Row],[KM]])/(Tabela2[[#This Row],[KM]]))</f>
        <v>#DIV/0!</v>
      </c>
      <c r="J76" s="35"/>
      <c r="K76" s="166" t="e">
        <f>((Tabela2[[#This Row],[TW - Terminal B ]]-Tabela2[[#This Row],[KM]])/(Tabela2[[#This Row],[KM]]))</f>
        <v>#DIV/0!</v>
      </c>
      <c r="L76" s="43"/>
      <c r="M76" s="130"/>
      <c r="N76" s="43"/>
      <c r="O76" s="125"/>
      <c r="P76" s="6"/>
      <c r="Q76"/>
      <c r="R76"/>
    </row>
    <row r="77" spans="1:18" x14ac:dyDescent="0.3">
      <c r="A77" s="30" t="s">
        <v>484</v>
      </c>
      <c r="B77" s="30" t="s">
        <v>455</v>
      </c>
      <c r="C77" s="31" t="s">
        <v>83</v>
      </c>
      <c r="D77" s="30" t="s">
        <v>456</v>
      </c>
      <c r="E77" s="37">
        <v>45852.875590277778</v>
      </c>
      <c r="F77" s="42">
        <f t="shared" si="0"/>
        <v>45848.875590277778</v>
      </c>
      <c r="G77" s="160"/>
      <c r="H77" s="35"/>
      <c r="I77" s="28" t="e">
        <f>((Tabela2[[#This Row],[TW - Terminal A]]-Tabela2[[#This Row],[KM]])/(Tabela2[[#This Row],[KM]]))</f>
        <v>#DIV/0!</v>
      </c>
      <c r="J77" s="35"/>
      <c r="K77" s="166" t="e">
        <f>((Tabela2[[#This Row],[TW - Terminal B ]]-Tabela2[[#This Row],[KM]])/(Tabela2[[#This Row],[KM]]))</f>
        <v>#DIV/0!</v>
      </c>
      <c r="L77" s="43"/>
      <c r="M77" s="130"/>
      <c r="N77" s="43"/>
      <c r="O77" s="125"/>
      <c r="P77" s="6"/>
      <c r="Q77"/>
      <c r="R77"/>
    </row>
    <row r="78" spans="1:18" ht="409.6" x14ac:dyDescent="0.3">
      <c r="A78" s="30" t="s">
        <v>484</v>
      </c>
      <c r="B78" s="30" t="s">
        <v>455</v>
      </c>
      <c r="C78" s="135" t="s">
        <v>82</v>
      </c>
      <c r="D78" s="30" t="s">
        <v>456</v>
      </c>
      <c r="E78" s="37">
        <v>45941.053472222222</v>
      </c>
      <c r="F78" s="42">
        <f t="shared" si="0"/>
        <v>45937.053472222222</v>
      </c>
      <c r="G78" s="160" t="s">
        <v>459</v>
      </c>
      <c r="H78" s="35"/>
      <c r="I78" s="28" t="e">
        <f>((Tabela2[[#This Row],[TW - Terminal A]]-Tabela2[[#This Row],[KM]])/(Tabela2[[#This Row],[KM]]))</f>
        <v>#DIV/0!</v>
      </c>
      <c r="J78" s="35"/>
      <c r="K78" s="166" t="e">
        <f>((Tabela2[[#This Row],[TW - Terminal B ]]-Tabela2[[#This Row],[KM]])/(Tabela2[[#This Row],[KM]]))</f>
        <v>#DIV/0!</v>
      </c>
      <c r="L78" s="43"/>
      <c r="M78" s="130"/>
      <c r="N78" s="43"/>
      <c r="O78" s="125"/>
      <c r="P78" s="6"/>
      <c r="Q78"/>
      <c r="R78"/>
    </row>
    <row r="79" spans="1:18" ht="409.6" x14ac:dyDescent="0.3">
      <c r="A79" s="30" t="s">
        <v>484</v>
      </c>
      <c r="B79" s="30" t="s">
        <v>455</v>
      </c>
      <c r="C79" s="135" t="s">
        <v>82</v>
      </c>
      <c r="D79" s="30" t="s">
        <v>456</v>
      </c>
      <c r="E79" s="37">
        <v>45953.663194444445</v>
      </c>
      <c r="F79" s="42">
        <f t="shared" si="0"/>
        <v>45949.663194444445</v>
      </c>
      <c r="G79" s="160" t="s">
        <v>458</v>
      </c>
      <c r="H79" s="35"/>
      <c r="I79" s="28" t="e">
        <f>((Tabela2[[#This Row],[TW - Terminal A]]-Tabela2[[#This Row],[KM]])/(Tabela2[[#This Row],[KM]]))</f>
        <v>#DIV/0!</v>
      </c>
      <c r="J79" s="35"/>
      <c r="K79" s="166" t="e">
        <f>((Tabela2[[#This Row],[TW - Terminal B ]]-Tabela2[[#This Row],[KM]])/(Tabela2[[#This Row],[KM]]))</f>
        <v>#DIV/0!</v>
      </c>
      <c r="L79" s="43"/>
      <c r="M79" s="130"/>
      <c r="N79" s="43"/>
      <c r="O79" s="125"/>
      <c r="P79" s="6"/>
      <c r="Q79"/>
      <c r="R79"/>
    </row>
    <row r="80" spans="1:18" ht="409.6" x14ac:dyDescent="0.3">
      <c r="A80" s="30" t="s">
        <v>484</v>
      </c>
      <c r="B80" s="30" t="s">
        <v>455</v>
      </c>
      <c r="C80" s="135" t="s">
        <v>82</v>
      </c>
      <c r="D80" s="30" t="s">
        <v>456</v>
      </c>
      <c r="E80" s="37">
        <v>45973.015972222223</v>
      </c>
      <c r="F80" s="42">
        <f t="shared" si="0"/>
        <v>45969.015972222223</v>
      </c>
      <c r="G80" s="160" t="s">
        <v>457</v>
      </c>
      <c r="H80" s="35"/>
      <c r="I80" s="28" t="e">
        <f>((Tabela2[[#This Row],[TW - Terminal A]]-Tabela2[[#This Row],[KM]])/(Tabela2[[#This Row],[KM]]))</f>
        <v>#DIV/0!</v>
      </c>
      <c r="J80" s="35"/>
      <c r="K80" s="166" t="e">
        <f>((Tabela2[[#This Row],[TW - Terminal B ]]-Tabela2[[#This Row],[KM]])/(Tabela2[[#This Row],[KM]]))</f>
        <v>#DIV/0!</v>
      </c>
      <c r="L80" s="43"/>
      <c r="M80" s="130"/>
      <c r="N80" s="43"/>
      <c r="O80" s="125"/>
      <c r="P80" s="6"/>
      <c r="Q80"/>
      <c r="R80"/>
    </row>
    <row r="81" spans="1:18" ht="68.400000000000006" x14ac:dyDescent="0.3">
      <c r="A81" s="30" t="s">
        <v>47</v>
      </c>
      <c r="B81" s="30" t="s">
        <v>442</v>
      </c>
      <c r="C81" s="31" t="s">
        <v>71</v>
      </c>
      <c r="D81" s="30" t="s">
        <v>442</v>
      </c>
      <c r="E81" s="37">
        <v>45580</v>
      </c>
      <c r="F81" s="42">
        <v>0.79027777777777775</v>
      </c>
      <c r="G81" s="160" t="s">
        <v>440</v>
      </c>
      <c r="H81" s="35"/>
      <c r="I81" s="28" t="e">
        <f>((Tabela2[[#This Row],[TW - Terminal A]]-Tabela2[[#This Row],[KM]])/(Tabela2[[#This Row],[KM]]))</f>
        <v>#DIV/0!</v>
      </c>
      <c r="J81" s="35"/>
      <c r="K81" s="28" t="e">
        <f>((Tabela2[[#This Row],[TW - Terminal B ]]-Tabela2[[#This Row],[KM]])/(Tabela2[[#This Row],[KM]]))</f>
        <v>#DIV/0!</v>
      </c>
      <c r="L81" s="43"/>
      <c r="M81" s="35"/>
      <c r="N81" s="43" t="s">
        <v>439</v>
      </c>
      <c r="O81" s="125" t="s">
        <v>441</v>
      </c>
      <c r="P81" s="6"/>
      <c r="Q81"/>
      <c r="R81"/>
    </row>
    <row r="82" spans="1:18" ht="68.400000000000006" x14ac:dyDescent="0.3">
      <c r="A82" s="30" t="s">
        <v>47</v>
      </c>
      <c r="B82" s="30" t="s">
        <v>442</v>
      </c>
      <c r="C82" s="31" t="s">
        <v>70</v>
      </c>
      <c r="D82" s="30" t="s">
        <v>442</v>
      </c>
      <c r="E82" s="37">
        <v>45580</v>
      </c>
      <c r="F82" s="42">
        <v>0.79027777777777775</v>
      </c>
      <c r="G82" s="160" t="s">
        <v>440</v>
      </c>
      <c r="H82" s="35"/>
      <c r="I82" s="28" t="e">
        <f>((Tabela2[[#This Row],[TW - Terminal A]]-Tabela2[[#This Row],[KM]])/(Tabela2[[#This Row],[KM]]))</f>
        <v>#DIV/0!</v>
      </c>
      <c r="J82" s="35"/>
      <c r="K82" s="28" t="e">
        <f>((Tabela2[[#This Row],[TW - Terminal B ]]-Tabela2[[#This Row],[KM]])/(Tabela2[[#This Row],[KM]]))</f>
        <v>#DIV/0!</v>
      </c>
      <c r="L82" s="43"/>
      <c r="M82" s="35"/>
      <c r="N82" s="43" t="s">
        <v>439</v>
      </c>
      <c r="O82" s="125" t="s">
        <v>441</v>
      </c>
      <c r="P82" s="6"/>
      <c r="Q82"/>
      <c r="R82"/>
    </row>
    <row r="83" spans="1:18" ht="68.400000000000006" x14ac:dyDescent="0.3">
      <c r="A83" s="30" t="s">
        <v>47</v>
      </c>
      <c r="B83" s="30" t="s">
        <v>442</v>
      </c>
      <c r="C83" s="31" t="s">
        <v>18</v>
      </c>
      <c r="D83" s="30" t="s">
        <v>442</v>
      </c>
      <c r="E83" s="37">
        <v>45580</v>
      </c>
      <c r="F83" s="42">
        <v>0.79027777777777775</v>
      </c>
      <c r="G83" s="160" t="s">
        <v>440</v>
      </c>
      <c r="H83" s="35"/>
      <c r="I83" s="28" t="e">
        <f>((Tabela2[[#This Row],[TW - Terminal A]]-Tabela2[[#This Row],[KM]])/(Tabela2[[#This Row],[KM]]))</f>
        <v>#DIV/0!</v>
      </c>
      <c r="J83" s="35"/>
      <c r="K83" s="28" t="e">
        <f>((Tabela2[[#This Row],[TW - Terminal B ]]-Tabela2[[#This Row],[KM]])/(Tabela2[[#This Row],[KM]]))</f>
        <v>#DIV/0!</v>
      </c>
      <c r="L83" s="43"/>
      <c r="M83" s="35"/>
      <c r="N83" s="43" t="s">
        <v>439</v>
      </c>
      <c r="O83" s="125" t="s">
        <v>441</v>
      </c>
      <c r="P83" s="6"/>
      <c r="Q83"/>
      <c r="R83"/>
    </row>
    <row r="84" spans="1:18" ht="68.400000000000006" x14ac:dyDescent="0.3">
      <c r="A84" s="30" t="s">
        <v>47</v>
      </c>
      <c r="B84" s="30" t="s">
        <v>442</v>
      </c>
      <c r="C84" s="31" t="s">
        <v>69</v>
      </c>
      <c r="D84" s="30" t="s">
        <v>442</v>
      </c>
      <c r="E84" s="37">
        <v>45580</v>
      </c>
      <c r="F84" s="42">
        <v>0.79027777777777775</v>
      </c>
      <c r="G84" s="160" t="s">
        <v>440</v>
      </c>
      <c r="H84" s="35"/>
      <c r="I84" s="28" t="e">
        <f>((Tabela2[[#This Row],[TW - Terminal A]]-Tabela2[[#This Row],[KM]])/(Tabela2[[#This Row],[KM]]))</f>
        <v>#DIV/0!</v>
      </c>
      <c r="J84" s="35"/>
      <c r="K84" s="28" t="e">
        <f>((Tabela2[[#This Row],[TW - Terminal B ]]-Tabela2[[#This Row],[KM]])/(Tabela2[[#This Row],[KM]]))</f>
        <v>#DIV/0!</v>
      </c>
      <c r="L84" s="43"/>
      <c r="M84" s="35"/>
      <c r="N84" s="43" t="s">
        <v>439</v>
      </c>
      <c r="O84" s="125" t="s">
        <v>441</v>
      </c>
      <c r="P84" s="6"/>
      <c r="Q84"/>
      <c r="R84"/>
    </row>
    <row r="85" spans="1:18" x14ac:dyDescent="0.3">
      <c r="A85" s="30" t="s">
        <v>47</v>
      </c>
      <c r="B85" s="30" t="s">
        <v>455</v>
      </c>
      <c r="C85" s="31" t="s">
        <v>64</v>
      </c>
      <c r="D85" s="30" t="s">
        <v>121</v>
      </c>
      <c r="E85" s="32">
        <v>42789</v>
      </c>
      <c r="F85" s="33">
        <v>0.55694444444444446</v>
      </c>
      <c r="G85" s="33"/>
      <c r="H85" s="35">
        <v>43.81</v>
      </c>
      <c r="I85" s="28">
        <f>((Tabela2[[#This Row],[TW - Terminal A]]-Tabela2[[#This Row],[KM]])/(Tabela2[[#This Row],[KM]]))</f>
        <v>-8.5992305951571729E-3</v>
      </c>
      <c r="J85" s="35">
        <v>204.75</v>
      </c>
      <c r="K85" s="28">
        <f>((Tabela2[[#This Row],[TW - Terminal B ]]-Tabela2[[#This Row],[KM]])/(Tabela2[[#This Row],[KM]]))</f>
        <v>3.6334012219959271</v>
      </c>
      <c r="L85" s="34" t="s">
        <v>162</v>
      </c>
      <c r="M85" s="35">
        <v>44.19</v>
      </c>
      <c r="N85" s="34" t="s">
        <v>109</v>
      </c>
      <c r="O85" s="108"/>
      <c r="P85" s="6"/>
      <c r="Q85"/>
      <c r="R85"/>
    </row>
    <row r="86" spans="1:18" x14ac:dyDescent="0.3">
      <c r="A86" s="30" t="s">
        <v>48</v>
      </c>
      <c r="B86" s="30" t="s">
        <v>455</v>
      </c>
      <c r="C86" s="31" t="s">
        <v>320</v>
      </c>
      <c r="D86" s="88" t="s">
        <v>121</v>
      </c>
      <c r="E86" s="90">
        <v>41634</v>
      </c>
      <c r="F86" s="39">
        <v>0.89027777777777772</v>
      </c>
      <c r="G86" s="39"/>
      <c r="H86" s="104"/>
      <c r="I86" s="28" t="e">
        <f>((Tabela2[[#This Row],[TW - Terminal A]]-Tabela2[[#This Row],[KM]])/(Tabela2[[#This Row],[KM]]))</f>
        <v>#DIV/0!</v>
      </c>
      <c r="J86" s="104"/>
      <c r="K86" s="28" t="e">
        <f>((Tabela2[[#This Row],[TW - Terminal B ]]-Tabela2[[#This Row],[KM]])/(Tabela2[[#This Row],[KM]]))</f>
        <v>#DIV/0!</v>
      </c>
      <c r="L86" s="40" t="s">
        <v>355</v>
      </c>
      <c r="M86" s="104"/>
      <c r="N86" s="43" t="s">
        <v>109</v>
      </c>
      <c r="O86" s="108"/>
      <c r="P86" s="6"/>
      <c r="Q86"/>
      <c r="R86"/>
    </row>
    <row r="87" spans="1:18" x14ac:dyDescent="0.3">
      <c r="A87" s="30" t="s">
        <v>484</v>
      </c>
      <c r="B87" s="30" t="s">
        <v>455</v>
      </c>
      <c r="C87" s="31" t="s">
        <v>123</v>
      </c>
      <c r="D87" s="30" t="s">
        <v>121</v>
      </c>
      <c r="E87" s="92">
        <v>45268</v>
      </c>
      <c r="F87" s="42">
        <v>0.76041666666666663</v>
      </c>
      <c r="G87" s="42"/>
      <c r="H87" s="104"/>
      <c r="I87" s="28" t="e">
        <f>((Tabela2[[#This Row],[TW - Terminal A]]-Tabela2[[#This Row],[KM]])/(Tabela2[[#This Row],[KM]]))</f>
        <v>#DIV/0!</v>
      </c>
      <c r="J87" s="104"/>
      <c r="K87" s="28" t="e">
        <f>((Tabela2[[#This Row],[TW - Terminal B ]]-Tabela2[[#This Row],[KM]])/(Tabela2[[#This Row],[KM]]))</f>
        <v>#DIV/0!</v>
      </c>
      <c r="L87" s="43" t="s">
        <v>316</v>
      </c>
      <c r="M87" s="104"/>
      <c r="N87" s="43" t="s">
        <v>119</v>
      </c>
      <c r="O87" s="125"/>
      <c r="P87" s="6"/>
      <c r="Q87"/>
      <c r="R87"/>
    </row>
    <row r="88" spans="1:18" x14ac:dyDescent="0.3">
      <c r="A88" s="30" t="s">
        <v>48</v>
      </c>
      <c r="B88" s="30" t="s">
        <v>455</v>
      </c>
      <c r="C88" s="31" t="s">
        <v>320</v>
      </c>
      <c r="D88" s="85" t="s">
        <v>452</v>
      </c>
      <c r="E88" s="90">
        <v>40598</v>
      </c>
      <c r="F88" s="39">
        <v>0.57638888888888895</v>
      </c>
      <c r="G88" s="39"/>
      <c r="H88" s="104"/>
      <c r="I88" s="28" t="e">
        <f>((Tabela2[[#This Row],[TW - Terminal A]]-Tabela2[[#This Row],[KM]])/(Tabela2[[#This Row],[KM]]))</f>
        <v>#DIV/0!</v>
      </c>
      <c r="J88" s="104"/>
      <c r="K88" s="28" t="e">
        <f>((Tabela2[[#This Row],[TW - Terminal B ]]-Tabela2[[#This Row],[KM]])/(Tabela2[[#This Row],[KM]]))</f>
        <v>#DIV/0!</v>
      </c>
      <c r="L88" s="40" t="s">
        <v>338</v>
      </c>
      <c r="M88" s="104"/>
      <c r="N88" s="43" t="s">
        <v>109</v>
      </c>
      <c r="O88" s="108"/>
      <c r="P88" s="6"/>
      <c r="Q88"/>
      <c r="R88"/>
    </row>
    <row r="89" spans="1:18" x14ac:dyDescent="0.3">
      <c r="A89" s="30" t="s">
        <v>48</v>
      </c>
      <c r="B89" s="30" t="s">
        <v>455</v>
      </c>
      <c r="C89" s="31" t="s">
        <v>320</v>
      </c>
      <c r="D89" s="85" t="s">
        <v>452</v>
      </c>
      <c r="E89" s="90">
        <v>40639</v>
      </c>
      <c r="F89" s="39">
        <v>0.65</v>
      </c>
      <c r="G89" s="39"/>
      <c r="H89" s="104"/>
      <c r="I89" s="28" t="e">
        <f>((Tabela2[[#This Row],[TW - Terminal A]]-Tabela2[[#This Row],[KM]])/(Tabela2[[#This Row],[KM]]))</f>
        <v>#DIV/0!</v>
      </c>
      <c r="J89" s="104"/>
      <c r="K89" s="28" t="e">
        <f>((Tabela2[[#This Row],[TW - Terminal B ]]-Tabela2[[#This Row],[KM]])/(Tabela2[[#This Row],[KM]]))</f>
        <v>#DIV/0!</v>
      </c>
      <c r="L89" s="40" t="s">
        <v>339</v>
      </c>
      <c r="M89" s="104"/>
      <c r="N89" s="43" t="s">
        <v>109</v>
      </c>
      <c r="O89" s="108"/>
      <c r="P89" s="6"/>
      <c r="Q89"/>
      <c r="R89"/>
    </row>
    <row r="90" spans="1:18" x14ac:dyDescent="0.3">
      <c r="A90" s="30" t="s">
        <v>48</v>
      </c>
      <c r="B90" s="30" t="s">
        <v>455</v>
      </c>
      <c r="C90" s="31" t="s">
        <v>320</v>
      </c>
      <c r="D90" s="83" t="s">
        <v>452</v>
      </c>
      <c r="E90" s="90">
        <v>40988</v>
      </c>
      <c r="F90" s="39">
        <v>0.8666666666666667</v>
      </c>
      <c r="G90" s="39"/>
      <c r="H90" s="104"/>
      <c r="I90" s="28" t="e">
        <f>((Tabela2[[#This Row],[TW - Terminal A]]-Tabela2[[#This Row],[KM]])/(Tabela2[[#This Row],[KM]]))</f>
        <v>#DIV/0!</v>
      </c>
      <c r="J90" s="104"/>
      <c r="K90" s="28" t="e">
        <f>((Tabela2[[#This Row],[TW - Terminal B ]]-Tabela2[[#This Row],[KM]])/(Tabela2[[#This Row],[KM]]))</f>
        <v>#DIV/0!</v>
      </c>
      <c r="L90" s="40" t="s">
        <v>344</v>
      </c>
      <c r="M90" s="104"/>
      <c r="N90" s="43" t="s">
        <v>109</v>
      </c>
      <c r="O90" s="108"/>
      <c r="P90" s="6"/>
      <c r="Q90"/>
      <c r="R90"/>
    </row>
    <row r="91" spans="1:18" x14ac:dyDescent="0.3">
      <c r="A91" s="30" t="s">
        <v>484</v>
      </c>
      <c r="B91" s="30" t="s">
        <v>455</v>
      </c>
      <c r="C91" s="31" t="s">
        <v>123</v>
      </c>
      <c r="D91" s="83" t="s">
        <v>452</v>
      </c>
      <c r="E91" s="90">
        <v>45150</v>
      </c>
      <c r="F91" s="39">
        <v>0.76041666666666663</v>
      </c>
      <c r="G91" s="39"/>
      <c r="H91" s="104"/>
      <c r="I91" s="28" t="e">
        <f>((Tabela2[[#This Row],[TW - Terminal A]]-Tabela2[[#This Row],[KM]])/(Tabela2[[#This Row],[KM]]))</f>
        <v>#DIV/0!</v>
      </c>
      <c r="J91" s="104"/>
      <c r="K91" s="28" t="e">
        <f>((Tabela2[[#This Row],[TW - Terminal B ]]-Tabela2[[#This Row],[KM]])/(Tabela2[[#This Row],[KM]]))</f>
        <v>#DIV/0!</v>
      </c>
      <c r="L91" s="40" t="s">
        <v>316</v>
      </c>
      <c r="M91" s="104"/>
      <c r="N91" s="43" t="s">
        <v>114</v>
      </c>
      <c r="O91" s="108" t="s">
        <v>140</v>
      </c>
      <c r="P91" s="6"/>
      <c r="Q91"/>
      <c r="R91"/>
    </row>
    <row r="92" spans="1:18" x14ac:dyDescent="0.3">
      <c r="A92" s="30" t="s">
        <v>47</v>
      </c>
      <c r="B92" s="30" t="s">
        <v>455</v>
      </c>
      <c r="C92" s="31" t="s">
        <v>66</v>
      </c>
      <c r="D92" s="30" t="s">
        <v>450</v>
      </c>
      <c r="E92" s="32">
        <v>40887</v>
      </c>
      <c r="F92" s="33">
        <v>0.67847222222222225</v>
      </c>
      <c r="G92" s="33"/>
      <c r="H92" s="35">
        <v>-1.6</v>
      </c>
      <c r="I92" s="28">
        <f>((Tabela2[[#This Row],[TW - Terminal A]]-Tabela2[[#This Row],[KM]])/(Tabela2[[#This Row],[KM]]))</f>
        <v>-1.0062819002748333</v>
      </c>
      <c r="J92" s="35">
        <v>256.60000000000002</v>
      </c>
      <c r="K92" s="28">
        <f>((Tabela2[[#This Row],[TW - Terminal B ]]-Tabela2[[#This Row],[KM]])/(Tabela2[[#This Row],[KM]]))</f>
        <v>7.4597565763644845E-3</v>
      </c>
      <c r="L92" s="34" t="s">
        <v>154</v>
      </c>
      <c r="M92" s="35">
        <v>254.7</v>
      </c>
      <c r="N92" s="34" t="s">
        <v>115</v>
      </c>
      <c r="O92" s="108"/>
      <c r="P92" s="6"/>
      <c r="Q92"/>
      <c r="R92"/>
    </row>
    <row r="93" spans="1:18" x14ac:dyDescent="0.3">
      <c r="A93" s="30" t="s">
        <v>47</v>
      </c>
      <c r="B93" s="30" t="s">
        <v>455</v>
      </c>
      <c r="C93" s="31" t="s">
        <v>65</v>
      </c>
      <c r="D93" s="30" t="s">
        <v>450</v>
      </c>
      <c r="E93" s="32">
        <v>40997</v>
      </c>
      <c r="F93" s="33">
        <v>0.67013888888888884</v>
      </c>
      <c r="G93" s="33"/>
      <c r="H93" s="35"/>
      <c r="I93" s="28" t="e">
        <f>((Tabela2[[#This Row],[TW - Terminal A]]-Tabela2[[#This Row],[KM]])/(Tabela2[[#This Row],[KM]]))</f>
        <v>#DIV/0!</v>
      </c>
      <c r="J93" s="35"/>
      <c r="K93" s="28" t="e">
        <f>((Tabela2[[#This Row],[TW - Terminal B ]]-Tabela2[[#This Row],[KM]])/(Tabela2[[#This Row],[KM]]))</f>
        <v>#DIV/0!</v>
      </c>
      <c r="L93" s="34" t="s">
        <v>160</v>
      </c>
      <c r="M93" s="35"/>
      <c r="N93" s="34" t="s">
        <v>109</v>
      </c>
      <c r="O93" s="108"/>
      <c r="P93" s="6"/>
      <c r="Q93"/>
      <c r="R93"/>
    </row>
    <row r="94" spans="1:18" x14ac:dyDescent="0.3">
      <c r="A94" s="30" t="s">
        <v>47</v>
      </c>
      <c r="B94" s="30" t="s">
        <v>455</v>
      </c>
      <c r="C94" s="31" t="s">
        <v>66</v>
      </c>
      <c r="D94" s="30" t="s">
        <v>450</v>
      </c>
      <c r="E94" s="32">
        <v>41012</v>
      </c>
      <c r="F94" s="33">
        <v>0.52500000000000002</v>
      </c>
      <c r="G94" s="33"/>
      <c r="H94" s="35">
        <v>132</v>
      </c>
      <c r="I94" s="28">
        <f>((Tabela2[[#This Row],[TW - Terminal A]]-Tabela2[[#This Row],[KM]])/(Tabela2[[#This Row],[KM]]))</f>
        <v>7.7551020408163265E-2</v>
      </c>
      <c r="J94" s="35">
        <v>123</v>
      </c>
      <c r="K94" s="28">
        <f>((Tabela2[[#This Row],[TW - Terminal B ]]-Tabela2[[#This Row],[KM]])/(Tabela2[[#This Row],[KM]]))</f>
        <v>4.0816326530612249E-3</v>
      </c>
      <c r="L94" s="34" t="s">
        <v>161</v>
      </c>
      <c r="M94" s="35">
        <v>122.5</v>
      </c>
      <c r="N94" s="34" t="s">
        <v>114</v>
      </c>
      <c r="O94" s="108"/>
      <c r="P94" s="6"/>
      <c r="Q94"/>
      <c r="R94"/>
    </row>
    <row r="95" spans="1:18" x14ac:dyDescent="0.3">
      <c r="A95" s="30" t="s">
        <v>47</v>
      </c>
      <c r="B95" s="30" t="s">
        <v>455</v>
      </c>
      <c r="C95" s="31" t="s">
        <v>66</v>
      </c>
      <c r="D95" s="30" t="s">
        <v>450</v>
      </c>
      <c r="E95" s="32">
        <v>41012</v>
      </c>
      <c r="F95" s="33">
        <v>0.53472222222222221</v>
      </c>
      <c r="G95" s="33"/>
      <c r="H95" s="35"/>
      <c r="I95" s="28">
        <f>((Tabela2[[#This Row],[TW - Terminal A]]-Tabela2[[#This Row],[KM]])/(Tabela2[[#This Row],[KM]]))</f>
        <v>-1</v>
      </c>
      <c r="J95" s="35"/>
      <c r="K95" s="28">
        <f>((Tabela2[[#This Row],[TW - Terminal B ]]-Tabela2[[#This Row],[KM]])/(Tabela2[[#This Row],[KM]]))</f>
        <v>-1</v>
      </c>
      <c r="L95" s="34" t="s">
        <v>161</v>
      </c>
      <c r="M95" s="35">
        <v>122.5</v>
      </c>
      <c r="N95" s="34" t="s">
        <v>114</v>
      </c>
      <c r="O95" s="108"/>
      <c r="P95" s="6"/>
      <c r="Q95"/>
      <c r="R95"/>
    </row>
    <row r="96" spans="1:18" x14ac:dyDescent="0.3">
      <c r="A96" s="30" t="s">
        <v>47</v>
      </c>
      <c r="B96" s="30" t="s">
        <v>455</v>
      </c>
      <c r="C96" s="31" t="s">
        <v>64</v>
      </c>
      <c r="D96" s="30" t="s">
        <v>450</v>
      </c>
      <c r="E96" s="32">
        <v>42783</v>
      </c>
      <c r="F96" s="33">
        <v>0.27638888888888885</v>
      </c>
      <c r="G96" s="33"/>
      <c r="H96" s="35">
        <v>4.66</v>
      </c>
      <c r="I96" s="28">
        <f>((Tabela2[[#This Row],[TW - Terminal A]]-Tabela2[[#This Row],[KM]])/(Tabela2[[#This Row],[KM]]))</f>
        <v>4.2505592841163398E-2</v>
      </c>
      <c r="J96" s="35">
        <v>244.32</v>
      </c>
      <c r="K96" s="28">
        <f>((Tabela2[[#This Row],[TW - Terminal B ]]-Tabela2[[#This Row],[KM]])/(Tabela2[[#This Row],[KM]]))</f>
        <v>53.65771812080537</v>
      </c>
      <c r="L96" s="34" t="s">
        <v>210</v>
      </c>
      <c r="M96" s="35">
        <v>4.47</v>
      </c>
      <c r="N96" s="34" t="s">
        <v>115</v>
      </c>
      <c r="O96" s="108"/>
      <c r="P96" s="6"/>
      <c r="Q96"/>
      <c r="R96"/>
    </row>
    <row r="97" spans="1:18" x14ac:dyDescent="0.3">
      <c r="A97" s="30" t="s">
        <v>48</v>
      </c>
      <c r="B97" s="30" t="s">
        <v>455</v>
      </c>
      <c r="C97" s="31" t="s">
        <v>75</v>
      </c>
      <c r="D97" s="85" t="s">
        <v>450</v>
      </c>
      <c r="E97" s="90">
        <v>40629</v>
      </c>
      <c r="F97" s="39">
        <v>0.74444444444444446</v>
      </c>
      <c r="G97" s="39"/>
      <c r="H97" s="104"/>
      <c r="I97" s="28" t="e">
        <f>((Tabela2[[#This Row],[TW - Terminal A]]-Tabela2[[#This Row],[KM]])/(Tabela2[[#This Row],[KM]]))</f>
        <v>#DIV/0!</v>
      </c>
      <c r="J97" s="104"/>
      <c r="K97" s="28" t="e">
        <f>((Tabela2[[#This Row],[TW - Terminal B ]]-Tabela2[[#This Row],[KM]])/(Tabela2[[#This Row],[KM]]))</f>
        <v>#DIV/0!</v>
      </c>
      <c r="L97" s="40" t="s">
        <v>335</v>
      </c>
      <c r="M97" s="104"/>
      <c r="N97" s="43" t="s">
        <v>109</v>
      </c>
      <c r="O97" s="108"/>
      <c r="P97" s="6"/>
      <c r="Q97"/>
      <c r="R97"/>
    </row>
    <row r="98" spans="1:18" x14ac:dyDescent="0.3">
      <c r="A98" s="30" t="s">
        <v>48</v>
      </c>
      <c r="B98" s="30" t="s">
        <v>455</v>
      </c>
      <c r="C98" s="31" t="s">
        <v>320</v>
      </c>
      <c r="D98" s="30" t="s">
        <v>450</v>
      </c>
      <c r="E98" s="90">
        <v>40871</v>
      </c>
      <c r="F98" s="39">
        <v>0.58611111111111114</v>
      </c>
      <c r="G98" s="39"/>
      <c r="H98" s="104"/>
      <c r="I98" s="28" t="e">
        <f>((Tabela2[[#This Row],[TW - Terminal A]]-Tabela2[[#This Row],[KM]])/(Tabela2[[#This Row],[KM]]))</f>
        <v>#DIV/0!</v>
      </c>
      <c r="J98" s="104"/>
      <c r="K98" s="28" t="e">
        <f>((Tabela2[[#This Row],[TW - Terminal B ]]-Tabela2[[#This Row],[KM]])/(Tabela2[[#This Row],[KM]]))</f>
        <v>#DIV/0!</v>
      </c>
      <c r="L98" s="40" t="s">
        <v>317</v>
      </c>
      <c r="M98" s="104"/>
      <c r="N98" s="43" t="s">
        <v>109</v>
      </c>
      <c r="O98" s="108"/>
      <c r="P98" s="6"/>
      <c r="Q98"/>
      <c r="R98"/>
    </row>
    <row r="99" spans="1:18" x14ac:dyDescent="0.3">
      <c r="A99" s="30" t="s">
        <v>48</v>
      </c>
      <c r="B99" s="30" t="s">
        <v>455</v>
      </c>
      <c r="C99" s="31" t="s">
        <v>75</v>
      </c>
      <c r="D99" s="30" t="s">
        <v>450</v>
      </c>
      <c r="E99" s="90">
        <v>41546</v>
      </c>
      <c r="F99" s="39">
        <v>0.8979166666666667</v>
      </c>
      <c r="G99" s="39"/>
      <c r="H99" s="104"/>
      <c r="I99" s="28" t="e">
        <f>((Tabela2[[#This Row],[TW - Terminal A]]-Tabela2[[#This Row],[KM]])/(Tabela2[[#This Row],[KM]]))</f>
        <v>#DIV/0!</v>
      </c>
      <c r="J99" s="104"/>
      <c r="K99" s="28" t="e">
        <f>((Tabela2[[#This Row],[TW - Terminal B ]]-Tabela2[[#This Row],[KM]])/(Tabela2[[#This Row],[KM]]))</f>
        <v>#DIV/0!</v>
      </c>
      <c r="L99" s="40" t="s">
        <v>246</v>
      </c>
      <c r="M99" s="104"/>
      <c r="N99" s="43" t="s">
        <v>115</v>
      </c>
      <c r="O99" s="108"/>
      <c r="P99" s="6"/>
      <c r="Q99"/>
      <c r="R99"/>
    </row>
    <row r="100" spans="1:18" x14ac:dyDescent="0.3">
      <c r="A100" s="30" t="s">
        <v>48</v>
      </c>
      <c r="B100" s="30" t="s">
        <v>455</v>
      </c>
      <c r="C100" s="31" t="s">
        <v>75</v>
      </c>
      <c r="D100" s="30" t="s">
        <v>450</v>
      </c>
      <c r="E100" s="90">
        <v>41974</v>
      </c>
      <c r="F100" s="39">
        <v>0.14166666666666666</v>
      </c>
      <c r="G100" s="39"/>
      <c r="H100" s="104"/>
      <c r="I100" s="28" t="e">
        <f>((Tabela2[[#This Row],[TW - Terminal A]]-Tabela2[[#This Row],[KM]])/(Tabela2[[#This Row],[KM]]))</f>
        <v>#DIV/0!</v>
      </c>
      <c r="J100" s="104"/>
      <c r="K100" s="28" t="e">
        <f>((Tabela2[[#This Row],[TW - Terminal B ]]-Tabela2[[#This Row],[KM]])/(Tabela2[[#This Row],[KM]]))</f>
        <v>#DIV/0!</v>
      </c>
      <c r="L100" s="40" t="s">
        <v>357</v>
      </c>
      <c r="M100" s="104"/>
      <c r="N100" s="43" t="s">
        <v>108</v>
      </c>
      <c r="O100" s="36"/>
      <c r="P100" s="6"/>
      <c r="Q100"/>
      <c r="R100"/>
    </row>
    <row r="101" spans="1:18" x14ac:dyDescent="0.3">
      <c r="A101" s="30" t="s">
        <v>48</v>
      </c>
      <c r="B101" s="30" t="s">
        <v>455</v>
      </c>
      <c r="C101" s="31" t="s">
        <v>320</v>
      </c>
      <c r="D101" s="30" t="s">
        <v>450</v>
      </c>
      <c r="E101" s="90">
        <v>41649</v>
      </c>
      <c r="F101" s="39">
        <v>0.85277777777777775</v>
      </c>
      <c r="G101" s="39"/>
      <c r="H101" s="104"/>
      <c r="I101" s="28" t="e">
        <f>((Tabela2[[#This Row],[TW - Terminal A]]-Tabela2[[#This Row],[KM]])/(Tabela2[[#This Row],[KM]]))</f>
        <v>#DIV/0!</v>
      </c>
      <c r="J101" s="104"/>
      <c r="K101" s="28" t="e">
        <f>((Tabela2[[#This Row],[TW - Terminal B ]]-Tabela2[[#This Row],[KM]])/(Tabela2[[#This Row],[KM]]))</f>
        <v>#DIV/0!</v>
      </c>
      <c r="L101" s="40" t="s">
        <v>358</v>
      </c>
      <c r="M101" s="104"/>
      <c r="N101" s="43" t="s">
        <v>109</v>
      </c>
      <c r="O101" s="108"/>
      <c r="P101" s="6"/>
      <c r="Q101"/>
      <c r="R101"/>
    </row>
    <row r="102" spans="1:18" x14ac:dyDescent="0.3">
      <c r="A102" s="30" t="s">
        <v>48</v>
      </c>
      <c r="B102" s="30" t="s">
        <v>455</v>
      </c>
      <c r="C102" s="31" t="s">
        <v>75</v>
      </c>
      <c r="D102" s="83" t="s">
        <v>450</v>
      </c>
      <c r="E102" s="90">
        <v>42023</v>
      </c>
      <c r="F102" s="39">
        <v>0.70347222222222228</v>
      </c>
      <c r="G102" s="39"/>
      <c r="H102" s="104"/>
      <c r="I102" s="28" t="e">
        <f>((Tabela2[[#This Row],[TW - Terminal A]]-Tabela2[[#This Row],[KM]])/(Tabela2[[#This Row],[KM]]))</f>
        <v>#DIV/0!</v>
      </c>
      <c r="J102" s="104"/>
      <c r="K102" s="28" t="e">
        <f>((Tabela2[[#This Row],[TW - Terminal B ]]-Tabela2[[#This Row],[KM]])/(Tabela2[[#This Row],[KM]]))</f>
        <v>#DIV/0!</v>
      </c>
      <c r="L102" s="40"/>
      <c r="M102" s="104"/>
      <c r="N102" s="43" t="s">
        <v>114</v>
      </c>
      <c r="O102" s="108"/>
      <c r="P102" s="6"/>
      <c r="Q102"/>
      <c r="R102"/>
    </row>
    <row r="103" spans="1:18" x14ac:dyDescent="0.3">
      <c r="A103" s="30" t="s">
        <v>48</v>
      </c>
      <c r="B103" s="30" t="s">
        <v>455</v>
      </c>
      <c r="C103" s="31" t="s">
        <v>75</v>
      </c>
      <c r="D103" s="83" t="s">
        <v>450</v>
      </c>
      <c r="E103" s="90">
        <v>42071</v>
      </c>
      <c r="F103" s="39">
        <v>0.70694444444444449</v>
      </c>
      <c r="G103" s="39"/>
      <c r="H103" s="104"/>
      <c r="I103" s="28" t="e">
        <f>((Tabela2[[#This Row],[TW - Terminal A]]-Tabela2[[#This Row],[KM]])/(Tabela2[[#This Row],[KM]]))</f>
        <v>#DIV/0!</v>
      </c>
      <c r="J103" s="104"/>
      <c r="K103" s="28" t="e">
        <f>((Tabela2[[#This Row],[TW - Terminal B ]]-Tabela2[[#This Row],[KM]])/(Tabela2[[#This Row],[KM]]))</f>
        <v>#DIV/0!</v>
      </c>
      <c r="L103" s="40"/>
      <c r="M103" s="104"/>
      <c r="N103" s="43" t="s">
        <v>114</v>
      </c>
      <c r="O103" s="108"/>
      <c r="P103" s="6"/>
      <c r="Q103"/>
      <c r="R103"/>
    </row>
    <row r="104" spans="1:18" ht="43.2" x14ac:dyDescent="0.3">
      <c r="A104" s="30" t="s">
        <v>48</v>
      </c>
      <c r="B104" s="30" t="s">
        <v>455</v>
      </c>
      <c r="C104" s="31" t="s">
        <v>320</v>
      </c>
      <c r="D104" s="83" t="s">
        <v>450</v>
      </c>
      <c r="E104" s="90">
        <v>42272</v>
      </c>
      <c r="F104" s="91" t="s">
        <v>322</v>
      </c>
      <c r="G104" s="91"/>
      <c r="H104" s="104"/>
      <c r="I104" s="28" t="e">
        <f>((Tabela2[[#This Row],[TW - Terminal A]]-Tabela2[[#This Row],[KM]])/(Tabela2[[#This Row],[KM]]))</f>
        <v>#DIV/0!</v>
      </c>
      <c r="J104" s="104"/>
      <c r="K104" s="28" t="e">
        <f>((Tabela2[[#This Row],[TW - Terminal B ]]-Tabela2[[#This Row],[KM]])/(Tabela2[[#This Row],[KM]]))</f>
        <v>#DIV/0!</v>
      </c>
      <c r="L104" s="40" t="s">
        <v>364</v>
      </c>
      <c r="M104" s="104"/>
      <c r="N104" s="43" t="s">
        <v>111</v>
      </c>
      <c r="O104" s="108"/>
      <c r="P104" s="6"/>
      <c r="Q104"/>
      <c r="R104"/>
    </row>
    <row r="105" spans="1:18" x14ac:dyDescent="0.3">
      <c r="A105" s="30" t="s">
        <v>48</v>
      </c>
      <c r="B105" s="30" t="s">
        <v>455</v>
      </c>
      <c r="C105" s="31" t="s">
        <v>75</v>
      </c>
      <c r="D105" s="83" t="s">
        <v>450</v>
      </c>
      <c r="E105" s="90">
        <v>42869</v>
      </c>
      <c r="F105" s="39">
        <v>3.7499999999999999E-2</v>
      </c>
      <c r="G105" s="39"/>
      <c r="H105" s="104"/>
      <c r="I105" s="28" t="e">
        <f>((Tabela2[[#This Row],[TW - Terminal A]]-Tabela2[[#This Row],[KM]])/(Tabela2[[#This Row],[KM]]))</f>
        <v>#DIV/0!</v>
      </c>
      <c r="J105" s="104"/>
      <c r="K105" s="28" t="e">
        <f>((Tabela2[[#This Row],[TW - Terminal B ]]-Tabela2[[#This Row],[KM]])/(Tabela2[[#This Row],[KM]]))</f>
        <v>#DIV/0!</v>
      </c>
      <c r="L105" s="40" t="s">
        <v>365</v>
      </c>
      <c r="M105" s="104"/>
      <c r="N105" s="43" t="s">
        <v>115</v>
      </c>
      <c r="O105" s="108"/>
      <c r="P105" s="6"/>
      <c r="Q105"/>
      <c r="R105"/>
    </row>
    <row r="106" spans="1:18" x14ac:dyDescent="0.3">
      <c r="A106" s="30" t="s">
        <v>48</v>
      </c>
      <c r="B106" s="30" t="s">
        <v>455</v>
      </c>
      <c r="C106" s="31" t="s">
        <v>75</v>
      </c>
      <c r="D106" s="83" t="s">
        <v>450</v>
      </c>
      <c r="E106" s="90">
        <v>43102</v>
      </c>
      <c r="F106" s="39">
        <v>0.53819444444444442</v>
      </c>
      <c r="G106" s="39"/>
      <c r="H106" s="104"/>
      <c r="I106" s="28" t="e">
        <f>((Tabela2[[#This Row],[TW - Terminal A]]-Tabela2[[#This Row],[KM]])/(Tabela2[[#This Row],[KM]]))</f>
        <v>#DIV/0!</v>
      </c>
      <c r="J106" s="104"/>
      <c r="K106" s="28" t="e">
        <f>((Tabela2[[#This Row],[TW - Terminal B ]]-Tabela2[[#This Row],[KM]])/(Tabela2[[#This Row],[KM]]))</f>
        <v>#DIV/0!</v>
      </c>
      <c r="L106" s="40" t="s">
        <v>300</v>
      </c>
      <c r="M106" s="104"/>
      <c r="N106" s="43" t="s">
        <v>109</v>
      </c>
      <c r="O106" s="36"/>
      <c r="P106" s="6"/>
      <c r="Q106"/>
      <c r="R106"/>
    </row>
    <row r="107" spans="1:18" x14ac:dyDescent="0.3">
      <c r="A107" s="30" t="s">
        <v>48</v>
      </c>
      <c r="B107" s="30" t="s">
        <v>455</v>
      </c>
      <c r="C107" s="31" t="s">
        <v>75</v>
      </c>
      <c r="D107" s="83" t="s">
        <v>450</v>
      </c>
      <c r="E107" s="90">
        <v>43401</v>
      </c>
      <c r="F107" s="39">
        <v>0.55138888888888893</v>
      </c>
      <c r="G107" s="39"/>
      <c r="H107" s="104"/>
      <c r="I107" s="28" t="e">
        <f>((Tabela2[[#This Row],[TW - Terminal A]]-Tabela2[[#This Row],[KM]])/(Tabela2[[#This Row],[KM]]))</f>
        <v>#DIV/0!</v>
      </c>
      <c r="J107" s="104"/>
      <c r="K107" s="28" t="e">
        <f>((Tabela2[[#This Row],[TW - Terminal B ]]-Tabela2[[#This Row],[KM]])/(Tabela2[[#This Row],[KM]]))</f>
        <v>#DIV/0!</v>
      </c>
      <c r="L107" s="40" t="s">
        <v>300</v>
      </c>
      <c r="M107" s="104"/>
      <c r="N107" s="43" t="s">
        <v>114</v>
      </c>
      <c r="O107" s="36"/>
      <c r="P107" s="6"/>
      <c r="Q107"/>
      <c r="R107"/>
    </row>
    <row r="108" spans="1:18" x14ac:dyDescent="0.3">
      <c r="A108" s="30" t="s">
        <v>48</v>
      </c>
      <c r="B108" s="30" t="s">
        <v>455</v>
      </c>
      <c r="C108" s="31" t="s">
        <v>320</v>
      </c>
      <c r="D108" s="83" t="s">
        <v>450</v>
      </c>
      <c r="E108" s="90">
        <v>43163</v>
      </c>
      <c r="F108" s="39">
        <v>0.85277777777777775</v>
      </c>
      <c r="G108" s="39"/>
      <c r="H108" s="104"/>
      <c r="I108" s="28" t="e">
        <f>((Tabela2[[#This Row],[TW - Terminal A]]-Tabela2[[#This Row],[KM]])/(Tabela2[[#This Row],[KM]]))</f>
        <v>#DIV/0!</v>
      </c>
      <c r="J108" s="104"/>
      <c r="K108" s="28" t="e">
        <f>((Tabela2[[#This Row],[TW - Terminal B ]]-Tabela2[[#This Row],[KM]])/(Tabela2[[#This Row],[KM]]))</f>
        <v>#DIV/0!</v>
      </c>
      <c r="L108" s="40" t="s">
        <v>275</v>
      </c>
      <c r="M108" s="104"/>
      <c r="N108" s="43" t="s">
        <v>115</v>
      </c>
      <c r="O108" s="108"/>
      <c r="P108" s="6"/>
      <c r="Q108"/>
      <c r="R108"/>
    </row>
    <row r="109" spans="1:18" x14ac:dyDescent="0.3">
      <c r="A109" s="30" t="s">
        <v>48</v>
      </c>
      <c r="B109" s="30" t="s">
        <v>455</v>
      </c>
      <c r="C109" s="31" t="s">
        <v>75</v>
      </c>
      <c r="D109" s="83" t="s">
        <v>450</v>
      </c>
      <c r="E109" s="90">
        <v>43537</v>
      </c>
      <c r="F109" s="39">
        <v>0.92638888888888893</v>
      </c>
      <c r="G109" s="39"/>
      <c r="H109" s="104"/>
      <c r="I109" s="28" t="e">
        <f>((Tabela2[[#This Row],[TW - Terminal A]]-Tabela2[[#This Row],[KM]])/(Tabela2[[#This Row],[KM]]))</f>
        <v>#DIV/0!</v>
      </c>
      <c r="J109" s="104"/>
      <c r="K109" s="28" t="e">
        <f>((Tabela2[[#This Row],[TW - Terminal B ]]-Tabela2[[#This Row],[KM]])/(Tabela2[[#This Row],[KM]]))</f>
        <v>#DIV/0!</v>
      </c>
      <c r="L109" s="40" t="s">
        <v>371</v>
      </c>
      <c r="M109" s="104"/>
      <c r="N109" s="43" t="s">
        <v>109</v>
      </c>
      <c r="O109" s="108"/>
      <c r="P109" s="6"/>
      <c r="Q109"/>
      <c r="R109"/>
    </row>
    <row r="110" spans="1:18" x14ac:dyDescent="0.3">
      <c r="A110" s="30" t="s">
        <v>48</v>
      </c>
      <c r="B110" s="30" t="s">
        <v>455</v>
      </c>
      <c r="C110" s="31" t="s">
        <v>75</v>
      </c>
      <c r="D110" s="83" t="s">
        <v>450</v>
      </c>
      <c r="E110" s="90">
        <v>43717</v>
      </c>
      <c r="F110" s="39">
        <v>0.6694444444444444</v>
      </c>
      <c r="G110" s="39"/>
      <c r="H110" s="104"/>
      <c r="I110" s="28" t="e">
        <f>((Tabela2[[#This Row],[TW - Terminal A]]-Tabela2[[#This Row],[KM]])/(Tabela2[[#This Row],[KM]]))</f>
        <v>#DIV/0!</v>
      </c>
      <c r="J110" s="104"/>
      <c r="K110" s="28" t="e">
        <f>((Tabela2[[#This Row],[TW - Terminal B ]]-Tabela2[[#This Row],[KM]])/(Tabela2[[#This Row],[KM]]))</f>
        <v>#DIV/0!</v>
      </c>
      <c r="L110" s="40" t="s">
        <v>372</v>
      </c>
      <c r="M110" s="104"/>
      <c r="N110" s="43" t="s">
        <v>111</v>
      </c>
      <c r="O110" s="108"/>
      <c r="P110" s="6"/>
      <c r="Q110"/>
      <c r="R110"/>
    </row>
    <row r="111" spans="1:18" x14ac:dyDescent="0.3">
      <c r="A111" s="30" t="s">
        <v>48</v>
      </c>
      <c r="B111" s="30" t="s">
        <v>455</v>
      </c>
      <c r="C111" s="31" t="s">
        <v>320</v>
      </c>
      <c r="D111" s="83" t="s">
        <v>450</v>
      </c>
      <c r="E111" s="90">
        <v>43478</v>
      </c>
      <c r="F111" s="39">
        <v>0.1736111111111111</v>
      </c>
      <c r="G111" s="39"/>
      <c r="H111" s="104"/>
      <c r="I111" s="28" t="e">
        <f>((Tabela2[[#This Row],[TW - Terminal A]]-Tabela2[[#This Row],[KM]])/(Tabela2[[#This Row],[KM]]))</f>
        <v>#DIV/0!</v>
      </c>
      <c r="J111" s="104"/>
      <c r="K111" s="28" t="e">
        <f>((Tabela2[[#This Row],[TW - Terminal B ]]-Tabela2[[#This Row],[KM]])/(Tabela2[[#This Row],[KM]]))</f>
        <v>#DIV/0!</v>
      </c>
      <c r="L111" s="40" t="s">
        <v>374</v>
      </c>
      <c r="M111" s="104"/>
      <c r="N111" s="43" t="s">
        <v>115</v>
      </c>
      <c r="O111" s="108"/>
      <c r="P111" s="6"/>
      <c r="Q111"/>
      <c r="R111"/>
    </row>
    <row r="112" spans="1:18" x14ac:dyDescent="0.3">
      <c r="A112" s="30" t="s">
        <v>48</v>
      </c>
      <c r="B112" s="30" t="s">
        <v>455</v>
      </c>
      <c r="C112" s="31" t="s">
        <v>320</v>
      </c>
      <c r="D112" s="83" t="s">
        <v>450</v>
      </c>
      <c r="E112" s="90">
        <v>43523</v>
      </c>
      <c r="F112" s="39">
        <v>0.61736111111111114</v>
      </c>
      <c r="G112" s="39"/>
      <c r="H112" s="104"/>
      <c r="I112" s="28" t="e">
        <f>((Tabela2[[#This Row],[TW - Terminal A]]-Tabela2[[#This Row],[KM]])/(Tabela2[[#This Row],[KM]]))</f>
        <v>#DIV/0!</v>
      </c>
      <c r="J112" s="104"/>
      <c r="K112" s="28" t="e">
        <f>((Tabela2[[#This Row],[TW - Terminal B ]]-Tabela2[[#This Row],[KM]])/(Tabela2[[#This Row],[KM]]))</f>
        <v>#DIV/0!</v>
      </c>
      <c r="L112" s="40" t="s">
        <v>375</v>
      </c>
      <c r="M112" s="104"/>
      <c r="N112" s="43" t="s">
        <v>109</v>
      </c>
      <c r="O112" s="108"/>
      <c r="P112" s="6"/>
      <c r="Q112"/>
      <c r="R112"/>
    </row>
    <row r="113" spans="1:18" x14ac:dyDescent="0.3">
      <c r="A113" s="30" t="s">
        <v>48</v>
      </c>
      <c r="B113" s="30" t="s">
        <v>455</v>
      </c>
      <c r="C113" s="31" t="s">
        <v>320</v>
      </c>
      <c r="D113" s="83" t="s">
        <v>450</v>
      </c>
      <c r="E113" s="90">
        <v>43710</v>
      </c>
      <c r="F113" s="39">
        <v>0.17847222222222223</v>
      </c>
      <c r="G113" s="39"/>
      <c r="H113" s="104"/>
      <c r="I113" s="28" t="e">
        <f>((Tabela2[[#This Row],[TW - Terminal A]]-Tabela2[[#This Row],[KM]])/(Tabela2[[#This Row],[KM]]))</f>
        <v>#DIV/0!</v>
      </c>
      <c r="J113" s="104"/>
      <c r="K113" s="28" t="e">
        <f>((Tabela2[[#This Row],[TW - Terminal B ]]-Tabela2[[#This Row],[KM]])/(Tabela2[[#This Row],[KM]]))</f>
        <v>#DIV/0!</v>
      </c>
      <c r="L113" s="40" t="s">
        <v>376</v>
      </c>
      <c r="M113" s="104"/>
      <c r="N113" s="43" t="s">
        <v>115</v>
      </c>
      <c r="O113" s="108"/>
      <c r="P113" s="6"/>
      <c r="Q113"/>
      <c r="R113"/>
    </row>
    <row r="114" spans="1:18" x14ac:dyDescent="0.3">
      <c r="A114" s="30" t="s">
        <v>48</v>
      </c>
      <c r="B114" s="30" t="s">
        <v>455</v>
      </c>
      <c r="C114" s="31" t="s">
        <v>75</v>
      </c>
      <c r="D114" s="83" t="s">
        <v>450</v>
      </c>
      <c r="E114" s="90">
        <v>43878</v>
      </c>
      <c r="F114" s="39">
        <v>0.66874999999999996</v>
      </c>
      <c r="G114" s="39"/>
      <c r="H114" s="104"/>
      <c r="I114" s="28" t="e">
        <f>((Tabela2[[#This Row],[TW - Terminal A]]-Tabela2[[#This Row],[KM]])/(Tabela2[[#This Row],[KM]]))</f>
        <v>#DIV/0!</v>
      </c>
      <c r="J114" s="104"/>
      <c r="K114" s="28" t="e">
        <f>((Tabela2[[#This Row],[TW - Terminal B ]]-Tabela2[[#This Row],[KM]])/(Tabela2[[#This Row],[KM]]))</f>
        <v>#DIV/0!</v>
      </c>
      <c r="L114" s="40" t="s">
        <v>380</v>
      </c>
      <c r="M114" s="104"/>
      <c r="N114" s="43" t="s">
        <v>109</v>
      </c>
      <c r="O114" s="108"/>
      <c r="P114" s="6"/>
      <c r="Q114"/>
      <c r="R114"/>
    </row>
    <row r="115" spans="1:18" x14ac:dyDescent="0.3">
      <c r="A115" s="30" t="s">
        <v>48</v>
      </c>
      <c r="B115" s="30" t="s">
        <v>455</v>
      </c>
      <c r="C115" s="31" t="s">
        <v>75</v>
      </c>
      <c r="D115" s="83" t="s">
        <v>450</v>
      </c>
      <c r="E115" s="90">
        <v>43900</v>
      </c>
      <c r="F115" s="39">
        <v>0.88541666666666663</v>
      </c>
      <c r="G115" s="39"/>
      <c r="H115" s="104"/>
      <c r="I115" s="28" t="e">
        <f>((Tabela2[[#This Row],[TW - Terminal A]]-Tabela2[[#This Row],[KM]])/(Tabela2[[#This Row],[KM]]))</f>
        <v>#DIV/0!</v>
      </c>
      <c r="J115" s="104"/>
      <c r="K115" s="28" t="e">
        <f>((Tabela2[[#This Row],[TW - Terminal B ]]-Tabela2[[#This Row],[KM]])/(Tabela2[[#This Row],[KM]]))</f>
        <v>#DIV/0!</v>
      </c>
      <c r="L115" s="40" t="s">
        <v>381</v>
      </c>
      <c r="M115" s="104"/>
      <c r="N115" s="43" t="s">
        <v>115</v>
      </c>
      <c r="O115" s="108"/>
      <c r="P115" s="6"/>
      <c r="Q115"/>
      <c r="R115"/>
    </row>
    <row r="116" spans="1:18" x14ac:dyDescent="0.3">
      <c r="A116" s="30" t="s">
        <v>48</v>
      </c>
      <c r="B116" s="30" t="s">
        <v>455</v>
      </c>
      <c r="C116" s="31" t="s">
        <v>320</v>
      </c>
      <c r="D116" s="83" t="s">
        <v>450</v>
      </c>
      <c r="E116" s="90">
        <v>43880</v>
      </c>
      <c r="F116" s="39">
        <v>0.74583333333333335</v>
      </c>
      <c r="G116" s="39"/>
      <c r="H116" s="104"/>
      <c r="I116" s="28" t="e">
        <f>((Tabela2[[#This Row],[TW - Terminal A]]-Tabela2[[#This Row],[KM]])/(Tabela2[[#This Row],[KM]]))</f>
        <v>#DIV/0!</v>
      </c>
      <c r="J116" s="104"/>
      <c r="K116" s="28" t="e">
        <f>((Tabela2[[#This Row],[TW - Terminal B ]]-Tabela2[[#This Row],[KM]])/(Tabela2[[#This Row],[KM]]))</f>
        <v>#DIV/0!</v>
      </c>
      <c r="L116" s="40" t="s">
        <v>384</v>
      </c>
      <c r="M116" s="104"/>
      <c r="N116" s="43" t="s">
        <v>109</v>
      </c>
      <c r="O116" s="108"/>
      <c r="P116" s="6"/>
      <c r="Q116"/>
      <c r="R116"/>
    </row>
    <row r="117" spans="1:18" x14ac:dyDescent="0.3">
      <c r="A117" s="30" t="s">
        <v>48</v>
      </c>
      <c r="B117" s="30" t="s">
        <v>455</v>
      </c>
      <c r="C117" s="31" t="s">
        <v>320</v>
      </c>
      <c r="D117" s="83" t="s">
        <v>450</v>
      </c>
      <c r="E117" s="90">
        <v>43901</v>
      </c>
      <c r="F117" s="39">
        <v>0.22152777777777777</v>
      </c>
      <c r="G117" s="39"/>
      <c r="H117" s="104"/>
      <c r="I117" s="28" t="e">
        <f>((Tabela2[[#This Row],[TW - Terminal A]]-Tabela2[[#This Row],[KM]])/(Tabela2[[#This Row],[KM]]))</f>
        <v>#DIV/0!</v>
      </c>
      <c r="J117" s="104"/>
      <c r="K117" s="28" t="e">
        <f>((Tabela2[[#This Row],[TW - Terminal B ]]-Tabela2[[#This Row],[KM]])/(Tabela2[[#This Row],[KM]]))</f>
        <v>#DIV/0!</v>
      </c>
      <c r="L117" s="40" t="s">
        <v>275</v>
      </c>
      <c r="M117" s="104"/>
      <c r="N117" s="43" t="s">
        <v>109</v>
      </c>
      <c r="O117" s="108"/>
      <c r="P117" s="6"/>
      <c r="Q117"/>
      <c r="R117"/>
    </row>
    <row r="118" spans="1:18" x14ac:dyDescent="0.3">
      <c r="A118" s="30" t="s">
        <v>48</v>
      </c>
      <c r="B118" s="30" t="s">
        <v>455</v>
      </c>
      <c r="C118" s="31" t="s">
        <v>320</v>
      </c>
      <c r="D118" s="83" t="s">
        <v>450</v>
      </c>
      <c r="E118" s="90">
        <v>44474</v>
      </c>
      <c r="F118" s="39">
        <v>0.63402777777777775</v>
      </c>
      <c r="G118" s="39"/>
      <c r="H118" s="104"/>
      <c r="I118" s="28" t="e">
        <f>((Tabela2[[#This Row],[TW - Terminal A]]-Tabela2[[#This Row],[KM]])/(Tabela2[[#This Row],[KM]]))</f>
        <v>#DIV/0!</v>
      </c>
      <c r="J118" s="104"/>
      <c r="K118" s="28" t="e">
        <f>((Tabela2[[#This Row],[TW - Terminal B ]]-Tabela2[[#This Row],[KM]])/(Tabela2[[#This Row],[KM]]))</f>
        <v>#DIV/0!</v>
      </c>
      <c r="L118" s="40" t="s">
        <v>387</v>
      </c>
      <c r="M118" s="104"/>
      <c r="N118" s="43" t="s">
        <v>111</v>
      </c>
      <c r="O118" s="108"/>
      <c r="P118" s="6"/>
      <c r="Q118"/>
      <c r="R118"/>
    </row>
    <row r="119" spans="1:18" x14ac:dyDescent="0.3">
      <c r="A119" s="30" t="s">
        <v>48</v>
      </c>
      <c r="B119" s="30" t="s">
        <v>455</v>
      </c>
      <c r="C119" s="31" t="s">
        <v>320</v>
      </c>
      <c r="D119" s="83" t="s">
        <v>450</v>
      </c>
      <c r="E119" s="90">
        <v>44513</v>
      </c>
      <c r="F119" s="39">
        <v>0.78402777777777777</v>
      </c>
      <c r="G119" s="39"/>
      <c r="H119" s="104"/>
      <c r="I119" s="28" t="e">
        <f>((Tabela2[[#This Row],[TW - Terminal A]]-Tabela2[[#This Row],[KM]])/(Tabela2[[#This Row],[KM]]))</f>
        <v>#DIV/0!</v>
      </c>
      <c r="J119" s="104"/>
      <c r="K119" s="28" t="e">
        <f>((Tabela2[[#This Row],[TW - Terminal B ]]-Tabela2[[#This Row],[KM]])/(Tabela2[[#This Row],[KM]]))</f>
        <v>#DIV/0!</v>
      </c>
      <c r="L119" s="40" t="s">
        <v>275</v>
      </c>
      <c r="M119" s="104"/>
      <c r="N119" s="43" t="s">
        <v>109</v>
      </c>
      <c r="O119" s="108"/>
      <c r="P119" s="6"/>
      <c r="Q119"/>
      <c r="R119"/>
    </row>
    <row r="120" spans="1:18" x14ac:dyDescent="0.3">
      <c r="A120" s="30" t="s">
        <v>48</v>
      </c>
      <c r="B120" s="30" t="s">
        <v>455</v>
      </c>
      <c r="C120" s="31" t="s">
        <v>75</v>
      </c>
      <c r="D120" s="30" t="s">
        <v>450</v>
      </c>
      <c r="E120" s="90">
        <v>44836</v>
      </c>
      <c r="F120" s="39">
        <v>0.82916666666666661</v>
      </c>
      <c r="G120" s="39"/>
      <c r="H120" s="104"/>
      <c r="I120" s="28" t="e">
        <f>((Tabela2[[#This Row],[TW - Terminal A]]-Tabela2[[#This Row],[KM]])/(Tabela2[[#This Row],[KM]]))</f>
        <v>#DIV/0!</v>
      </c>
      <c r="J120" s="104"/>
      <c r="K120" s="28" t="e">
        <f>((Tabela2[[#This Row],[TW - Terminal B ]]-Tabela2[[#This Row],[KM]])/(Tabela2[[#This Row],[KM]]))</f>
        <v>#DIV/0!</v>
      </c>
      <c r="L120" s="40" t="s">
        <v>280</v>
      </c>
      <c r="M120" s="104"/>
      <c r="N120" s="43" t="s">
        <v>115</v>
      </c>
      <c r="O120" s="108"/>
      <c r="P120" s="6"/>
      <c r="Q120"/>
      <c r="R120"/>
    </row>
    <row r="121" spans="1:18" x14ac:dyDescent="0.3">
      <c r="A121" s="30" t="s">
        <v>48</v>
      </c>
      <c r="B121" s="30" t="s">
        <v>455</v>
      </c>
      <c r="C121" s="31" t="s">
        <v>75</v>
      </c>
      <c r="D121" s="30" t="s">
        <v>450</v>
      </c>
      <c r="E121" s="90">
        <v>44854</v>
      </c>
      <c r="F121" s="39">
        <v>3.3333333333333333E-2</v>
      </c>
      <c r="G121" s="39"/>
      <c r="H121" s="104"/>
      <c r="I121" s="28" t="e">
        <f>((Tabela2[[#This Row],[TW - Terminal A]]-Tabela2[[#This Row],[KM]])/(Tabela2[[#This Row],[KM]]))</f>
        <v>#DIV/0!</v>
      </c>
      <c r="J121" s="104"/>
      <c r="K121" s="28" t="e">
        <f>((Tabela2[[#This Row],[TW - Terminal B ]]-Tabela2[[#This Row],[KM]])/(Tabela2[[#This Row],[KM]]))</f>
        <v>#DIV/0!</v>
      </c>
      <c r="L121" s="40" t="s">
        <v>281</v>
      </c>
      <c r="M121" s="104"/>
      <c r="N121" s="43" t="s">
        <v>115</v>
      </c>
      <c r="O121" s="108"/>
      <c r="P121" s="6"/>
      <c r="Q121"/>
      <c r="R121"/>
    </row>
    <row r="122" spans="1:18" x14ac:dyDescent="0.3">
      <c r="A122" s="30" t="s">
        <v>484</v>
      </c>
      <c r="B122" s="30" t="s">
        <v>455</v>
      </c>
      <c r="C122" s="31" t="s">
        <v>82</v>
      </c>
      <c r="D122" s="85" t="s">
        <v>450</v>
      </c>
      <c r="E122" s="90">
        <v>45008</v>
      </c>
      <c r="F122" s="42">
        <v>0.57499999999999996</v>
      </c>
      <c r="G122" s="42"/>
      <c r="H122" s="104"/>
      <c r="I122" s="28" t="e">
        <f>((Tabela2[[#This Row],[TW - Terminal A]]-Tabela2[[#This Row],[KM]])/(Tabela2[[#This Row],[KM]]))</f>
        <v>#DIV/0!</v>
      </c>
      <c r="J122" s="104"/>
      <c r="K122" s="28" t="e">
        <f>((Tabela2[[#This Row],[TW - Terminal B ]]-Tabela2[[#This Row],[KM]])/(Tabela2[[#This Row],[KM]]))</f>
        <v>#DIV/0!</v>
      </c>
      <c r="L122" s="43" t="s">
        <v>314</v>
      </c>
      <c r="M122" s="104"/>
      <c r="N122" s="43" t="s">
        <v>109</v>
      </c>
      <c r="O122" s="125"/>
      <c r="P122" s="6"/>
      <c r="Q122"/>
      <c r="R122"/>
    </row>
    <row r="123" spans="1:18" x14ac:dyDescent="0.3">
      <c r="A123" s="30" t="s">
        <v>484</v>
      </c>
      <c r="B123" s="30" t="s">
        <v>455</v>
      </c>
      <c r="C123" s="31" t="s">
        <v>122</v>
      </c>
      <c r="D123" s="30" t="s">
        <v>450</v>
      </c>
      <c r="E123" s="92">
        <v>45110</v>
      </c>
      <c r="F123" s="42">
        <v>0.21458333333333332</v>
      </c>
      <c r="G123" s="42"/>
      <c r="H123" s="104"/>
      <c r="I123" s="28" t="e">
        <f>((Tabela2[[#This Row],[TW - Terminal A]]-Tabela2[[#This Row],[KM]])/(Tabela2[[#This Row],[KM]]))</f>
        <v>#DIV/0!</v>
      </c>
      <c r="J123" s="104"/>
      <c r="K123" s="28" t="e">
        <f>((Tabela2[[#This Row],[TW - Terminal B ]]-Tabela2[[#This Row],[KM]])/(Tabela2[[#This Row],[KM]]))</f>
        <v>#DIV/0!</v>
      </c>
      <c r="L123" s="43" t="s">
        <v>313</v>
      </c>
      <c r="M123" s="104"/>
      <c r="N123" s="43" t="s">
        <v>115</v>
      </c>
      <c r="O123" s="125"/>
      <c r="P123" s="6"/>
      <c r="Q123"/>
      <c r="R123"/>
    </row>
    <row r="124" spans="1:18" x14ac:dyDescent="0.3">
      <c r="A124" s="30" t="s">
        <v>48</v>
      </c>
      <c r="B124" s="30" t="s">
        <v>455</v>
      </c>
      <c r="C124" s="31" t="s">
        <v>320</v>
      </c>
      <c r="D124" s="83" t="s">
        <v>450</v>
      </c>
      <c r="E124" s="90">
        <v>45033</v>
      </c>
      <c r="F124" s="39">
        <v>0.60972222222222217</v>
      </c>
      <c r="G124" s="39"/>
      <c r="H124" s="104"/>
      <c r="I124" s="28" t="e">
        <f>((Tabela2[[#This Row],[TW - Terminal A]]-Tabela2[[#This Row],[KM]])/(Tabela2[[#This Row],[KM]]))</f>
        <v>#DIV/0!</v>
      </c>
      <c r="J124" s="104"/>
      <c r="K124" s="28" t="e">
        <f>((Tabela2[[#This Row],[TW - Terminal B ]]-Tabela2[[#This Row],[KM]])/(Tabela2[[#This Row],[KM]]))</f>
        <v>#DIV/0!</v>
      </c>
      <c r="L124" s="40" t="s">
        <v>394</v>
      </c>
      <c r="M124" s="104"/>
      <c r="N124" s="43" t="s">
        <v>109</v>
      </c>
      <c r="O124" s="108" t="s">
        <v>11</v>
      </c>
      <c r="P124" s="6"/>
      <c r="Q124"/>
      <c r="R124"/>
    </row>
    <row r="125" spans="1:18" x14ac:dyDescent="0.3">
      <c r="A125" s="30" t="s">
        <v>484</v>
      </c>
      <c r="B125" s="30" t="s">
        <v>455</v>
      </c>
      <c r="C125" s="31" t="s">
        <v>123</v>
      </c>
      <c r="D125" s="83" t="s">
        <v>450</v>
      </c>
      <c r="E125" s="90">
        <v>45247</v>
      </c>
      <c r="F125" s="39">
        <v>0.6479166666666667</v>
      </c>
      <c r="G125" s="39"/>
      <c r="H125" s="104"/>
      <c r="I125" s="28" t="e">
        <f>((Tabela2[[#This Row],[TW - Terminal A]]-Tabela2[[#This Row],[KM]])/(Tabela2[[#This Row],[KM]]))</f>
        <v>#DIV/0!</v>
      </c>
      <c r="J125" s="104"/>
      <c r="K125" s="28" t="e">
        <f>((Tabela2[[#This Row],[TW - Terminal B ]]-Tabela2[[#This Row],[KM]])/(Tabela2[[#This Row],[KM]]))</f>
        <v>#DIV/0!</v>
      </c>
      <c r="L125" s="40" t="s">
        <v>396</v>
      </c>
      <c r="M125" s="104"/>
      <c r="N125" s="43" t="s">
        <v>109</v>
      </c>
      <c r="O125" s="108" t="s">
        <v>11</v>
      </c>
      <c r="P125" s="6"/>
      <c r="Q125"/>
      <c r="R125"/>
    </row>
    <row r="126" spans="1:18" x14ac:dyDescent="0.3">
      <c r="A126" s="30" t="s">
        <v>484</v>
      </c>
      <c r="B126" s="30" t="s">
        <v>455</v>
      </c>
      <c r="C126" s="31" t="s">
        <v>122</v>
      </c>
      <c r="D126" s="83" t="s">
        <v>450</v>
      </c>
      <c r="E126" s="90">
        <v>45247</v>
      </c>
      <c r="F126" s="39">
        <v>0.6479166666666667</v>
      </c>
      <c r="G126" s="39"/>
      <c r="H126" s="104"/>
      <c r="I126" s="28" t="e">
        <f>((Tabela2[[#This Row],[TW - Terminal A]]-Tabela2[[#This Row],[KM]])/(Tabela2[[#This Row],[KM]]))</f>
        <v>#DIV/0!</v>
      </c>
      <c r="J126" s="104"/>
      <c r="K126" s="28" t="e">
        <f>((Tabela2[[#This Row],[TW - Terminal B ]]-Tabela2[[#This Row],[KM]])/(Tabela2[[#This Row],[KM]]))</f>
        <v>#DIV/0!</v>
      </c>
      <c r="L126" s="40" t="s">
        <v>396</v>
      </c>
      <c r="M126" s="104"/>
      <c r="N126" s="43" t="s">
        <v>109</v>
      </c>
      <c r="O126" s="108" t="s">
        <v>11</v>
      </c>
      <c r="P126" s="6"/>
      <c r="Q126"/>
      <c r="R126"/>
    </row>
    <row r="127" spans="1:18" ht="57" x14ac:dyDescent="0.3">
      <c r="A127" s="30" t="s">
        <v>47</v>
      </c>
      <c r="B127" s="30" t="s">
        <v>455</v>
      </c>
      <c r="C127" s="31" t="s">
        <v>64</v>
      </c>
      <c r="D127" s="30" t="s">
        <v>450</v>
      </c>
      <c r="E127" s="37">
        <v>45584</v>
      </c>
      <c r="F127" s="42">
        <v>0.69374999999999998</v>
      </c>
      <c r="G127" s="160" t="s">
        <v>443</v>
      </c>
      <c r="H127" s="35"/>
      <c r="I127" s="28" t="e">
        <f>((Tabela2[[#This Row],[TW - Terminal A]]-Tabela2[[#This Row],[KM]])/(Tabela2[[#This Row],[KM]]))</f>
        <v>#DIV/0!</v>
      </c>
      <c r="J127" s="35"/>
      <c r="K127" s="28" t="e">
        <f>((Tabela2[[#This Row],[TW - Terminal B ]]-Tabela2[[#This Row],[KM]])/(Tabela2[[#This Row],[KM]]))</f>
        <v>#DIV/0!</v>
      </c>
      <c r="L127" s="43"/>
      <c r="M127" s="35"/>
      <c r="N127" s="43"/>
      <c r="O127" s="125"/>
      <c r="P127" s="6"/>
      <c r="Q127"/>
      <c r="R127"/>
    </row>
    <row r="128" spans="1:18" ht="68.400000000000006" x14ac:dyDescent="0.3">
      <c r="A128" s="30" t="s">
        <v>47</v>
      </c>
      <c r="B128" s="30" t="s">
        <v>455</v>
      </c>
      <c r="C128" s="31" t="s">
        <v>65</v>
      </c>
      <c r="D128" s="30" t="s">
        <v>450</v>
      </c>
      <c r="E128" s="37">
        <v>45586</v>
      </c>
      <c r="F128" s="42">
        <v>0.69236111111111109</v>
      </c>
      <c r="G128" s="160" t="s">
        <v>435</v>
      </c>
      <c r="H128" s="35"/>
      <c r="I128" s="28" t="e">
        <f>((Tabela2[[#This Row],[TW - Terminal A]]-Tabela2[[#This Row],[KM]])/(Tabela2[[#This Row],[KM]]))</f>
        <v>#DIV/0!</v>
      </c>
      <c r="J128" s="35"/>
      <c r="K128" s="28" t="e">
        <f>((Tabela2[[#This Row],[TW - Terminal B ]]-Tabela2[[#This Row],[KM]])/(Tabela2[[#This Row],[KM]]))</f>
        <v>#DIV/0!</v>
      </c>
      <c r="L128" s="43" t="s">
        <v>183</v>
      </c>
      <c r="M128" s="35"/>
      <c r="N128" s="43" t="s">
        <v>115</v>
      </c>
      <c r="O128" s="125"/>
      <c r="P128" s="6"/>
      <c r="Q128"/>
      <c r="R128"/>
    </row>
    <row r="129" spans="1:18" x14ac:dyDescent="0.3">
      <c r="A129" s="30" t="s">
        <v>484</v>
      </c>
      <c r="B129" s="30" t="s">
        <v>455</v>
      </c>
      <c r="C129" s="31" t="s">
        <v>82</v>
      </c>
      <c r="D129" s="83" t="s">
        <v>460</v>
      </c>
      <c r="E129" s="37">
        <v>45976</v>
      </c>
      <c r="F129" s="42">
        <v>0.10694444444444444</v>
      </c>
      <c r="G129" s="160"/>
      <c r="H129" s="130">
        <v>75.67</v>
      </c>
      <c r="I129" s="28">
        <f>((Tabela2[[#This Row],[TW - Terminal A]]-Tabela2[[#This Row],[KM]])/(Tabela2[[#This Row],[KM]]))</f>
        <v>-1.188299817184639E-2</v>
      </c>
      <c r="J129" s="35"/>
      <c r="K129" s="166">
        <f>((Tabela2[[#This Row],[TW - Terminal B ]]-Tabela2[[#This Row],[KM]])/(Tabela2[[#This Row],[KM]]))</f>
        <v>-1</v>
      </c>
      <c r="L129" s="43" t="s">
        <v>163</v>
      </c>
      <c r="M129" s="130">
        <v>76.58</v>
      </c>
      <c r="N129" s="43" t="s">
        <v>115</v>
      </c>
      <c r="O129" s="125"/>
      <c r="P129" s="6"/>
      <c r="Q129"/>
      <c r="R129"/>
    </row>
    <row r="130" spans="1:18" x14ac:dyDescent="0.3">
      <c r="A130" s="30" t="s">
        <v>47</v>
      </c>
      <c r="B130" s="30" t="s">
        <v>455</v>
      </c>
      <c r="C130" s="31" t="s">
        <v>66</v>
      </c>
      <c r="D130" s="30" t="s">
        <v>451</v>
      </c>
      <c r="E130" s="32">
        <v>41012</v>
      </c>
      <c r="F130" s="33">
        <v>0.53125</v>
      </c>
      <c r="G130" s="33"/>
      <c r="H130" s="35"/>
      <c r="I130" s="28">
        <f>((Tabela2[[#This Row],[TW - Terminal A]]-Tabela2[[#This Row],[KM]])/(Tabela2[[#This Row],[KM]]))</f>
        <v>-1</v>
      </c>
      <c r="J130" s="35"/>
      <c r="K130" s="28">
        <f>((Tabela2[[#This Row],[TW - Terminal B ]]-Tabela2[[#This Row],[KM]])/(Tabela2[[#This Row],[KM]]))</f>
        <v>-1</v>
      </c>
      <c r="L130" s="34" t="s">
        <v>161</v>
      </c>
      <c r="M130" s="35">
        <v>122.5</v>
      </c>
      <c r="N130" s="34" t="s">
        <v>114</v>
      </c>
      <c r="O130" s="108"/>
      <c r="P130" s="6"/>
      <c r="Q130"/>
      <c r="R130"/>
    </row>
    <row r="131" spans="1:18" x14ac:dyDescent="0.3">
      <c r="A131" s="30" t="s">
        <v>47</v>
      </c>
      <c r="B131" s="30" t="s">
        <v>455</v>
      </c>
      <c r="C131" s="31" t="s">
        <v>66</v>
      </c>
      <c r="D131" s="30" t="s">
        <v>451</v>
      </c>
      <c r="E131" s="32">
        <v>41085</v>
      </c>
      <c r="F131" s="33">
        <v>0.92499999999999993</v>
      </c>
      <c r="G131" s="33"/>
      <c r="H131" s="35">
        <v>81.599999999999994</v>
      </c>
      <c r="I131" s="28">
        <f>((Tabela2[[#This Row],[TW - Terminal A]]-Tabela2[[#This Row],[KM]])/(Tabela2[[#This Row],[KM]]))</f>
        <v>-3.3862183282026989E-2</v>
      </c>
      <c r="J131" s="35">
        <v>173.4</v>
      </c>
      <c r="K131" s="28">
        <f>((Tabela2[[#This Row],[TW - Terminal B ]]-Tabela2[[#This Row],[KM]])/(Tabela2[[#This Row],[KM]]))</f>
        <v>1.053042860525693</v>
      </c>
      <c r="L131" s="34" t="s">
        <v>163</v>
      </c>
      <c r="M131" s="35">
        <v>84.46</v>
      </c>
      <c r="N131" s="34" t="s">
        <v>115</v>
      </c>
      <c r="O131" s="108"/>
      <c r="P131" s="6"/>
      <c r="Q131"/>
      <c r="R131"/>
    </row>
    <row r="132" spans="1:18" x14ac:dyDescent="0.3">
      <c r="A132" s="30" t="s">
        <v>47</v>
      </c>
      <c r="B132" s="30" t="s">
        <v>455</v>
      </c>
      <c r="C132" s="31" t="s">
        <v>66</v>
      </c>
      <c r="D132" s="30" t="s">
        <v>451</v>
      </c>
      <c r="E132" s="32">
        <v>41092</v>
      </c>
      <c r="F132" s="33">
        <v>0.71458333333333324</v>
      </c>
      <c r="G132" s="33"/>
      <c r="H132" s="35"/>
      <c r="I132" s="28">
        <f>((Tabela2[[#This Row],[TW - Terminal A]]-Tabela2[[#This Row],[KM]])/(Tabela2[[#This Row],[KM]]))</f>
        <v>-1</v>
      </c>
      <c r="J132" s="35"/>
      <c r="K132" s="28">
        <f>((Tabela2[[#This Row],[TW - Terminal B ]]-Tabela2[[#This Row],[KM]])/(Tabela2[[#This Row],[KM]]))</f>
        <v>-1</v>
      </c>
      <c r="L132" s="34" t="s">
        <v>164</v>
      </c>
      <c r="M132" s="35">
        <v>218.4</v>
      </c>
      <c r="N132" s="34" t="s">
        <v>111</v>
      </c>
      <c r="O132" s="108"/>
      <c r="P132" s="6"/>
      <c r="Q132"/>
      <c r="R132"/>
    </row>
    <row r="133" spans="1:18" x14ac:dyDescent="0.3">
      <c r="A133" s="30" t="s">
        <v>47</v>
      </c>
      <c r="B133" s="30" t="s">
        <v>455</v>
      </c>
      <c r="C133" s="31" t="s">
        <v>66</v>
      </c>
      <c r="D133" s="30" t="s">
        <v>451</v>
      </c>
      <c r="E133" s="32">
        <v>41127</v>
      </c>
      <c r="F133" s="33">
        <v>0.42638888888888887</v>
      </c>
      <c r="G133" s="33"/>
      <c r="H133" s="35"/>
      <c r="I133" s="28">
        <f>((Tabela2[[#This Row],[TW - Terminal A]]-Tabela2[[#This Row],[KM]])/(Tabela2[[#This Row],[KM]]))</f>
        <v>-1</v>
      </c>
      <c r="J133" s="35"/>
      <c r="K133" s="28">
        <f>((Tabela2[[#This Row],[TW - Terminal B ]]-Tabela2[[#This Row],[KM]])/(Tabela2[[#This Row],[KM]]))</f>
        <v>-1</v>
      </c>
      <c r="L133" s="34" t="s">
        <v>166</v>
      </c>
      <c r="M133" s="35">
        <v>216.81</v>
      </c>
      <c r="N133" s="34" t="s">
        <v>111</v>
      </c>
      <c r="O133" s="108"/>
      <c r="P133" s="6"/>
      <c r="Q133"/>
      <c r="R133"/>
    </row>
    <row r="134" spans="1:18" x14ac:dyDescent="0.3">
      <c r="A134" s="30" t="s">
        <v>48</v>
      </c>
      <c r="B134" s="30" t="s">
        <v>455</v>
      </c>
      <c r="C134" s="31" t="s">
        <v>75</v>
      </c>
      <c r="D134" s="85" t="s">
        <v>451</v>
      </c>
      <c r="E134" s="90">
        <v>40844</v>
      </c>
      <c r="F134" s="39">
        <v>0.72569444444444453</v>
      </c>
      <c r="G134" s="39"/>
      <c r="H134" s="104"/>
      <c r="I134" s="28" t="e">
        <f>((Tabela2[[#This Row],[TW - Terminal A]]-Tabela2[[#This Row],[KM]])/(Tabela2[[#This Row],[KM]]))</f>
        <v>#DIV/0!</v>
      </c>
      <c r="J134" s="104"/>
      <c r="K134" s="28" t="e">
        <f>((Tabela2[[#This Row],[TW - Terminal B ]]-Tabela2[[#This Row],[KM]])/(Tabela2[[#This Row],[KM]]))</f>
        <v>#DIV/0!</v>
      </c>
      <c r="L134" s="40" t="s">
        <v>336</v>
      </c>
      <c r="M134" s="104"/>
      <c r="N134" s="43" t="s">
        <v>109</v>
      </c>
      <c r="O134" s="111"/>
      <c r="P134" s="6"/>
      <c r="Q134"/>
      <c r="R134"/>
    </row>
    <row r="135" spans="1:18" x14ac:dyDescent="0.3">
      <c r="A135" s="30" t="s">
        <v>48</v>
      </c>
      <c r="B135" s="30" t="s">
        <v>455</v>
      </c>
      <c r="C135" s="31" t="s">
        <v>320</v>
      </c>
      <c r="D135" s="85" t="s">
        <v>451</v>
      </c>
      <c r="E135" s="90">
        <v>40800</v>
      </c>
      <c r="F135" s="39">
        <v>0.63750000000000007</v>
      </c>
      <c r="G135" s="39"/>
      <c r="H135" s="104"/>
      <c r="I135" s="28" t="e">
        <f>((Tabela2[[#This Row],[TW - Terminal A]]-Tabela2[[#This Row],[KM]])/(Tabela2[[#This Row],[KM]]))</f>
        <v>#DIV/0!</v>
      </c>
      <c r="J135" s="104"/>
      <c r="K135" s="28" t="e">
        <f>((Tabela2[[#This Row],[TW - Terminal B ]]-Tabela2[[#This Row],[KM]])/(Tabela2[[#This Row],[KM]]))</f>
        <v>#DIV/0!</v>
      </c>
      <c r="L135" s="40"/>
      <c r="M135" s="104"/>
      <c r="N135" s="43" t="s">
        <v>111</v>
      </c>
      <c r="O135" s="111"/>
      <c r="P135" s="6"/>
      <c r="Q135"/>
      <c r="R135"/>
    </row>
    <row r="136" spans="1:18" x14ac:dyDescent="0.3">
      <c r="A136" s="30" t="s">
        <v>48</v>
      </c>
      <c r="B136" s="30" t="s">
        <v>455</v>
      </c>
      <c r="C136" s="31" t="s">
        <v>320</v>
      </c>
      <c r="D136" s="85" t="s">
        <v>451</v>
      </c>
      <c r="E136" s="90">
        <v>40810</v>
      </c>
      <c r="F136" s="39">
        <v>0.53263888888888888</v>
      </c>
      <c r="G136" s="39"/>
      <c r="H136" s="104"/>
      <c r="I136" s="28" t="e">
        <f>((Tabela2[[#This Row],[TW - Terminal A]]-Tabela2[[#This Row],[KM]])/(Tabela2[[#This Row],[KM]]))</f>
        <v>#DIV/0!</v>
      </c>
      <c r="J136" s="104"/>
      <c r="K136" s="28" t="e">
        <f>((Tabela2[[#This Row],[TW - Terminal B ]]-Tabela2[[#This Row],[KM]])/(Tabela2[[#This Row],[KM]]))</f>
        <v>#DIV/0!</v>
      </c>
      <c r="L136" s="40" t="s">
        <v>340</v>
      </c>
      <c r="M136" s="104"/>
      <c r="N136" s="43" t="s">
        <v>111</v>
      </c>
      <c r="O136" s="108"/>
      <c r="P136" s="6"/>
      <c r="Q136"/>
      <c r="R136"/>
    </row>
    <row r="137" spans="1:18" x14ac:dyDescent="0.3">
      <c r="A137" s="30" t="s">
        <v>48</v>
      </c>
      <c r="B137" s="30" t="s">
        <v>455</v>
      </c>
      <c r="C137" s="31" t="s">
        <v>75</v>
      </c>
      <c r="D137" s="30" t="s">
        <v>451</v>
      </c>
      <c r="E137" s="90">
        <v>40965</v>
      </c>
      <c r="F137" s="39">
        <v>0.54652777777777772</v>
      </c>
      <c r="G137" s="39"/>
      <c r="H137" s="104"/>
      <c r="I137" s="28" t="e">
        <f>((Tabela2[[#This Row],[TW - Terminal A]]-Tabela2[[#This Row],[KM]])/(Tabela2[[#This Row],[KM]]))</f>
        <v>#DIV/0!</v>
      </c>
      <c r="J137" s="104"/>
      <c r="K137" s="28" t="e">
        <f>((Tabela2[[#This Row],[TW - Terminal B ]]-Tabela2[[#This Row],[KM]])/(Tabela2[[#This Row],[KM]]))</f>
        <v>#DIV/0!</v>
      </c>
      <c r="L137" s="34" t="s">
        <v>4</v>
      </c>
      <c r="M137" s="104"/>
      <c r="N137" s="43" t="s">
        <v>114</v>
      </c>
      <c r="O137" s="108" t="s">
        <v>131</v>
      </c>
      <c r="P137" s="6"/>
      <c r="Q137"/>
      <c r="R137"/>
    </row>
    <row r="138" spans="1:18" x14ac:dyDescent="0.3">
      <c r="A138" s="30" t="s">
        <v>48</v>
      </c>
      <c r="B138" s="30" t="s">
        <v>455</v>
      </c>
      <c r="C138" s="31" t="s">
        <v>75</v>
      </c>
      <c r="D138" s="30" t="s">
        <v>451</v>
      </c>
      <c r="E138" s="90">
        <v>41255</v>
      </c>
      <c r="F138" s="39">
        <v>0.49583333333333335</v>
      </c>
      <c r="G138" s="39"/>
      <c r="H138" s="104"/>
      <c r="I138" s="28" t="e">
        <f>((Tabela2[[#This Row],[TW - Terminal A]]-Tabela2[[#This Row],[KM]])/(Tabela2[[#This Row],[KM]]))</f>
        <v>#DIV/0!</v>
      </c>
      <c r="J138" s="104"/>
      <c r="K138" s="28" t="e">
        <f>((Tabela2[[#This Row],[TW - Terminal B ]]-Tabela2[[#This Row],[KM]])/(Tabela2[[#This Row],[KM]]))</f>
        <v>#DIV/0!</v>
      </c>
      <c r="L138" s="40" t="s">
        <v>343</v>
      </c>
      <c r="M138" s="104"/>
      <c r="N138" s="43" t="s">
        <v>109</v>
      </c>
      <c r="O138" s="108"/>
      <c r="P138" s="6"/>
      <c r="Q138"/>
      <c r="R138"/>
    </row>
    <row r="139" spans="1:18" x14ac:dyDescent="0.3">
      <c r="A139" s="30" t="s">
        <v>48</v>
      </c>
      <c r="B139" s="30" t="s">
        <v>455</v>
      </c>
      <c r="C139" s="31" t="s">
        <v>320</v>
      </c>
      <c r="D139" s="30" t="s">
        <v>451</v>
      </c>
      <c r="E139" s="90">
        <v>41164</v>
      </c>
      <c r="F139" s="39">
        <v>0.54791666666666672</v>
      </c>
      <c r="G139" s="39"/>
      <c r="H139" s="104"/>
      <c r="I139" s="28" t="e">
        <f>((Tabela2[[#This Row],[TW - Terminal A]]-Tabela2[[#This Row],[KM]])/(Tabela2[[#This Row],[KM]]))</f>
        <v>#DIV/0!</v>
      </c>
      <c r="J139" s="104"/>
      <c r="K139" s="28" t="e">
        <f>((Tabela2[[#This Row],[TW - Terminal B ]]-Tabela2[[#This Row],[KM]])/(Tabela2[[#This Row],[KM]]))</f>
        <v>#DIV/0!</v>
      </c>
      <c r="L139" s="40" t="s">
        <v>345</v>
      </c>
      <c r="M139" s="104"/>
      <c r="N139" s="43" t="s">
        <v>111</v>
      </c>
      <c r="O139" s="111"/>
      <c r="P139" s="6"/>
      <c r="Q139"/>
      <c r="R139"/>
    </row>
    <row r="140" spans="1:18" x14ac:dyDescent="0.3">
      <c r="A140" s="30" t="s">
        <v>48</v>
      </c>
      <c r="B140" s="30" t="s">
        <v>455</v>
      </c>
      <c r="C140" s="31" t="s">
        <v>320</v>
      </c>
      <c r="D140" s="30" t="s">
        <v>451</v>
      </c>
      <c r="E140" s="90">
        <v>41216</v>
      </c>
      <c r="F140" s="39">
        <v>0.74652777777777779</v>
      </c>
      <c r="G140" s="39"/>
      <c r="H140" s="104"/>
      <c r="I140" s="28" t="e">
        <f>((Tabela2[[#This Row],[TW - Terminal A]]-Tabela2[[#This Row],[KM]])/(Tabela2[[#This Row],[KM]]))</f>
        <v>#DIV/0!</v>
      </c>
      <c r="J140" s="104"/>
      <c r="K140" s="28" t="e">
        <f>((Tabela2[[#This Row],[TW - Terminal B ]]-Tabela2[[#This Row],[KM]])/(Tabela2[[#This Row],[KM]]))</f>
        <v>#DIV/0!</v>
      </c>
      <c r="L140" s="40" t="s">
        <v>350</v>
      </c>
      <c r="M140" s="104"/>
      <c r="N140" s="43" t="s">
        <v>109</v>
      </c>
      <c r="O140" s="108"/>
      <c r="P140" s="6"/>
      <c r="Q140"/>
      <c r="R140"/>
    </row>
    <row r="141" spans="1:18" x14ac:dyDescent="0.3">
      <c r="A141" s="30" t="s">
        <v>48</v>
      </c>
      <c r="B141" s="30" t="s">
        <v>455</v>
      </c>
      <c r="C141" s="31" t="s">
        <v>320</v>
      </c>
      <c r="D141" s="30" t="s">
        <v>451</v>
      </c>
      <c r="E141" s="90">
        <v>41220</v>
      </c>
      <c r="F141" s="39">
        <v>0.7055555555555556</v>
      </c>
      <c r="G141" s="39"/>
      <c r="H141" s="104"/>
      <c r="I141" s="28" t="e">
        <f>((Tabela2[[#This Row],[TW - Terminal A]]-Tabela2[[#This Row],[KM]])/(Tabela2[[#This Row],[KM]]))</f>
        <v>#DIV/0!</v>
      </c>
      <c r="J141" s="104"/>
      <c r="K141" s="28" t="e">
        <f>((Tabela2[[#This Row],[TW - Terminal B ]]-Tabela2[[#This Row],[KM]])/(Tabela2[[#This Row],[KM]]))</f>
        <v>#DIV/0!</v>
      </c>
      <c r="L141" s="40"/>
      <c r="M141" s="104"/>
      <c r="N141" s="43" t="s">
        <v>114</v>
      </c>
      <c r="O141" s="108" t="s">
        <v>131</v>
      </c>
      <c r="P141" s="6"/>
      <c r="Q141"/>
      <c r="R141"/>
    </row>
    <row r="142" spans="1:18" x14ac:dyDescent="0.3">
      <c r="A142" s="30" t="s">
        <v>48</v>
      </c>
      <c r="B142" s="30" t="s">
        <v>455</v>
      </c>
      <c r="C142" s="31" t="s">
        <v>320</v>
      </c>
      <c r="D142" s="30" t="s">
        <v>451</v>
      </c>
      <c r="E142" s="90">
        <v>41605</v>
      </c>
      <c r="F142" s="39">
        <v>0.69513888888888886</v>
      </c>
      <c r="G142" s="39"/>
      <c r="H142" s="104"/>
      <c r="I142" s="28" t="e">
        <f>((Tabela2[[#This Row],[TW - Terminal A]]-Tabela2[[#This Row],[KM]])/(Tabela2[[#This Row],[KM]]))</f>
        <v>#DIV/0!</v>
      </c>
      <c r="J142" s="104"/>
      <c r="K142" s="28" t="e">
        <f>((Tabela2[[#This Row],[TW - Terminal B ]]-Tabela2[[#This Row],[KM]])/(Tabela2[[#This Row],[KM]]))</f>
        <v>#DIV/0!</v>
      </c>
      <c r="L142" s="40" t="s">
        <v>197</v>
      </c>
      <c r="M142" s="104"/>
      <c r="N142" s="43" t="s">
        <v>109</v>
      </c>
      <c r="O142" s="108"/>
      <c r="P142" s="6"/>
      <c r="Q142"/>
      <c r="R142"/>
    </row>
    <row r="143" spans="1:18" x14ac:dyDescent="0.3">
      <c r="A143" s="30" t="s">
        <v>48</v>
      </c>
      <c r="B143" s="30" t="s">
        <v>455</v>
      </c>
      <c r="C143" s="31" t="s">
        <v>320</v>
      </c>
      <c r="D143" s="30" t="s">
        <v>451</v>
      </c>
      <c r="E143" s="90">
        <v>41632</v>
      </c>
      <c r="F143" s="39">
        <v>0.65972222222222221</v>
      </c>
      <c r="G143" s="39"/>
      <c r="H143" s="104"/>
      <c r="I143" s="28" t="e">
        <f>((Tabela2[[#This Row],[TW - Terminal A]]-Tabela2[[#This Row],[KM]])/(Tabela2[[#This Row],[KM]]))</f>
        <v>#DIV/0!</v>
      </c>
      <c r="J143" s="104"/>
      <c r="K143" s="28" t="e">
        <f>((Tabela2[[#This Row],[TW - Terminal B ]]-Tabela2[[#This Row],[KM]])/(Tabela2[[#This Row],[KM]]))</f>
        <v>#DIV/0!</v>
      </c>
      <c r="L143" s="40" t="s">
        <v>354</v>
      </c>
      <c r="M143" s="104"/>
      <c r="N143" s="43" t="s">
        <v>109</v>
      </c>
      <c r="O143" s="111"/>
      <c r="P143" s="6"/>
      <c r="Q143"/>
      <c r="R143"/>
    </row>
    <row r="144" spans="1:18" x14ac:dyDescent="0.3">
      <c r="A144" s="30" t="s">
        <v>48</v>
      </c>
      <c r="B144" s="30" t="s">
        <v>455</v>
      </c>
      <c r="C144" s="31" t="s">
        <v>75</v>
      </c>
      <c r="D144" s="83" t="s">
        <v>451</v>
      </c>
      <c r="E144" s="90">
        <v>42259</v>
      </c>
      <c r="F144" s="39">
        <v>0.75486111111111109</v>
      </c>
      <c r="G144" s="39"/>
      <c r="H144" s="104"/>
      <c r="I144" s="28" t="e">
        <f>((Tabela2[[#This Row],[TW - Terminal A]]-Tabela2[[#This Row],[KM]])/(Tabela2[[#This Row],[KM]]))</f>
        <v>#DIV/0!</v>
      </c>
      <c r="J144" s="104"/>
      <c r="K144" s="28" t="e">
        <f>((Tabela2[[#This Row],[TW - Terminal B ]]-Tabela2[[#This Row],[KM]])/(Tabela2[[#This Row],[KM]]))</f>
        <v>#DIV/0!</v>
      </c>
      <c r="L144" s="40" t="s">
        <v>361</v>
      </c>
      <c r="M144" s="104"/>
      <c r="N144" s="43" t="s">
        <v>111</v>
      </c>
      <c r="O144" s="108"/>
    </row>
    <row r="145" spans="1:18" x14ac:dyDescent="0.3">
      <c r="A145" s="30" t="s">
        <v>48</v>
      </c>
      <c r="B145" s="30" t="s">
        <v>455</v>
      </c>
      <c r="C145" s="31" t="s">
        <v>320</v>
      </c>
      <c r="D145" s="83" t="s">
        <v>451</v>
      </c>
      <c r="E145" s="90">
        <v>42271</v>
      </c>
      <c r="F145" s="39">
        <v>0.67013888888888884</v>
      </c>
      <c r="G145" s="39"/>
      <c r="H145" s="104"/>
      <c r="I145" s="28" t="e">
        <f>((Tabela2[[#This Row],[TW - Terminal A]]-Tabela2[[#This Row],[KM]])/(Tabela2[[#This Row],[KM]]))</f>
        <v>#DIV/0!</v>
      </c>
      <c r="J145" s="104"/>
      <c r="K145" s="28" t="e">
        <f>((Tabela2[[#This Row],[TW - Terminal B ]]-Tabela2[[#This Row],[KM]])/(Tabela2[[#This Row],[KM]]))</f>
        <v>#DIV/0!</v>
      </c>
      <c r="L145" s="40" t="s">
        <v>364</v>
      </c>
      <c r="M145" s="104"/>
      <c r="N145" s="43" t="s">
        <v>111</v>
      </c>
      <c r="O145" s="108"/>
    </row>
    <row r="146" spans="1:18" x14ac:dyDescent="0.3">
      <c r="A146" s="30" t="s">
        <v>48</v>
      </c>
      <c r="B146" s="30" t="s">
        <v>455</v>
      </c>
      <c r="C146" s="31" t="s">
        <v>75</v>
      </c>
      <c r="D146" s="83" t="s">
        <v>451</v>
      </c>
      <c r="E146" s="90">
        <v>42751</v>
      </c>
      <c r="F146" s="39">
        <v>0.5493055555555556</v>
      </c>
      <c r="G146" s="39"/>
      <c r="H146" s="104"/>
      <c r="I146" s="28" t="e">
        <f>((Tabela2[[#This Row],[TW - Terminal A]]-Tabela2[[#This Row],[KM]])/(Tabela2[[#This Row],[KM]]))</f>
        <v>#DIV/0!</v>
      </c>
      <c r="J146" s="104"/>
      <c r="K146" s="28" t="e">
        <f>((Tabela2[[#This Row],[TW - Terminal B ]]-Tabela2[[#This Row],[KM]])/(Tabela2[[#This Row],[KM]]))</f>
        <v>#DIV/0!</v>
      </c>
      <c r="L146" s="40" t="s">
        <v>206</v>
      </c>
      <c r="M146" s="104"/>
      <c r="N146" s="43" t="s">
        <v>109</v>
      </c>
      <c r="O146" s="108"/>
    </row>
    <row r="147" spans="1:18" x14ac:dyDescent="0.3">
      <c r="A147" s="30" t="s">
        <v>48</v>
      </c>
      <c r="B147" s="30" t="s">
        <v>455</v>
      </c>
      <c r="C147" s="31" t="s">
        <v>75</v>
      </c>
      <c r="D147" s="83" t="s">
        <v>451</v>
      </c>
      <c r="E147" s="90">
        <v>42958</v>
      </c>
      <c r="F147" s="39">
        <v>0.90208333333333335</v>
      </c>
      <c r="G147" s="39"/>
      <c r="H147" s="104"/>
      <c r="I147" s="28" t="e">
        <f>((Tabela2[[#This Row],[TW - Terminal A]]-Tabela2[[#This Row],[KM]])/(Tabela2[[#This Row],[KM]]))</f>
        <v>#DIV/0!</v>
      </c>
      <c r="J147" s="104"/>
      <c r="K147" s="28" t="e">
        <f>((Tabela2[[#This Row],[TW - Terminal B ]]-Tabela2[[#This Row],[KM]])/(Tabela2[[#This Row],[KM]]))</f>
        <v>#DIV/0!</v>
      </c>
      <c r="L147" s="40" t="s">
        <v>366</v>
      </c>
      <c r="M147" s="104"/>
      <c r="N147" s="43" t="s">
        <v>115</v>
      </c>
      <c r="O147" s="108"/>
    </row>
    <row r="148" spans="1:18" x14ac:dyDescent="0.3">
      <c r="A148" s="30" t="s">
        <v>48</v>
      </c>
      <c r="B148" s="30" t="s">
        <v>455</v>
      </c>
      <c r="C148" s="31" t="s">
        <v>75</v>
      </c>
      <c r="D148" s="83" t="s">
        <v>451</v>
      </c>
      <c r="E148" s="90">
        <v>43079</v>
      </c>
      <c r="F148" s="39">
        <v>0.98750000000000004</v>
      </c>
      <c r="G148" s="39"/>
      <c r="H148" s="104"/>
      <c r="I148" s="28" t="e">
        <f>((Tabela2[[#This Row],[TW - Terminal A]]-Tabela2[[#This Row],[KM]])/(Tabela2[[#This Row],[KM]]))</f>
        <v>#DIV/0!</v>
      </c>
      <c r="J148" s="104"/>
      <c r="K148" s="28" t="e">
        <f>((Tabela2[[#This Row],[TW - Terminal B ]]-Tabela2[[#This Row],[KM]])/(Tabela2[[#This Row],[KM]]))</f>
        <v>#DIV/0!</v>
      </c>
      <c r="L148" s="40" t="s">
        <v>367</v>
      </c>
      <c r="M148" s="104"/>
      <c r="N148" s="43" t="s">
        <v>115</v>
      </c>
      <c r="O148" s="108"/>
    </row>
    <row r="149" spans="1:18" x14ac:dyDescent="0.3">
      <c r="A149" s="133" t="s">
        <v>48</v>
      </c>
      <c r="B149" s="30" t="s">
        <v>455</v>
      </c>
      <c r="C149" s="31" t="s">
        <v>320</v>
      </c>
      <c r="D149" t="s">
        <v>451</v>
      </c>
      <c r="E149" s="140">
        <v>43045</v>
      </c>
      <c r="F149" s="39">
        <v>0.65277777777777779</v>
      </c>
      <c r="G149" s="39"/>
      <c r="H149" s="104"/>
      <c r="I149" s="28" t="e">
        <f>((Tabela2[[#This Row],[TW - Terminal A]]-Tabela2[[#This Row],[KM]])/(Tabela2[[#This Row],[KM]]))</f>
        <v>#DIV/0!</v>
      </c>
      <c r="J149" s="104"/>
      <c r="K149" s="28" t="e">
        <f>((Tabela2[[#This Row],[TW - Terminal B ]]-Tabela2[[#This Row],[KM]])/(Tabela2[[#This Row],[KM]]))</f>
        <v>#DIV/0!</v>
      </c>
      <c r="L149" s="40" t="s">
        <v>283</v>
      </c>
      <c r="M149" s="104"/>
      <c r="N149" s="43" t="s">
        <v>109</v>
      </c>
      <c r="O149" s="108"/>
    </row>
    <row r="150" spans="1:18" x14ac:dyDescent="0.3">
      <c r="A150" s="133" t="s">
        <v>48</v>
      </c>
      <c r="B150" s="30" t="s">
        <v>455</v>
      </c>
      <c r="C150" s="31" t="s">
        <v>320</v>
      </c>
      <c r="D150" t="s">
        <v>451</v>
      </c>
      <c r="E150" s="140">
        <v>43384</v>
      </c>
      <c r="F150" s="39">
        <v>0.60763888888888884</v>
      </c>
      <c r="G150" s="39"/>
      <c r="H150" s="104"/>
      <c r="I150" s="28" t="e">
        <f>((Tabela2[[#This Row],[TW - Terminal A]]-Tabela2[[#This Row],[KM]])/(Tabela2[[#This Row],[KM]]))</f>
        <v>#DIV/0!</v>
      </c>
      <c r="J150" s="104"/>
      <c r="K150" s="28" t="e">
        <f>((Tabela2[[#This Row],[TW - Terminal B ]]-Tabela2[[#This Row],[KM]])/(Tabela2[[#This Row],[KM]]))</f>
        <v>#DIV/0!</v>
      </c>
      <c r="L150" s="40" t="s">
        <v>370</v>
      </c>
      <c r="M150" s="104"/>
      <c r="N150" s="43" t="s">
        <v>111</v>
      </c>
      <c r="O150" s="108"/>
    </row>
    <row r="151" spans="1:18" x14ac:dyDescent="0.3">
      <c r="A151" s="30" t="s">
        <v>48</v>
      </c>
      <c r="B151" s="30" t="s">
        <v>455</v>
      </c>
      <c r="C151" s="31" t="s">
        <v>320</v>
      </c>
      <c r="D151" s="83" t="s">
        <v>451</v>
      </c>
      <c r="E151" s="90">
        <v>43537</v>
      </c>
      <c r="F151" s="39">
        <v>0.7729166666666667</v>
      </c>
      <c r="G151" s="39"/>
      <c r="H151" s="104"/>
      <c r="I151" s="28" t="e">
        <f>((Tabela2[[#This Row],[TW - Terminal A]]-Tabela2[[#This Row],[KM]])/(Tabela2[[#This Row],[KM]]))</f>
        <v>#DIV/0!</v>
      </c>
      <c r="J151" s="104"/>
      <c r="K151" s="28" t="e">
        <f>((Tabela2[[#This Row],[TW - Terminal B ]]-Tabela2[[#This Row],[KM]])/(Tabela2[[#This Row],[KM]]))</f>
        <v>#DIV/0!</v>
      </c>
      <c r="L151" s="40" t="s">
        <v>329</v>
      </c>
      <c r="M151" s="104"/>
      <c r="N151" s="43" t="s">
        <v>109</v>
      </c>
      <c r="O151" s="108"/>
    </row>
    <row r="152" spans="1:18" x14ac:dyDescent="0.3">
      <c r="A152" s="30" t="s">
        <v>48</v>
      </c>
      <c r="B152" s="30" t="s">
        <v>455</v>
      </c>
      <c r="C152" s="31" t="s">
        <v>320</v>
      </c>
      <c r="D152" s="83" t="s">
        <v>451</v>
      </c>
      <c r="E152" s="90">
        <v>43546</v>
      </c>
      <c r="F152" s="39">
        <v>0.82638888888888884</v>
      </c>
      <c r="G152" s="39"/>
      <c r="H152" s="104"/>
      <c r="I152" s="28" t="e">
        <f>((Tabela2[[#This Row],[TW - Terminal A]]-Tabela2[[#This Row],[KM]])/(Tabela2[[#This Row],[KM]]))</f>
        <v>#DIV/0!</v>
      </c>
      <c r="J152" s="104"/>
      <c r="K152" s="28" t="e">
        <f>((Tabela2[[#This Row],[TW - Terminal B ]]-Tabela2[[#This Row],[KM]])/(Tabela2[[#This Row],[KM]]))</f>
        <v>#DIV/0!</v>
      </c>
      <c r="L152" s="40" t="s">
        <v>283</v>
      </c>
      <c r="M152" s="104"/>
      <c r="N152" s="43" t="s">
        <v>109</v>
      </c>
      <c r="O152" s="108"/>
    </row>
    <row r="153" spans="1:18" s="2" customFormat="1" x14ac:dyDescent="0.3">
      <c r="A153" s="30" t="s">
        <v>48</v>
      </c>
      <c r="B153" s="30" t="s">
        <v>455</v>
      </c>
      <c r="C153" s="31" t="s">
        <v>320</v>
      </c>
      <c r="D153" s="83" t="s">
        <v>451</v>
      </c>
      <c r="E153" s="90">
        <v>43744</v>
      </c>
      <c r="F153" s="39">
        <v>0.60138888888888886</v>
      </c>
      <c r="G153" s="39"/>
      <c r="H153" s="104"/>
      <c r="I153" s="28" t="e">
        <f>((Tabela2[[#This Row],[TW - Terminal A]]-Tabela2[[#This Row],[KM]])/(Tabela2[[#This Row],[KM]]))</f>
        <v>#DIV/0!</v>
      </c>
      <c r="J153" s="104"/>
      <c r="K153" s="28" t="e">
        <f>((Tabela2[[#This Row],[TW - Terminal B ]]-Tabela2[[#This Row],[KM]])/(Tabela2[[#This Row],[KM]]))</f>
        <v>#DIV/0!</v>
      </c>
      <c r="L153" s="40" t="s">
        <v>373</v>
      </c>
      <c r="M153" s="104"/>
      <c r="N153" s="43" t="s">
        <v>114</v>
      </c>
      <c r="O153" s="108"/>
      <c r="P153" s="5"/>
      <c r="Q153" s="1"/>
      <c r="R153" s="1"/>
    </row>
    <row r="154" spans="1:18" x14ac:dyDescent="0.3">
      <c r="A154" s="30" t="s">
        <v>48</v>
      </c>
      <c r="B154" s="30" t="s">
        <v>455</v>
      </c>
      <c r="C154" s="31" t="s">
        <v>320</v>
      </c>
      <c r="D154" s="83" t="s">
        <v>451</v>
      </c>
      <c r="E154" s="90">
        <v>43762</v>
      </c>
      <c r="F154" s="39">
        <v>0.29305555555555557</v>
      </c>
      <c r="G154" s="39"/>
      <c r="H154" s="104"/>
      <c r="I154" s="28" t="e">
        <f>((Tabela2[[#This Row],[TW - Terminal A]]-Tabela2[[#This Row],[KM]])/(Tabela2[[#This Row],[KM]]))</f>
        <v>#DIV/0!</v>
      </c>
      <c r="J154" s="104"/>
      <c r="K154" s="28" t="e">
        <f>((Tabela2[[#This Row],[TW - Terminal B ]]-Tabela2[[#This Row],[KM]])/(Tabela2[[#This Row],[KM]]))</f>
        <v>#DIV/0!</v>
      </c>
      <c r="L154" s="40" t="s">
        <v>377</v>
      </c>
      <c r="M154" s="104"/>
      <c r="N154" s="43" t="s">
        <v>109</v>
      </c>
      <c r="O154" s="108"/>
    </row>
    <row r="155" spans="1:18" s="2" customFormat="1" x14ac:dyDescent="0.3">
      <c r="A155" s="30" t="s">
        <v>48</v>
      </c>
      <c r="B155" s="30" t="s">
        <v>455</v>
      </c>
      <c r="C155" s="31" t="s">
        <v>320</v>
      </c>
      <c r="D155" s="83" t="s">
        <v>451</v>
      </c>
      <c r="E155" s="90">
        <v>43824</v>
      </c>
      <c r="F155" s="39">
        <v>0.59236111111111112</v>
      </c>
      <c r="G155" s="39"/>
      <c r="H155" s="104"/>
      <c r="I155" s="28" t="e">
        <f>((Tabela2[[#This Row],[TW - Terminal A]]-Tabela2[[#This Row],[KM]])/(Tabela2[[#This Row],[KM]]))</f>
        <v>#DIV/0!</v>
      </c>
      <c r="J155" s="104"/>
      <c r="K155" s="28" t="e">
        <f>((Tabela2[[#This Row],[TW - Terminal B ]]-Tabela2[[#This Row],[KM]])/(Tabela2[[#This Row],[KM]]))</f>
        <v>#DIV/0!</v>
      </c>
      <c r="L155" s="40" t="s">
        <v>379</v>
      </c>
      <c r="M155" s="104"/>
      <c r="N155" s="43" t="s">
        <v>109</v>
      </c>
      <c r="O155" s="108"/>
      <c r="P155" s="5"/>
      <c r="Q155" s="1"/>
      <c r="R155" s="1"/>
    </row>
    <row r="156" spans="1:18" x14ac:dyDescent="0.3">
      <c r="A156" s="30" t="s">
        <v>48</v>
      </c>
      <c r="B156" s="30" t="s">
        <v>455</v>
      </c>
      <c r="C156" s="31" t="s">
        <v>320</v>
      </c>
      <c r="D156" s="83" t="s">
        <v>451</v>
      </c>
      <c r="E156" s="90">
        <v>44362</v>
      </c>
      <c r="F156" s="39">
        <v>0.50624999999999998</v>
      </c>
      <c r="G156" s="39"/>
      <c r="H156" s="104"/>
      <c r="I156" s="28" t="e">
        <f>((Tabela2[[#This Row],[TW - Terminal A]]-Tabela2[[#This Row],[KM]])/(Tabela2[[#This Row],[KM]]))</f>
        <v>#DIV/0!</v>
      </c>
      <c r="J156" s="104"/>
      <c r="K156" s="28" t="e">
        <f>((Tabela2[[#This Row],[TW - Terminal B ]]-Tabela2[[#This Row],[KM]])/(Tabela2[[#This Row],[KM]]))</f>
        <v>#DIV/0!</v>
      </c>
      <c r="L156" s="40" t="s">
        <v>386</v>
      </c>
      <c r="M156" s="104"/>
      <c r="N156" s="43" t="s">
        <v>111</v>
      </c>
      <c r="O156" s="108"/>
    </row>
    <row r="157" spans="1:18" s="2" customFormat="1" x14ac:dyDescent="0.3">
      <c r="A157" s="30" t="s">
        <v>48</v>
      </c>
      <c r="B157" s="30" t="s">
        <v>455</v>
      </c>
      <c r="C157" s="31" t="s">
        <v>320</v>
      </c>
      <c r="D157" s="83" t="s">
        <v>451</v>
      </c>
      <c r="E157" s="90">
        <v>44490</v>
      </c>
      <c r="F157" s="39">
        <v>0.48055555555555557</v>
      </c>
      <c r="G157" s="39"/>
      <c r="H157" s="104"/>
      <c r="I157" s="28" t="e">
        <f>((Tabela2[[#This Row],[TW - Terminal A]]-Tabela2[[#This Row],[KM]])/(Tabela2[[#This Row],[KM]]))</f>
        <v>#DIV/0!</v>
      </c>
      <c r="J157" s="104"/>
      <c r="K157" s="28" t="e">
        <f>((Tabela2[[#This Row],[TW - Terminal B ]]-Tabela2[[#This Row],[KM]])/(Tabela2[[#This Row],[KM]]))</f>
        <v>#DIV/0!</v>
      </c>
      <c r="L157" s="40" t="s">
        <v>390</v>
      </c>
      <c r="M157" s="104"/>
      <c r="N157" s="43" t="s">
        <v>109</v>
      </c>
      <c r="O157" s="108"/>
      <c r="P157" s="5"/>
      <c r="Q157" s="1"/>
      <c r="R157" s="1"/>
    </row>
    <row r="158" spans="1:18" x14ac:dyDescent="0.3">
      <c r="A158" s="30" t="s">
        <v>48</v>
      </c>
      <c r="B158" s="30" t="s">
        <v>455</v>
      </c>
      <c r="C158" s="31" t="s">
        <v>75</v>
      </c>
      <c r="D158" s="30" t="s">
        <v>451</v>
      </c>
      <c r="E158" s="90">
        <v>44631</v>
      </c>
      <c r="F158" s="39">
        <v>0.56111111111111112</v>
      </c>
      <c r="G158" s="39"/>
      <c r="H158" s="104"/>
      <c r="I158" s="28" t="e">
        <f>((Tabela2[[#This Row],[TW - Terminal A]]-Tabela2[[#This Row],[KM]])/(Tabela2[[#This Row],[KM]]))</f>
        <v>#DIV/0!</v>
      </c>
      <c r="J158" s="104"/>
      <c r="K158" s="28" t="e">
        <f>((Tabela2[[#This Row],[TW - Terminal B ]]-Tabela2[[#This Row],[KM]])/(Tabela2[[#This Row],[KM]]))</f>
        <v>#DIV/0!</v>
      </c>
      <c r="L158" s="40" t="s">
        <v>180</v>
      </c>
      <c r="M158" s="104"/>
      <c r="N158" s="43" t="s">
        <v>109</v>
      </c>
      <c r="O158" s="108"/>
    </row>
    <row r="159" spans="1:18" x14ac:dyDescent="0.3">
      <c r="A159" s="30" t="s">
        <v>484</v>
      </c>
      <c r="B159" s="30" t="s">
        <v>455</v>
      </c>
      <c r="C159" s="31" t="s">
        <v>124</v>
      </c>
      <c r="D159" s="85" t="s">
        <v>451</v>
      </c>
      <c r="E159" s="90">
        <v>44972</v>
      </c>
      <c r="F159" s="42">
        <v>0.71875</v>
      </c>
      <c r="G159" s="42"/>
      <c r="H159" s="104"/>
      <c r="I159" s="28" t="e">
        <f>((Tabela2[[#This Row],[TW - Terminal A]]-Tabela2[[#This Row],[KM]])/(Tabela2[[#This Row],[KM]]))</f>
        <v>#DIV/0!</v>
      </c>
      <c r="J159" s="104"/>
      <c r="K159" s="28" t="e">
        <f>((Tabela2[[#This Row],[TW - Terminal B ]]-Tabela2[[#This Row],[KM]])/(Tabela2[[#This Row],[KM]]))</f>
        <v>#DIV/0!</v>
      </c>
      <c r="L159" s="43" t="s">
        <v>312</v>
      </c>
      <c r="M159" s="104"/>
      <c r="N159" s="43" t="s">
        <v>110</v>
      </c>
      <c r="O159" s="125"/>
    </row>
    <row r="160" spans="1:18" x14ac:dyDescent="0.3">
      <c r="A160" s="30" t="s">
        <v>484</v>
      </c>
      <c r="B160" s="30" t="s">
        <v>455</v>
      </c>
      <c r="C160" s="31" t="s">
        <v>122</v>
      </c>
      <c r="D160" s="30" t="s">
        <v>451</v>
      </c>
      <c r="E160" s="90">
        <v>45030</v>
      </c>
      <c r="F160" s="42">
        <v>0.74097222222222225</v>
      </c>
      <c r="G160" s="42"/>
      <c r="H160" s="104"/>
      <c r="I160" s="28" t="e">
        <f>((Tabela2[[#This Row],[TW - Terminal A]]-Tabela2[[#This Row],[KM]])/(Tabela2[[#This Row],[KM]]))</f>
        <v>#DIV/0!</v>
      </c>
      <c r="J160" s="104"/>
      <c r="K160" s="28" t="e">
        <f>((Tabela2[[#This Row],[TW - Terminal B ]]-Tabela2[[#This Row],[KM]])/(Tabela2[[#This Row],[KM]]))</f>
        <v>#DIV/0!</v>
      </c>
      <c r="L160" s="43" t="s">
        <v>315</v>
      </c>
      <c r="M160" s="104"/>
      <c r="N160" s="43" t="s">
        <v>109</v>
      </c>
      <c r="O160" s="125"/>
    </row>
    <row r="161" spans="1:18" x14ac:dyDescent="0.3">
      <c r="A161" s="30" t="s">
        <v>48</v>
      </c>
      <c r="B161" s="30" t="s">
        <v>455</v>
      </c>
      <c r="C161" s="31" t="s">
        <v>320</v>
      </c>
      <c r="D161" s="83" t="s">
        <v>451</v>
      </c>
      <c r="E161" s="90">
        <v>44864</v>
      </c>
      <c r="F161" s="39">
        <v>0.77986111111111101</v>
      </c>
      <c r="G161" s="39"/>
      <c r="H161" s="104"/>
      <c r="I161" s="28" t="e">
        <f>((Tabela2[[#This Row],[TW - Terminal A]]-Tabela2[[#This Row],[KM]])/(Tabela2[[#This Row],[KM]]))</f>
        <v>#DIV/0!</v>
      </c>
      <c r="J161" s="104"/>
      <c r="K161" s="28" t="e">
        <f>((Tabela2[[#This Row],[TW - Terminal B ]]-Tabela2[[#This Row],[KM]])/(Tabela2[[#This Row],[KM]]))</f>
        <v>#DIV/0!</v>
      </c>
      <c r="L161" s="40" t="s">
        <v>282</v>
      </c>
      <c r="M161" s="104"/>
      <c r="N161" s="43" t="s">
        <v>109</v>
      </c>
      <c r="O161" s="108"/>
    </row>
    <row r="162" spans="1:18" x14ac:dyDescent="0.3">
      <c r="A162" s="30" t="s">
        <v>484</v>
      </c>
      <c r="B162" s="30" t="s">
        <v>455</v>
      </c>
      <c r="C162" s="31" t="s">
        <v>123</v>
      </c>
      <c r="D162" s="83" t="s">
        <v>451</v>
      </c>
      <c r="E162" s="90">
        <v>45212</v>
      </c>
      <c r="F162" s="39">
        <v>0.66597222222222219</v>
      </c>
      <c r="G162" s="39"/>
      <c r="H162" s="104"/>
      <c r="I162" s="28" t="e">
        <f>((Tabela2[[#This Row],[TW - Terminal A]]-Tabela2[[#This Row],[KM]])/(Tabela2[[#This Row],[KM]]))</f>
        <v>#DIV/0!</v>
      </c>
      <c r="J162" s="104"/>
      <c r="K162" s="28" t="e">
        <f>((Tabela2[[#This Row],[TW - Terminal B ]]-Tabela2[[#This Row],[KM]])/(Tabela2[[#This Row],[KM]]))</f>
        <v>#DIV/0!</v>
      </c>
      <c r="L162" s="40" t="s">
        <v>318</v>
      </c>
      <c r="M162" s="104"/>
      <c r="N162" s="43" t="s">
        <v>115</v>
      </c>
      <c r="O162" s="108" t="s">
        <v>141</v>
      </c>
    </row>
    <row r="163" spans="1:18" x14ac:dyDescent="0.3">
      <c r="A163" s="30" t="s">
        <v>484</v>
      </c>
      <c r="B163" s="30" t="s">
        <v>455</v>
      </c>
      <c r="C163" s="31" t="s">
        <v>123</v>
      </c>
      <c r="D163" s="83" t="s">
        <v>451</v>
      </c>
      <c r="E163" s="90">
        <v>45212</v>
      </c>
      <c r="F163" s="39">
        <v>0.68611111111111101</v>
      </c>
      <c r="G163" s="39"/>
      <c r="H163" s="104"/>
      <c r="I163" s="28" t="e">
        <f>((Tabela2[[#This Row],[TW - Terminal A]]-Tabela2[[#This Row],[KM]])/(Tabela2[[#This Row],[KM]]))</f>
        <v>#DIV/0!</v>
      </c>
      <c r="J163" s="104"/>
      <c r="K163" s="28" t="e">
        <f>((Tabela2[[#This Row],[TW - Terminal B ]]-Tabela2[[#This Row],[KM]])/(Tabela2[[#This Row],[KM]]))</f>
        <v>#DIV/0!</v>
      </c>
      <c r="L163" s="40" t="s">
        <v>318</v>
      </c>
      <c r="M163" s="104"/>
      <c r="N163" s="43" t="s">
        <v>115</v>
      </c>
      <c r="O163" s="108" t="s">
        <v>141</v>
      </c>
    </row>
    <row r="164" spans="1:18" x14ac:dyDescent="0.3">
      <c r="A164" s="30" t="s">
        <v>47</v>
      </c>
      <c r="B164" s="30" t="s">
        <v>455</v>
      </c>
      <c r="C164" s="31" t="s">
        <v>65</v>
      </c>
      <c r="D164" s="30" t="s">
        <v>451</v>
      </c>
      <c r="E164" s="32">
        <v>40988</v>
      </c>
      <c r="F164" s="38">
        <v>0.62847222222222221</v>
      </c>
      <c r="G164" s="38"/>
      <c r="H164" s="35">
        <v>109.4</v>
      </c>
      <c r="I164" s="28">
        <f>((Tabela2[[#This Row],[TW - Terminal A]]-Tabela2[[#This Row],[KM]])/(Tabela2[[#This Row],[KM]]))</f>
        <v>-3.7818821459982381E-2</v>
      </c>
      <c r="J164" s="35">
        <v>147.69999999999999</v>
      </c>
      <c r="K164" s="28">
        <f>((Tabela2[[#This Row],[TW - Terminal B ]]-Tabela2[[#This Row],[KM]])/(Tabela2[[#This Row],[KM]]))</f>
        <v>0.29903254177660499</v>
      </c>
      <c r="L164" s="43"/>
      <c r="M164" s="35">
        <v>113.7</v>
      </c>
      <c r="N164" s="34" t="s">
        <v>109</v>
      </c>
      <c r="O164" s="183"/>
    </row>
    <row r="165" spans="1:18" ht="91.2" x14ac:dyDescent="0.3">
      <c r="A165" s="30" t="s">
        <v>484</v>
      </c>
      <c r="B165" s="30" t="s">
        <v>455</v>
      </c>
      <c r="C165" s="31" t="s">
        <v>96</v>
      </c>
      <c r="D165" s="83" t="s">
        <v>451</v>
      </c>
      <c r="E165" s="90">
        <v>45980</v>
      </c>
      <c r="F165" s="42">
        <v>0.72013888888888888</v>
      </c>
      <c r="G165" s="160" t="s">
        <v>436</v>
      </c>
      <c r="H165" s="104">
        <v>83.42</v>
      </c>
      <c r="I165" s="28">
        <f>((Tabela2[[#This Row],[TW - Terminal A]]-Tabela2[[#This Row],[KM]])/(Tabela2[[#This Row],[KM]]))</f>
        <v>2.4891269626753768E-2</v>
      </c>
      <c r="J165" s="104">
        <v>179.58</v>
      </c>
      <c r="K165" s="166">
        <f>((Tabela2[[#This Row],[TW - Terminal B ]]-Tabela2[[#This Row],[KM]])/(Tabela2[[#This Row],[KM]]))</f>
        <v>1.2063051330564907</v>
      </c>
      <c r="L165" s="43" t="s">
        <v>462</v>
      </c>
      <c r="M165" s="104">
        <v>81.394000000000005</v>
      </c>
      <c r="N165" s="43" t="s">
        <v>109</v>
      </c>
      <c r="O165" s="181" t="s">
        <v>438</v>
      </c>
    </row>
    <row r="166" spans="1:18" ht="57" x14ac:dyDescent="0.3">
      <c r="A166" s="30" t="s">
        <v>47</v>
      </c>
      <c r="B166" s="30" t="s">
        <v>448</v>
      </c>
      <c r="C166" s="31" t="s">
        <v>447</v>
      </c>
      <c r="D166" s="30" t="s">
        <v>448</v>
      </c>
      <c r="E166" s="37">
        <v>45584</v>
      </c>
      <c r="F166" s="42">
        <v>0.69374999999999998</v>
      </c>
      <c r="G166" s="160" t="s">
        <v>444</v>
      </c>
      <c r="H166" s="35"/>
      <c r="I166" s="28" t="e">
        <f>((Tabela2[[#This Row],[TW - Terminal A]]-Tabela2[[#This Row],[KM]])/(Tabela2[[#This Row],[KM]]))</f>
        <v>#DIV/0!</v>
      </c>
      <c r="J166" s="35"/>
      <c r="K166" s="28" t="e">
        <f>((Tabela2[[#This Row],[TW - Terminal B ]]-Tabela2[[#This Row],[KM]])/(Tabela2[[#This Row],[KM]]))</f>
        <v>#DIV/0!</v>
      </c>
      <c r="L166" s="43"/>
      <c r="M166" s="35"/>
      <c r="N166" s="43" t="s">
        <v>445</v>
      </c>
      <c r="O166" s="125"/>
    </row>
    <row r="167" spans="1:18" x14ac:dyDescent="0.3">
      <c r="A167" s="30" t="s">
        <v>484</v>
      </c>
      <c r="B167" s="30" t="s">
        <v>455</v>
      </c>
      <c r="C167" s="31" t="s">
        <v>122</v>
      </c>
      <c r="D167" s="88" t="s">
        <v>126</v>
      </c>
      <c r="E167" s="90">
        <v>45030</v>
      </c>
      <c r="F167" s="39">
        <v>0.95277777777777783</v>
      </c>
      <c r="G167" s="39"/>
      <c r="H167" s="104"/>
      <c r="I167" s="28" t="e">
        <f>((Tabela2[[#This Row],[TW - Terminal A]]-Tabela2[[#This Row],[KM]])/(Tabela2[[#This Row],[KM]]))</f>
        <v>#DIV/0!</v>
      </c>
      <c r="J167" s="104"/>
      <c r="K167" s="28" t="e">
        <f>((Tabela2[[#This Row],[TW - Terminal B ]]-Tabela2[[#This Row],[KM]])/(Tabela2[[#This Row],[KM]]))</f>
        <v>#DIV/0!</v>
      </c>
      <c r="L167" s="40" t="s">
        <v>315</v>
      </c>
      <c r="M167" s="104"/>
      <c r="N167" s="43" t="s">
        <v>109</v>
      </c>
      <c r="O167" s="108" t="s">
        <v>11</v>
      </c>
    </row>
    <row r="168" spans="1:18" x14ac:dyDescent="0.3">
      <c r="A168" s="30" t="s">
        <v>484</v>
      </c>
      <c r="B168" s="30" t="s">
        <v>455</v>
      </c>
      <c r="C168" s="31" t="s">
        <v>123</v>
      </c>
      <c r="D168" s="85" t="s">
        <v>120</v>
      </c>
      <c r="E168" s="90">
        <v>45212</v>
      </c>
      <c r="F168" s="42">
        <v>0.66597222222222219</v>
      </c>
      <c r="G168" s="42"/>
      <c r="H168" s="104"/>
      <c r="I168" s="28" t="e">
        <f>((Tabela2[[#This Row],[TW - Terminal A]]-Tabela2[[#This Row],[KM]])/(Tabela2[[#This Row],[KM]]))</f>
        <v>#DIV/0!</v>
      </c>
      <c r="J168" s="104"/>
      <c r="K168" s="28" t="e">
        <f>((Tabela2[[#This Row],[TW - Terminal B ]]-Tabela2[[#This Row],[KM]])/(Tabela2[[#This Row],[KM]]))</f>
        <v>#DIV/0!</v>
      </c>
      <c r="L168" s="43" t="s">
        <v>318</v>
      </c>
      <c r="M168" s="104"/>
      <c r="N168" s="43" t="s">
        <v>115</v>
      </c>
      <c r="O168" s="125"/>
    </row>
    <row r="169" spans="1:18" x14ac:dyDescent="0.3">
      <c r="A169" s="30" t="s">
        <v>47</v>
      </c>
      <c r="B169" s="30" t="s">
        <v>455</v>
      </c>
      <c r="C169" s="31" t="s">
        <v>65</v>
      </c>
      <c r="D169" s="30"/>
      <c r="E169" s="32">
        <v>40566</v>
      </c>
      <c r="F169" s="33">
        <v>0.68541666666666667</v>
      </c>
      <c r="G169" s="33"/>
      <c r="H169" s="35"/>
      <c r="I169" s="28">
        <f>((Tabela2[[#This Row],[TW - Terminal A]]-Tabela2[[#This Row],[KM]])/(Tabela2[[#This Row],[KM]]))</f>
        <v>-1</v>
      </c>
      <c r="J169" s="35"/>
      <c r="K169" s="28">
        <f>((Tabela2[[#This Row],[TW - Terminal B ]]-Tabela2[[#This Row],[KM]])/(Tabela2[[#This Row],[KM]]))</f>
        <v>-1</v>
      </c>
      <c r="L169" s="34" t="s">
        <v>142</v>
      </c>
      <c r="M169" s="35">
        <v>9.16</v>
      </c>
      <c r="N169" s="34" t="s">
        <v>109</v>
      </c>
      <c r="O169" s="108"/>
    </row>
    <row r="170" spans="1:18" ht="15" customHeight="1" x14ac:dyDescent="0.3">
      <c r="A170" s="30" t="s">
        <v>47</v>
      </c>
      <c r="B170" s="30" t="s">
        <v>455</v>
      </c>
      <c r="C170" s="31" t="s">
        <v>65</v>
      </c>
      <c r="D170" s="30"/>
      <c r="E170" s="32">
        <v>40566</v>
      </c>
      <c r="F170" s="33">
        <v>0.69027777777777777</v>
      </c>
      <c r="G170" s="33"/>
      <c r="H170" s="35"/>
      <c r="I170" s="28">
        <f>((Tabela2[[#This Row],[TW - Terminal A]]-Tabela2[[#This Row],[KM]])/(Tabela2[[#This Row],[KM]]))</f>
        <v>-1</v>
      </c>
      <c r="J170" s="35"/>
      <c r="K170" s="28">
        <f>((Tabela2[[#This Row],[TW - Terminal B ]]-Tabela2[[#This Row],[KM]])/(Tabela2[[#This Row],[KM]]))</f>
        <v>-1</v>
      </c>
      <c r="L170" s="34" t="s">
        <v>142</v>
      </c>
      <c r="M170" s="35">
        <v>9.16</v>
      </c>
      <c r="N170" s="34" t="s">
        <v>109</v>
      </c>
      <c r="O170" s="108"/>
    </row>
    <row r="171" spans="1:18" s="2" customFormat="1" ht="15" customHeight="1" x14ac:dyDescent="0.3">
      <c r="A171" s="30" t="s">
        <v>47</v>
      </c>
      <c r="B171" s="30" t="s">
        <v>455</v>
      </c>
      <c r="C171" s="31" t="s">
        <v>64</v>
      </c>
      <c r="D171" s="30"/>
      <c r="E171" s="32">
        <v>40570</v>
      </c>
      <c r="F171" s="33">
        <v>0.88402777777777775</v>
      </c>
      <c r="G171" s="33"/>
      <c r="H171" s="35"/>
      <c r="I171" s="28" t="e">
        <f>((Tabela2[[#This Row],[TW - Terminal A]]-Tabela2[[#This Row],[KM]])/(Tabela2[[#This Row],[KM]]))</f>
        <v>#DIV/0!</v>
      </c>
      <c r="J171" s="35"/>
      <c r="K171" s="28" t="e">
        <f>((Tabela2[[#This Row],[TW - Terminal B ]]-Tabela2[[#This Row],[KM]])/(Tabela2[[#This Row],[KM]]))</f>
        <v>#DIV/0!</v>
      </c>
      <c r="L171" s="34"/>
      <c r="M171" s="35"/>
      <c r="N171" s="34" t="s">
        <v>114</v>
      </c>
      <c r="O171" s="108"/>
      <c r="P171" s="5"/>
    </row>
    <row r="172" spans="1:18" ht="15" customHeight="1" x14ac:dyDescent="0.3">
      <c r="A172" s="74" t="s">
        <v>47</v>
      </c>
      <c r="B172" s="30" t="s">
        <v>455</v>
      </c>
      <c r="C172" s="31" t="s">
        <v>64</v>
      </c>
      <c r="D172" s="74"/>
      <c r="E172" s="143">
        <v>40579</v>
      </c>
      <c r="F172" s="33">
        <v>0.76250000000000007</v>
      </c>
      <c r="G172" s="33"/>
      <c r="H172" s="35"/>
      <c r="I172" s="28">
        <f>((Tabela2[[#This Row],[TW - Terminal A]]-Tabela2[[#This Row],[KM]])/(Tabela2[[#This Row],[KM]]))</f>
        <v>-1</v>
      </c>
      <c r="J172" s="35"/>
      <c r="K172" s="28">
        <f>((Tabela2[[#This Row],[TW - Terminal B ]]-Tabela2[[#This Row],[KM]])/(Tabela2[[#This Row],[KM]]))</f>
        <v>-1</v>
      </c>
      <c r="L172" s="34" t="s">
        <v>143</v>
      </c>
      <c r="M172" s="35">
        <v>2.2000000000000002</v>
      </c>
      <c r="N172" s="34" t="s">
        <v>109</v>
      </c>
      <c r="O172" s="108"/>
      <c r="P172" s="6"/>
      <c r="Q172"/>
      <c r="R172"/>
    </row>
    <row r="173" spans="1:18" x14ac:dyDescent="0.3">
      <c r="A173" s="133" t="s">
        <v>47</v>
      </c>
      <c r="B173" s="30" t="s">
        <v>455</v>
      </c>
      <c r="C173" s="31" t="s">
        <v>65</v>
      </c>
      <c r="D173" s="133"/>
      <c r="E173" s="146">
        <v>40606</v>
      </c>
      <c r="F173" s="33">
        <v>0.56041666666666667</v>
      </c>
      <c r="G173" s="33"/>
      <c r="H173" s="35"/>
      <c r="I173" s="28">
        <f>((Tabela2[[#This Row],[TW - Terminal A]]-Tabela2[[#This Row],[KM]])/(Tabela2[[#This Row],[KM]]))</f>
        <v>-1</v>
      </c>
      <c r="J173" s="35"/>
      <c r="K173" s="28">
        <f>((Tabela2[[#This Row],[TW - Terminal B ]]-Tabela2[[#This Row],[KM]])/(Tabela2[[#This Row],[KM]]))</f>
        <v>-1</v>
      </c>
      <c r="L173" s="34" t="s">
        <v>144</v>
      </c>
      <c r="M173" s="35">
        <v>43.7</v>
      </c>
      <c r="N173" s="34" t="s">
        <v>109</v>
      </c>
      <c r="O173" s="108"/>
      <c r="P173" s="6"/>
      <c r="Q173"/>
      <c r="R173"/>
    </row>
    <row r="174" spans="1:18" x14ac:dyDescent="0.3">
      <c r="A174" s="30" t="s">
        <v>47</v>
      </c>
      <c r="B174" s="30" t="s">
        <v>455</v>
      </c>
      <c r="C174" s="31" t="s">
        <v>65</v>
      </c>
      <c r="D174" s="30"/>
      <c r="E174" s="32">
        <v>40619</v>
      </c>
      <c r="F174" s="33">
        <v>0.60138888888888886</v>
      </c>
      <c r="G174" s="33"/>
      <c r="H174" s="35"/>
      <c r="I174" s="28">
        <f>((Tabela2[[#This Row],[TW - Terminal A]]-Tabela2[[#This Row],[KM]])/(Tabela2[[#This Row],[KM]]))</f>
        <v>-1</v>
      </c>
      <c r="J174" s="35"/>
      <c r="K174" s="28">
        <f>((Tabela2[[#This Row],[TW - Terminal B ]]-Tabela2[[#This Row],[KM]])/(Tabela2[[#This Row],[KM]]))</f>
        <v>-1</v>
      </c>
      <c r="L174" s="34" t="s">
        <v>145</v>
      </c>
      <c r="M174" s="35">
        <v>251.6</v>
      </c>
      <c r="N174" s="34" t="s">
        <v>109</v>
      </c>
      <c r="O174" s="108"/>
      <c r="P174" s="6"/>
      <c r="Q174"/>
      <c r="R174"/>
    </row>
    <row r="175" spans="1:18" x14ac:dyDescent="0.3">
      <c r="A175" s="30" t="s">
        <v>47</v>
      </c>
      <c r="B175" s="30" t="s">
        <v>455</v>
      </c>
      <c r="C175" s="31" t="s">
        <v>65</v>
      </c>
      <c r="D175" s="30"/>
      <c r="E175" s="32">
        <v>40620</v>
      </c>
      <c r="F175" s="33">
        <v>0.50902777777777775</v>
      </c>
      <c r="G175" s="33"/>
      <c r="H175" s="35"/>
      <c r="I175" s="28">
        <f>((Tabela2[[#This Row],[TW - Terminal A]]-Tabela2[[#This Row],[KM]])/(Tabela2[[#This Row],[KM]]))</f>
        <v>-1</v>
      </c>
      <c r="J175" s="35"/>
      <c r="K175" s="28">
        <f>((Tabela2[[#This Row],[TW - Terminal B ]]-Tabela2[[#This Row],[KM]])/(Tabela2[[#This Row],[KM]]))</f>
        <v>-1</v>
      </c>
      <c r="L175" s="34" t="s">
        <v>146</v>
      </c>
      <c r="M175" s="35">
        <v>15</v>
      </c>
      <c r="N175" s="34" t="s">
        <v>109</v>
      </c>
      <c r="O175" s="108"/>
      <c r="P175" s="6"/>
      <c r="Q175"/>
      <c r="R175"/>
    </row>
    <row r="176" spans="1:18" x14ac:dyDescent="0.3">
      <c r="A176" s="30" t="s">
        <v>47</v>
      </c>
      <c r="B176" s="30" t="s">
        <v>455</v>
      </c>
      <c r="C176" s="31" t="s">
        <v>66</v>
      </c>
      <c r="D176" s="30"/>
      <c r="E176" s="32">
        <v>40624</v>
      </c>
      <c r="F176" s="33">
        <v>0.19583333333333333</v>
      </c>
      <c r="G176" s="33"/>
      <c r="H176" s="35"/>
      <c r="I176" s="28">
        <f>((Tabela2[[#This Row],[TW - Terminal A]]-Tabela2[[#This Row],[KM]])/(Tabela2[[#This Row],[KM]]))</f>
        <v>-1</v>
      </c>
      <c r="J176" s="35"/>
      <c r="K176" s="28">
        <f>((Tabela2[[#This Row],[TW - Terminal B ]]-Tabela2[[#This Row],[KM]])/(Tabela2[[#This Row],[KM]]))</f>
        <v>-1</v>
      </c>
      <c r="L176" s="34" t="s">
        <v>147</v>
      </c>
      <c r="M176" s="35">
        <v>105.2</v>
      </c>
      <c r="N176" s="34" t="s">
        <v>109</v>
      </c>
      <c r="O176" s="108"/>
      <c r="P176" s="6"/>
      <c r="Q176"/>
      <c r="R176"/>
    </row>
    <row r="177" spans="1:18" x14ac:dyDescent="0.3">
      <c r="A177" s="30" t="s">
        <v>47</v>
      </c>
      <c r="B177" s="30" t="s">
        <v>455</v>
      </c>
      <c r="C177" s="31" t="s">
        <v>64</v>
      </c>
      <c r="D177" s="30"/>
      <c r="E177" s="32">
        <v>40625</v>
      </c>
      <c r="F177" s="33">
        <v>0.93541666666666667</v>
      </c>
      <c r="G177" s="33"/>
      <c r="H177" s="35"/>
      <c r="I177" s="28" t="e">
        <f>((Tabela2[[#This Row],[TW - Terminal A]]-Tabela2[[#This Row],[KM]])/(Tabela2[[#This Row],[KM]]))</f>
        <v>#DIV/0!</v>
      </c>
      <c r="J177" s="35"/>
      <c r="K177" s="28" t="e">
        <f>((Tabela2[[#This Row],[TW - Terminal B ]]-Tabela2[[#This Row],[KM]])/(Tabela2[[#This Row],[KM]]))</f>
        <v>#DIV/0!</v>
      </c>
      <c r="L177" s="34"/>
      <c r="M177" s="35"/>
      <c r="N177" s="34" t="s">
        <v>114</v>
      </c>
      <c r="O177" s="108"/>
      <c r="P177" s="6"/>
      <c r="Q177"/>
      <c r="R177"/>
    </row>
    <row r="178" spans="1:18" x14ac:dyDescent="0.3">
      <c r="A178" s="30" t="s">
        <v>47</v>
      </c>
      <c r="B178" s="30" t="s">
        <v>455</v>
      </c>
      <c r="C178" s="31" t="s">
        <v>64</v>
      </c>
      <c r="D178" s="30"/>
      <c r="E178" s="32">
        <v>40633</v>
      </c>
      <c r="F178" s="33">
        <v>0.62013888888888891</v>
      </c>
      <c r="G178" s="33"/>
      <c r="H178" s="35"/>
      <c r="I178" s="28">
        <f>((Tabela2[[#This Row],[TW - Terminal A]]-Tabela2[[#This Row],[KM]])/(Tabela2[[#This Row],[KM]]))</f>
        <v>-1</v>
      </c>
      <c r="J178" s="35"/>
      <c r="K178" s="28">
        <f>((Tabela2[[#This Row],[TW - Terminal B ]]-Tabela2[[#This Row],[KM]])/(Tabela2[[#This Row],[KM]]))</f>
        <v>-1</v>
      </c>
      <c r="L178" s="34" t="s">
        <v>148</v>
      </c>
      <c r="M178" s="35">
        <v>196.7</v>
      </c>
      <c r="N178" s="34" t="s">
        <v>109</v>
      </c>
      <c r="O178" s="108"/>
      <c r="P178" s="6"/>
      <c r="Q178"/>
      <c r="R178"/>
    </row>
    <row r="179" spans="1:18" x14ac:dyDescent="0.3">
      <c r="A179" s="30" t="s">
        <v>47</v>
      </c>
      <c r="B179" s="30" t="s">
        <v>455</v>
      </c>
      <c r="C179" s="31" t="s">
        <v>67</v>
      </c>
      <c r="D179" s="30"/>
      <c r="E179" s="32">
        <v>40651</v>
      </c>
      <c r="F179" s="33">
        <v>0.22847222222222222</v>
      </c>
      <c r="G179" s="33"/>
      <c r="H179" s="35"/>
      <c r="I179" s="28">
        <f>((Tabela2[[#This Row],[TW - Terminal A]]-Tabela2[[#This Row],[KM]])/(Tabela2[[#This Row],[KM]]))</f>
        <v>-1</v>
      </c>
      <c r="J179" s="35"/>
      <c r="K179" s="28">
        <f>((Tabela2[[#This Row],[TW - Terminal B ]]-Tabela2[[#This Row],[KM]])/(Tabela2[[#This Row],[KM]]))</f>
        <v>-1</v>
      </c>
      <c r="L179" s="34" t="s">
        <v>149</v>
      </c>
      <c r="M179" s="35">
        <v>12.5</v>
      </c>
      <c r="N179" s="34" t="s">
        <v>109</v>
      </c>
      <c r="O179" s="108"/>
      <c r="P179" s="6"/>
      <c r="Q179"/>
      <c r="R179"/>
    </row>
    <row r="180" spans="1:18" x14ac:dyDescent="0.3">
      <c r="A180" s="30" t="s">
        <v>47</v>
      </c>
      <c r="B180" s="30" t="s">
        <v>455</v>
      </c>
      <c r="C180" s="31" t="s">
        <v>67</v>
      </c>
      <c r="D180" s="30"/>
      <c r="E180" s="32">
        <v>40693</v>
      </c>
      <c r="F180" s="33">
        <v>0.66319444444444442</v>
      </c>
      <c r="G180" s="33"/>
      <c r="H180" s="35"/>
      <c r="I180" s="28" t="e">
        <f>((Tabela2[[#This Row],[TW - Terminal A]]-Tabela2[[#This Row],[KM]])/(Tabela2[[#This Row],[KM]]))</f>
        <v>#DIV/0!</v>
      </c>
      <c r="J180" s="35"/>
      <c r="K180" s="28" t="e">
        <f>((Tabela2[[#This Row],[TW - Terminal B ]]-Tabela2[[#This Row],[KM]])/(Tabela2[[#This Row],[KM]]))</f>
        <v>#DIV/0!</v>
      </c>
      <c r="L180" s="34"/>
      <c r="M180" s="35"/>
      <c r="N180" s="34" t="s">
        <v>114</v>
      </c>
      <c r="O180" s="108"/>
      <c r="P180" s="6"/>
      <c r="Q180"/>
      <c r="R180"/>
    </row>
    <row r="181" spans="1:18" ht="14.25" customHeight="1" x14ac:dyDescent="0.3">
      <c r="A181" s="30" t="s">
        <v>47</v>
      </c>
      <c r="B181" s="30" t="s">
        <v>455</v>
      </c>
      <c r="C181" s="31" t="s">
        <v>66</v>
      </c>
      <c r="D181" s="30"/>
      <c r="E181" s="32">
        <v>40730</v>
      </c>
      <c r="F181" s="33">
        <v>0.35694444444444445</v>
      </c>
      <c r="G181" s="33"/>
      <c r="H181" s="35"/>
      <c r="I181" s="28">
        <f>((Tabela2[[#This Row],[TW - Terminal A]]-Tabela2[[#This Row],[KM]])/(Tabela2[[#This Row],[KM]]))</f>
        <v>-1</v>
      </c>
      <c r="J181" s="35"/>
      <c r="K181" s="28">
        <f>((Tabela2[[#This Row],[TW - Terminal B ]]-Tabela2[[#This Row],[KM]])/(Tabela2[[#This Row],[KM]]))</f>
        <v>-1</v>
      </c>
      <c r="L181" s="34" t="s">
        <v>150</v>
      </c>
      <c r="M181" s="35">
        <v>118.5</v>
      </c>
      <c r="N181" s="34" t="s">
        <v>114</v>
      </c>
      <c r="O181" s="108"/>
      <c r="P181" s="6"/>
      <c r="Q181"/>
      <c r="R181"/>
    </row>
    <row r="182" spans="1:18" x14ac:dyDescent="0.3">
      <c r="A182" s="30" t="s">
        <v>47</v>
      </c>
      <c r="B182" s="30" t="s">
        <v>455</v>
      </c>
      <c r="C182" s="31" t="s">
        <v>66</v>
      </c>
      <c r="D182" s="30"/>
      <c r="E182" s="32">
        <v>40812</v>
      </c>
      <c r="F182" s="33">
        <v>0.58263888888888882</v>
      </c>
      <c r="G182" s="33"/>
      <c r="H182" s="35"/>
      <c r="I182" s="28">
        <f>((Tabela2[[#This Row],[TW - Terminal A]]-Tabela2[[#This Row],[KM]])/(Tabela2[[#This Row],[KM]]))</f>
        <v>-1</v>
      </c>
      <c r="J182" s="35"/>
      <c r="K182" s="28">
        <f>((Tabela2[[#This Row],[TW - Terminal B ]]-Tabela2[[#This Row],[KM]])/(Tabela2[[#This Row],[KM]]))</f>
        <v>-1</v>
      </c>
      <c r="L182" s="34" t="s">
        <v>151</v>
      </c>
      <c r="M182" s="35">
        <v>39.6</v>
      </c>
      <c r="N182" s="34" t="s">
        <v>111</v>
      </c>
      <c r="O182" s="108"/>
      <c r="P182" s="6"/>
      <c r="Q182"/>
      <c r="R182"/>
    </row>
    <row r="183" spans="1:18" x14ac:dyDescent="0.3">
      <c r="A183" s="30" t="s">
        <v>47</v>
      </c>
      <c r="B183" s="30" t="s">
        <v>455</v>
      </c>
      <c r="C183" s="31" t="s">
        <v>64</v>
      </c>
      <c r="D183" s="30"/>
      <c r="E183" s="32">
        <v>40838</v>
      </c>
      <c r="F183" s="33">
        <v>7.3611111111111113E-2</v>
      </c>
      <c r="G183" s="33"/>
      <c r="H183" s="35"/>
      <c r="I183" s="28">
        <f>((Tabela2[[#This Row],[TW - Terminal A]]-Tabela2[[#This Row],[KM]])/(Tabela2[[#This Row],[KM]]))</f>
        <v>-1</v>
      </c>
      <c r="J183" s="35"/>
      <c r="K183" s="28">
        <f>((Tabela2[[#This Row],[TW - Terminal B ]]-Tabela2[[#This Row],[KM]])/(Tabela2[[#This Row],[KM]]))</f>
        <v>-1</v>
      </c>
      <c r="L183" s="34" t="s">
        <v>152</v>
      </c>
      <c r="M183" s="35">
        <v>150.4</v>
      </c>
      <c r="N183" s="34" t="s">
        <v>115</v>
      </c>
      <c r="O183" s="108"/>
      <c r="P183" s="6"/>
      <c r="Q183"/>
      <c r="R183"/>
    </row>
    <row r="184" spans="1:18" x14ac:dyDescent="0.3">
      <c r="A184" s="30" t="s">
        <v>47</v>
      </c>
      <c r="B184" s="30" t="s">
        <v>455</v>
      </c>
      <c r="C184" s="31" t="s">
        <v>64</v>
      </c>
      <c r="D184" s="30"/>
      <c r="E184" s="32">
        <v>40838</v>
      </c>
      <c r="F184" s="33">
        <v>0.60972222222222217</v>
      </c>
      <c r="G184" s="33"/>
      <c r="H184" s="35"/>
      <c r="I184" s="28">
        <f>((Tabela2[[#This Row],[TW - Terminal A]]-Tabela2[[#This Row],[KM]])/(Tabela2[[#This Row],[KM]]))</f>
        <v>-1</v>
      </c>
      <c r="J184" s="35"/>
      <c r="K184" s="28">
        <f>((Tabela2[[#This Row],[TW - Terminal B ]]-Tabela2[[#This Row],[KM]])/(Tabela2[[#This Row],[KM]]))</f>
        <v>-1</v>
      </c>
      <c r="L184" s="34" t="s">
        <v>152</v>
      </c>
      <c r="M184" s="35">
        <v>150.4</v>
      </c>
      <c r="N184" s="34" t="s">
        <v>115</v>
      </c>
      <c r="O184" s="108"/>
      <c r="P184" s="6"/>
      <c r="Q184"/>
      <c r="R184"/>
    </row>
    <row r="185" spans="1:18" x14ac:dyDescent="0.3">
      <c r="A185" s="30" t="s">
        <v>47</v>
      </c>
      <c r="B185" s="30" t="s">
        <v>455</v>
      </c>
      <c r="C185" s="31" t="s">
        <v>64</v>
      </c>
      <c r="D185" s="30"/>
      <c r="E185" s="32">
        <v>40842</v>
      </c>
      <c r="F185" s="33">
        <v>0.70763888888888893</v>
      </c>
      <c r="G185" s="33"/>
      <c r="H185" s="35"/>
      <c r="I185" s="28" t="e">
        <f>((Tabela2[[#This Row],[TW - Terminal A]]-Tabela2[[#This Row],[KM]])/(Tabela2[[#This Row],[KM]]))</f>
        <v>#DIV/0!</v>
      </c>
      <c r="J185" s="35"/>
      <c r="K185" s="28" t="e">
        <f>((Tabela2[[#This Row],[TW - Terminal B ]]-Tabela2[[#This Row],[KM]])/(Tabela2[[#This Row],[KM]]))</f>
        <v>#DIV/0!</v>
      </c>
      <c r="L185" s="34"/>
      <c r="M185" s="35"/>
      <c r="N185" s="34" t="s">
        <v>114</v>
      </c>
      <c r="O185" s="108"/>
      <c r="P185" s="6"/>
      <c r="Q185"/>
      <c r="R185"/>
    </row>
    <row r="186" spans="1:18" x14ac:dyDescent="0.3">
      <c r="A186" s="30" t="s">
        <v>47</v>
      </c>
      <c r="B186" s="30" t="s">
        <v>455</v>
      </c>
      <c r="C186" s="31" t="s">
        <v>64</v>
      </c>
      <c r="D186" s="30"/>
      <c r="E186" s="32">
        <v>40872</v>
      </c>
      <c r="F186" s="33">
        <v>4.3055555555555562E-2</v>
      </c>
      <c r="G186" s="33"/>
      <c r="H186" s="35"/>
      <c r="I186" s="28">
        <f>((Tabela2[[#This Row],[TW - Terminal A]]-Tabela2[[#This Row],[KM]])/(Tabela2[[#This Row],[KM]]))</f>
        <v>-1</v>
      </c>
      <c r="J186" s="35"/>
      <c r="K186" s="28">
        <f>((Tabela2[[#This Row],[TW - Terminal B ]]-Tabela2[[#This Row],[KM]])/(Tabela2[[#This Row],[KM]]))</f>
        <v>-1</v>
      </c>
      <c r="L186" s="34" t="s">
        <v>153</v>
      </c>
      <c r="M186" s="35">
        <v>208.5</v>
      </c>
      <c r="N186" s="34" t="s">
        <v>109</v>
      </c>
      <c r="O186" s="108"/>
      <c r="P186" s="6"/>
      <c r="Q186"/>
      <c r="R186"/>
    </row>
    <row r="187" spans="1:18" x14ac:dyDescent="0.3">
      <c r="A187" s="30" t="s">
        <v>47</v>
      </c>
      <c r="B187" s="30" t="s">
        <v>455</v>
      </c>
      <c r="C187" s="31" t="s">
        <v>64</v>
      </c>
      <c r="D187" s="30"/>
      <c r="E187" s="32">
        <v>40892</v>
      </c>
      <c r="F187" s="33">
        <v>0.90138888888888891</v>
      </c>
      <c r="G187" s="33"/>
      <c r="H187" s="35"/>
      <c r="I187" s="28">
        <f>((Tabela2[[#This Row],[TW - Terminal A]]-Tabela2[[#This Row],[KM]])/(Tabela2[[#This Row],[KM]]))</f>
        <v>-1</v>
      </c>
      <c r="J187" s="35"/>
      <c r="K187" s="28">
        <f>((Tabela2[[#This Row],[TW - Terminal B ]]-Tabela2[[#This Row],[KM]])/(Tabela2[[#This Row],[KM]]))</f>
        <v>-1</v>
      </c>
      <c r="L187" s="34" t="s">
        <v>155</v>
      </c>
      <c r="M187" s="35">
        <v>161.69999999999999</v>
      </c>
      <c r="N187" s="34" t="s">
        <v>109</v>
      </c>
      <c r="O187" s="108"/>
      <c r="P187" s="6"/>
      <c r="Q187"/>
      <c r="R187"/>
    </row>
    <row r="188" spans="1:18" s="2" customFormat="1" x14ac:dyDescent="0.3">
      <c r="A188" s="30" t="s">
        <v>47</v>
      </c>
      <c r="B188" s="30" t="s">
        <v>455</v>
      </c>
      <c r="C188" s="31" t="s">
        <v>64</v>
      </c>
      <c r="D188" s="30"/>
      <c r="E188" s="32">
        <v>40935</v>
      </c>
      <c r="F188" s="33">
        <v>5.6944444444444443E-2</v>
      </c>
      <c r="G188" s="33"/>
      <c r="H188" s="35"/>
      <c r="I188" s="28">
        <f>((Tabela2[[#This Row],[TW - Terminal A]]-Tabela2[[#This Row],[KM]])/(Tabela2[[#This Row],[KM]]))</f>
        <v>-1</v>
      </c>
      <c r="J188" s="35"/>
      <c r="K188" s="28">
        <f>((Tabela2[[#This Row],[TW - Terminal B ]]-Tabela2[[#This Row],[KM]])/(Tabela2[[#This Row],[KM]]))</f>
        <v>-1</v>
      </c>
      <c r="L188" s="36"/>
      <c r="M188" s="35">
        <v>111.7</v>
      </c>
      <c r="N188" s="36" t="s">
        <v>114</v>
      </c>
      <c r="O188" s="108"/>
      <c r="P188" s="5"/>
    </row>
    <row r="189" spans="1:18" x14ac:dyDescent="0.3">
      <c r="A189" s="30" t="s">
        <v>47</v>
      </c>
      <c r="B189" s="30" t="s">
        <v>455</v>
      </c>
      <c r="C189" s="31" t="s">
        <v>64</v>
      </c>
      <c r="D189" s="30"/>
      <c r="E189" s="32">
        <v>40935</v>
      </c>
      <c r="F189" s="33">
        <v>5.7638888888888885E-2</v>
      </c>
      <c r="G189" s="33"/>
      <c r="H189" s="35"/>
      <c r="I189" s="28">
        <f>((Tabela2[[#This Row],[TW - Terminal A]]-Tabela2[[#This Row],[KM]])/(Tabela2[[#This Row],[KM]]))</f>
        <v>-1</v>
      </c>
      <c r="J189" s="35"/>
      <c r="K189" s="28">
        <f>((Tabela2[[#This Row],[TW - Terminal B ]]-Tabela2[[#This Row],[KM]])/(Tabela2[[#This Row],[KM]]))</f>
        <v>-1</v>
      </c>
      <c r="L189" s="36"/>
      <c r="M189" s="35">
        <v>111.7</v>
      </c>
      <c r="N189" s="36" t="s">
        <v>114</v>
      </c>
      <c r="O189" s="108"/>
      <c r="P189" s="6"/>
      <c r="Q189"/>
      <c r="R189"/>
    </row>
    <row r="190" spans="1:18" s="2" customFormat="1" x14ac:dyDescent="0.3">
      <c r="A190" s="30" t="s">
        <v>47</v>
      </c>
      <c r="B190" s="30" t="s">
        <v>455</v>
      </c>
      <c r="C190" s="31" t="s">
        <v>65</v>
      </c>
      <c r="D190" s="30"/>
      <c r="E190" s="32">
        <v>40962</v>
      </c>
      <c r="F190" s="33">
        <v>0.6333333333333333</v>
      </c>
      <c r="G190" s="33"/>
      <c r="H190" s="35"/>
      <c r="I190" s="28">
        <f>((Tabela2[[#This Row],[TW - Terminal A]]-Tabela2[[#This Row],[KM]])/(Tabela2[[#This Row],[KM]]))</f>
        <v>-1</v>
      </c>
      <c r="J190" s="35"/>
      <c r="K190" s="28">
        <f>((Tabela2[[#This Row],[TW - Terminal B ]]-Tabela2[[#This Row],[KM]])/(Tabela2[[#This Row],[KM]]))</f>
        <v>-1</v>
      </c>
      <c r="L190" s="34" t="s">
        <v>156</v>
      </c>
      <c r="M190" s="35">
        <v>156.1</v>
      </c>
      <c r="N190" s="34" t="s">
        <v>109</v>
      </c>
      <c r="O190" s="108"/>
      <c r="P190" s="5"/>
    </row>
    <row r="191" spans="1:18" x14ac:dyDescent="0.3">
      <c r="A191" s="30" t="s">
        <v>47</v>
      </c>
      <c r="B191" s="30" t="s">
        <v>455</v>
      </c>
      <c r="C191" s="31" t="s">
        <v>65</v>
      </c>
      <c r="D191" s="30"/>
      <c r="E191" s="32">
        <v>40983</v>
      </c>
      <c r="F191" s="33">
        <v>0.77638888888888891</v>
      </c>
      <c r="G191" s="33"/>
      <c r="H191" s="35">
        <v>-1.5</v>
      </c>
      <c r="I191" s="28">
        <f>((Tabela2[[#This Row],[TW - Terminal A]]-Tabela2[[#This Row],[KM]])/(Tabela2[[#This Row],[KM]]))</f>
        <v>-2.2396694214876032</v>
      </c>
      <c r="J191" s="35">
        <v>258.5</v>
      </c>
      <c r="K191" s="28">
        <f>((Tabela2[[#This Row],[TW - Terminal B ]]-Tabela2[[#This Row],[KM]])/(Tabela2[[#This Row],[KM]]))</f>
        <v>212.63636363636365</v>
      </c>
      <c r="L191" s="34" t="s">
        <v>157</v>
      </c>
      <c r="M191" s="35">
        <v>1.21</v>
      </c>
      <c r="N191" s="34" t="s">
        <v>114</v>
      </c>
      <c r="O191" s="108"/>
      <c r="P191" s="6"/>
      <c r="Q191"/>
      <c r="R191"/>
    </row>
    <row r="192" spans="1:18" s="2" customFormat="1" x14ac:dyDescent="0.3">
      <c r="A192" s="30" t="s">
        <v>47</v>
      </c>
      <c r="B192" s="30" t="s">
        <v>455</v>
      </c>
      <c r="C192" s="31" t="s">
        <v>65</v>
      </c>
      <c r="D192" s="30"/>
      <c r="E192" s="32">
        <v>40988</v>
      </c>
      <c r="F192" s="33">
        <v>0.67083333333333339</v>
      </c>
      <c r="G192" s="33"/>
      <c r="H192" s="35"/>
      <c r="I192" s="28">
        <f>((Tabela2[[#This Row],[TW - Terminal A]]-Tabela2[[#This Row],[KM]])/(Tabela2[[#This Row],[KM]]))</f>
        <v>-1</v>
      </c>
      <c r="J192" s="35"/>
      <c r="K192" s="28">
        <f>((Tabela2[[#This Row],[TW - Terminal B ]]-Tabela2[[#This Row],[KM]])/(Tabela2[[#This Row],[KM]]))</f>
        <v>-1</v>
      </c>
      <c r="L192" s="34" t="s">
        <v>158</v>
      </c>
      <c r="M192" s="35">
        <v>109.9</v>
      </c>
      <c r="N192" s="34" t="s">
        <v>109</v>
      </c>
      <c r="O192" s="108"/>
      <c r="P192" s="5"/>
    </row>
    <row r="193" spans="1:18" x14ac:dyDescent="0.3">
      <c r="A193" s="30" t="s">
        <v>47</v>
      </c>
      <c r="B193" s="30" t="s">
        <v>455</v>
      </c>
      <c r="C193" s="31" t="s">
        <v>65</v>
      </c>
      <c r="D193" s="30"/>
      <c r="E193" s="32">
        <v>41102</v>
      </c>
      <c r="F193" s="33">
        <v>0.58888888888888891</v>
      </c>
      <c r="G193" s="33"/>
      <c r="H193" s="35"/>
      <c r="I193" s="28">
        <f>((Tabela2[[#This Row],[TW - Terminal A]]-Tabela2[[#This Row],[KM]])/(Tabela2[[#This Row],[KM]]))</f>
        <v>-1</v>
      </c>
      <c r="J193" s="35"/>
      <c r="K193" s="28">
        <f>((Tabela2[[#This Row],[TW - Terminal B ]]-Tabela2[[#This Row],[KM]])/(Tabela2[[#This Row],[KM]]))</f>
        <v>-1</v>
      </c>
      <c r="L193" s="34" t="s">
        <v>165</v>
      </c>
      <c r="M193" s="35">
        <v>0.68</v>
      </c>
      <c r="N193" s="34" t="s">
        <v>111</v>
      </c>
      <c r="O193" s="108"/>
      <c r="P193" s="6"/>
      <c r="Q193"/>
      <c r="R193"/>
    </row>
    <row r="194" spans="1:18" s="2" customFormat="1" x14ac:dyDescent="0.3">
      <c r="A194" s="30" t="s">
        <v>47</v>
      </c>
      <c r="B194" s="30" t="s">
        <v>455</v>
      </c>
      <c r="C194" s="31" t="s">
        <v>65</v>
      </c>
      <c r="D194" s="30"/>
      <c r="E194" s="32">
        <v>41102</v>
      </c>
      <c r="F194" s="33">
        <v>0.59791666666666665</v>
      </c>
      <c r="G194" s="33"/>
      <c r="H194" s="35"/>
      <c r="I194" s="28">
        <f>((Tabela2[[#This Row],[TW - Terminal A]]-Tabela2[[#This Row],[KM]])/(Tabela2[[#This Row],[KM]]))</f>
        <v>-1</v>
      </c>
      <c r="J194" s="35"/>
      <c r="K194" s="28">
        <f>((Tabela2[[#This Row],[TW - Terminal B ]]-Tabela2[[#This Row],[KM]])/(Tabela2[[#This Row],[KM]]))</f>
        <v>-1</v>
      </c>
      <c r="L194" s="34" t="s">
        <v>165</v>
      </c>
      <c r="M194" s="35">
        <v>0.68</v>
      </c>
      <c r="N194" s="34" t="s">
        <v>111</v>
      </c>
      <c r="O194" s="108"/>
      <c r="P194" s="5"/>
    </row>
    <row r="195" spans="1:18" x14ac:dyDescent="0.3">
      <c r="A195" s="30" t="s">
        <v>47</v>
      </c>
      <c r="B195" s="30" t="s">
        <v>5</v>
      </c>
      <c r="C195" s="31" t="s">
        <v>66</v>
      </c>
      <c r="D195" s="30"/>
      <c r="E195" s="32">
        <v>41123</v>
      </c>
      <c r="F195" s="33">
        <v>0.52569444444444446</v>
      </c>
      <c r="G195" s="33"/>
      <c r="H195" s="35"/>
      <c r="I195" s="28" t="e">
        <f>((Tabela2[[#This Row],[TW - Terminal A]]-Tabela2[[#This Row],[KM]])/(Tabela2[[#This Row],[KM]]))</f>
        <v>#DIV/0!</v>
      </c>
      <c r="J195" s="35"/>
      <c r="K195" s="28" t="e">
        <f>((Tabela2[[#This Row],[TW - Terminal B ]]-Tabela2[[#This Row],[KM]])/(Tabela2[[#This Row],[KM]]))</f>
        <v>#DIV/0!</v>
      </c>
      <c r="L195" s="34" t="s">
        <v>5</v>
      </c>
      <c r="M195" s="35"/>
      <c r="N195" s="34" t="s">
        <v>114</v>
      </c>
      <c r="O195" s="108"/>
      <c r="P195" s="6"/>
      <c r="Q195"/>
      <c r="R195"/>
    </row>
    <row r="196" spans="1:18" s="2" customFormat="1" x14ac:dyDescent="0.3">
      <c r="A196" s="30" t="s">
        <v>47</v>
      </c>
      <c r="B196" s="30" t="s">
        <v>455</v>
      </c>
      <c r="C196" s="31" t="s">
        <v>64</v>
      </c>
      <c r="D196" s="30"/>
      <c r="E196" s="32">
        <v>41148</v>
      </c>
      <c r="F196" s="33">
        <v>0.70763888888888893</v>
      </c>
      <c r="G196" s="33"/>
      <c r="H196" s="35"/>
      <c r="I196" s="28">
        <f>((Tabela2[[#This Row],[TW - Terminal A]]-Tabela2[[#This Row],[KM]])/(Tabela2[[#This Row],[KM]]))</f>
        <v>-1</v>
      </c>
      <c r="J196" s="35"/>
      <c r="K196" s="28">
        <f>((Tabela2[[#This Row],[TW - Terminal B ]]-Tabela2[[#This Row],[KM]])/(Tabela2[[#This Row],[KM]]))</f>
        <v>-1</v>
      </c>
      <c r="L196" s="34" t="s">
        <v>167</v>
      </c>
      <c r="M196" s="35">
        <v>147.80000000000001</v>
      </c>
      <c r="N196" s="34" t="s">
        <v>111</v>
      </c>
      <c r="O196" s="108"/>
      <c r="P196" s="5"/>
    </row>
    <row r="197" spans="1:18" x14ac:dyDescent="0.3">
      <c r="A197" s="30" t="s">
        <v>47</v>
      </c>
      <c r="B197" s="30" t="s">
        <v>455</v>
      </c>
      <c r="C197" s="31" t="s">
        <v>64</v>
      </c>
      <c r="D197" s="30"/>
      <c r="E197" s="32">
        <v>41165</v>
      </c>
      <c r="F197" s="33">
        <v>0.89236111111111116</v>
      </c>
      <c r="G197" s="33"/>
      <c r="H197" s="35"/>
      <c r="I197" s="28">
        <f>((Tabela2[[#This Row],[TW - Terminal A]]-Tabela2[[#This Row],[KM]])/(Tabela2[[#This Row],[KM]]))</f>
        <v>-1</v>
      </c>
      <c r="J197" s="35"/>
      <c r="K197" s="28">
        <f>((Tabela2[[#This Row],[TW - Terminal B ]]-Tabela2[[#This Row],[KM]])/(Tabela2[[#This Row],[KM]]))</f>
        <v>-1</v>
      </c>
      <c r="L197" s="34" t="s">
        <v>168</v>
      </c>
      <c r="M197" s="35">
        <v>116.6</v>
      </c>
      <c r="N197" s="34" t="s">
        <v>115</v>
      </c>
      <c r="O197" s="108"/>
      <c r="P197" s="6"/>
      <c r="Q197"/>
      <c r="R197"/>
    </row>
    <row r="198" spans="1:18" s="2" customFormat="1" x14ac:dyDescent="0.3">
      <c r="A198" s="30" t="s">
        <v>47</v>
      </c>
      <c r="B198" s="30" t="s">
        <v>455</v>
      </c>
      <c r="C198" s="31" t="s">
        <v>67</v>
      </c>
      <c r="D198" s="30"/>
      <c r="E198" s="32">
        <v>41179</v>
      </c>
      <c r="F198" s="33">
        <v>0.46319444444444446</v>
      </c>
      <c r="G198" s="33"/>
      <c r="H198" s="35"/>
      <c r="I198" s="28" t="e">
        <f>((Tabela2[[#This Row],[TW - Terminal A]]-Tabela2[[#This Row],[KM]])/(Tabela2[[#This Row],[KM]]))</f>
        <v>#VALUE!</v>
      </c>
      <c r="J198" s="35"/>
      <c r="K198" s="28" t="e">
        <f>((Tabela2[[#This Row],[TW - Terminal B ]]-Tabela2[[#This Row],[KM]])/(Tabela2[[#This Row],[KM]]))</f>
        <v>#VALUE!</v>
      </c>
      <c r="L198" s="34" t="s">
        <v>169</v>
      </c>
      <c r="M198" s="35" t="s">
        <v>116</v>
      </c>
      <c r="N198" s="34" t="s">
        <v>111</v>
      </c>
      <c r="O198" s="108"/>
      <c r="P198" s="5"/>
    </row>
    <row r="199" spans="1:18" x14ac:dyDescent="0.3">
      <c r="A199" s="30" t="s">
        <v>47</v>
      </c>
      <c r="B199" s="30" t="s">
        <v>455</v>
      </c>
      <c r="C199" s="31" t="s">
        <v>66</v>
      </c>
      <c r="D199" s="30"/>
      <c r="E199" s="32">
        <v>41185</v>
      </c>
      <c r="F199" s="33">
        <v>0.49444444444444446</v>
      </c>
      <c r="G199" s="33"/>
      <c r="H199" s="35"/>
      <c r="I199" s="28">
        <f>((Tabela2[[#This Row],[TW - Terminal A]]-Tabela2[[#This Row],[KM]])/(Tabela2[[#This Row],[KM]]))</f>
        <v>-1</v>
      </c>
      <c r="J199" s="35"/>
      <c r="K199" s="28">
        <f>((Tabela2[[#This Row],[TW - Terminal B ]]-Tabela2[[#This Row],[KM]])/(Tabela2[[#This Row],[KM]]))</f>
        <v>-1</v>
      </c>
      <c r="L199" s="34" t="s">
        <v>170</v>
      </c>
      <c r="M199" s="35">
        <v>218.8</v>
      </c>
      <c r="N199" s="34" t="s">
        <v>111</v>
      </c>
      <c r="O199" s="108"/>
      <c r="P199" s="6"/>
      <c r="Q199"/>
      <c r="R199"/>
    </row>
    <row r="200" spans="1:18" s="2" customFormat="1" x14ac:dyDescent="0.3">
      <c r="A200" s="30" t="s">
        <v>47</v>
      </c>
      <c r="B200" s="30" t="s">
        <v>455</v>
      </c>
      <c r="C200" s="31" t="s">
        <v>65</v>
      </c>
      <c r="D200" s="30"/>
      <c r="E200" s="32">
        <v>41216</v>
      </c>
      <c r="F200" s="33">
        <v>0.76666666666666661</v>
      </c>
      <c r="G200" s="33"/>
      <c r="H200" s="35"/>
      <c r="I200" s="28">
        <f>((Tabela2[[#This Row],[TW - Terminal A]]-Tabela2[[#This Row],[KM]])/(Tabela2[[#This Row],[KM]]))</f>
        <v>-1</v>
      </c>
      <c r="J200" s="35"/>
      <c r="K200" s="28">
        <f>((Tabela2[[#This Row],[TW - Terminal B ]]-Tabela2[[#This Row],[KM]])/(Tabela2[[#This Row],[KM]]))</f>
        <v>-1</v>
      </c>
      <c r="L200" s="34" t="s">
        <v>171</v>
      </c>
      <c r="M200" s="35">
        <v>5.97</v>
      </c>
      <c r="N200" s="34" t="s">
        <v>109</v>
      </c>
      <c r="O200" s="108"/>
      <c r="P200" s="5"/>
    </row>
    <row r="201" spans="1:18" x14ac:dyDescent="0.3">
      <c r="A201" s="30" t="s">
        <v>47</v>
      </c>
      <c r="B201" s="30" t="s">
        <v>455</v>
      </c>
      <c r="C201" s="31" t="s">
        <v>64</v>
      </c>
      <c r="D201" s="30"/>
      <c r="E201" s="32">
        <v>41231</v>
      </c>
      <c r="F201" s="33">
        <v>0.96319444444444446</v>
      </c>
      <c r="G201" s="33"/>
      <c r="H201" s="35"/>
      <c r="I201" s="28">
        <f>((Tabela2[[#This Row],[TW - Terminal A]]-Tabela2[[#This Row],[KM]])/(Tabela2[[#This Row],[KM]]))</f>
        <v>-1</v>
      </c>
      <c r="J201" s="35"/>
      <c r="K201" s="28">
        <f>((Tabela2[[#This Row],[TW - Terminal B ]]-Tabela2[[#This Row],[KM]])/(Tabela2[[#This Row],[KM]]))</f>
        <v>-1</v>
      </c>
      <c r="L201" s="34" t="s">
        <v>172</v>
      </c>
      <c r="M201" s="35">
        <v>172.1</v>
      </c>
      <c r="N201" s="34" t="s">
        <v>109</v>
      </c>
      <c r="O201" s="108"/>
      <c r="P201" s="6"/>
      <c r="Q201"/>
      <c r="R201"/>
    </row>
    <row r="202" spans="1:18" s="2" customFormat="1" x14ac:dyDescent="0.3">
      <c r="A202" s="30" t="s">
        <v>47</v>
      </c>
      <c r="B202" s="30" t="s">
        <v>5</v>
      </c>
      <c r="C202" s="31" t="s">
        <v>64</v>
      </c>
      <c r="D202" s="30"/>
      <c r="E202" s="32">
        <v>41233</v>
      </c>
      <c r="F202" s="33">
        <v>0.82430555555555562</v>
      </c>
      <c r="G202" s="33"/>
      <c r="H202" s="35"/>
      <c r="I202" s="28" t="e">
        <f>((Tabela2[[#This Row],[TW - Terminal A]]-Tabela2[[#This Row],[KM]])/(Tabela2[[#This Row],[KM]]))</f>
        <v>#DIV/0!</v>
      </c>
      <c r="J202" s="35"/>
      <c r="K202" s="28" t="e">
        <f>((Tabela2[[#This Row],[TW - Terminal B ]]-Tabela2[[#This Row],[KM]])/(Tabela2[[#This Row],[KM]]))</f>
        <v>#DIV/0!</v>
      </c>
      <c r="L202" s="34"/>
      <c r="M202" s="35"/>
      <c r="N202" s="34" t="s">
        <v>114</v>
      </c>
      <c r="O202" s="108"/>
      <c r="P202" s="5"/>
    </row>
    <row r="203" spans="1:18" x14ac:dyDescent="0.3">
      <c r="A203" s="30" t="s">
        <v>47</v>
      </c>
      <c r="B203" s="30" t="s">
        <v>455</v>
      </c>
      <c r="C203" s="31" t="s">
        <v>65</v>
      </c>
      <c r="D203" s="30"/>
      <c r="E203" s="32">
        <v>41273</v>
      </c>
      <c r="F203" s="33">
        <v>0.38541666666666669</v>
      </c>
      <c r="G203" s="33"/>
      <c r="H203" s="35"/>
      <c r="I203" s="28" t="e">
        <f>((Tabela2[[#This Row],[TW - Terminal A]]-Tabela2[[#This Row],[KM]])/(Tabela2[[#This Row],[KM]]))</f>
        <v>#DIV/0!</v>
      </c>
      <c r="J203" s="35"/>
      <c r="K203" s="28" t="e">
        <f>((Tabela2[[#This Row],[TW - Terminal B ]]-Tabela2[[#This Row],[KM]])/(Tabela2[[#This Row],[KM]]))</f>
        <v>#DIV/0!</v>
      </c>
      <c r="L203" s="34" t="s">
        <v>4</v>
      </c>
      <c r="M203" s="35"/>
      <c r="N203" s="34" t="s">
        <v>114</v>
      </c>
      <c r="O203" s="108"/>
      <c r="P203" s="6"/>
      <c r="Q203"/>
      <c r="R203"/>
    </row>
    <row r="204" spans="1:18" s="2" customFormat="1" x14ac:dyDescent="0.3">
      <c r="A204" s="30" t="s">
        <v>47</v>
      </c>
      <c r="B204" s="30" t="s">
        <v>455</v>
      </c>
      <c r="C204" s="31" t="s">
        <v>65</v>
      </c>
      <c r="D204" s="30"/>
      <c r="E204" s="32">
        <v>41277</v>
      </c>
      <c r="F204" s="33">
        <v>0.64027777777777783</v>
      </c>
      <c r="G204" s="33"/>
      <c r="H204" s="35"/>
      <c r="I204" s="28">
        <f>((Tabela2[[#This Row],[TW - Terminal A]]-Tabela2[[#This Row],[KM]])/(Tabela2[[#This Row],[KM]]))</f>
        <v>-1</v>
      </c>
      <c r="J204" s="35"/>
      <c r="K204" s="28">
        <f>((Tabela2[[#This Row],[TW - Terminal B ]]-Tabela2[[#This Row],[KM]])/(Tabela2[[#This Row],[KM]]))</f>
        <v>-1</v>
      </c>
      <c r="L204" s="34" t="s">
        <v>173</v>
      </c>
      <c r="M204" s="35">
        <v>240.5</v>
      </c>
      <c r="N204" s="34" t="s">
        <v>109</v>
      </c>
      <c r="O204" s="108"/>
      <c r="P204" s="5"/>
    </row>
    <row r="205" spans="1:18" s="2" customFormat="1" x14ac:dyDescent="0.3">
      <c r="A205" s="30" t="s">
        <v>47</v>
      </c>
      <c r="B205" s="30" t="s">
        <v>5</v>
      </c>
      <c r="C205" s="31" t="s">
        <v>18</v>
      </c>
      <c r="D205" s="30"/>
      <c r="E205" s="32">
        <v>41287</v>
      </c>
      <c r="F205" s="33">
        <v>0.56527777777777777</v>
      </c>
      <c r="G205" s="33"/>
      <c r="H205" s="35"/>
      <c r="I205" s="28" t="e">
        <f>((Tabela2[[#This Row],[TW - Terminal A]]-Tabela2[[#This Row],[KM]])/(Tabela2[[#This Row],[KM]]))</f>
        <v>#DIV/0!</v>
      </c>
      <c r="J205" s="35"/>
      <c r="K205" s="28" t="e">
        <f>((Tabela2[[#This Row],[TW - Terminal B ]]-Tabela2[[#This Row],[KM]])/(Tabela2[[#This Row],[KM]]))</f>
        <v>#DIV/0!</v>
      </c>
      <c r="L205" s="34"/>
      <c r="M205" s="35"/>
      <c r="N205" s="34"/>
      <c r="O205" s="108"/>
      <c r="P205" s="5"/>
    </row>
    <row r="206" spans="1:18" s="2" customFormat="1" x14ac:dyDescent="0.3">
      <c r="A206" s="30" t="s">
        <v>47</v>
      </c>
      <c r="B206" s="30" t="s">
        <v>455</v>
      </c>
      <c r="C206" s="31" t="s">
        <v>64</v>
      </c>
      <c r="D206" s="30"/>
      <c r="E206" s="32">
        <v>41293</v>
      </c>
      <c r="F206" s="33">
        <v>0.92361111111111116</v>
      </c>
      <c r="G206" s="33"/>
      <c r="H206" s="35"/>
      <c r="I206" s="28">
        <f>((Tabela2[[#This Row],[TW - Terminal A]]-Tabela2[[#This Row],[KM]])/(Tabela2[[#This Row],[KM]]))</f>
        <v>-1</v>
      </c>
      <c r="J206" s="35"/>
      <c r="K206" s="28">
        <f>((Tabela2[[#This Row],[TW - Terminal B ]]-Tabela2[[#This Row],[KM]])/(Tabela2[[#This Row],[KM]]))</f>
        <v>-1</v>
      </c>
      <c r="L206" s="34" t="s">
        <v>174</v>
      </c>
      <c r="M206" s="35">
        <v>168.6</v>
      </c>
      <c r="N206" s="34" t="s">
        <v>109</v>
      </c>
      <c r="O206" s="108"/>
      <c r="P206" s="5"/>
    </row>
    <row r="207" spans="1:18" x14ac:dyDescent="0.3">
      <c r="A207" s="30" t="s">
        <v>47</v>
      </c>
      <c r="B207" s="30" t="s">
        <v>5</v>
      </c>
      <c r="C207" s="31" t="s">
        <v>66</v>
      </c>
      <c r="D207" s="30"/>
      <c r="E207" s="32">
        <v>41435</v>
      </c>
      <c r="F207" s="33">
        <v>0.49722222222222223</v>
      </c>
      <c r="G207" s="33"/>
      <c r="H207" s="35"/>
      <c r="I207" s="28" t="e">
        <f>((Tabela2[[#This Row],[TW - Terminal A]]-Tabela2[[#This Row],[KM]])/(Tabela2[[#This Row],[KM]]))</f>
        <v>#DIV/0!</v>
      </c>
      <c r="J207" s="35"/>
      <c r="K207" s="28" t="e">
        <f>((Tabela2[[#This Row],[TW - Terminal B ]]-Tabela2[[#This Row],[KM]])/(Tabela2[[#This Row],[KM]]))</f>
        <v>#DIV/0!</v>
      </c>
      <c r="L207" s="34" t="s">
        <v>5</v>
      </c>
      <c r="M207" s="35"/>
      <c r="N207" s="34" t="s">
        <v>114</v>
      </c>
      <c r="O207" s="108"/>
      <c r="P207" s="6"/>
      <c r="Q207"/>
      <c r="R207"/>
    </row>
    <row r="208" spans="1:18" s="2" customFormat="1" ht="15" customHeight="1" x14ac:dyDescent="0.3">
      <c r="A208" s="30" t="s">
        <v>47</v>
      </c>
      <c r="B208" s="30" t="s">
        <v>455</v>
      </c>
      <c r="C208" s="31" t="s">
        <v>64</v>
      </c>
      <c r="D208" s="30"/>
      <c r="E208" s="32">
        <v>41530</v>
      </c>
      <c r="F208" s="33">
        <v>0.56666666666666665</v>
      </c>
      <c r="G208" s="33"/>
      <c r="H208" s="35"/>
      <c r="I208" s="28">
        <f>((Tabela2[[#This Row],[TW - Terminal A]]-Tabela2[[#This Row],[KM]])/(Tabela2[[#This Row],[KM]]))</f>
        <v>-1</v>
      </c>
      <c r="J208" s="35"/>
      <c r="K208" s="28">
        <f>((Tabela2[[#This Row],[TW - Terminal B ]]-Tabela2[[#This Row],[KM]])/(Tabela2[[#This Row],[KM]]))</f>
        <v>-1</v>
      </c>
      <c r="L208" s="34" t="s">
        <v>175</v>
      </c>
      <c r="M208" s="35">
        <v>148.30000000000001</v>
      </c>
      <c r="N208" s="34" t="s">
        <v>111</v>
      </c>
      <c r="O208" s="108"/>
      <c r="P208" s="5"/>
    </row>
    <row r="209" spans="1:18" x14ac:dyDescent="0.3">
      <c r="A209" s="30" t="s">
        <v>47</v>
      </c>
      <c r="B209" s="30" t="s">
        <v>455</v>
      </c>
      <c r="C209" s="31" t="s">
        <v>64</v>
      </c>
      <c r="D209" s="30"/>
      <c r="E209" s="52">
        <v>41530</v>
      </c>
      <c r="F209" s="156">
        <v>0.56736111111111109</v>
      </c>
      <c r="G209" s="156"/>
      <c r="H209" s="35"/>
      <c r="I209" s="28">
        <f>((Tabela2[[#This Row],[TW - Terminal A]]-Tabela2[[#This Row],[KM]])/(Tabela2[[#This Row],[KM]]))</f>
        <v>-1</v>
      </c>
      <c r="J209" s="35"/>
      <c r="K209" s="28">
        <f>((Tabela2[[#This Row],[TW - Terminal B ]]-Tabela2[[#This Row],[KM]])/(Tabela2[[#This Row],[KM]]))</f>
        <v>-1</v>
      </c>
      <c r="L209" s="34" t="s">
        <v>175</v>
      </c>
      <c r="M209" s="35">
        <v>148.30000000000001</v>
      </c>
      <c r="N209" s="30" t="s">
        <v>111</v>
      </c>
      <c r="O209" s="115"/>
      <c r="P209" s="6"/>
      <c r="Q209"/>
      <c r="R209"/>
    </row>
    <row r="210" spans="1:18" s="2" customFormat="1" x14ac:dyDescent="0.3">
      <c r="A210" s="53" t="s">
        <v>47</v>
      </c>
      <c r="B210" s="30" t="s">
        <v>455</v>
      </c>
      <c r="C210" s="31" t="s">
        <v>67</v>
      </c>
      <c r="D210" s="53"/>
      <c r="E210" s="54">
        <v>41538</v>
      </c>
      <c r="F210" s="154">
        <v>0.90833333333333333</v>
      </c>
      <c r="G210" s="154"/>
      <c r="H210" s="35"/>
      <c r="I210" s="28" t="e">
        <f>((Tabela2[[#This Row],[TW - Terminal A]]-Tabela2[[#This Row],[KM]])/(Tabela2[[#This Row],[KM]]))</f>
        <v>#DIV/0!</v>
      </c>
      <c r="J210" s="35"/>
      <c r="K210" s="28" t="e">
        <f>((Tabela2[[#This Row],[TW - Terminal B ]]-Tabela2[[#This Row],[KM]])/(Tabela2[[#This Row],[KM]]))</f>
        <v>#DIV/0!</v>
      </c>
      <c r="L210" s="53" t="s">
        <v>4</v>
      </c>
      <c r="M210" s="35"/>
      <c r="N210" s="53" t="s">
        <v>114</v>
      </c>
      <c r="O210" s="111"/>
      <c r="P210" s="5"/>
    </row>
    <row r="211" spans="1:18" ht="16.5" customHeight="1" x14ac:dyDescent="0.3">
      <c r="A211" s="53" t="s">
        <v>47</v>
      </c>
      <c r="B211" s="30" t="s">
        <v>455</v>
      </c>
      <c r="C211" s="31" t="s">
        <v>64</v>
      </c>
      <c r="D211" s="53"/>
      <c r="E211" s="54">
        <v>41613</v>
      </c>
      <c r="F211" s="154">
        <v>0.84722222222222221</v>
      </c>
      <c r="G211" s="154"/>
      <c r="H211" s="35"/>
      <c r="I211" s="28" t="e">
        <f>((Tabela2[[#This Row],[TW - Terminal A]]-Tabela2[[#This Row],[KM]])/(Tabela2[[#This Row],[KM]]))</f>
        <v>#DIV/0!</v>
      </c>
      <c r="J211" s="35"/>
      <c r="K211" s="28" t="e">
        <f>((Tabela2[[#This Row],[TW - Terminal B ]]-Tabela2[[#This Row],[KM]])/(Tabela2[[#This Row],[KM]]))</f>
        <v>#DIV/0!</v>
      </c>
      <c r="L211" s="53"/>
      <c r="M211" s="35"/>
      <c r="N211" s="53" t="s">
        <v>109</v>
      </c>
      <c r="O211" s="111"/>
      <c r="P211" s="6"/>
      <c r="Q211"/>
      <c r="R211"/>
    </row>
    <row r="212" spans="1:18" s="2" customFormat="1" x14ac:dyDescent="0.3">
      <c r="A212" s="53" t="s">
        <v>47</v>
      </c>
      <c r="B212" s="30" t="s">
        <v>455</v>
      </c>
      <c r="C212" s="31" t="s">
        <v>64</v>
      </c>
      <c r="D212" s="53"/>
      <c r="E212" s="54">
        <v>41613</v>
      </c>
      <c r="F212" s="154">
        <v>0.86805555555555547</v>
      </c>
      <c r="G212" s="154"/>
      <c r="H212" s="35"/>
      <c r="I212" s="28" t="e">
        <f>((Tabela2[[#This Row],[TW - Terminal A]]-Tabela2[[#This Row],[KM]])/(Tabela2[[#This Row],[KM]]))</f>
        <v>#DIV/0!</v>
      </c>
      <c r="J212" s="35"/>
      <c r="K212" s="28" t="e">
        <f>((Tabela2[[#This Row],[TW - Terminal B ]]-Tabela2[[#This Row],[KM]])/(Tabela2[[#This Row],[KM]]))</f>
        <v>#DIV/0!</v>
      </c>
      <c r="L212" s="123"/>
      <c r="M212" s="35"/>
      <c r="N212" s="123" t="s">
        <v>109</v>
      </c>
      <c r="O212" s="111"/>
      <c r="P212" s="5"/>
    </row>
    <row r="213" spans="1:18" ht="15" customHeight="1" x14ac:dyDescent="0.3">
      <c r="A213" s="53" t="s">
        <v>47</v>
      </c>
      <c r="B213" s="30" t="s">
        <v>455</v>
      </c>
      <c r="C213" s="31" t="s">
        <v>64</v>
      </c>
      <c r="D213" s="53"/>
      <c r="E213" s="54">
        <v>41661</v>
      </c>
      <c r="F213" s="154">
        <v>0.66180555555555554</v>
      </c>
      <c r="G213" s="154"/>
      <c r="H213" s="35"/>
      <c r="I213" s="28" t="e">
        <f>((Tabela2[[#This Row],[TW - Terminal A]]-Tabela2[[#This Row],[KM]])/(Tabela2[[#This Row],[KM]]))</f>
        <v>#DIV/0!</v>
      </c>
      <c r="J213" s="35"/>
      <c r="K213" s="28" t="e">
        <f>((Tabela2[[#This Row],[TW - Terminal B ]]-Tabela2[[#This Row],[KM]])/(Tabela2[[#This Row],[KM]]))</f>
        <v>#DIV/0!</v>
      </c>
      <c r="L213" s="53"/>
      <c r="M213" s="35"/>
      <c r="N213" s="53" t="s">
        <v>114</v>
      </c>
      <c r="O213" s="111"/>
      <c r="P213" s="6"/>
      <c r="Q213"/>
      <c r="R213"/>
    </row>
    <row r="214" spans="1:18" s="2" customFormat="1" ht="15" customHeight="1" x14ac:dyDescent="0.3">
      <c r="A214" s="53" t="s">
        <v>47</v>
      </c>
      <c r="B214" s="30" t="s">
        <v>455</v>
      </c>
      <c r="C214" s="31" t="s">
        <v>64</v>
      </c>
      <c r="D214" s="53"/>
      <c r="E214" s="54">
        <v>41661</v>
      </c>
      <c r="F214" s="154">
        <v>0.94027777777777777</v>
      </c>
      <c r="G214" s="154"/>
      <c r="H214" s="35"/>
      <c r="I214" s="28" t="e">
        <f>((Tabela2[[#This Row],[TW - Terminal A]]-Tabela2[[#This Row],[KM]])/(Tabela2[[#This Row],[KM]]))</f>
        <v>#DIV/0!</v>
      </c>
      <c r="J214" s="35"/>
      <c r="K214" s="28" t="e">
        <f>((Tabela2[[#This Row],[TW - Terminal B ]]-Tabela2[[#This Row],[KM]])/(Tabela2[[#This Row],[KM]]))</f>
        <v>#DIV/0!</v>
      </c>
      <c r="L214" s="53" t="s">
        <v>176</v>
      </c>
      <c r="M214" s="35"/>
      <c r="N214" s="53" t="s">
        <v>115</v>
      </c>
      <c r="O214" s="111"/>
      <c r="P214" s="5"/>
    </row>
    <row r="215" spans="1:18" x14ac:dyDescent="0.3">
      <c r="A215" s="53" t="s">
        <v>47</v>
      </c>
      <c r="B215" s="30" t="s">
        <v>455</v>
      </c>
      <c r="C215" s="31" t="s">
        <v>66</v>
      </c>
      <c r="D215" s="53"/>
      <c r="E215" s="54">
        <v>41669</v>
      </c>
      <c r="F215" s="154">
        <v>0.89374999999999993</v>
      </c>
      <c r="G215" s="154"/>
      <c r="H215" s="35"/>
      <c r="I215" s="28" t="e">
        <f>((Tabela2[[#This Row],[TW - Terminal A]]-Tabela2[[#This Row],[KM]])/(Tabela2[[#This Row],[KM]]))</f>
        <v>#DIV/0!</v>
      </c>
      <c r="J215" s="35"/>
      <c r="K215" s="28" t="e">
        <f>((Tabela2[[#This Row],[TW - Terminal B ]]-Tabela2[[#This Row],[KM]])/(Tabela2[[#This Row],[KM]]))</f>
        <v>#DIV/0!</v>
      </c>
      <c r="L215" s="53" t="s">
        <v>177</v>
      </c>
      <c r="M215" s="35"/>
      <c r="N215" s="53" t="s">
        <v>115</v>
      </c>
      <c r="O215" s="111"/>
      <c r="P215" s="6"/>
      <c r="Q215"/>
      <c r="R215"/>
    </row>
    <row r="216" spans="1:18" s="2" customFormat="1" x14ac:dyDescent="0.3">
      <c r="A216" s="56" t="s">
        <v>47</v>
      </c>
      <c r="B216" s="30" t="s">
        <v>455</v>
      </c>
      <c r="C216" s="31" t="s">
        <v>67</v>
      </c>
      <c r="D216" s="56"/>
      <c r="E216" s="76">
        <v>41674</v>
      </c>
      <c r="F216" s="158">
        <v>0.58472222222222225</v>
      </c>
      <c r="G216" s="165"/>
      <c r="H216" s="35"/>
      <c r="I216" s="28" t="e">
        <f>((Tabela2[[#This Row],[TW - Terminal A]]-Tabela2[[#This Row],[KM]])/(Tabela2[[#This Row],[KM]]))</f>
        <v>#DIV/0!</v>
      </c>
      <c r="J216" s="35"/>
      <c r="K216" s="28" t="e">
        <f>((Tabela2[[#This Row],[TW - Terminal B ]]-Tabela2[[#This Row],[KM]])/(Tabela2[[#This Row],[KM]]))</f>
        <v>#DIV/0!</v>
      </c>
      <c r="L216" s="56" t="s">
        <v>178</v>
      </c>
      <c r="M216" s="35"/>
      <c r="N216" s="56" t="s">
        <v>109</v>
      </c>
      <c r="O216" s="111"/>
      <c r="P216" s="5"/>
    </row>
    <row r="217" spans="1:18" x14ac:dyDescent="0.3">
      <c r="A217" s="56" t="s">
        <v>47</v>
      </c>
      <c r="B217" s="30" t="s">
        <v>455</v>
      </c>
      <c r="C217" s="31" t="s">
        <v>65</v>
      </c>
      <c r="D217" s="56"/>
      <c r="E217" s="147">
        <v>41686</v>
      </c>
      <c r="F217" s="158">
        <v>0.83958333333333324</v>
      </c>
      <c r="G217" s="165"/>
      <c r="H217" s="35"/>
      <c r="I217" s="28" t="e">
        <f>((Tabela2[[#This Row],[TW - Terminal A]]-Tabela2[[#This Row],[KM]])/(Tabela2[[#This Row],[KM]]))</f>
        <v>#DIV/0!</v>
      </c>
      <c r="J217" s="35"/>
      <c r="K217" s="28" t="e">
        <f>((Tabela2[[#This Row],[TW - Terminal B ]]-Tabela2[[#This Row],[KM]])/(Tabela2[[#This Row],[KM]]))</f>
        <v>#DIV/0!</v>
      </c>
      <c r="L217" s="173" t="s">
        <v>179</v>
      </c>
      <c r="M217" s="35"/>
      <c r="N217" s="56" t="s">
        <v>115</v>
      </c>
      <c r="O217" s="111"/>
      <c r="P217" s="6"/>
      <c r="Q217"/>
      <c r="R217"/>
    </row>
    <row r="218" spans="1:18" s="2" customFormat="1" ht="15" customHeight="1" x14ac:dyDescent="0.3">
      <c r="A218" s="53" t="s">
        <v>47</v>
      </c>
      <c r="B218" s="30" t="s">
        <v>455</v>
      </c>
      <c r="C218" s="31" t="s">
        <v>66</v>
      </c>
      <c r="D218" s="53"/>
      <c r="E218" s="32">
        <v>41717</v>
      </c>
      <c r="F218" s="33">
        <v>0.94513888888888886</v>
      </c>
      <c r="G218" s="33"/>
      <c r="H218" s="35"/>
      <c r="I218" s="28" t="e">
        <f>((Tabela2[[#This Row],[TW - Terminal A]]-Tabela2[[#This Row],[KM]])/(Tabela2[[#This Row],[KM]]))</f>
        <v>#DIV/0!</v>
      </c>
      <c r="J218" s="35"/>
      <c r="K218" s="28" t="e">
        <f>((Tabela2[[#This Row],[TW - Terminal B ]]-Tabela2[[#This Row],[KM]])/(Tabela2[[#This Row],[KM]]))</f>
        <v>#DIV/0!</v>
      </c>
      <c r="L218" s="34" t="s">
        <v>4</v>
      </c>
      <c r="M218" s="35"/>
      <c r="N218" s="34" t="s">
        <v>114</v>
      </c>
      <c r="O218" s="108"/>
      <c r="P218" s="5"/>
    </row>
    <row r="219" spans="1:18" x14ac:dyDescent="0.3">
      <c r="A219" s="133" t="s">
        <v>47</v>
      </c>
      <c r="B219" s="30" t="s">
        <v>455</v>
      </c>
      <c r="C219" s="31" t="s">
        <v>66</v>
      </c>
      <c r="D219" s="133"/>
      <c r="E219" s="32">
        <v>41736</v>
      </c>
      <c r="F219" s="33">
        <v>0.23124999999999998</v>
      </c>
      <c r="G219" s="33"/>
      <c r="H219" s="35"/>
      <c r="I219" s="28" t="e">
        <f>((Tabela2[[#This Row],[TW - Terminal A]]-Tabela2[[#This Row],[KM]])/(Tabela2[[#This Row],[KM]]))</f>
        <v>#DIV/0!</v>
      </c>
      <c r="J219" s="35"/>
      <c r="K219" s="28" t="e">
        <f>((Tabela2[[#This Row],[TW - Terminal B ]]-Tabela2[[#This Row],[KM]])/(Tabela2[[#This Row],[KM]]))</f>
        <v>#DIV/0!</v>
      </c>
      <c r="L219" s="34" t="s">
        <v>180</v>
      </c>
      <c r="M219" s="35"/>
      <c r="N219" s="34" t="s">
        <v>115</v>
      </c>
      <c r="O219" s="116"/>
      <c r="P219" s="6"/>
      <c r="Q219"/>
      <c r="R219"/>
    </row>
    <row r="220" spans="1:18" s="2" customFormat="1" x14ac:dyDescent="0.3">
      <c r="A220" s="133" t="s">
        <v>47</v>
      </c>
      <c r="B220" s="30" t="s">
        <v>455</v>
      </c>
      <c r="C220" s="31" t="s">
        <v>64</v>
      </c>
      <c r="D220" s="133"/>
      <c r="E220" s="32">
        <v>41736</v>
      </c>
      <c r="F220" s="33">
        <v>0.71388888888888891</v>
      </c>
      <c r="G220" s="33"/>
      <c r="H220" s="35"/>
      <c r="I220" s="28" t="e">
        <f>((Tabela2[[#This Row],[TW - Terminal A]]-Tabela2[[#This Row],[KM]])/(Tabela2[[#This Row],[KM]]))</f>
        <v>#DIV/0!</v>
      </c>
      <c r="J220" s="35"/>
      <c r="K220" s="28" t="e">
        <f>((Tabela2[[#This Row],[TW - Terminal B ]]-Tabela2[[#This Row],[KM]])/(Tabela2[[#This Row],[KM]]))</f>
        <v>#DIV/0!</v>
      </c>
      <c r="L220" s="34" t="s">
        <v>181</v>
      </c>
      <c r="M220" s="35"/>
      <c r="N220" s="34" t="s">
        <v>115</v>
      </c>
      <c r="O220" s="182"/>
      <c r="P220" s="5"/>
    </row>
    <row r="221" spans="1:18" ht="15" customHeight="1" x14ac:dyDescent="0.3">
      <c r="A221" s="74" t="s">
        <v>47</v>
      </c>
      <c r="B221" s="30" t="s">
        <v>455</v>
      </c>
      <c r="C221" s="31" t="s">
        <v>65</v>
      </c>
      <c r="D221" s="74"/>
      <c r="E221" s="145">
        <v>41739</v>
      </c>
      <c r="F221" s="149">
        <v>2356</v>
      </c>
      <c r="G221" s="149"/>
      <c r="H221" s="35"/>
      <c r="I221" s="28" t="e">
        <f>((Tabela2[[#This Row],[TW - Terminal A]]-Tabela2[[#This Row],[KM]])/(Tabela2[[#This Row],[KM]]))</f>
        <v>#DIV/0!</v>
      </c>
      <c r="J221" s="35"/>
      <c r="K221" s="28" t="e">
        <f>((Tabela2[[#This Row],[TW - Terminal B ]]-Tabela2[[#This Row],[KM]])/(Tabela2[[#This Row],[KM]]))</f>
        <v>#DIV/0!</v>
      </c>
      <c r="L221" s="172" t="s">
        <v>182</v>
      </c>
      <c r="M221" s="35"/>
      <c r="N221" s="172" t="s">
        <v>115</v>
      </c>
      <c r="O221" s="184"/>
    </row>
    <row r="222" spans="1:18" s="2" customFormat="1" ht="15" customHeight="1" x14ac:dyDescent="0.3">
      <c r="A222" s="133" t="s">
        <v>47</v>
      </c>
      <c r="B222" s="30" t="s">
        <v>455</v>
      </c>
      <c r="C222" s="31" t="s">
        <v>64</v>
      </c>
      <c r="D222" s="133"/>
      <c r="E222" s="66">
        <v>41739</v>
      </c>
      <c r="F222" s="153">
        <v>0.23194444444444443</v>
      </c>
      <c r="G222" s="163"/>
      <c r="H222" s="35"/>
      <c r="I222" s="28" t="e">
        <f>((Tabela2[[#This Row],[TW - Terminal A]]-Tabela2[[#This Row],[KM]])/(Tabela2[[#This Row],[KM]]))</f>
        <v>#DIV/0!</v>
      </c>
      <c r="J222" s="35"/>
      <c r="K222" s="28" t="e">
        <f>((Tabela2[[#This Row],[TW - Terminal B ]]-Tabela2[[#This Row],[KM]])/(Tabela2[[#This Row],[KM]]))</f>
        <v>#DIV/0!</v>
      </c>
      <c r="L222" s="63" t="s">
        <v>183</v>
      </c>
      <c r="M222" s="35"/>
      <c r="N222" s="63" t="s">
        <v>115</v>
      </c>
      <c r="O222" s="118"/>
      <c r="P222" s="5"/>
      <c r="Q222" s="1"/>
      <c r="R222" s="1"/>
    </row>
    <row r="223" spans="1:18" ht="15" customHeight="1" x14ac:dyDescent="0.3">
      <c r="A223" s="61" t="s">
        <v>47</v>
      </c>
      <c r="B223" s="30" t="s">
        <v>455</v>
      </c>
      <c r="C223" s="31" t="s">
        <v>67</v>
      </c>
      <c r="D223" s="61"/>
      <c r="E223" s="144">
        <v>41872</v>
      </c>
      <c r="F223" s="152">
        <v>0.59930555555555554</v>
      </c>
      <c r="G223" s="151"/>
      <c r="H223" s="35"/>
      <c r="I223" s="28" t="e">
        <f>((Tabela2[[#This Row],[TW - Terminal A]]-Tabela2[[#This Row],[KM]])/(Tabela2[[#This Row],[KM]]))</f>
        <v>#DIV/0!</v>
      </c>
      <c r="J223" s="35"/>
      <c r="K223" s="28" t="e">
        <f>((Tabela2[[#This Row],[TW - Terminal B ]]-Tabela2[[#This Row],[KM]])/(Tabela2[[#This Row],[KM]]))</f>
        <v>#DIV/0!</v>
      </c>
      <c r="L223" s="64" t="s">
        <v>184</v>
      </c>
      <c r="M223" s="35"/>
      <c r="N223" s="64" t="s">
        <v>111</v>
      </c>
      <c r="O223" s="117"/>
    </row>
    <row r="224" spans="1:18" s="2" customFormat="1" ht="15" customHeight="1" x14ac:dyDescent="0.3">
      <c r="A224" s="67" t="s">
        <v>47</v>
      </c>
      <c r="B224" s="30" t="s">
        <v>455</v>
      </c>
      <c r="C224" s="31" t="s">
        <v>67</v>
      </c>
      <c r="D224" s="67"/>
      <c r="E224" s="62">
        <v>41872</v>
      </c>
      <c r="F224" s="150">
        <v>0.6166666666666667</v>
      </c>
      <c r="G224" s="151"/>
      <c r="H224" s="35"/>
      <c r="I224" s="28" t="e">
        <f>((Tabela2[[#This Row],[TW - Terminal A]]-Tabela2[[#This Row],[KM]])/(Tabela2[[#This Row],[KM]]))</f>
        <v>#DIV/0!</v>
      </c>
      <c r="J224" s="35"/>
      <c r="K224" s="28" t="e">
        <f>((Tabela2[[#This Row],[TW - Terminal B ]]-Tabela2[[#This Row],[KM]])/(Tabela2[[#This Row],[KM]]))</f>
        <v>#DIV/0!</v>
      </c>
      <c r="L224" s="63" t="s">
        <v>184</v>
      </c>
      <c r="M224" s="35"/>
      <c r="N224" s="63" t="s">
        <v>111</v>
      </c>
      <c r="O224" s="120"/>
      <c r="P224" s="5"/>
      <c r="Q224" s="1"/>
      <c r="R224" s="1"/>
    </row>
    <row r="225" spans="1:18" ht="15" customHeight="1" x14ac:dyDescent="0.3">
      <c r="A225" s="56" t="s">
        <v>47</v>
      </c>
      <c r="B225" s="30" t="s">
        <v>455</v>
      </c>
      <c r="C225" s="31" t="s">
        <v>67</v>
      </c>
      <c r="D225" s="56"/>
      <c r="E225" s="139">
        <v>41874</v>
      </c>
      <c r="F225" s="151">
        <v>0.3666666666666667</v>
      </c>
      <c r="G225" s="151"/>
      <c r="H225" s="35"/>
      <c r="I225" s="28" t="e">
        <f>((Tabela2[[#This Row],[TW - Terminal A]]-Tabela2[[#This Row],[KM]])/(Tabela2[[#This Row],[KM]]))</f>
        <v>#DIV/0!</v>
      </c>
      <c r="J225" s="35"/>
      <c r="K225" s="28" t="e">
        <f>((Tabela2[[#This Row],[TW - Terminal B ]]-Tabela2[[#This Row],[KM]])/(Tabela2[[#This Row],[KM]]))</f>
        <v>#DIV/0!</v>
      </c>
      <c r="L225" s="73" t="s">
        <v>185</v>
      </c>
      <c r="M225" s="35"/>
      <c r="N225" s="73" t="s">
        <v>111</v>
      </c>
      <c r="O225" s="124"/>
    </row>
    <row r="226" spans="1:18" s="2" customFormat="1" ht="15" customHeight="1" x14ac:dyDescent="0.3">
      <c r="A226" s="67" t="s">
        <v>47</v>
      </c>
      <c r="B226" s="30" t="s">
        <v>455</v>
      </c>
      <c r="C226" s="31" t="s">
        <v>67</v>
      </c>
      <c r="D226" s="67"/>
      <c r="E226" s="62">
        <v>41874</v>
      </c>
      <c r="F226" s="150">
        <v>0.47083333333333338</v>
      </c>
      <c r="G226" s="151"/>
      <c r="H226" s="35"/>
      <c r="I226" s="28" t="e">
        <f>((Tabela2[[#This Row],[TW - Terminal A]]-Tabela2[[#This Row],[KM]])/(Tabela2[[#This Row],[KM]]))</f>
        <v>#DIV/0!</v>
      </c>
      <c r="J226" s="35"/>
      <c r="K226" s="28" t="e">
        <f>((Tabela2[[#This Row],[TW - Terminal B ]]-Tabela2[[#This Row],[KM]])/(Tabela2[[#This Row],[KM]]))</f>
        <v>#DIV/0!</v>
      </c>
      <c r="L226" s="63" t="s">
        <v>186</v>
      </c>
      <c r="M226" s="35"/>
      <c r="N226" s="63" t="s">
        <v>111</v>
      </c>
      <c r="O226" s="117"/>
      <c r="P226" s="5"/>
      <c r="Q226" s="1"/>
      <c r="R226" s="1"/>
    </row>
    <row r="227" spans="1:18" ht="15" customHeight="1" x14ac:dyDescent="0.3">
      <c r="A227" s="65" t="s">
        <v>47</v>
      </c>
      <c r="B227" s="30" t="s">
        <v>455</v>
      </c>
      <c r="C227" s="31" t="s">
        <v>64</v>
      </c>
      <c r="D227" s="65"/>
      <c r="E227" s="66">
        <v>41885</v>
      </c>
      <c r="F227" s="150">
        <v>0.60416666666666663</v>
      </c>
      <c r="G227" s="151"/>
      <c r="H227" s="35"/>
      <c r="I227" s="28" t="e">
        <f>((Tabela2[[#This Row],[TW - Terminal A]]-Tabela2[[#This Row],[KM]])/(Tabela2[[#This Row],[KM]]))</f>
        <v>#DIV/0!</v>
      </c>
      <c r="J227" s="35"/>
      <c r="K227" s="28" t="e">
        <f>((Tabela2[[#This Row],[TW - Terminal B ]]-Tabela2[[#This Row],[KM]])/(Tabela2[[#This Row],[KM]]))</f>
        <v>#DIV/0!</v>
      </c>
      <c r="L227" s="63" t="s">
        <v>187</v>
      </c>
      <c r="M227" s="35"/>
      <c r="N227" s="63" t="s">
        <v>109</v>
      </c>
      <c r="O227" s="118"/>
    </row>
    <row r="228" spans="1:18" s="2" customFormat="1" ht="15" customHeight="1" x14ac:dyDescent="0.3">
      <c r="A228" s="65" t="s">
        <v>47</v>
      </c>
      <c r="B228" s="30" t="s">
        <v>455</v>
      </c>
      <c r="C228" s="31" t="s">
        <v>64</v>
      </c>
      <c r="D228" s="65"/>
      <c r="E228" s="66">
        <v>41892</v>
      </c>
      <c r="F228" s="150">
        <v>0.32291666666666669</v>
      </c>
      <c r="G228" s="151"/>
      <c r="H228" s="35"/>
      <c r="I228" s="28" t="e">
        <f>((Tabela2[[#This Row],[TW - Terminal A]]-Tabela2[[#This Row],[KM]])/(Tabela2[[#This Row],[KM]]))</f>
        <v>#DIV/0!</v>
      </c>
      <c r="J228" s="35"/>
      <c r="K228" s="28" t="e">
        <f>((Tabela2[[#This Row],[TW - Terminal B ]]-Tabela2[[#This Row],[KM]])/(Tabela2[[#This Row],[KM]]))</f>
        <v>#DIV/0!</v>
      </c>
      <c r="L228" s="63" t="s">
        <v>188</v>
      </c>
      <c r="M228" s="35"/>
      <c r="N228" s="63" t="s">
        <v>111</v>
      </c>
      <c r="O228" s="118"/>
      <c r="P228" s="5"/>
      <c r="Q228" s="1"/>
      <c r="R228" s="1"/>
    </row>
    <row r="229" spans="1:18" ht="15" customHeight="1" x14ac:dyDescent="0.3">
      <c r="A229" s="65" t="s">
        <v>47</v>
      </c>
      <c r="B229" s="30" t="s">
        <v>455</v>
      </c>
      <c r="C229" s="31" t="s">
        <v>64</v>
      </c>
      <c r="D229" s="65"/>
      <c r="E229" s="66">
        <v>41893</v>
      </c>
      <c r="F229" s="150">
        <v>0.65416666666666667</v>
      </c>
      <c r="G229" s="151"/>
      <c r="H229" s="35"/>
      <c r="I229" s="28" t="e">
        <f>((Tabela2[[#This Row],[TW - Terminal A]]-Tabela2[[#This Row],[KM]])/(Tabela2[[#This Row],[KM]]))</f>
        <v>#DIV/0!</v>
      </c>
      <c r="J229" s="35"/>
      <c r="K229" s="28" t="e">
        <f>((Tabela2[[#This Row],[TW - Terminal B ]]-Tabela2[[#This Row],[KM]])/(Tabela2[[#This Row],[KM]]))</f>
        <v>#DIV/0!</v>
      </c>
      <c r="L229" s="63" t="s">
        <v>189</v>
      </c>
      <c r="M229" s="35"/>
      <c r="N229" s="63" t="s">
        <v>111</v>
      </c>
      <c r="O229" s="118"/>
    </row>
    <row r="230" spans="1:18" s="2" customFormat="1" ht="15" customHeight="1" x14ac:dyDescent="0.3">
      <c r="A230" s="67" t="s">
        <v>47</v>
      </c>
      <c r="B230" s="30" t="s">
        <v>455</v>
      </c>
      <c r="C230" s="31" t="s">
        <v>65</v>
      </c>
      <c r="D230" s="67"/>
      <c r="E230" s="68">
        <v>41900</v>
      </c>
      <c r="F230" s="150">
        <v>0.27499999999999997</v>
      </c>
      <c r="G230" s="151"/>
      <c r="H230" s="35"/>
      <c r="I230" s="28" t="e">
        <f>((Tabela2[[#This Row],[TW - Terminal A]]-Tabela2[[#This Row],[KM]])/(Tabela2[[#This Row],[KM]]))</f>
        <v>#DIV/0!</v>
      </c>
      <c r="J230" s="35"/>
      <c r="K230" s="28" t="e">
        <f>((Tabela2[[#This Row],[TW - Terminal B ]]-Tabela2[[#This Row],[KM]])/(Tabela2[[#This Row],[KM]]))</f>
        <v>#DIV/0!</v>
      </c>
      <c r="L230" s="63" t="s">
        <v>190</v>
      </c>
      <c r="M230" s="35"/>
      <c r="N230" s="63" t="s">
        <v>111</v>
      </c>
      <c r="O230" s="118"/>
      <c r="P230" s="5"/>
      <c r="Q230" s="1"/>
      <c r="R230" s="1"/>
    </row>
    <row r="231" spans="1:18" ht="15" customHeight="1" x14ac:dyDescent="0.3">
      <c r="A231" s="69" t="s">
        <v>47</v>
      </c>
      <c r="B231" s="30" t="s">
        <v>455</v>
      </c>
      <c r="C231" s="31" t="s">
        <v>65</v>
      </c>
      <c r="D231" s="69"/>
      <c r="E231" s="68">
        <v>41921</v>
      </c>
      <c r="F231" s="150">
        <v>0.95000000000000007</v>
      </c>
      <c r="G231" s="151"/>
      <c r="H231" s="35"/>
      <c r="I231" s="28" t="e">
        <f>((Tabela2[[#This Row],[TW - Terminal A]]-Tabela2[[#This Row],[KM]])/(Tabela2[[#This Row],[KM]]))</f>
        <v>#DIV/0!</v>
      </c>
      <c r="J231" s="35"/>
      <c r="K231" s="28" t="e">
        <f>((Tabela2[[#This Row],[TW - Terminal B ]]-Tabela2[[#This Row],[KM]])/(Tabela2[[#This Row],[KM]]))</f>
        <v>#DIV/0!</v>
      </c>
      <c r="L231" s="63" t="s">
        <v>191</v>
      </c>
      <c r="M231" s="35"/>
      <c r="N231" s="63" t="s">
        <v>111</v>
      </c>
      <c r="O231" s="118"/>
    </row>
    <row r="232" spans="1:18" s="2" customFormat="1" ht="15" customHeight="1" x14ac:dyDescent="0.3">
      <c r="A232" s="69" t="s">
        <v>47</v>
      </c>
      <c r="B232" s="30" t="s">
        <v>455</v>
      </c>
      <c r="C232" s="31" t="s">
        <v>67</v>
      </c>
      <c r="D232" s="69"/>
      <c r="E232" s="68">
        <v>41923</v>
      </c>
      <c r="F232" s="150">
        <v>0.52430555555555558</v>
      </c>
      <c r="G232" s="151"/>
      <c r="H232" s="35"/>
      <c r="I232" s="28" t="e">
        <f>((Tabela2[[#This Row],[TW - Terminal A]]-Tabela2[[#This Row],[KM]])/(Tabela2[[#This Row],[KM]]))</f>
        <v>#DIV/0!</v>
      </c>
      <c r="J232" s="35"/>
      <c r="K232" s="28" t="e">
        <f>((Tabela2[[#This Row],[TW - Terminal B ]]-Tabela2[[#This Row],[KM]])/(Tabela2[[#This Row],[KM]]))</f>
        <v>#DIV/0!</v>
      </c>
      <c r="L232" s="63" t="s">
        <v>192</v>
      </c>
      <c r="M232" s="35"/>
      <c r="N232" s="63" t="s">
        <v>111</v>
      </c>
      <c r="O232" s="119"/>
      <c r="P232" s="5"/>
      <c r="Q232" s="1"/>
      <c r="R232" s="1"/>
    </row>
    <row r="233" spans="1:18" ht="15" customHeight="1" x14ac:dyDescent="0.3">
      <c r="A233" s="69" t="s">
        <v>47</v>
      </c>
      <c r="B233" s="30" t="s">
        <v>455</v>
      </c>
      <c r="C233" s="31" t="s">
        <v>67</v>
      </c>
      <c r="D233" s="69"/>
      <c r="E233" s="68">
        <v>41923</v>
      </c>
      <c r="F233" s="150">
        <v>0.52430555555555558</v>
      </c>
      <c r="G233" s="151"/>
      <c r="H233" s="35"/>
      <c r="I233" s="28" t="e">
        <f>((Tabela2[[#This Row],[TW - Terminal A]]-Tabela2[[#This Row],[KM]])/(Tabela2[[#This Row],[KM]]))</f>
        <v>#DIV/0!</v>
      </c>
      <c r="J233" s="35"/>
      <c r="K233" s="28" t="e">
        <f>((Tabela2[[#This Row],[TW - Terminal B ]]-Tabela2[[#This Row],[KM]])/(Tabela2[[#This Row],[KM]]))</f>
        <v>#DIV/0!</v>
      </c>
      <c r="L233" s="63" t="s">
        <v>192</v>
      </c>
      <c r="M233" s="35"/>
      <c r="N233" s="63" t="s">
        <v>111</v>
      </c>
      <c r="O233" s="119"/>
    </row>
    <row r="234" spans="1:18" s="2" customFormat="1" ht="15" customHeight="1" x14ac:dyDescent="0.3">
      <c r="A234" s="69" t="s">
        <v>47</v>
      </c>
      <c r="B234" s="30" t="s">
        <v>455</v>
      </c>
      <c r="C234" s="31" t="s">
        <v>65</v>
      </c>
      <c r="D234" s="69"/>
      <c r="E234" s="68">
        <v>42001</v>
      </c>
      <c r="F234" s="150">
        <v>0.62569444444444444</v>
      </c>
      <c r="G234" s="151"/>
      <c r="H234" s="35"/>
      <c r="I234" s="28" t="e">
        <f>((Tabela2[[#This Row],[TW - Terminal A]]-Tabela2[[#This Row],[KM]])/(Tabela2[[#This Row],[KM]]))</f>
        <v>#DIV/0!</v>
      </c>
      <c r="J234" s="35"/>
      <c r="K234" s="28" t="e">
        <f>((Tabela2[[#This Row],[TW - Terminal B ]]-Tabela2[[#This Row],[KM]])/(Tabela2[[#This Row],[KM]]))</f>
        <v>#DIV/0!</v>
      </c>
      <c r="L234" s="63" t="s">
        <v>4</v>
      </c>
      <c r="M234" s="35"/>
      <c r="N234" s="63" t="s">
        <v>114</v>
      </c>
      <c r="O234" s="120"/>
      <c r="P234" s="5"/>
      <c r="Q234" s="1"/>
      <c r="R234" s="1"/>
    </row>
    <row r="235" spans="1:18" ht="15" customHeight="1" x14ac:dyDescent="0.3">
      <c r="A235" s="69" t="s">
        <v>47</v>
      </c>
      <c r="B235" s="30" t="s">
        <v>455</v>
      </c>
      <c r="C235" s="31" t="s">
        <v>65</v>
      </c>
      <c r="D235" s="69"/>
      <c r="E235" s="68">
        <v>42011</v>
      </c>
      <c r="F235" s="150">
        <v>0.72291666666666676</v>
      </c>
      <c r="G235" s="151"/>
      <c r="H235" s="35"/>
      <c r="I235" s="28" t="e">
        <f>((Tabela2[[#This Row],[TW - Terminal A]]-Tabela2[[#This Row],[KM]])/(Tabela2[[#This Row],[KM]]))</f>
        <v>#DIV/0!</v>
      </c>
      <c r="J235" s="35"/>
      <c r="K235" s="28" t="e">
        <f>((Tabela2[[#This Row],[TW - Terminal B ]]-Tabela2[[#This Row],[KM]])/(Tabela2[[#This Row],[KM]]))</f>
        <v>#DIV/0!</v>
      </c>
      <c r="L235" s="63" t="s">
        <v>193</v>
      </c>
      <c r="M235" s="35"/>
      <c r="N235" s="63" t="s">
        <v>111</v>
      </c>
      <c r="O235" s="119"/>
    </row>
    <row r="236" spans="1:18" s="2" customFormat="1" ht="15" customHeight="1" x14ac:dyDescent="0.3">
      <c r="A236" s="69" t="s">
        <v>47</v>
      </c>
      <c r="B236" s="30" t="s">
        <v>455</v>
      </c>
      <c r="C236" s="31" t="s">
        <v>67</v>
      </c>
      <c r="D236" s="69"/>
      <c r="E236" s="68">
        <v>42021</v>
      </c>
      <c r="F236" s="150">
        <v>0.69097222222222221</v>
      </c>
      <c r="G236" s="151"/>
      <c r="H236" s="35"/>
      <c r="I236" s="28" t="e">
        <f>((Tabela2[[#This Row],[TW - Terminal A]]-Tabela2[[#This Row],[KM]])/(Tabela2[[#This Row],[KM]]))</f>
        <v>#DIV/0!</v>
      </c>
      <c r="J236" s="35"/>
      <c r="K236" s="28" t="e">
        <f>((Tabela2[[#This Row],[TW - Terminal B ]]-Tabela2[[#This Row],[KM]])/(Tabela2[[#This Row],[KM]]))</f>
        <v>#DIV/0!</v>
      </c>
      <c r="L236" s="174" t="s">
        <v>323</v>
      </c>
      <c r="M236" s="35"/>
      <c r="N236" s="174" t="s">
        <v>109</v>
      </c>
      <c r="O236" s="118"/>
      <c r="P236" s="5"/>
      <c r="Q236" s="1"/>
      <c r="R236" s="1"/>
    </row>
    <row r="237" spans="1:18" ht="15" customHeight="1" x14ac:dyDescent="0.3">
      <c r="A237" s="69" t="s">
        <v>47</v>
      </c>
      <c r="B237" s="30" t="s">
        <v>455</v>
      </c>
      <c r="C237" s="31" t="s">
        <v>64</v>
      </c>
      <c r="D237" s="69"/>
      <c r="E237" s="68">
        <v>42030</v>
      </c>
      <c r="F237" s="150">
        <v>0.58680555555555558</v>
      </c>
      <c r="G237" s="151"/>
      <c r="H237" s="35"/>
      <c r="I237" s="28" t="e">
        <f>((Tabela2[[#This Row],[TW - Terminal A]]-Tabela2[[#This Row],[KM]])/(Tabela2[[#This Row],[KM]]))</f>
        <v>#DIV/0!</v>
      </c>
      <c r="J237" s="35"/>
      <c r="K237" s="28" t="e">
        <f>((Tabela2[[#This Row],[TW - Terminal B ]]-Tabela2[[#This Row],[KM]])/(Tabela2[[#This Row],[KM]]))</f>
        <v>#DIV/0!</v>
      </c>
      <c r="L237" s="63" t="s">
        <v>142</v>
      </c>
      <c r="M237" s="35"/>
      <c r="N237" s="63" t="s">
        <v>109</v>
      </c>
      <c r="O237" s="118"/>
    </row>
    <row r="238" spans="1:18" s="2" customFormat="1" ht="15" customHeight="1" x14ac:dyDescent="0.3">
      <c r="A238" s="69" t="s">
        <v>47</v>
      </c>
      <c r="B238" s="30" t="s">
        <v>455</v>
      </c>
      <c r="C238" s="31" t="s">
        <v>64</v>
      </c>
      <c r="D238" s="69"/>
      <c r="E238" s="68">
        <v>42035</v>
      </c>
      <c r="F238" s="150">
        <v>0.60486111111111118</v>
      </c>
      <c r="G238" s="151"/>
      <c r="H238" s="35"/>
      <c r="I238" s="28" t="e">
        <f>((Tabela2[[#This Row],[TW - Terminal A]]-Tabela2[[#This Row],[KM]])/(Tabela2[[#This Row],[KM]]))</f>
        <v>#DIV/0!</v>
      </c>
      <c r="J238" s="35"/>
      <c r="K238" s="28" t="e">
        <f>((Tabela2[[#This Row],[TW - Terminal B ]]-Tabela2[[#This Row],[KM]])/(Tabela2[[#This Row],[KM]]))</f>
        <v>#DIV/0!</v>
      </c>
      <c r="L238" s="63" t="s">
        <v>194</v>
      </c>
      <c r="M238" s="35"/>
      <c r="N238" s="63" t="s">
        <v>109</v>
      </c>
      <c r="O238" s="108"/>
      <c r="P238" s="5"/>
      <c r="Q238" s="1"/>
      <c r="R238" s="1"/>
    </row>
    <row r="239" spans="1:18" ht="15" customHeight="1" x14ac:dyDescent="0.3">
      <c r="A239" s="70" t="s">
        <v>47</v>
      </c>
      <c r="B239" s="30" t="s">
        <v>455</v>
      </c>
      <c r="C239" s="71" t="s">
        <v>65</v>
      </c>
      <c r="D239" s="70"/>
      <c r="E239" s="72">
        <v>42112</v>
      </c>
      <c r="F239" s="159">
        <v>0.21527777777777779</v>
      </c>
      <c r="G239" s="155"/>
      <c r="H239" s="35"/>
      <c r="I239" s="28" t="e">
        <f>((Tabela2[[#This Row],[TW - Terminal A]]-Tabela2[[#This Row],[KM]])/(Tabela2[[#This Row],[KM]]))</f>
        <v>#DIV/0!</v>
      </c>
      <c r="J239" s="35"/>
      <c r="K239" s="28" t="e">
        <f>((Tabela2[[#This Row],[TW - Terminal B ]]-Tabela2[[#This Row],[KM]])/(Tabela2[[#This Row],[KM]]))</f>
        <v>#DIV/0!</v>
      </c>
      <c r="L239" s="73" t="s">
        <v>166</v>
      </c>
      <c r="M239" s="35"/>
      <c r="N239" s="73" t="s">
        <v>115</v>
      </c>
      <c r="O239" s="116"/>
    </row>
    <row r="240" spans="1:18" s="2" customFormat="1" ht="15" customHeight="1" x14ac:dyDescent="0.3">
      <c r="A240" s="74" t="s">
        <v>47</v>
      </c>
      <c r="B240" s="30" t="s">
        <v>455</v>
      </c>
      <c r="C240" s="31" t="s">
        <v>64</v>
      </c>
      <c r="D240" s="74"/>
      <c r="E240" s="32">
        <v>42112</v>
      </c>
      <c r="F240" s="33">
        <v>0.5805555555555556</v>
      </c>
      <c r="G240" s="33"/>
      <c r="H240" s="35"/>
      <c r="I240" s="28" t="e">
        <f>((Tabela2[[#This Row],[TW - Terminal A]]-Tabela2[[#This Row],[KM]])/(Tabela2[[#This Row],[KM]]))</f>
        <v>#DIV/0!</v>
      </c>
      <c r="J240" s="35"/>
      <c r="K240" s="28" t="e">
        <f>((Tabela2[[#This Row],[TW - Terminal B ]]-Tabela2[[#This Row],[KM]])/(Tabela2[[#This Row],[KM]]))</f>
        <v>#DIV/0!</v>
      </c>
      <c r="L240" s="34" t="s">
        <v>195</v>
      </c>
      <c r="M240" s="35"/>
      <c r="N240" s="34" t="s">
        <v>109</v>
      </c>
      <c r="O240" s="36"/>
      <c r="P240" s="5"/>
      <c r="Q240" s="1"/>
      <c r="R240" s="1"/>
    </row>
    <row r="241" spans="1:18" ht="15" customHeight="1" x14ac:dyDescent="0.3">
      <c r="A241" s="30" t="s">
        <v>47</v>
      </c>
      <c r="B241" s="30" t="s">
        <v>455</v>
      </c>
      <c r="C241" s="31" t="s">
        <v>65</v>
      </c>
      <c r="D241" s="30"/>
      <c r="E241" s="32">
        <v>42135</v>
      </c>
      <c r="F241" s="33">
        <v>0.6</v>
      </c>
      <c r="G241" s="33"/>
      <c r="H241" s="35"/>
      <c r="I241" s="28" t="e">
        <f>((Tabela2[[#This Row],[TW - Terminal A]]-Tabela2[[#This Row],[KM]])/(Tabela2[[#This Row],[KM]]))</f>
        <v>#DIV/0!</v>
      </c>
      <c r="J241" s="35"/>
      <c r="K241" s="28" t="e">
        <f>((Tabela2[[#This Row],[TW - Terminal B ]]-Tabela2[[#This Row],[KM]])/(Tabela2[[#This Row],[KM]]))</f>
        <v>#DIV/0!</v>
      </c>
      <c r="L241" s="36" t="s">
        <v>324</v>
      </c>
      <c r="M241" s="35"/>
      <c r="N241" s="36" t="s">
        <v>108</v>
      </c>
      <c r="O241" s="85"/>
    </row>
    <row r="242" spans="1:18" s="2" customFormat="1" ht="15" customHeight="1" x14ac:dyDescent="0.3">
      <c r="A242" s="75" t="s">
        <v>47</v>
      </c>
      <c r="B242" s="30" t="s">
        <v>455</v>
      </c>
      <c r="C242" s="71" t="s">
        <v>64</v>
      </c>
      <c r="D242" s="75"/>
      <c r="E242" s="52">
        <v>42206</v>
      </c>
      <c r="F242" s="33">
        <v>0.92152777777777783</v>
      </c>
      <c r="G242" s="33"/>
      <c r="H242" s="35"/>
      <c r="I242" s="28" t="e">
        <f>((Tabela2[[#This Row],[TW - Terminal A]]-Tabela2[[#This Row],[KM]])/(Tabela2[[#This Row],[KM]]))</f>
        <v>#DIV/0!</v>
      </c>
      <c r="J242" s="35"/>
      <c r="K242" s="28" t="e">
        <f>((Tabela2[[#This Row],[TW - Terminal B ]]-Tabela2[[#This Row],[KM]])/(Tabela2[[#This Row],[KM]]))</f>
        <v>#DIV/0!</v>
      </c>
      <c r="L242" s="36" t="s">
        <v>189</v>
      </c>
      <c r="M242" s="35"/>
      <c r="N242" s="36" t="s">
        <v>115</v>
      </c>
      <c r="O242" s="108"/>
      <c r="P242" s="5"/>
      <c r="Q242" s="1"/>
      <c r="R242" s="1"/>
    </row>
    <row r="243" spans="1:18" ht="15" customHeight="1" x14ac:dyDescent="0.3">
      <c r="A243" s="133" t="s">
        <v>47</v>
      </c>
      <c r="B243" s="30" t="s">
        <v>455</v>
      </c>
      <c r="C243" s="31" t="s">
        <v>67</v>
      </c>
      <c r="D243" s="133"/>
      <c r="E243" s="76">
        <v>42223</v>
      </c>
      <c r="F243" s="151">
        <v>0.52222222222222225</v>
      </c>
      <c r="G243" s="151"/>
      <c r="H243" s="35"/>
      <c r="I243" s="28" t="e">
        <f>((Tabela2[[#This Row],[TW - Terminal A]]-Tabela2[[#This Row],[KM]])/(Tabela2[[#This Row],[KM]]))</f>
        <v>#DIV/0!</v>
      </c>
      <c r="J243" s="35"/>
      <c r="K243" s="28" t="e">
        <f>((Tabela2[[#This Row],[TW - Terminal B ]]-Tabela2[[#This Row],[KM]])/(Tabela2[[#This Row],[KM]]))</f>
        <v>#DIV/0!</v>
      </c>
      <c r="L243" s="171" t="s">
        <v>196</v>
      </c>
      <c r="M243" s="35"/>
      <c r="N243" s="171" t="s">
        <v>111</v>
      </c>
      <c r="O243" s="121"/>
    </row>
    <row r="244" spans="1:18" s="2" customFormat="1" ht="15" customHeight="1" x14ac:dyDescent="0.3">
      <c r="A244" s="75" t="s">
        <v>47</v>
      </c>
      <c r="B244" s="30" t="s">
        <v>455</v>
      </c>
      <c r="C244" s="31" t="s">
        <v>66</v>
      </c>
      <c r="D244" s="75"/>
      <c r="E244" s="52">
        <v>42229</v>
      </c>
      <c r="F244" s="33">
        <v>0.57777777777777783</v>
      </c>
      <c r="G244" s="33"/>
      <c r="H244" s="35"/>
      <c r="I244" s="28" t="e">
        <f>((Tabela2[[#This Row],[TW - Terminal A]]-Tabela2[[#This Row],[KM]])/(Tabela2[[#This Row],[KM]]))</f>
        <v>#DIV/0!</v>
      </c>
      <c r="J244" s="35"/>
      <c r="K244" s="28" t="e">
        <f>((Tabela2[[#This Row],[TW - Terminal B ]]-Tabela2[[#This Row],[KM]])/(Tabela2[[#This Row],[KM]]))</f>
        <v>#DIV/0!</v>
      </c>
      <c r="L244" s="36" t="s">
        <v>180</v>
      </c>
      <c r="M244" s="35"/>
      <c r="N244" s="36" t="s">
        <v>111</v>
      </c>
      <c r="O244" s="85"/>
      <c r="P244" s="5"/>
      <c r="Q244" s="1"/>
      <c r="R244" s="1"/>
    </row>
    <row r="245" spans="1:18" ht="15" customHeight="1" x14ac:dyDescent="0.3">
      <c r="A245" s="133" t="s">
        <v>47</v>
      </c>
      <c r="B245" s="30" t="s">
        <v>455</v>
      </c>
      <c r="C245" s="31" t="s">
        <v>65</v>
      </c>
      <c r="D245" s="133"/>
      <c r="E245" s="77">
        <v>42261</v>
      </c>
      <c r="F245" s="152">
        <v>0.65972222222222221</v>
      </c>
      <c r="G245" s="151"/>
      <c r="H245" s="35"/>
      <c r="I245" s="28" t="e">
        <f>((Tabela2[[#This Row],[TW - Terminal A]]-Tabela2[[#This Row],[KM]])/(Tabela2[[#This Row],[KM]]))</f>
        <v>#DIV/0!</v>
      </c>
      <c r="J245" s="35"/>
      <c r="K245" s="28" t="e">
        <f>((Tabela2[[#This Row],[TW - Terminal B ]]-Tabela2[[#This Row],[KM]])/(Tabela2[[#This Row],[KM]]))</f>
        <v>#DIV/0!</v>
      </c>
      <c r="L245" s="64" t="s">
        <v>197</v>
      </c>
      <c r="M245" s="35"/>
      <c r="N245" s="64" t="s">
        <v>115</v>
      </c>
      <c r="O245" s="85"/>
    </row>
    <row r="246" spans="1:18" s="2" customFormat="1" ht="15" customHeight="1" x14ac:dyDescent="0.3">
      <c r="A246" s="53" t="s">
        <v>47</v>
      </c>
      <c r="B246" s="30" t="s">
        <v>455</v>
      </c>
      <c r="C246" s="31" t="s">
        <v>67</v>
      </c>
      <c r="D246" s="53"/>
      <c r="E246" s="54">
        <v>42293</v>
      </c>
      <c r="F246" s="155" t="s">
        <v>6</v>
      </c>
      <c r="G246" s="155"/>
      <c r="H246" s="35"/>
      <c r="I246" s="28" t="e">
        <f>((Tabela2[[#This Row],[TW - Terminal A]]-Tabela2[[#This Row],[KM]])/(Tabela2[[#This Row],[KM]]))</f>
        <v>#DIV/0!</v>
      </c>
      <c r="J246" s="35"/>
      <c r="K246" s="28" t="e">
        <f>((Tabela2[[#This Row],[TW - Terminal B ]]-Tabela2[[#This Row],[KM]])/(Tabela2[[#This Row],[KM]]))</f>
        <v>#DIV/0!</v>
      </c>
      <c r="L246" s="78" t="s">
        <v>198</v>
      </c>
      <c r="M246" s="35"/>
      <c r="N246" s="78" t="s">
        <v>111</v>
      </c>
      <c r="O246" s="111"/>
      <c r="P246" s="5"/>
      <c r="Q246" s="1"/>
      <c r="R246" s="1"/>
    </row>
    <row r="247" spans="1:18" ht="15" customHeight="1" x14ac:dyDescent="0.3">
      <c r="A247" s="30" t="s">
        <v>47</v>
      </c>
      <c r="B247" s="30" t="s">
        <v>455</v>
      </c>
      <c r="C247" s="31" t="s">
        <v>64</v>
      </c>
      <c r="D247" s="30"/>
      <c r="E247" s="52">
        <v>42294</v>
      </c>
      <c r="F247" s="33">
        <v>0.59861111111111109</v>
      </c>
      <c r="G247" s="33"/>
      <c r="H247" s="35"/>
      <c r="I247" s="28" t="e">
        <f>((Tabela2[[#This Row],[TW - Terminal A]]-Tabela2[[#This Row],[KM]])/(Tabela2[[#This Row],[KM]]))</f>
        <v>#DIV/0!</v>
      </c>
      <c r="J247" s="35"/>
      <c r="K247" s="28" t="e">
        <f>((Tabela2[[#This Row],[TW - Terminal B ]]-Tabela2[[#This Row],[KM]])/(Tabela2[[#This Row],[KM]]))</f>
        <v>#DIV/0!</v>
      </c>
      <c r="L247" s="34" t="s">
        <v>199</v>
      </c>
      <c r="M247" s="35"/>
      <c r="N247" s="34" t="s">
        <v>111</v>
      </c>
      <c r="O247" s="85"/>
    </row>
    <row r="248" spans="1:18" s="2" customFormat="1" ht="15" customHeight="1" x14ac:dyDescent="0.3">
      <c r="A248" s="30" t="s">
        <v>47</v>
      </c>
      <c r="B248" s="30" t="s">
        <v>455</v>
      </c>
      <c r="C248" s="31" t="s">
        <v>64</v>
      </c>
      <c r="D248" s="30"/>
      <c r="E248" s="52">
        <v>42303</v>
      </c>
      <c r="F248" s="33">
        <v>9.7222222222222224E-3</v>
      </c>
      <c r="G248" s="33"/>
      <c r="H248" s="35"/>
      <c r="I248" s="28" t="e">
        <f>((Tabela2[[#This Row],[TW - Terminal A]]-Tabela2[[#This Row],[KM]])/(Tabela2[[#This Row],[KM]]))</f>
        <v>#DIV/0!</v>
      </c>
      <c r="J248" s="35"/>
      <c r="K248" s="28" t="e">
        <f>((Tabela2[[#This Row],[TW - Terminal B ]]-Tabela2[[#This Row],[KM]])/(Tabela2[[#This Row],[KM]]))</f>
        <v>#DIV/0!</v>
      </c>
      <c r="L248" s="34"/>
      <c r="M248" s="35"/>
      <c r="N248" s="34" t="s">
        <v>114</v>
      </c>
      <c r="O248" s="85"/>
      <c r="P248" s="5"/>
      <c r="Q248" s="1"/>
      <c r="R248" s="1"/>
    </row>
    <row r="249" spans="1:18" ht="15" customHeight="1" x14ac:dyDescent="0.3">
      <c r="A249" s="30" t="s">
        <v>47</v>
      </c>
      <c r="B249" s="30" t="s">
        <v>455</v>
      </c>
      <c r="C249" s="31" t="s">
        <v>64</v>
      </c>
      <c r="D249" s="30"/>
      <c r="E249" s="52">
        <v>42305</v>
      </c>
      <c r="F249" s="33">
        <v>0.47222222222222227</v>
      </c>
      <c r="G249" s="33"/>
      <c r="H249" s="35"/>
      <c r="I249" s="28" t="e">
        <f>((Tabela2[[#This Row],[TW - Terminal A]]-Tabela2[[#This Row],[KM]])/(Tabela2[[#This Row],[KM]]))</f>
        <v>#DIV/0!</v>
      </c>
      <c r="J249" s="35"/>
      <c r="K249" s="28" t="e">
        <f>((Tabela2[[#This Row],[TW - Terminal B ]]-Tabela2[[#This Row],[KM]])/(Tabela2[[#This Row],[KM]]))</f>
        <v>#DIV/0!</v>
      </c>
      <c r="L249" s="34" t="s">
        <v>200</v>
      </c>
      <c r="M249" s="35"/>
      <c r="N249" s="34" t="s">
        <v>115</v>
      </c>
      <c r="O249" s="85"/>
    </row>
    <row r="250" spans="1:18" s="2" customFormat="1" ht="15" customHeight="1" x14ac:dyDescent="0.3">
      <c r="A250" s="75" t="s">
        <v>47</v>
      </c>
      <c r="B250" s="30" t="s">
        <v>455</v>
      </c>
      <c r="C250" s="31" t="s">
        <v>64</v>
      </c>
      <c r="D250" s="75"/>
      <c r="E250" s="79">
        <v>42307</v>
      </c>
      <c r="F250" s="33">
        <v>0.65208333333333335</v>
      </c>
      <c r="G250" s="33"/>
      <c r="H250" s="35"/>
      <c r="I250" s="28" t="e">
        <f>((Tabela2[[#This Row],[TW - Terminal A]]-Tabela2[[#This Row],[KM]])/(Tabela2[[#This Row],[KM]]))</f>
        <v>#DIV/0!</v>
      </c>
      <c r="J250" s="35"/>
      <c r="K250" s="28" t="e">
        <f>((Tabela2[[#This Row],[TW - Terminal B ]]-Tabela2[[#This Row],[KM]])/(Tabela2[[#This Row],[KM]]))</f>
        <v>#DIV/0!</v>
      </c>
      <c r="L250" s="30" t="s">
        <v>201</v>
      </c>
      <c r="M250" s="35"/>
      <c r="N250" s="30" t="s">
        <v>109</v>
      </c>
      <c r="O250" s="85"/>
      <c r="P250" s="5"/>
      <c r="Q250" s="1"/>
      <c r="R250" s="1"/>
    </row>
    <row r="251" spans="1:18" ht="15" customHeight="1" x14ac:dyDescent="0.3">
      <c r="A251" s="75" t="s">
        <v>47</v>
      </c>
      <c r="B251" s="30" t="s">
        <v>455</v>
      </c>
      <c r="C251" s="31" t="s">
        <v>65</v>
      </c>
      <c r="D251" s="75"/>
      <c r="E251" s="79">
        <v>42346</v>
      </c>
      <c r="F251" s="33">
        <v>0.58680555555555558</v>
      </c>
      <c r="G251" s="33"/>
      <c r="H251" s="35"/>
      <c r="I251" s="28" t="e">
        <f>((Tabela2[[#This Row],[TW - Terminal A]]-Tabela2[[#This Row],[KM]])/(Tabela2[[#This Row],[KM]]))</f>
        <v>#DIV/0!</v>
      </c>
      <c r="J251" s="35"/>
      <c r="K251" s="28" t="e">
        <f>((Tabela2[[#This Row],[TW - Terminal B ]]-Tabela2[[#This Row],[KM]])/(Tabela2[[#This Row],[KM]]))</f>
        <v>#DIV/0!</v>
      </c>
      <c r="L251" s="30" t="s">
        <v>4</v>
      </c>
      <c r="M251" s="35"/>
      <c r="N251" s="30" t="s">
        <v>114</v>
      </c>
      <c r="O251" s="85"/>
    </row>
    <row r="252" spans="1:18" s="2" customFormat="1" ht="15" customHeight="1" x14ac:dyDescent="0.3">
      <c r="A252" s="80" t="s">
        <v>47</v>
      </c>
      <c r="B252" s="30" t="s">
        <v>455</v>
      </c>
      <c r="C252" s="31" t="s">
        <v>64</v>
      </c>
      <c r="D252" s="80"/>
      <c r="E252" s="81">
        <v>42360</v>
      </c>
      <c r="F252" s="157">
        <v>0.99652777777777779</v>
      </c>
      <c r="G252" s="149"/>
      <c r="H252" s="35"/>
      <c r="I252" s="28" t="e">
        <f>((Tabela2[[#This Row],[TW - Terminal A]]-Tabela2[[#This Row],[KM]])/(Tabela2[[#This Row],[KM]]))</f>
        <v>#DIV/0!</v>
      </c>
      <c r="J252" s="35"/>
      <c r="K252" s="28" t="e">
        <f>((Tabela2[[#This Row],[TW - Terminal B ]]-Tabela2[[#This Row],[KM]])/(Tabela2[[#This Row],[KM]]))</f>
        <v>#DIV/0!</v>
      </c>
      <c r="L252" s="82" t="s">
        <v>202</v>
      </c>
      <c r="M252" s="35"/>
      <c r="N252" s="82" t="s">
        <v>108</v>
      </c>
      <c r="O252" s="122"/>
      <c r="P252" s="5"/>
      <c r="Q252" s="1"/>
      <c r="R252" s="1"/>
    </row>
    <row r="253" spans="1:18" ht="15" customHeight="1" x14ac:dyDescent="0.3">
      <c r="A253" s="53" t="s">
        <v>47</v>
      </c>
      <c r="B253" s="30" t="s">
        <v>455</v>
      </c>
      <c r="C253" s="31" t="s">
        <v>67</v>
      </c>
      <c r="D253" s="53"/>
      <c r="E253" s="54">
        <v>42569</v>
      </c>
      <c r="F253" s="155">
        <v>0.57847222222222217</v>
      </c>
      <c r="G253" s="155"/>
      <c r="H253" s="35"/>
      <c r="I253" s="28" t="e">
        <f>((Tabela2[[#This Row],[TW - Terminal A]]-Tabela2[[#This Row],[KM]])/(Tabela2[[#This Row],[KM]]))</f>
        <v>#DIV/0!</v>
      </c>
      <c r="J253" s="35"/>
      <c r="K253" s="28" t="e">
        <f>((Tabela2[[#This Row],[TW - Terminal B ]]-Tabela2[[#This Row],[KM]])/(Tabela2[[#This Row],[KM]]))</f>
        <v>#DIV/0!</v>
      </c>
      <c r="L253" s="53" t="s">
        <v>203</v>
      </c>
      <c r="M253" s="35"/>
      <c r="N253" s="53" t="s">
        <v>111</v>
      </c>
      <c r="O253" s="123"/>
    </row>
    <row r="254" spans="1:18" ht="19.5" customHeight="1" x14ac:dyDescent="0.3">
      <c r="A254" s="30" t="s">
        <v>47</v>
      </c>
      <c r="B254" s="30" t="s">
        <v>455</v>
      </c>
      <c r="C254" s="71" t="s">
        <v>67</v>
      </c>
      <c r="D254" s="30"/>
      <c r="E254" s="52">
        <v>42612</v>
      </c>
      <c r="F254" s="33">
        <v>0.53402777777777777</v>
      </c>
      <c r="G254" s="33"/>
      <c r="H254" s="35"/>
      <c r="I254" s="28" t="e">
        <f>((Tabela2[[#This Row],[TW - Terminal A]]-Tabela2[[#This Row],[KM]])/(Tabela2[[#This Row],[KM]]))</f>
        <v>#DIV/0!</v>
      </c>
      <c r="J254" s="35"/>
      <c r="K254" s="28" t="e">
        <f>((Tabela2[[#This Row],[TW - Terminal B ]]-Tabela2[[#This Row],[KM]])/(Tabela2[[#This Row],[KM]]))</f>
        <v>#DIV/0!</v>
      </c>
      <c r="L254" s="30" t="s">
        <v>204</v>
      </c>
      <c r="M254" s="35"/>
      <c r="N254" s="30" t="s">
        <v>111</v>
      </c>
      <c r="O254" s="85"/>
    </row>
    <row r="255" spans="1:18" ht="19.5" customHeight="1" x14ac:dyDescent="0.3">
      <c r="A255" s="30" t="s">
        <v>47</v>
      </c>
      <c r="B255" s="30" t="s">
        <v>455</v>
      </c>
      <c r="C255" s="31" t="s">
        <v>65</v>
      </c>
      <c r="D255" s="30"/>
      <c r="E255" s="52">
        <v>42634</v>
      </c>
      <c r="F255" s="33">
        <v>0.7402777777777777</v>
      </c>
      <c r="G255" s="33"/>
      <c r="H255" s="35"/>
      <c r="I255" s="28" t="e">
        <f>((Tabela2[[#This Row],[TW - Terminal A]]-Tabela2[[#This Row],[KM]])/(Tabela2[[#This Row],[KM]]))</f>
        <v>#DIV/0!</v>
      </c>
      <c r="J255" s="35"/>
      <c r="K255" s="28" t="e">
        <f>((Tabela2[[#This Row],[TW - Terminal B ]]-Tabela2[[#This Row],[KM]])/(Tabela2[[#This Row],[KM]]))</f>
        <v>#DIV/0!</v>
      </c>
      <c r="L255" s="30" t="s">
        <v>5</v>
      </c>
      <c r="M255" s="35"/>
      <c r="N255" s="30"/>
      <c r="O255" s="116" t="s">
        <v>7</v>
      </c>
    </row>
    <row r="256" spans="1:18" ht="19.5" customHeight="1" x14ac:dyDescent="0.3">
      <c r="A256" s="30" t="s">
        <v>47</v>
      </c>
      <c r="B256" s="30" t="s">
        <v>455</v>
      </c>
      <c r="C256" s="31" t="s">
        <v>65</v>
      </c>
      <c r="D256" s="30"/>
      <c r="E256" s="52">
        <v>42636</v>
      </c>
      <c r="F256" s="33">
        <v>0.98055555555555562</v>
      </c>
      <c r="G256" s="33"/>
      <c r="H256" s="35"/>
      <c r="I256" s="28" t="e">
        <f>((Tabela2[[#This Row],[TW - Terminal A]]-Tabela2[[#This Row],[KM]])/(Tabela2[[#This Row],[KM]]))</f>
        <v>#DIV/0!</v>
      </c>
      <c r="J256" s="35"/>
      <c r="K256" s="28" t="e">
        <f>((Tabela2[[#This Row],[TW - Terminal B ]]-Tabela2[[#This Row],[KM]])/(Tabela2[[#This Row],[KM]]))</f>
        <v>#DIV/0!</v>
      </c>
      <c r="L256" s="30" t="s">
        <v>146</v>
      </c>
      <c r="M256" s="35"/>
      <c r="N256" s="30" t="s">
        <v>115</v>
      </c>
      <c r="O256" s="124"/>
    </row>
    <row r="257" spans="1:15" ht="19.5" customHeight="1" x14ac:dyDescent="0.3">
      <c r="A257" s="53" t="s">
        <v>47</v>
      </c>
      <c r="B257" s="30" t="s">
        <v>455</v>
      </c>
      <c r="C257" s="31" t="s">
        <v>64</v>
      </c>
      <c r="D257" s="53"/>
      <c r="E257" s="54">
        <v>42641</v>
      </c>
      <c r="F257" s="33">
        <v>0.64236111111111105</v>
      </c>
      <c r="G257" s="33"/>
      <c r="H257" s="35"/>
      <c r="I257" s="28" t="e">
        <f>((Tabela2[[#This Row],[TW - Terminal A]]-Tabela2[[#This Row],[KM]])/(Tabela2[[#This Row],[KM]]))</f>
        <v>#DIV/0!</v>
      </c>
      <c r="J257" s="35"/>
      <c r="K257" s="28" t="e">
        <f>((Tabela2[[#This Row],[TW - Terminal B ]]-Tabela2[[#This Row],[KM]])/(Tabela2[[#This Row],[KM]]))</f>
        <v>#DIV/0!</v>
      </c>
      <c r="L257" s="53" t="s">
        <v>205</v>
      </c>
      <c r="M257" s="35"/>
      <c r="N257" s="53" t="s">
        <v>109</v>
      </c>
      <c r="O257" s="85"/>
    </row>
    <row r="258" spans="1:15" ht="19.5" customHeight="1" x14ac:dyDescent="0.3">
      <c r="A258" s="30" t="s">
        <v>47</v>
      </c>
      <c r="B258" s="30" t="s">
        <v>455</v>
      </c>
      <c r="C258" s="31" t="s">
        <v>67</v>
      </c>
      <c r="D258" s="30"/>
      <c r="E258" s="52">
        <v>42698</v>
      </c>
      <c r="F258" s="33">
        <v>0.17083333333333331</v>
      </c>
      <c r="G258" s="33"/>
      <c r="H258" s="35"/>
      <c r="I258" s="28" t="e">
        <f>((Tabela2[[#This Row],[TW - Terminal A]]-Tabela2[[#This Row],[KM]])/(Tabela2[[#This Row],[KM]]))</f>
        <v>#DIV/0!</v>
      </c>
      <c r="J258" s="35"/>
      <c r="K258" s="28" t="e">
        <f>((Tabela2[[#This Row],[TW - Terminal B ]]-Tabela2[[#This Row],[KM]])/(Tabela2[[#This Row],[KM]]))</f>
        <v>#DIV/0!</v>
      </c>
      <c r="L258" s="30" t="s">
        <v>206</v>
      </c>
      <c r="M258" s="35"/>
      <c r="N258" s="30" t="s">
        <v>115</v>
      </c>
      <c r="O258" s="85"/>
    </row>
    <row r="259" spans="1:15" ht="19.5" customHeight="1" x14ac:dyDescent="0.3">
      <c r="A259" s="30" t="s">
        <v>47</v>
      </c>
      <c r="B259" s="30" t="s">
        <v>455</v>
      </c>
      <c r="C259" s="31" t="s">
        <v>64</v>
      </c>
      <c r="D259" s="30"/>
      <c r="E259" s="52">
        <v>42705</v>
      </c>
      <c r="F259" s="33">
        <v>0.15972222222222224</v>
      </c>
      <c r="G259" s="33"/>
      <c r="H259" s="35"/>
      <c r="I259" s="28" t="e">
        <f>((Tabela2[[#This Row],[TW - Terminal A]]-Tabela2[[#This Row],[KM]])/(Tabela2[[#This Row],[KM]]))</f>
        <v>#DIV/0!</v>
      </c>
      <c r="J259" s="35"/>
      <c r="K259" s="28" t="e">
        <f>((Tabela2[[#This Row],[TW - Terminal B ]]-Tabela2[[#This Row],[KM]])/(Tabela2[[#This Row],[KM]]))</f>
        <v>#DIV/0!</v>
      </c>
      <c r="L259" s="30" t="s">
        <v>207</v>
      </c>
      <c r="M259" s="35"/>
      <c r="N259" s="30" t="s">
        <v>109</v>
      </c>
      <c r="O259" s="85"/>
    </row>
    <row r="260" spans="1:15" ht="19.5" customHeight="1" x14ac:dyDescent="0.3">
      <c r="A260" s="30" t="s">
        <v>47</v>
      </c>
      <c r="B260" s="30" t="s">
        <v>455</v>
      </c>
      <c r="C260" s="31" t="s">
        <v>65</v>
      </c>
      <c r="D260" s="30"/>
      <c r="E260" s="52">
        <v>42748</v>
      </c>
      <c r="F260" s="33">
        <v>0.75</v>
      </c>
      <c r="G260" s="33"/>
      <c r="H260" s="35"/>
      <c r="I260" s="28" t="e">
        <f>((Tabela2[[#This Row],[TW - Terminal A]]-Tabela2[[#This Row],[KM]])/(Tabela2[[#This Row],[KM]]))</f>
        <v>#DIV/0!</v>
      </c>
      <c r="J260" s="35"/>
      <c r="K260" s="28" t="e">
        <f>((Tabela2[[#This Row],[TW - Terminal B ]]-Tabela2[[#This Row],[KM]])/(Tabela2[[#This Row],[KM]]))</f>
        <v>#DIV/0!</v>
      </c>
      <c r="L260" s="85" t="s">
        <v>208</v>
      </c>
      <c r="M260" s="35"/>
      <c r="N260" s="176" t="s">
        <v>109</v>
      </c>
      <c r="O260" s="85"/>
    </row>
    <row r="261" spans="1:15" ht="19.5" customHeight="1" x14ac:dyDescent="0.3">
      <c r="A261" s="30" t="s">
        <v>47</v>
      </c>
      <c r="B261" s="30" t="s">
        <v>455</v>
      </c>
      <c r="C261" s="31" t="s">
        <v>64</v>
      </c>
      <c r="D261" s="30"/>
      <c r="E261" s="52">
        <v>42773</v>
      </c>
      <c r="F261" s="33">
        <v>0.63541666666666663</v>
      </c>
      <c r="G261" s="33"/>
      <c r="H261" s="35"/>
      <c r="I261" s="28" t="e">
        <f>((Tabela2[[#This Row],[TW - Terminal A]]-Tabela2[[#This Row],[KM]])/(Tabela2[[#This Row],[KM]]))</f>
        <v>#DIV/0!</v>
      </c>
      <c r="J261" s="35"/>
      <c r="K261" s="28" t="e">
        <f>((Tabela2[[#This Row],[TW - Terminal B ]]-Tabela2[[#This Row],[KM]])/(Tabela2[[#This Row],[KM]]))</f>
        <v>#DIV/0!</v>
      </c>
      <c r="L261" s="30"/>
      <c r="M261" s="35"/>
      <c r="N261" s="56"/>
      <c r="O261" s="85" t="s">
        <v>9</v>
      </c>
    </row>
    <row r="262" spans="1:15" ht="19.5" customHeight="1" x14ac:dyDescent="0.3">
      <c r="A262" s="30" t="s">
        <v>47</v>
      </c>
      <c r="B262" s="30" t="s">
        <v>455</v>
      </c>
      <c r="C262" s="31" t="s">
        <v>65</v>
      </c>
      <c r="D262" s="30"/>
      <c r="E262" s="52">
        <v>42780</v>
      </c>
      <c r="F262" s="33">
        <v>0.90694444444444444</v>
      </c>
      <c r="G262" s="33"/>
      <c r="H262" s="35"/>
      <c r="I262" s="28" t="e">
        <f>((Tabela2[[#This Row],[TW - Terminal A]]-Tabela2[[#This Row],[KM]])/(Tabela2[[#This Row],[KM]]))</f>
        <v>#DIV/0!</v>
      </c>
      <c r="J262" s="35"/>
      <c r="K262" s="28" t="e">
        <f>((Tabela2[[#This Row],[TW - Terminal B ]]-Tabela2[[#This Row],[KM]])/(Tabela2[[#This Row],[KM]]))</f>
        <v>#DIV/0!</v>
      </c>
      <c r="L262" s="30" t="s">
        <v>209</v>
      </c>
      <c r="M262" s="35"/>
      <c r="N262" s="56" t="s">
        <v>115</v>
      </c>
      <c r="O262" s="85"/>
    </row>
    <row r="263" spans="1:15" ht="19.5" customHeight="1" x14ac:dyDescent="0.3">
      <c r="A263" s="30" t="s">
        <v>47</v>
      </c>
      <c r="B263" s="30" t="s">
        <v>455</v>
      </c>
      <c r="C263" s="31" t="s">
        <v>67</v>
      </c>
      <c r="D263" s="30"/>
      <c r="E263" s="52">
        <v>42790</v>
      </c>
      <c r="F263" s="33">
        <v>0.7597222222222223</v>
      </c>
      <c r="G263" s="33"/>
      <c r="H263" s="35"/>
      <c r="I263" s="28" t="e">
        <f>((Tabela2[[#This Row],[TW - Terminal A]]-Tabela2[[#This Row],[KM]])/(Tabela2[[#This Row],[KM]]))</f>
        <v>#DIV/0!</v>
      </c>
      <c r="J263" s="35"/>
      <c r="K263" s="28" t="e">
        <f>((Tabela2[[#This Row],[TW - Terminal B ]]-Tabela2[[#This Row],[KM]])/(Tabela2[[#This Row],[KM]]))</f>
        <v>#DIV/0!</v>
      </c>
      <c r="L263" s="30" t="s">
        <v>211</v>
      </c>
      <c r="M263" s="35"/>
      <c r="N263" s="56" t="s">
        <v>109</v>
      </c>
      <c r="O263" s="85"/>
    </row>
    <row r="264" spans="1:15" ht="19.5" customHeight="1" x14ac:dyDescent="0.3">
      <c r="A264" s="30" t="s">
        <v>47</v>
      </c>
      <c r="B264" s="30" t="s">
        <v>455</v>
      </c>
      <c r="C264" s="34" t="s">
        <v>67</v>
      </c>
      <c r="D264" s="30"/>
      <c r="E264" s="52">
        <v>42796</v>
      </c>
      <c r="F264" s="33">
        <v>0.84930555555555554</v>
      </c>
      <c r="G264" s="33"/>
      <c r="H264" s="35"/>
      <c r="I264" s="28" t="e">
        <f>((Tabela2[[#This Row],[TW - Terminal A]]-Tabela2[[#This Row],[KM]])/(Tabela2[[#This Row],[KM]]))</f>
        <v>#DIV/0!</v>
      </c>
      <c r="J264" s="35"/>
      <c r="K264" s="28" t="e">
        <f>((Tabela2[[#This Row],[TW - Terminal B ]]-Tabela2[[#This Row],[KM]])/(Tabela2[[#This Row],[KM]]))</f>
        <v>#DIV/0!</v>
      </c>
      <c r="L264" s="30" t="s">
        <v>181</v>
      </c>
      <c r="M264" s="35"/>
      <c r="N264" s="56" t="s">
        <v>115</v>
      </c>
      <c r="O264" s="85"/>
    </row>
    <row r="265" spans="1:15" ht="23.25" customHeight="1" x14ac:dyDescent="0.3">
      <c r="A265" s="30" t="s">
        <v>47</v>
      </c>
      <c r="B265" s="30" t="s">
        <v>455</v>
      </c>
      <c r="C265" s="31" t="s">
        <v>67</v>
      </c>
      <c r="D265" s="30"/>
      <c r="E265" s="52">
        <v>42800</v>
      </c>
      <c r="F265" s="33">
        <v>0.23472222222222219</v>
      </c>
      <c r="G265" s="33"/>
      <c r="H265" s="35"/>
      <c r="I265" s="28" t="e">
        <f>((Tabela2[[#This Row],[TW - Terminal A]]-Tabela2[[#This Row],[KM]])/(Tabela2[[#This Row],[KM]]))</f>
        <v>#DIV/0!</v>
      </c>
      <c r="J265" s="35"/>
      <c r="K265" s="28" t="e">
        <f>((Tabela2[[#This Row],[TW - Terminal B ]]-Tabela2[[#This Row],[KM]])/(Tabela2[[#This Row],[KM]]))</f>
        <v>#DIV/0!</v>
      </c>
      <c r="L265" s="30" t="s">
        <v>212</v>
      </c>
      <c r="M265" s="35"/>
      <c r="N265" s="56" t="s">
        <v>109</v>
      </c>
      <c r="O265" s="85"/>
    </row>
    <row r="266" spans="1:15" x14ac:dyDescent="0.3">
      <c r="A266" s="74" t="s">
        <v>47</v>
      </c>
      <c r="B266" s="30" t="s">
        <v>455</v>
      </c>
      <c r="C266" s="34" t="s">
        <v>65</v>
      </c>
      <c r="D266" s="30"/>
      <c r="E266" s="52">
        <v>42808</v>
      </c>
      <c r="F266" s="149">
        <v>0.62152777777777779</v>
      </c>
      <c r="G266" s="149"/>
      <c r="H266" s="127"/>
      <c r="I266" s="28" t="e">
        <f>((Tabela2[[#This Row],[TW - Terminal A]]-Tabela2[[#This Row],[KM]])/(Tabela2[[#This Row],[KM]]))</f>
        <v>#DIV/0!</v>
      </c>
      <c r="J266" s="127"/>
      <c r="K266" s="28" t="e">
        <f>((Tabela2[[#This Row],[TW - Terminal B ]]-Tabela2[[#This Row],[KM]])/(Tabela2[[#This Row],[KM]]))</f>
        <v>#DIV/0!</v>
      </c>
      <c r="L266" s="136" t="s">
        <v>213</v>
      </c>
      <c r="M266" s="127"/>
      <c r="N266" s="176" t="s">
        <v>109</v>
      </c>
      <c r="O266" s="180"/>
    </row>
    <row r="267" spans="1:15" x14ac:dyDescent="0.3">
      <c r="A267" s="30" t="s">
        <v>47</v>
      </c>
      <c r="B267" s="30" t="s">
        <v>455</v>
      </c>
      <c r="C267" s="34" t="s">
        <v>66</v>
      </c>
      <c r="D267" s="30"/>
      <c r="E267" s="52">
        <v>42824</v>
      </c>
      <c r="F267" s="33">
        <v>0.96805555555555556</v>
      </c>
      <c r="G267" s="33"/>
      <c r="H267" s="35"/>
      <c r="I267" s="28" t="e">
        <f>((Tabela2[[#This Row],[TW - Terminal A]]-Tabela2[[#This Row],[KM]])/(Tabela2[[#This Row],[KM]]))</f>
        <v>#DIV/0!</v>
      </c>
      <c r="J267" s="35"/>
      <c r="K267" s="28" t="e">
        <f>((Tabela2[[#This Row],[TW - Terminal B ]]-Tabela2[[#This Row],[KM]])/(Tabela2[[#This Row],[KM]]))</f>
        <v>#DIV/0!</v>
      </c>
      <c r="L267" s="30" t="s">
        <v>214</v>
      </c>
      <c r="M267" s="35"/>
      <c r="N267" s="56" t="s">
        <v>115</v>
      </c>
      <c r="O267" s="180"/>
    </row>
    <row r="268" spans="1:15" x14ac:dyDescent="0.3">
      <c r="A268" s="30" t="s">
        <v>47</v>
      </c>
      <c r="B268" s="30" t="s">
        <v>455</v>
      </c>
      <c r="C268" s="34" t="s">
        <v>66</v>
      </c>
      <c r="D268" s="30"/>
      <c r="E268" s="52">
        <v>42837</v>
      </c>
      <c r="F268" s="33">
        <v>0.21319444444444444</v>
      </c>
      <c r="G268" s="33"/>
      <c r="H268" s="35"/>
      <c r="I268" s="28" t="e">
        <f>((Tabela2[[#This Row],[TW - Terminal A]]-Tabela2[[#This Row],[KM]])/(Tabela2[[#This Row],[KM]]))</f>
        <v>#DIV/0!</v>
      </c>
      <c r="J268" s="35"/>
      <c r="K268" s="28" t="e">
        <f>((Tabela2[[#This Row],[TW - Terminal B ]]-Tabela2[[#This Row],[KM]])/(Tabela2[[#This Row],[KM]]))</f>
        <v>#DIV/0!</v>
      </c>
      <c r="L268" s="30" t="s">
        <v>215</v>
      </c>
      <c r="M268" s="35"/>
      <c r="N268" s="56" t="s">
        <v>115</v>
      </c>
      <c r="O268" s="180"/>
    </row>
    <row r="269" spans="1:15" x14ac:dyDescent="0.3">
      <c r="A269" s="30" t="s">
        <v>47</v>
      </c>
      <c r="B269" s="30" t="s">
        <v>455</v>
      </c>
      <c r="C269" s="34" t="s">
        <v>66</v>
      </c>
      <c r="D269" s="30"/>
      <c r="E269" s="52">
        <v>42869</v>
      </c>
      <c r="F269" s="33">
        <v>0.3430555555555555</v>
      </c>
      <c r="G269" s="33"/>
      <c r="H269" s="35"/>
      <c r="I269" s="28" t="e">
        <f>((Tabela2[[#This Row],[TW - Terminal A]]-Tabela2[[#This Row],[KM]])/(Tabela2[[#This Row],[KM]]))</f>
        <v>#DIV/0!</v>
      </c>
      <c r="J269" s="35"/>
      <c r="K269" s="28" t="e">
        <f>((Tabela2[[#This Row],[TW - Terminal B ]]-Tabela2[[#This Row],[KM]])/(Tabela2[[#This Row],[KM]]))</f>
        <v>#DIV/0!</v>
      </c>
      <c r="L269" s="30" t="s">
        <v>5</v>
      </c>
      <c r="M269" s="35"/>
      <c r="N269" s="56"/>
      <c r="O269" s="180"/>
    </row>
    <row r="270" spans="1:15" x14ac:dyDescent="0.3">
      <c r="A270" s="30" t="s">
        <v>47</v>
      </c>
      <c r="B270" s="30" t="s">
        <v>455</v>
      </c>
      <c r="C270" s="34" t="s">
        <v>65</v>
      </c>
      <c r="D270" s="30"/>
      <c r="E270" s="52">
        <v>42974</v>
      </c>
      <c r="F270" s="33">
        <v>0.52569444444444446</v>
      </c>
      <c r="G270" s="33"/>
      <c r="H270" s="35"/>
      <c r="I270" s="28" t="e">
        <f>((Tabela2[[#This Row],[TW - Terminal A]]-Tabela2[[#This Row],[KM]])/(Tabela2[[#This Row],[KM]]))</f>
        <v>#DIV/0!</v>
      </c>
      <c r="J270" s="35"/>
      <c r="K270" s="28" t="e">
        <f>((Tabela2[[#This Row],[TW - Terminal B ]]-Tabela2[[#This Row],[KM]])/(Tabela2[[#This Row],[KM]]))</f>
        <v>#DIV/0!</v>
      </c>
      <c r="L270" s="85" t="s">
        <v>216</v>
      </c>
      <c r="M270" s="35"/>
      <c r="N270" s="176" t="s">
        <v>111</v>
      </c>
      <c r="O270" s="180"/>
    </row>
    <row r="271" spans="1:15" x14ac:dyDescent="0.3">
      <c r="A271" s="30" t="s">
        <v>47</v>
      </c>
      <c r="B271" s="30" t="s">
        <v>455</v>
      </c>
      <c r="C271" s="34" t="s">
        <v>64</v>
      </c>
      <c r="D271" s="30"/>
      <c r="E271" s="52">
        <v>42986</v>
      </c>
      <c r="F271" s="33">
        <v>0.5444444444444444</v>
      </c>
      <c r="G271" s="33"/>
      <c r="H271" s="35"/>
      <c r="I271" s="28" t="e">
        <f>((Tabela2[[#This Row],[TW - Terminal A]]-Tabela2[[#This Row],[KM]])/(Tabela2[[#This Row],[KM]]))</f>
        <v>#DIV/0!</v>
      </c>
      <c r="J271" s="35"/>
      <c r="K271" s="28" t="e">
        <f>((Tabela2[[#This Row],[TW - Terminal B ]]-Tabela2[[#This Row],[KM]])/(Tabela2[[#This Row],[KM]]))</f>
        <v>#DIV/0!</v>
      </c>
      <c r="L271" s="30" t="s">
        <v>217</v>
      </c>
      <c r="M271" s="35"/>
      <c r="N271" s="56" t="s">
        <v>111</v>
      </c>
      <c r="O271" s="180"/>
    </row>
    <row r="272" spans="1:15" x14ac:dyDescent="0.3">
      <c r="A272" s="30" t="s">
        <v>47</v>
      </c>
      <c r="B272" s="30" t="s">
        <v>455</v>
      </c>
      <c r="C272" s="34" t="s">
        <v>67</v>
      </c>
      <c r="D272" s="30"/>
      <c r="E272" s="52">
        <v>42987</v>
      </c>
      <c r="F272" s="33">
        <v>0.56180555555555556</v>
      </c>
      <c r="G272" s="33"/>
      <c r="H272" s="35"/>
      <c r="I272" s="28" t="e">
        <f>((Tabela2[[#This Row],[TW - Terminal A]]-Tabela2[[#This Row],[KM]])/(Tabela2[[#This Row],[KM]]))</f>
        <v>#DIV/0!</v>
      </c>
      <c r="J272" s="35"/>
      <c r="K272" s="28" t="e">
        <f>((Tabela2[[#This Row],[TW - Terminal B ]]-Tabela2[[#This Row],[KM]])/(Tabela2[[#This Row],[KM]]))</f>
        <v>#DIV/0!</v>
      </c>
      <c r="L272" s="30" t="s">
        <v>218</v>
      </c>
      <c r="M272" s="35"/>
      <c r="N272" s="56" t="s">
        <v>111</v>
      </c>
      <c r="O272" s="180"/>
    </row>
    <row r="273" spans="1:15" x14ac:dyDescent="0.3">
      <c r="A273" s="30" t="s">
        <v>47</v>
      </c>
      <c r="B273" s="30" t="s">
        <v>455</v>
      </c>
      <c r="C273" s="34" t="s">
        <v>67</v>
      </c>
      <c r="D273" s="30"/>
      <c r="E273" s="52">
        <v>43002</v>
      </c>
      <c r="F273" s="33">
        <v>0.57013888888888886</v>
      </c>
      <c r="G273" s="33"/>
      <c r="H273" s="35"/>
      <c r="I273" s="28" t="e">
        <f>((Tabela2[[#This Row],[TW - Terminal A]]-Tabela2[[#This Row],[KM]])/(Tabela2[[#This Row],[KM]]))</f>
        <v>#DIV/0!</v>
      </c>
      <c r="J273" s="35"/>
      <c r="K273" s="28" t="e">
        <f>((Tabela2[[#This Row],[TW - Terminal B ]]-Tabela2[[#This Row],[KM]])/(Tabela2[[#This Row],[KM]]))</f>
        <v>#DIV/0!</v>
      </c>
      <c r="L273" s="30" t="s">
        <v>219</v>
      </c>
      <c r="M273" s="35"/>
      <c r="N273" s="56" t="s">
        <v>111</v>
      </c>
      <c r="O273" s="180"/>
    </row>
    <row r="274" spans="1:15" x14ac:dyDescent="0.3">
      <c r="A274" s="30" t="s">
        <v>47</v>
      </c>
      <c r="B274" s="30" t="s">
        <v>455</v>
      </c>
      <c r="C274" s="34" t="s">
        <v>66</v>
      </c>
      <c r="D274" s="30"/>
      <c r="E274" s="52">
        <v>43003</v>
      </c>
      <c r="F274" s="33">
        <v>0.55763888888888891</v>
      </c>
      <c r="G274" s="33"/>
      <c r="H274" s="35"/>
      <c r="I274" s="28" t="e">
        <f>((Tabela2[[#This Row],[TW - Terminal A]]-Tabela2[[#This Row],[KM]])/(Tabela2[[#This Row],[KM]]))</f>
        <v>#DIV/0!</v>
      </c>
      <c r="J274" s="35"/>
      <c r="K274" s="28" t="e">
        <f>((Tabela2[[#This Row],[TW - Terminal B ]]-Tabela2[[#This Row],[KM]])/(Tabela2[[#This Row],[KM]]))</f>
        <v>#DIV/0!</v>
      </c>
      <c r="L274" s="30" t="s">
        <v>220</v>
      </c>
      <c r="M274" s="35"/>
      <c r="N274" s="56" t="s">
        <v>111</v>
      </c>
      <c r="O274" s="180"/>
    </row>
    <row r="275" spans="1:15" x14ac:dyDescent="0.3">
      <c r="A275" s="30" t="s">
        <v>47</v>
      </c>
      <c r="B275" s="30" t="s">
        <v>455</v>
      </c>
      <c r="C275" s="34" t="s">
        <v>65</v>
      </c>
      <c r="D275" s="30"/>
      <c r="E275" s="52">
        <v>43005</v>
      </c>
      <c r="F275" s="33">
        <v>0.51736111111111105</v>
      </c>
      <c r="G275" s="33"/>
      <c r="H275" s="35"/>
      <c r="I275" s="28" t="e">
        <f>((Tabela2[[#This Row],[TW - Terminal A]]-Tabela2[[#This Row],[KM]])/(Tabela2[[#This Row],[KM]]))</f>
        <v>#DIV/0!</v>
      </c>
      <c r="J275" s="35"/>
      <c r="K275" s="28" t="e">
        <f>((Tabela2[[#This Row],[TW - Terminal B ]]-Tabela2[[#This Row],[KM]])/(Tabela2[[#This Row],[KM]]))</f>
        <v>#DIV/0!</v>
      </c>
      <c r="L275" s="30" t="s">
        <v>221</v>
      </c>
      <c r="M275" s="35"/>
      <c r="N275" s="56" t="s">
        <v>111</v>
      </c>
      <c r="O275" s="180"/>
    </row>
    <row r="276" spans="1:15" x14ac:dyDescent="0.3">
      <c r="A276" s="30" t="s">
        <v>47</v>
      </c>
      <c r="B276" s="30" t="s">
        <v>455</v>
      </c>
      <c r="C276" s="31" t="s">
        <v>64</v>
      </c>
      <c r="D276" s="30"/>
      <c r="E276" s="32">
        <v>43012</v>
      </c>
      <c r="F276" s="33">
        <v>0.56666666666666665</v>
      </c>
      <c r="G276" s="33"/>
      <c r="H276" s="35"/>
      <c r="I276" s="28" t="e">
        <f>((Tabela2[[#This Row],[TW - Terminal A]]-Tabela2[[#This Row],[KM]])/(Tabela2[[#This Row],[KM]]))</f>
        <v>#DIV/0!</v>
      </c>
      <c r="J276" s="35"/>
      <c r="K276" s="28" t="e">
        <f>((Tabela2[[#This Row],[TW - Terminal B ]]-Tabela2[[#This Row],[KM]])/(Tabela2[[#This Row],[KM]]))</f>
        <v>#DIV/0!</v>
      </c>
      <c r="L276" s="34" t="s">
        <v>222</v>
      </c>
      <c r="M276" s="35"/>
      <c r="N276" s="56" t="s">
        <v>115</v>
      </c>
      <c r="O276" s="108"/>
    </row>
    <row r="277" spans="1:15" x14ac:dyDescent="0.3">
      <c r="A277" s="30" t="s">
        <v>47</v>
      </c>
      <c r="B277" s="30" t="s">
        <v>455</v>
      </c>
      <c r="C277" s="34" t="s">
        <v>65</v>
      </c>
      <c r="D277" s="30"/>
      <c r="E277" s="32">
        <v>43015</v>
      </c>
      <c r="F277" s="33" t="s">
        <v>10</v>
      </c>
      <c r="G277" s="33"/>
      <c r="H277" s="35"/>
      <c r="I277" s="28" t="e">
        <f>((Tabela2[[#This Row],[TW - Terminal A]]-Tabela2[[#This Row],[KM]])/(Tabela2[[#This Row],[KM]]))</f>
        <v>#DIV/0!</v>
      </c>
      <c r="J277" s="35"/>
      <c r="K277" s="28" t="e">
        <f>((Tabela2[[#This Row],[TW - Terminal B ]]-Tabela2[[#This Row],[KM]])/(Tabela2[[#This Row],[KM]]))</f>
        <v>#DIV/0!</v>
      </c>
      <c r="L277" s="34" t="s">
        <v>223</v>
      </c>
      <c r="M277" s="35"/>
      <c r="N277" s="56" t="s">
        <v>111</v>
      </c>
      <c r="O277" s="108"/>
    </row>
    <row r="278" spans="1:15" x14ac:dyDescent="0.3">
      <c r="A278" s="30" t="s">
        <v>47</v>
      </c>
      <c r="B278" s="30" t="s">
        <v>455</v>
      </c>
      <c r="C278" s="34" t="s">
        <v>64</v>
      </c>
      <c r="D278" s="30"/>
      <c r="E278" s="32">
        <v>43016</v>
      </c>
      <c r="F278" s="33">
        <v>0.60069444444444442</v>
      </c>
      <c r="G278" s="33"/>
      <c r="H278" s="35"/>
      <c r="I278" s="28" t="e">
        <f>((Tabela2[[#This Row],[TW - Terminal A]]-Tabela2[[#This Row],[KM]])/(Tabela2[[#This Row],[KM]]))</f>
        <v>#DIV/0!</v>
      </c>
      <c r="J278" s="35"/>
      <c r="K278" s="28" t="e">
        <f>((Tabela2[[#This Row],[TW - Terminal B ]]-Tabela2[[#This Row],[KM]])/(Tabela2[[#This Row],[KM]]))</f>
        <v>#DIV/0!</v>
      </c>
      <c r="L278" s="34" t="s">
        <v>224</v>
      </c>
      <c r="M278" s="35"/>
      <c r="N278" s="56" t="s">
        <v>111</v>
      </c>
      <c r="O278" s="108"/>
    </row>
    <row r="279" spans="1:15" x14ac:dyDescent="0.3">
      <c r="A279" s="30" t="s">
        <v>47</v>
      </c>
      <c r="B279" s="30" t="s">
        <v>455</v>
      </c>
      <c r="C279" s="34" t="s">
        <v>65</v>
      </c>
      <c r="D279" s="30"/>
      <c r="E279" s="32">
        <v>43034</v>
      </c>
      <c r="F279" s="33">
        <v>0.48402777777777778</v>
      </c>
      <c r="G279" s="33"/>
      <c r="H279" s="35"/>
      <c r="I279" s="28" t="e">
        <f>((Tabela2[[#This Row],[TW - Terminal A]]-Tabela2[[#This Row],[KM]])/(Tabela2[[#This Row],[KM]]))</f>
        <v>#DIV/0!</v>
      </c>
      <c r="J279" s="35"/>
      <c r="K279" s="28" t="e">
        <f>((Tabela2[[#This Row],[TW - Terminal B ]]-Tabela2[[#This Row],[KM]])/(Tabela2[[#This Row],[KM]]))</f>
        <v>#DIV/0!</v>
      </c>
      <c r="L279" s="34" t="s">
        <v>5</v>
      </c>
      <c r="M279" s="35"/>
      <c r="N279" s="56"/>
      <c r="O279" s="108"/>
    </row>
    <row r="280" spans="1:15" x14ac:dyDescent="0.3">
      <c r="A280" s="30" t="s">
        <v>47</v>
      </c>
      <c r="B280" s="30" t="s">
        <v>455</v>
      </c>
      <c r="C280" s="34" t="s">
        <v>65</v>
      </c>
      <c r="D280" s="30"/>
      <c r="E280" s="32">
        <v>43115</v>
      </c>
      <c r="F280" s="33">
        <v>0.70208333333333339</v>
      </c>
      <c r="G280" s="33"/>
      <c r="H280" s="35"/>
      <c r="I280" s="28" t="e">
        <f>((Tabela2[[#This Row],[TW - Terminal A]]-Tabela2[[#This Row],[KM]])/(Tabela2[[#This Row],[KM]]))</f>
        <v>#DIV/0!</v>
      </c>
      <c r="J280" s="35"/>
      <c r="K280" s="28" t="e">
        <f>((Tabela2[[#This Row],[TW - Terminal B ]]-Tabela2[[#This Row],[KM]])/(Tabela2[[#This Row],[KM]]))</f>
        <v>#DIV/0!</v>
      </c>
      <c r="L280" s="34" t="s">
        <v>225</v>
      </c>
      <c r="M280" s="35"/>
      <c r="N280" s="56" t="s">
        <v>115</v>
      </c>
      <c r="O280" s="108"/>
    </row>
    <row r="281" spans="1:15" x14ac:dyDescent="0.3">
      <c r="A281" s="30" t="s">
        <v>47</v>
      </c>
      <c r="B281" s="30" t="s">
        <v>455</v>
      </c>
      <c r="C281" s="34" t="s">
        <v>67</v>
      </c>
      <c r="D281" s="30"/>
      <c r="E281" s="32">
        <v>43115</v>
      </c>
      <c r="F281" s="33">
        <v>0.70208333333333328</v>
      </c>
      <c r="G281" s="33"/>
      <c r="H281" s="35"/>
      <c r="I281" s="28" t="e">
        <f>((Tabela2[[#This Row],[TW - Terminal A]]-Tabela2[[#This Row],[KM]])/(Tabela2[[#This Row],[KM]]))</f>
        <v>#DIV/0!</v>
      </c>
      <c r="J281" s="35"/>
      <c r="K281" s="28" t="e">
        <f>((Tabela2[[#This Row],[TW - Terminal B ]]-Tabela2[[#This Row],[KM]])/(Tabela2[[#This Row],[KM]]))</f>
        <v>#DIV/0!</v>
      </c>
      <c r="L281" s="34" t="s">
        <v>226</v>
      </c>
      <c r="M281" s="35"/>
      <c r="N281" s="56" t="s">
        <v>109</v>
      </c>
      <c r="O281" s="109" t="s">
        <v>11</v>
      </c>
    </row>
    <row r="282" spans="1:15" x14ac:dyDescent="0.3">
      <c r="A282" s="30" t="s">
        <v>47</v>
      </c>
      <c r="B282" s="30" t="s">
        <v>455</v>
      </c>
      <c r="C282" s="34" t="s">
        <v>65</v>
      </c>
      <c r="D282" s="30"/>
      <c r="E282" s="32">
        <v>43131</v>
      </c>
      <c r="F282" s="33">
        <v>0.95833333333333337</v>
      </c>
      <c r="G282" s="33"/>
      <c r="H282" s="35"/>
      <c r="I282" s="28" t="e">
        <f>((Tabela2[[#This Row],[TW - Terminal A]]-Tabela2[[#This Row],[KM]])/(Tabela2[[#This Row],[KM]]))</f>
        <v>#DIV/0!</v>
      </c>
      <c r="J282" s="35"/>
      <c r="K282" s="28" t="e">
        <f>((Tabela2[[#This Row],[TW - Terminal B ]]-Tabela2[[#This Row],[KM]])/(Tabela2[[#This Row],[KM]]))</f>
        <v>#DIV/0!</v>
      </c>
      <c r="L282" s="34" t="s">
        <v>227</v>
      </c>
      <c r="M282" s="35"/>
      <c r="N282" s="56" t="s">
        <v>115</v>
      </c>
      <c r="O282" s="108"/>
    </row>
    <row r="283" spans="1:15" x14ac:dyDescent="0.3">
      <c r="A283" s="30" t="s">
        <v>47</v>
      </c>
      <c r="B283" s="30" t="s">
        <v>455</v>
      </c>
      <c r="C283" s="34" t="s">
        <v>64</v>
      </c>
      <c r="D283" s="30"/>
      <c r="E283" s="32">
        <v>43131</v>
      </c>
      <c r="F283" s="33">
        <v>0.95833333333333337</v>
      </c>
      <c r="G283" s="33"/>
      <c r="H283" s="35"/>
      <c r="I283" s="28" t="e">
        <f>((Tabela2[[#This Row],[TW - Terminal A]]-Tabela2[[#This Row],[KM]])/(Tabela2[[#This Row],[KM]]))</f>
        <v>#DIV/0!</v>
      </c>
      <c r="J283" s="35"/>
      <c r="K283" s="28" t="e">
        <f>((Tabela2[[#This Row],[TW - Terminal B ]]-Tabela2[[#This Row],[KM]])/(Tabela2[[#This Row],[KM]]))</f>
        <v>#DIV/0!</v>
      </c>
      <c r="L283" s="34" t="s">
        <v>228</v>
      </c>
      <c r="M283" s="35"/>
      <c r="N283" s="56" t="s">
        <v>115</v>
      </c>
      <c r="O283" s="110" t="s">
        <v>11</v>
      </c>
    </row>
    <row r="284" spans="1:15" x14ac:dyDescent="0.3">
      <c r="A284" s="30" t="s">
        <v>47</v>
      </c>
      <c r="B284" s="30" t="s">
        <v>455</v>
      </c>
      <c r="C284" s="31" t="s">
        <v>64</v>
      </c>
      <c r="D284" s="30"/>
      <c r="E284" s="32">
        <v>43140</v>
      </c>
      <c r="F284" s="33">
        <v>0.26458333333333334</v>
      </c>
      <c r="G284" s="33"/>
      <c r="H284" s="35"/>
      <c r="I284" s="28" t="e">
        <f>((Tabela2[[#This Row],[TW - Terminal A]]-Tabela2[[#This Row],[KM]])/(Tabela2[[#This Row],[KM]]))</f>
        <v>#DIV/0!</v>
      </c>
      <c r="J284" s="35"/>
      <c r="K284" s="28" t="e">
        <f>((Tabela2[[#This Row],[TW - Terminal B ]]-Tabela2[[#This Row],[KM]])/(Tabela2[[#This Row],[KM]]))</f>
        <v>#DIV/0!</v>
      </c>
      <c r="L284" s="34" t="s">
        <v>229</v>
      </c>
      <c r="M284" s="35"/>
      <c r="N284" s="56" t="s">
        <v>115</v>
      </c>
      <c r="O284" s="108"/>
    </row>
    <row r="285" spans="1:15" x14ac:dyDescent="0.3">
      <c r="A285" s="30" t="s">
        <v>47</v>
      </c>
      <c r="B285" s="30" t="s">
        <v>455</v>
      </c>
      <c r="C285" s="31" t="s">
        <v>65</v>
      </c>
      <c r="D285" s="30"/>
      <c r="E285" s="32">
        <v>43142</v>
      </c>
      <c r="F285" s="33">
        <v>0.23680555555555557</v>
      </c>
      <c r="G285" s="33"/>
      <c r="H285" s="35"/>
      <c r="I285" s="28" t="e">
        <f>((Tabela2[[#This Row],[TW - Terminal A]]-Tabela2[[#This Row],[KM]])/(Tabela2[[#This Row],[KM]]))</f>
        <v>#DIV/0!</v>
      </c>
      <c r="J285" s="35"/>
      <c r="K285" s="28" t="e">
        <f>((Tabela2[[#This Row],[TW - Terminal B ]]-Tabela2[[#This Row],[KM]])/(Tabela2[[#This Row],[KM]]))</f>
        <v>#DIV/0!</v>
      </c>
      <c r="L285" s="34" t="s">
        <v>157</v>
      </c>
      <c r="M285" s="35"/>
      <c r="N285" s="56" t="s">
        <v>109</v>
      </c>
      <c r="O285" s="108"/>
    </row>
    <row r="286" spans="1:15" x14ac:dyDescent="0.3">
      <c r="A286" s="30" t="s">
        <v>48</v>
      </c>
      <c r="B286" s="30" t="s">
        <v>455</v>
      </c>
      <c r="C286" s="31" t="s">
        <v>75</v>
      </c>
      <c r="D286" s="30"/>
      <c r="E286" s="32">
        <v>43152</v>
      </c>
      <c r="F286" s="33">
        <v>0.85972222222222217</v>
      </c>
      <c r="G286" s="33"/>
      <c r="H286" s="35"/>
      <c r="I286" s="28" t="e">
        <f>((Tabela2[[#This Row],[TW - Terminal A]]-Tabela2[[#This Row],[KM]])/(Tabela2[[#This Row],[KM]]))</f>
        <v>#DIV/0!</v>
      </c>
      <c r="J286" s="35"/>
      <c r="K286" s="28" t="e">
        <f>((Tabela2[[#This Row],[TW - Terminal B ]]-Tabela2[[#This Row],[KM]])/(Tabela2[[#This Row],[KM]]))</f>
        <v>#DIV/0!</v>
      </c>
      <c r="L286" s="34"/>
      <c r="M286" s="35"/>
      <c r="N286" s="56"/>
      <c r="O286" s="108"/>
    </row>
    <row r="287" spans="1:15" x14ac:dyDescent="0.3">
      <c r="A287" s="30" t="s">
        <v>47</v>
      </c>
      <c r="B287" s="30" t="s">
        <v>455</v>
      </c>
      <c r="C287" s="31" t="s">
        <v>64</v>
      </c>
      <c r="D287" s="30"/>
      <c r="E287" s="32">
        <v>43176</v>
      </c>
      <c r="F287" s="33">
        <v>0.18472222222222223</v>
      </c>
      <c r="G287" s="33"/>
      <c r="H287" s="35"/>
      <c r="I287" s="28" t="e">
        <f>((Tabela2[[#This Row],[TW - Terminal A]]-Tabela2[[#This Row],[KM]])/(Tabela2[[#This Row],[KM]]))</f>
        <v>#DIV/0!</v>
      </c>
      <c r="J287" s="35"/>
      <c r="K287" s="28" t="e">
        <f>((Tabela2[[#This Row],[TW - Terminal B ]]-Tabela2[[#This Row],[KM]])/(Tabela2[[#This Row],[KM]]))</f>
        <v>#DIV/0!</v>
      </c>
      <c r="L287" s="34" t="s">
        <v>230</v>
      </c>
      <c r="M287" s="35"/>
      <c r="N287" s="56" t="s">
        <v>115</v>
      </c>
      <c r="O287" s="112" t="s">
        <v>12</v>
      </c>
    </row>
    <row r="288" spans="1:15" x14ac:dyDescent="0.3">
      <c r="A288" s="30" t="s">
        <v>47</v>
      </c>
      <c r="B288" s="30" t="s">
        <v>455</v>
      </c>
      <c r="C288" s="31" t="s">
        <v>64</v>
      </c>
      <c r="D288" s="30"/>
      <c r="E288" s="37">
        <v>43179</v>
      </c>
      <c r="F288" s="33">
        <v>9.5138888888888884E-2</v>
      </c>
      <c r="G288" s="33"/>
      <c r="H288" s="35"/>
      <c r="I288" s="28" t="e">
        <f>((Tabela2[[#This Row],[TW - Terminal A]]-Tabela2[[#This Row],[KM]])/(Tabela2[[#This Row],[KM]]))</f>
        <v>#DIV/0!</v>
      </c>
      <c r="J288" s="35"/>
      <c r="K288" s="28" t="e">
        <f>((Tabela2[[#This Row],[TW - Terminal B ]]-Tabela2[[#This Row],[KM]])/(Tabela2[[#This Row],[KM]]))</f>
        <v>#DIV/0!</v>
      </c>
      <c r="L288" s="34" t="s">
        <v>222</v>
      </c>
      <c r="M288" s="35"/>
      <c r="N288" s="56" t="s">
        <v>115</v>
      </c>
      <c r="O288" s="112" t="s">
        <v>12</v>
      </c>
    </row>
    <row r="289" spans="1:15" x14ac:dyDescent="0.3">
      <c r="A289" s="30" t="s">
        <v>47</v>
      </c>
      <c r="B289" s="30" t="s">
        <v>455</v>
      </c>
      <c r="C289" s="34" t="s">
        <v>65</v>
      </c>
      <c r="D289" s="30"/>
      <c r="E289" s="37">
        <v>43179</v>
      </c>
      <c r="F289" s="33">
        <v>0.88680555555555562</v>
      </c>
      <c r="G289" s="33"/>
      <c r="H289" s="35"/>
      <c r="I289" s="28" t="e">
        <f>((Tabela2[[#This Row],[TW - Terminal A]]-Tabela2[[#This Row],[KM]])/(Tabela2[[#This Row],[KM]]))</f>
        <v>#DIV/0!</v>
      </c>
      <c r="J289" s="35"/>
      <c r="K289" s="28" t="e">
        <f>((Tabela2[[#This Row],[TW - Terminal B ]]-Tabela2[[#This Row],[KM]])/(Tabela2[[#This Row],[KM]]))</f>
        <v>#DIV/0!</v>
      </c>
      <c r="L289" s="34" t="s">
        <v>231</v>
      </c>
      <c r="M289" s="35"/>
      <c r="N289" s="56" t="s">
        <v>115</v>
      </c>
      <c r="O289" s="108"/>
    </row>
    <row r="290" spans="1:15" x14ac:dyDescent="0.3">
      <c r="A290" s="30" t="s">
        <v>47</v>
      </c>
      <c r="B290" s="30" t="s">
        <v>455</v>
      </c>
      <c r="C290" s="34" t="s">
        <v>67</v>
      </c>
      <c r="D290" s="30"/>
      <c r="E290" s="32">
        <v>43179</v>
      </c>
      <c r="F290" s="33">
        <v>9.5138888888888884E-2</v>
      </c>
      <c r="G290" s="33"/>
      <c r="H290" s="35"/>
      <c r="I290" s="28" t="e">
        <f>((Tabela2[[#This Row],[TW - Terminal A]]-Tabela2[[#This Row],[KM]])/(Tabela2[[#This Row],[KM]]))</f>
        <v>#DIV/0!</v>
      </c>
      <c r="J290" s="35"/>
      <c r="K290" s="28" t="e">
        <f>((Tabela2[[#This Row],[TW - Terminal B ]]-Tabela2[[#This Row],[KM]])/(Tabela2[[#This Row],[KM]]))</f>
        <v>#DIV/0!</v>
      </c>
      <c r="L290" s="34" t="s">
        <v>232</v>
      </c>
      <c r="M290" s="35"/>
      <c r="N290" s="56" t="s">
        <v>115</v>
      </c>
      <c r="O290" s="109" t="s">
        <v>12</v>
      </c>
    </row>
    <row r="291" spans="1:15" x14ac:dyDescent="0.3">
      <c r="A291" s="30" t="s">
        <v>47</v>
      </c>
      <c r="B291" s="30" t="s">
        <v>455</v>
      </c>
      <c r="C291" s="34" t="s">
        <v>66</v>
      </c>
      <c r="D291" s="30"/>
      <c r="E291" s="32">
        <v>43194</v>
      </c>
      <c r="F291" s="33">
        <v>0.87708333333333333</v>
      </c>
      <c r="G291" s="33"/>
      <c r="H291" s="35"/>
      <c r="I291" s="28" t="e">
        <f>((Tabela2[[#This Row],[TW - Terminal A]]-Tabela2[[#This Row],[KM]])/(Tabela2[[#This Row],[KM]]))</f>
        <v>#DIV/0!</v>
      </c>
      <c r="J291" s="35"/>
      <c r="K291" s="28" t="e">
        <f>((Tabela2[[#This Row],[TW - Terminal B ]]-Tabela2[[#This Row],[KM]])/(Tabela2[[#This Row],[KM]]))</f>
        <v>#DIV/0!</v>
      </c>
      <c r="L291" s="34" t="s">
        <v>233</v>
      </c>
      <c r="M291" s="35"/>
      <c r="N291" s="56" t="s">
        <v>115</v>
      </c>
      <c r="O291" s="108" t="s">
        <v>12</v>
      </c>
    </row>
    <row r="292" spans="1:15" x14ac:dyDescent="0.3">
      <c r="A292" s="30" t="s">
        <v>47</v>
      </c>
      <c r="B292" s="30" t="s">
        <v>455</v>
      </c>
      <c r="C292" s="34" t="s">
        <v>66</v>
      </c>
      <c r="D292" s="30"/>
      <c r="E292" s="32">
        <v>43198</v>
      </c>
      <c r="F292" s="33">
        <v>0.97103009259259254</v>
      </c>
      <c r="G292" s="33"/>
      <c r="H292" s="35"/>
      <c r="I292" s="28" t="e">
        <f>((Tabela2[[#This Row],[TW - Terminal A]]-Tabela2[[#This Row],[KM]])/(Tabela2[[#This Row],[KM]]))</f>
        <v>#DIV/0!</v>
      </c>
      <c r="J292" s="35"/>
      <c r="K292" s="28" t="e">
        <f>((Tabela2[[#This Row],[TW - Terminal B ]]-Tabela2[[#This Row],[KM]])/(Tabela2[[#This Row],[KM]]))</f>
        <v>#DIV/0!</v>
      </c>
      <c r="L292" s="34" t="s">
        <v>234</v>
      </c>
      <c r="M292" s="35"/>
      <c r="N292" s="56" t="s">
        <v>111</v>
      </c>
      <c r="O292" s="108" t="s">
        <v>13</v>
      </c>
    </row>
    <row r="293" spans="1:15" x14ac:dyDescent="0.3">
      <c r="A293" s="30" t="s">
        <v>47</v>
      </c>
      <c r="B293" s="30" t="s">
        <v>455</v>
      </c>
      <c r="C293" s="34" t="s">
        <v>64</v>
      </c>
      <c r="D293" s="30"/>
      <c r="E293" s="32">
        <v>43284</v>
      </c>
      <c r="F293" s="33">
        <v>0.17500000000000002</v>
      </c>
      <c r="G293" s="33"/>
      <c r="H293" s="35"/>
      <c r="I293" s="28" t="e">
        <f>((Tabela2[[#This Row],[TW - Terminal A]]-Tabela2[[#This Row],[KM]])/(Tabela2[[#This Row],[KM]]))</f>
        <v>#DIV/0!</v>
      </c>
      <c r="J293" s="35"/>
      <c r="K293" s="28" t="e">
        <f>((Tabela2[[#This Row],[TW - Terminal B ]]-Tabela2[[#This Row],[KM]])/(Tabela2[[#This Row],[KM]]))</f>
        <v>#DIV/0!</v>
      </c>
      <c r="L293" s="34" t="s">
        <v>235</v>
      </c>
      <c r="M293" s="35"/>
      <c r="N293" s="56" t="s">
        <v>115</v>
      </c>
      <c r="O293" s="112" t="s">
        <v>12</v>
      </c>
    </row>
    <row r="294" spans="1:15" x14ac:dyDescent="0.3">
      <c r="A294" s="30" t="s">
        <v>47</v>
      </c>
      <c r="B294" s="30" t="s">
        <v>455</v>
      </c>
      <c r="C294" s="34" t="s">
        <v>65</v>
      </c>
      <c r="D294" s="30"/>
      <c r="E294" s="32">
        <v>43321</v>
      </c>
      <c r="F294" s="33">
        <v>0.91875000000000007</v>
      </c>
      <c r="G294" s="33"/>
      <c r="H294" s="35"/>
      <c r="I294" s="28" t="e">
        <f>((Tabela2[[#This Row],[TW - Terminal A]]-Tabela2[[#This Row],[KM]])/(Tabela2[[#This Row],[KM]]))</f>
        <v>#DIV/0!</v>
      </c>
      <c r="J294" s="35"/>
      <c r="K294" s="28" t="e">
        <f>((Tabela2[[#This Row],[TW - Terminal B ]]-Tabela2[[#This Row],[KM]])/(Tabela2[[#This Row],[KM]]))</f>
        <v>#DIV/0!</v>
      </c>
      <c r="L294" s="34" t="s">
        <v>236</v>
      </c>
      <c r="M294" s="35"/>
      <c r="N294" s="56" t="s">
        <v>109</v>
      </c>
      <c r="O294" s="108"/>
    </row>
    <row r="295" spans="1:15" x14ac:dyDescent="0.3">
      <c r="A295" s="30" t="s">
        <v>47</v>
      </c>
      <c r="B295" s="30" t="s">
        <v>455</v>
      </c>
      <c r="C295" s="34" t="s">
        <v>65</v>
      </c>
      <c r="D295" s="30"/>
      <c r="E295" s="32">
        <v>43324</v>
      </c>
      <c r="F295" s="33">
        <v>0.6118055555555556</v>
      </c>
      <c r="G295" s="33"/>
      <c r="H295" s="35"/>
      <c r="I295" s="28" t="e">
        <f>((Tabela2[[#This Row],[TW - Terminal A]]-Tabela2[[#This Row],[KM]])/(Tabela2[[#This Row],[KM]]))</f>
        <v>#DIV/0!</v>
      </c>
      <c r="J295" s="35"/>
      <c r="K295" s="28" t="e">
        <f>((Tabela2[[#This Row],[TW - Terminal B ]]-Tabela2[[#This Row],[KM]])/(Tabela2[[#This Row],[KM]]))</f>
        <v>#DIV/0!</v>
      </c>
      <c r="L295" s="34" t="s">
        <v>237</v>
      </c>
      <c r="M295" s="35"/>
      <c r="N295" s="56" t="s">
        <v>115</v>
      </c>
      <c r="O295" s="108"/>
    </row>
    <row r="296" spans="1:15" x14ac:dyDescent="0.3">
      <c r="A296" s="30" t="s">
        <v>47</v>
      </c>
      <c r="B296" s="30" t="s">
        <v>455</v>
      </c>
      <c r="C296" s="34" t="s">
        <v>64</v>
      </c>
      <c r="D296" s="30"/>
      <c r="E296" s="32">
        <v>43365</v>
      </c>
      <c r="F296" s="33">
        <v>0.12430555555555556</v>
      </c>
      <c r="G296" s="33"/>
      <c r="H296" s="35"/>
      <c r="I296" s="28" t="e">
        <f>((Tabela2[[#This Row],[TW - Terminal A]]-Tabela2[[#This Row],[KM]])/(Tabela2[[#This Row],[KM]]))</f>
        <v>#DIV/0!</v>
      </c>
      <c r="J296" s="35"/>
      <c r="K296" s="28" t="e">
        <f>((Tabela2[[#This Row],[TW - Terminal B ]]-Tabela2[[#This Row],[KM]])/(Tabela2[[#This Row],[KM]]))</f>
        <v>#DIV/0!</v>
      </c>
      <c r="L296" s="34" t="s">
        <v>5</v>
      </c>
      <c r="M296" s="35"/>
      <c r="N296" s="56"/>
      <c r="O296" s="108" t="s">
        <v>14</v>
      </c>
    </row>
    <row r="297" spans="1:15" x14ac:dyDescent="0.3">
      <c r="A297" s="30" t="s">
        <v>47</v>
      </c>
      <c r="B297" s="30" t="s">
        <v>455</v>
      </c>
      <c r="C297" s="34" t="s">
        <v>64</v>
      </c>
      <c r="D297" s="30"/>
      <c r="E297" s="32">
        <v>43391</v>
      </c>
      <c r="F297" s="33">
        <v>0.42222222222222222</v>
      </c>
      <c r="G297" s="33"/>
      <c r="H297" s="35"/>
      <c r="I297" s="28" t="e">
        <f>((Tabela2[[#This Row],[TW - Terminal A]]-Tabela2[[#This Row],[KM]])/(Tabela2[[#This Row],[KM]]))</f>
        <v>#DIV/0!</v>
      </c>
      <c r="J297" s="35"/>
      <c r="K297" s="28" t="e">
        <f>((Tabela2[[#This Row],[TW - Terminal B ]]-Tabela2[[#This Row],[KM]])/(Tabela2[[#This Row],[KM]]))</f>
        <v>#DIV/0!</v>
      </c>
      <c r="L297" s="34" t="s">
        <v>238</v>
      </c>
      <c r="M297" s="35"/>
      <c r="N297" s="56" t="s">
        <v>115</v>
      </c>
      <c r="O297" s="112" t="s">
        <v>12</v>
      </c>
    </row>
    <row r="298" spans="1:15" x14ac:dyDescent="0.3">
      <c r="A298" s="30" t="s">
        <v>47</v>
      </c>
      <c r="B298" s="30" t="s">
        <v>455</v>
      </c>
      <c r="C298" s="31" t="s">
        <v>65</v>
      </c>
      <c r="D298" s="30"/>
      <c r="E298" s="32">
        <v>43411</v>
      </c>
      <c r="F298" s="33">
        <v>0.25833333333333336</v>
      </c>
      <c r="G298" s="33"/>
      <c r="H298" s="35"/>
      <c r="I298" s="28" t="e">
        <f>((Tabela2[[#This Row],[TW - Terminal A]]-Tabela2[[#This Row],[KM]])/(Tabela2[[#This Row],[KM]]))</f>
        <v>#DIV/0!</v>
      </c>
      <c r="J298" s="35"/>
      <c r="K298" s="28" t="e">
        <f>((Tabela2[[#This Row],[TW - Terminal B ]]-Tabela2[[#This Row],[KM]])/(Tabela2[[#This Row],[KM]]))</f>
        <v>#DIV/0!</v>
      </c>
      <c r="L298" s="34"/>
      <c r="M298" s="35"/>
      <c r="N298" s="56" t="s">
        <v>114</v>
      </c>
      <c r="O298" s="109"/>
    </row>
    <row r="299" spans="1:15" x14ac:dyDescent="0.3">
      <c r="A299" s="30" t="s">
        <v>47</v>
      </c>
      <c r="B299" s="30" t="s">
        <v>455</v>
      </c>
      <c r="C299" s="31" t="s">
        <v>65</v>
      </c>
      <c r="D299" s="30"/>
      <c r="E299" s="32">
        <v>43434</v>
      </c>
      <c r="F299" s="33"/>
      <c r="G299" s="33"/>
      <c r="H299" s="35"/>
      <c r="I299" s="28" t="e">
        <f>((Tabela2[[#This Row],[TW - Terminal A]]-Tabela2[[#This Row],[KM]])/(Tabela2[[#This Row],[KM]]))</f>
        <v>#DIV/0!</v>
      </c>
      <c r="J299" s="35"/>
      <c r="K299" s="28" t="e">
        <f>((Tabela2[[#This Row],[TW - Terminal B ]]-Tabela2[[#This Row],[KM]])/(Tabela2[[#This Row],[KM]]))</f>
        <v>#DIV/0!</v>
      </c>
      <c r="L299" s="34" t="s">
        <v>239</v>
      </c>
      <c r="M299" s="35"/>
      <c r="N299" s="56" t="s">
        <v>109</v>
      </c>
      <c r="O299" s="109"/>
    </row>
    <row r="300" spans="1:15" x14ac:dyDescent="0.3">
      <c r="A300" s="30" t="s">
        <v>47</v>
      </c>
      <c r="B300" s="30" t="s">
        <v>455</v>
      </c>
      <c r="C300" s="31" t="s">
        <v>64</v>
      </c>
      <c r="D300" s="30"/>
      <c r="E300" s="32">
        <v>43437</v>
      </c>
      <c r="F300" s="33">
        <v>0.93333333333333324</v>
      </c>
      <c r="G300" s="33"/>
      <c r="H300" s="35"/>
      <c r="I300" s="28" t="e">
        <f>((Tabela2[[#This Row],[TW - Terminal A]]-Tabela2[[#This Row],[KM]])/(Tabela2[[#This Row],[KM]]))</f>
        <v>#DIV/0!</v>
      </c>
      <c r="J300" s="35"/>
      <c r="K300" s="28" t="e">
        <f>((Tabela2[[#This Row],[TW - Terminal B ]]-Tabela2[[#This Row],[KM]])/(Tabela2[[#This Row],[KM]]))</f>
        <v>#DIV/0!</v>
      </c>
      <c r="L300" s="34" t="s">
        <v>240</v>
      </c>
      <c r="M300" s="35"/>
      <c r="N300" s="56" t="s">
        <v>114</v>
      </c>
      <c r="O300" s="109" t="s">
        <v>15</v>
      </c>
    </row>
    <row r="301" spans="1:15" x14ac:dyDescent="0.3">
      <c r="A301" s="30" t="s">
        <v>47</v>
      </c>
      <c r="B301" s="30" t="s">
        <v>455</v>
      </c>
      <c r="C301" s="31" t="s">
        <v>64</v>
      </c>
      <c r="D301" s="30"/>
      <c r="E301" s="32">
        <v>43475</v>
      </c>
      <c r="F301" s="33">
        <v>0.68888888888888899</v>
      </c>
      <c r="G301" s="33"/>
      <c r="H301" s="35"/>
      <c r="I301" s="28" t="e">
        <f>((Tabela2[[#This Row],[TW - Terminal A]]-Tabela2[[#This Row],[KM]])/(Tabela2[[#This Row],[KM]]))</f>
        <v>#DIV/0!</v>
      </c>
      <c r="J301" s="35"/>
      <c r="K301" s="28" t="e">
        <f>((Tabela2[[#This Row],[TW - Terminal B ]]-Tabela2[[#This Row],[KM]])/(Tabela2[[#This Row],[KM]]))</f>
        <v>#DIV/0!</v>
      </c>
      <c r="L301" s="34" t="s">
        <v>241</v>
      </c>
      <c r="M301" s="35"/>
      <c r="N301" s="56" t="s">
        <v>109</v>
      </c>
      <c r="O301" s="109"/>
    </row>
    <row r="302" spans="1:15" x14ac:dyDescent="0.3">
      <c r="A302" s="30" t="s">
        <v>47</v>
      </c>
      <c r="B302" s="30" t="s">
        <v>455</v>
      </c>
      <c r="C302" s="31" t="s">
        <v>65</v>
      </c>
      <c r="D302" s="30"/>
      <c r="E302" s="32">
        <v>43520</v>
      </c>
      <c r="F302" s="33">
        <v>0.40347222222222223</v>
      </c>
      <c r="G302" s="33"/>
      <c r="H302" s="35"/>
      <c r="I302" s="28" t="e">
        <f>((Tabela2[[#This Row],[TW - Terminal A]]-Tabela2[[#This Row],[KM]])/(Tabela2[[#This Row],[KM]]))</f>
        <v>#DIV/0!</v>
      </c>
      <c r="J302" s="35"/>
      <c r="K302" s="28" t="e">
        <f>((Tabela2[[#This Row],[TW - Terminal B ]]-Tabela2[[#This Row],[KM]])/(Tabela2[[#This Row],[KM]]))</f>
        <v>#DIV/0!</v>
      </c>
      <c r="L302" s="34" t="s">
        <v>242</v>
      </c>
      <c r="M302" s="35"/>
      <c r="N302" s="56" t="s">
        <v>115</v>
      </c>
      <c r="O302" s="109" t="s">
        <v>12</v>
      </c>
    </row>
    <row r="303" spans="1:15" x14ac:dyDescent="0.3">
      <c r="A303" s="30" t="s">
        <v>47</v>
      </c>
      <c r="B303" s="30" t="s">
        <v>455</v>
      </c>
      <c r="C303" s="34" t="s">
        <v>67</v>
      </c>
      <c r="D303" s="30"/>
      <c r="E303" s="32">
        <v>43530</v>
      </c>
      <c r="F303" s="33">
        <v>0.72638888888888886</v>
      </c>
      <c r="G303" s="33"/>
      <c r="H303" s="35"/>
      <c r="I303" s="28" t="e">
        <f>((Tabela2[[#This Row],[TW - Terminal A]]-Tabela2[[#This Row],[KM]])/(Tabela2[[#This Row],[KM]]))</f>
        <v>#DIV/0!</v>
      </c>
      <c r="J303" s="35"/>
      <c r="K303" s="28" t="e">
        <f>((Tabela2[[#This Row],[TW - Terminal B ]]-Tabela2[[#This Row],[KM]])/(Tabela2[[#This Row],[KM]]))</f>
        <v>#DIV/0!</v>
      </c>
      <c r="L303" s="34" t="s">
        <v>243</v>
      </c>
      <c r="M303" s="35"/>
      <c r="N303" s="56" t="s">
        <v>109</v>
      </c>
      <c r="O303" s="109"/>
    </row>
    <row r="304" spans="1:15" x14ac:dyDescent="0.3">
      <c r="A304" s="30" t="s">
        <v>47</v>
      </c>
      <c r="B304" s="30" t="s">
        <v>455</v>
      </c>
      <c r="C304" s="34" t="s">
        <v>65</v>
      </c>
      <c r="D304" s="30"/>
      <c r="E304" s="32">
        <v>43568</v>
      </c>
      <c r="F304" s="33">
        <v>0.26597222222222222</v>
      </c>
      <c r="G304" s="33"/>
      <c r="H304" s="35"/>
      <c r="I304" s="28" t="e">
        <f>((Tabela2[[#This Row],[TW - Terminal A]]-Tabela2[[#This Row],[KM]])/(Tabela2[[#This Row],[KM]]))</f>
        <v>#DIV/0!</v>
      </c>
      <c r="J304" s="35"/>
      <c r="K304" s="28" t="e">
        <f>((Tabela2[[#This Row],[TW - Terminal B ]]-Tabela2[[#This Row],[KM]])/(Tabela2[[#This Row],[KM]]))</f>
        <v>#DIV/0!</v>
      </c>
      <c r="L304" s="34" t="s">
        <v>244</v>
      </c>
      <c r="M304" s="35"/>
      <c r="N304" s="56" t="s">
        <v>115</v>
      </c>
      <c r="O304" s="109"/>
    </row>
    <row r="305" spans="1:15" x14ac:dyDescent="0.3">
      <c r="A305" s="30" t="s">
        <v>47</v>
      </c>
      <c r="B305" s="30" t="s">
        <v>455</v>
      </c>
      <c r="C305" s="34" t="s">
        <v>65</v>
      </c>
      <c r="D305" s="30"/>
      <c r="E305" s="32">
        <v>43569</v>
      </c>
      <c r="F305" s="33">
        <v>0.70763888888888893</v>
      </c>
      <c r="G305" s="33"/>
      <c r="H305" s="35"/>
      <c r="I305" s="28" t="e">
        <f>((Tabela2[[#This Row],[TW - Terminal A]]-Tabela2[[#This Row],[KM]])/(Tabela2[[#This Row],[KM]]))</f>
        <v>#DIV/0!</v>
      </c>
      <c r="J305" s="35"/>
      <c r="K305" s="28" t="e">
        <f>((Tabela2[[#This Row],[TW - Terminal B ]]-Tabela2[[#This Row],[KM]])/(Tabela2[[#This Row],[KM]]))</f>
        <v>#DIV/0!</v>
      </c>
      <c r="L305" s="34"/>
      <c r="M305" s="35"/>
      <c r="N305" s="56" t="s">
        <v>114</v>
      </c>
      <c r="O305" s="109"/>
    </row>
    <row r="306" spans="1:15" x14ac:dyDescent="0.3">
      <c r="A306" s="30" t="s">
        <v>47</v>
      </c>
      <c r="B306" s="30" t="s">
        <v>455</v>
      </c>
      <c r="C306" s="34" t="s">
        <v>65</v>
      </c>
      <c r="D306" s="30"/>
      <c r="E306" s="32">
        <v>43601</v>
      </c>
      <c r="F306" s="33">
        <v>0.79236111111111107</v>
      </c>
      <c r="G306" s="33"/>
      <c r="H306" s="35"/>
      <c r="I306" s="28" t="e">
        <f>((Tabela2[[#This Row],[TW - Terminal A]]-Tabela2[[#This Row],[KM]])/(Tabela2[[#This Row],[KM]]))</f>
        <v>#DIV/0!</v>
      </c>
      <c r="J306" s="35"/>
      <c r="K306" s="28" t="e">
        <f>((Tabela2[[#This Row],[TW - Terminal B ]]-Tabela2[[#This Row],[KM]])/(Tabela2[[#This Row],[KM]]))</f>
        <v>#DIV/0!</v>
      </c>
      <c r="L306" s="34" t="s">
        <v>245</v>
      </c>
      <c r="M306" s="35"/>
      <c r="N306" s="56" t="s">
        <v>115</v>
      </c>
      <c r="O306" s="109"/>
    </row>
    <row r="307" spans="1:15" x14ac:dyDescent="0.3">
      <c r="A307" s="30" t="s">
        <v>47</v>
      </c>
      <c r="B307" s="30" t="s">
        <v>455</v>
      </c>
      <c r="C307" s="34" t="s">
        <v>66</v>
      </c>
      <c r="D307" s="30"/>
      <c r="E307" s="32">
        <v>43663</v>
      </c>
      <c r="F307" s="33">
        <v>0.94444444444444453</v>
      </c>
      <c r="G307" s="33"/>
      <c r="H307" s="35"/>
      <c r="I307" s="28" t="e">
        <f>((Tabela2[[#This Row],[TW - Terminal A]]-Tabela2[[#This Row],[KM]])/(Tabela2[[#This Row],[KM]]))</f>
        <v>#DIV/0!</v>
      </c>
      <c r="J307" s="35"/>
      <c r="K307" s="28" t="e">
        <f>((Tabela2[[#This Row],[TW - Terminal B ]]-Tabela2[[#This Row],[KM]])/(Tabela2[[#This Row],[KM]]))</f>
        <v>#DIV/0!</v>
      </c>
      <c r="L307" s="34" t="s">
        <v>246</v>
      </c>
      <c r="M307" s="35"/>
      <c r="N307" s="56" t="s">
        <v>115</v>
      </c>
      <c r="O307" s="109"/>
    </row>
    <row r="308" spans="1:15" x14ac:dyDescent="0.3">
      <c r="A308" s="30" t="s">
        <v>47</v>
      </c>
      <c r="B308" s="30" t="s">
        <v>455</v>
      </c>
      <c r="C308" s="34" t="s">
        <v>64</v>
      </c>
      <c r="D308" s="30"/>
      <c r="E308" s="32">
        <v>43689</v>
      </c>
      <c r="F308" s="33">
        <v>0.25277777777777777</v>
      </c>
      <c r="G308" s="33"/>
      <c r="H308" s="35"/>
      <c r="I308" s="28" t="e">
        <f>((Tabela2[[#This Row],[TW - Terminal A]]-Tabela2[[#This Row],[KM]])/(Tabela2[[#This Row],[KM]]))</f>
        <v>#DIV/0!</v>
      </c>
      <c r="J308" s="35"/>
      <c r="K308" s="28" t="e">
        <f>((Tabela2[[#This Row],[TW - Terminal B ]]-Tabela2[[#This Row],[KM]])/(Tabela2[[#This Row],[KM]]))</f>
        <v>#DIV/0!</v>
      </c>
      <c r="L308" s="34" t="s">
        <v>247</v>
      </c>
      <c r="M308" s="35"/>
      <c r="N308" s="56" t="s">
        <v>115</v>
      </c>
      <c r="O308" s="109"/>
    </row>
    <row r="309" spans="1:15" x14ac:dyDescent="0.3">
      <c r="A309" s="30" t="s">
        <v>47</v>
      </c>
      <c r="B309" s="30" t="s">
        <v>455</v>
      </c>
      <c r="C309" s="34" t="s">
        <v>64</v>
      </c>
      <c r="D309" s="30"/>
      <c r="E309" s="32">
        <v>43725</v>
      </c>
      <c r="F309" s="33">
        <v>0.86736111111111114</v>
      </c>
      <c r="G309" s="33"/>
      <c r="H309" s="35"/>
      <c r="I309" s="28" t="e">
        <f>((Tabela2[[#This Row],[TW - Terminal A]]-Tabela2[[#This Row],[KM]])/(Tabela2[[#This Row],[KM]]))</f>
        <v>#DIV/0!</v>
      </c>
      <c r="J309" s="35"/>
      <c r="K309" s="28" t="e">
        <f>((Tabela2[[#This Row],[TW - Terminal B ]]-Tabela2[[#This Row],[KM]])/(Tabela2[[#This Row],[KM]]))</f>
        <v>#DIV/0!</v>
      </c>
      <c r="L309" s="34" t="s">
        <v>248</v>
      </c>
      <c r="M309" s="35"/>
      <c r="N309" s="56" t="s">
        <v>115</v>
      </c>
      <c r="O309" s="109"/>
    </row>
    <row r="310" spans="1:15" x14ac:dyDescent="0.3">
      <c r="A310" s="30" t="s">
        <v>47</v>
      </c>
      <c r="B310" s="30" t="s">
        <v>455</v>
      </c>
      <c r="C310" s="31" t="s">
        <v>66</v>
      </c>
      <c r="D310" s="30"/>
      <c r="E310" s="32">
        <v>43739</v>
      </c>
      <c r="F310" s="33">
        <v>0.75138888888888899</v>
      </c>
      <c r="G310" s="33"/>
      <c r="H310" s="35"/>
      <c r="I310" s="28" t="e">
        <f>((Tabela2[[#This Row],[TW - Terminal A]]-Tabela2[[#This Row],[KM]])/(Tabela2[[#This Row],[KM]]))</f>
        <v>#DIV/0!</v>
      </c>
      <c r="J310" s="35"/>
      <c r="K310" s="28" t="e">
        <f>((Tabela2[[#This Row],[TW - Terminal B ]]-Tabela2[[#This Row],[KM]])/(Tabela2[[#This Row],[KM]]))</f>
        <v>#DIV/0!</v>
      </c>
      <c r="L310" s="34" t="s">
        <v>249</v>
      </c>
      <c r="M310" s="35"/>
      <c r="N310" s="56" t="s">
        <v>114</v>
      </c>
      <c r="O310" s="109" t="s">
        <v>16</v>
      </c>
    </row>
    <row r="311" spans="1:15" x14ac:dyDescent="0.3">
      <c r="A311" s="30" t="s">
        <v>47</v>
      </c>
      <c r="B311" s="30" t="s">
        <v>455</v>
      </c>
      <c r="C311" s="31" t="s">
        <v>66</v>
      </c>
      <c r="D311" s="30"/>
      <c r="E311" s="32">
        <v>43741</v>
      </c>
      <c r="F311" s="33">
        <v>0.54236111111111118</v>
      </c>
      <c r="G311" s="33"/>
      <c r="H311" s="35"/>
      <c r="I311" s="28" t="e">
        <f>((Tabela2[[#This Row],[TW - Terminal A]]-Tabela2[[#This Row],[KM]])/(Tabela2[[#This Row],[KM]]))</f>
        <v>#DIV/0!</v>
      </c>
      <c r="J311" s="35"/>
      <c r="K311" s="28" t="e">
        <f>((Tabela2[[#This Row],[TW - Terminal B ]]-Tabela2[[#This Row],[KM]])/(Tabela2[[#This Row],[KM]]))</f>
        <v>#DIV/0!</v>
      </c>
      <c r="L311" s="34" t="s">
        <v>250</v>
      </c>
      <c r="M311" s="35"/>
      <c r="N311" s="56" t="s">
        <v>111</v>
      </c>
      <c r="O311" s="109" t="s">
        <v>17</v>
      </c>
    </row>
    <row r="312" spans="1:15" x14ac:dyDescent="0.3">
      <c r="A312" s="30" t="s">
        <v>47</v>
      </c>
      <c r="B312" s="30" t="s">
        <v>5</v>
      </c>
      <c r="C312" s="31" t="s">
        <v>65</v>
      </c>
      <c r="D312" s="30"/>
      <c r="E312" s="32">
        <v>43760</v>
      </c>
      <c r="F312" s="33">
        <v>0.68819444444444444</v>
      </c>
      <c r="G312" s="33"/>
      <c r="H312" s="35"/>
      <c r="I312" s="28" t="e">
        <f>((Tabela2[[#This Row],[TW - Terminal A]]-Tabela2[[#This Row],[KM]])/(Tabela2[[#This Row],[KM]]))</f>
        <v>#DIV/0!</v>
      </c>
      <c r="J312" s="35"/>
      <c r="K312" s="28" t="e">
        <f>((Tabela2[[#This Row],[TW - Terminal B ]]-Tabela2[[#This Row],[KM]])/(Tabela2[[#This Row],[KM]]))</f>
        <v>#DIV/0!</v>
      </c>
      <c r="L312" s="34" t="s">
        <v>5</v>
      </c>
      <c r="M312" s="35"/>
      <c r="N312" s="56" t="s">
        <v>114</v>
      </c>
      <c r="O312" s="109" t="s">
        <v>19</v>
      </c>
    </row>
    <row r="313" spans="1:15" x14ac:dyDescent="0.3">
      <c r="A313" s="30" t="s">
        <v>47</v>
      </c>
      <c r="B313" s="30" t="s">
        <v>455</v>
      </c>
      <c r="C313" s="34" t="s">
        <v>65</v>
      </c>
      <c r="D313" s="30"/>
      <c r="E313" s="32">
        <v>43762</v>
      </c>
      <c r="F313" s="33">
        <v>4.0972222222222222E-2</v>
      </c>
      <c r="G313" s="33"/>
      <c r="H313" s="35"/>
      <c r="I313" s="28" t="e">
        <f>((Tabela2[[#This Row],[TW - Terminal A]]-Tabela2[[#This Row],[KM]])/(Tabela2[[#This Row],[KM]]))</f>
        <v>#DIV/0!</v>
      </c>
      <c r="J313" s="35"/>
      <c r="K313" s="28" t="e">
        <f>((Tabela2[[#This Row],[TW - Terminal B ]]-Tabela2[[#This Row],[KM]])/(Tabela2[[#This Row],[KM]]))</f>
        <v>#DIV/0!</v>
      </c>
      <c r="L313" s="34" t="s">
        <v>5</v>
      </c>
      <c r="M313" s="35"/>
      <c r="N313" s="56" t="s">
        <v>114</v>
      </c>
      <c r="O313" s="109" t="s">
        <v>20</v>
      </c>
    </row>
    <row r="314" spans="1:15" x14ac:dyDescent="0.3">
      <c r="A314" s="30" t="s">
        <v>47</v>
      </c>
      <c r="B314" s="30" t="s">
        <v>455</v>
      </c>
      <c r="C314" s="34" t="s">
        <v>66</v>
      </c>
      <c r="D314" s="30"/>
      <c r="E314" s="32">
        <v>43766</v>
      </c>
      <c r="F314" s="33">
        <v>0.26250000000000001</v>
      </c>
      <c r="G314" s="33"/>
      <c r="H314" s="35"/>
      <c r="I314" s="28" t="e">
        <f>((Tabela2[[#This Row],[TW - Terminal A]]-Tabela2[[#This Row],[KM]])/(Tabela2[[#This Row],[KM]]))</f>
        <v>#DIV/0!</v>
      </c>
      <c r="J314" s="35"/>
      <c r="K314" s="28" t="e">
        <f>((Tabela2[[#This Row],[TW - Terminal B ]]-Tabela2[[#This Row],[KM]])/(Tabela2[[#This Row],[KM]]))</f>
        <v>#DIV/0!</v>
      </c>
      <c r="L314" s="34" t="s">
        <v>21</v>
      </c>
      <c r="M314" s="35"/>
      <c r="N314" s="56" t="s">
        <v>114</v>
      </c>
      <c r="O314" s="109" t="s">
        <v>22</v>
      </c>
    </row>
    <row r="315" spans="1:15" x14ac:dyDescent="0.3">
      <c r="A315" s="30" t="s">
        <v>47</v>
      </c>
      <c r="B315" s="30" t="s">
        <v>455</v>
      </c>
      <c r="C315" s="34" t="s">
        <v>65</v>
      </c>
      <c r="D315" s="30"/>
      <c r="E315" s="32">
        <v>43766</v>
      </c>
      <c r="F315" s="33">
        <v>0.26250000000000001</v>
      </c>
      <c r="G315" s="33"/>
      <c r="H315" s="35"/>
      <c r="I315" s="28" t="e">
        <f>((Tabela2[[#This Row],[TW - Terminal A]]-Tabela2[[#This Row],[KM]])/(Tabela2[[#This Row],[KM]]))</f>
        <v>#DIV/0!</v>
      </c>
      <c r="J315" s="35"/>
      <c r="K315" s="28" t="e">
        <f>((Tabela2[[#This Row],[TW - Terminal B ]]-Tabela2[[#This Row],[KM]])/(Tabela2[[#This Row],[KM]]))</f>
        <v>#DIV/0!</v>
      </c>
      <c r="L315" s="34" t="s">
        <v>21</v>
      </c>
      <c r="M315" s="35"/>
      <c r="N315" s="56" t="s">
        <v>114</v>
      </c>
      <c r="O315" s="109" t="s">
        <v>22</v>
      </c>
    </row>
    <row r="316" spans="1:15" x14ac:dyDescent="0.3">
      <c r="A316" s="30" t="s">
        <v>47</v>
      </c>
      <c r="B316" s="30" t="s">
        <v>5</v>
      </c>
      <c r="C316" s="34" t="s">
        <v>66</v>
      </c>
      <c r="D316" s="30"/>
      <c r="E316" s="32">
        <v>43773</v>
      </c>
      <c r="F316" s="33">
        <v>0.99930555555555556</v>
      </c>
      <c r="G316" s="33"/>
      <c r="H316" s="35"/>
      <c r="I316" s="28" t="e">
        <f>((Tabela2[[#This Row],[TW - Terminal A]]-Tabela2[[#This Row],[KM]])/(Tabela2[[#This Row],[KM]]))</f>
        <v>#DIV/0!</v>
      </c>
      <c r="J316" s="35"/>
      <c r="K316" s="28" t="e">
        <f>((Tabela2[[#This Row],[TW - Terminal B ]]-Tabela2[[#This Row],[KM]])/(Tabela2[[#This Row],[KM]]))</f>
        <v>#DIV/0!</v>
      </c>
      <c r="L316" s="34" t="s">
        <v>5</v>
      </c>
      <c r="M316" s="35"/>
      <c r="N316" s="56" t="s">
        <v>114</v>
      </c>
      <c r="O316" s="109" t="s">
        <v>23</v>
      </c>
    </row>
    <row r="317" spans="1:15" x14ac:dyDescent="0.3">
      <c r="A317" s="30" t="s">
        <v>47</v>
      </c>
      <c r="B317" s="30" t="s">
        <v>5</v>
      </c>
      <c r="C317" s="34" t="s">
        <v>65</v>
      </c>
      <c r="D317" s="30"/>
      <c r="E317" s="32">
        <v>43773</v>
      </c>
      <c r="F317" s="33">
        <v>0.9604166666666667</v>
      </c>
      <c r="G317" s="33"/>
      <c r="H317" s="35"/>
      <c r="I317" s="28" t="e">
        <f>((Tabela2[[#This Row],[TW - Terminal A]]-Tabela2[[#This Row],[KM]])/(Tabela2[[#This Row],[KM]]))</f>
        <v>#DIV/0!</v>
      </c>
      <c r="J317" s="35"/>
      <c r="K317" s="28" t="e">
        <f>((Tabela2[[#This Row],[TW - Terminal B ]]-Tabela2[[#This Row],[KM]])/(Tabela2[[#This Row],[KM]]))</f>
        <v>#DIV/0!</v>
      </c>
      <c r="L317" s="34" t="s">
        <v>5</v>
      </c>
      <c r="M317" s="35"/>
      <c r="N317" s="56" t="s">
        <v>114</v>
      </c>
      <c r="O317" s="109" t="s">
        <v>24</v>
      </c>
    </row>
    <row r="318" spans="1:15" x14ac:dyDescent="0.3">
      <c r="A318" s="30" t="s">
        <v>47</v>
      </c>
      <c r="B318" s="30" t="s">
        <v>455</v>
      </c>
      <c r="C318" s="34" t="s">
        <v>65</v>
      </c>
      <c r="D318" s="30"/>
      <c r="E318" s="32">
        <v>43773</v>
      </c>
      <c r="F318" s="33">
        <v>0.73055555555555562</v>
      </c>
      <c r="G318" s="33"/>
      <c r="H318" s="35"/>
      <c r="I318" s="28" t="e">
        <f>((Tabela2[[#This Row],[TW - Terminal A]]-Tabela2[[#This Row],[KM]])/(Tabela2[[#This Row],[KM]]))</f>
        <v>#DIV/0!</v>
      </c>
      <c r="J318" s="35"/>
      <c r="K318" s="28" t="e">
        <f>((Tabela2[[#This Row],[TW - Terminal B ]]-Tabela2[[#This Row],[KM]])/(Tabela2[[#This Row],[KM]]))</f>
        <v>#DIV/0!</v>
      </c>
      <c r="L318" s="34" t="s">
        <v>5</v>
      </c>
      <c r="M318" s="35"/>
      <c r="N318" s="56" t="s">
        <v>114</v>
      </c>
      <c r="O318" s="109" t="s">
        <v>25</v>
      </c>
    </row>
    <row r="319" spans="1:15" x14ac:dyDescent="0.3">
      <c r="A319" s="30" t="s">
        <v>47</v>
      </c>
      <c r="B319" s="30" t="s">
        <v>5</v>
      </c>
      <c r="C319" s="34" t="s">
        <v>65</v>
      </c>
      <c r="D319" s="30"/>
      <c r="E319" s="32">
        <v>43774</v>
      </c>
      <c r="F319" s="33">
        <v>0.81527777777777777</v>
      </c>
      <c r="G319" s="33"/>
      <c r="H319" s="35"/>
      <c r="I319" s="28" t="e">
        <f>((Tabela2[[#This Row],[TW - Terminal A]]-Tabela2[[#This Row],[KM]])/(Tabela2[[#This Row],[KM]]))</f>
        <v>#DIV/0!</v>
      </c>
      <c r="J319" s="35"/>
      <c r="K319" s="28" t="e">
        <f>((Tabela2[[#This Row],[TW - Terminal B ]]-Tabela2[[#This Row],[KM]])/(Tabela2[[#This Row],[KM]]))</f>
        <v>#DIV/0!</v>
      </c>
      <c r="L319" s="34" t="s">
        <v>5</v>
      </c>
      <c r="M319" s="35"/>
      <c r="N319" s="56" t="s">
        <v>114</v>
      </c>
      <c r="O319" s="109" t="s">
        <v>26</v>
      </c>
    </row>
    <row r="320" spans="1:15" x14ac:dyDescent="0.3">
      <c r="A320" s="30" t="s">
        <v>47</v>
      </c>
      <c r="B320" s="30" t="s">
        <v>5</v>
      </c>
      <c r="C320" s="34" t="s">
        <v>66</v>
      </c>
      <c r="D320" s="30"/>
      <c r="E320" s="32">
        <v>43775</v>
      </c>
      <c r="F320" s="33">
        <v>0.96666666666666667</v>
      </c>
      <c r="G320" s="33"/>
      <c r="H320" s="35"/>
      <c r="I320" s="28" t="e">
        <f>((Tabela2[[#This Row],[TW - Terminal A]]-Tabela2[[#This Row],[KM]])/(Tabela2[[#This Row],[KM]]))</f>
        <v>#DIV/0!</v>
      </c>
      <c r="J320" s="35"/>
      <c r="K320" s="28" t="e">
        <f>((Tabela2[[#This Row],[TW - Terminal B ]]-Tabela2[[#This Row],[KM]])/(Tabela2[[#This Row],[KM]]))</f>
        <v>#DIV/0!</v>
      </c>
      <c r="L320" s="34" t="s">
        <v>4</v>
      </c>
      <c r="M320" s="35"/>
      <c r="N320" s="56" t="s">
        <v>114</v>
      </c>
      <c r="O320" s="109" t="s">
        <v>27</v>
      </c>
    </row>
    <row r="321" spans="1:15" x14ac:dyDescent="0.3">
      <c r="A321" s="30" t="s">
        <v>47</v>
      </c>
      <c r="B321" s="30" t="s">
        <v>455</v>
      </c>
      <c r="C321" s="31" t="s">
        <v>65</v>
      </c>
      <c r="D321" s="30"/>
      <c r="E321" s="32">
        <v>43782</v>
      </c>
      <c r="F321" s="33">
        <v>0.32291666666666669</v>
      </c>
      <c r="G321" s="33"/>
      <c r="H321" s="35"/>
      <c r="I321" s="28" t="e">
        <f>((Tabela2[[#This Row],[TW - Terminal A]]-Tabela2[[#This Row],[KM]])/(Tabela2[[#This Row],[KM]]))</f>
        <v>#DIV/0!</v>
      </c>
      <c r="J321" s="35"/>
      <c r="K321" s="28" t="e">
        <f>((Tabela2[[#This Row],[TW - Terminal B ]]-Tabela2[[#This Row],[KM]])/(Tabela2[[#This Row],[KM]]))</f>
        <v>#DIV/0!</v>
      </c>
      <c r="L321" s="34" t="s">
        <v>173</v>
      </c>
      <c r="M321" s="35"/>
      <c r="N321" s="56" t="s">
        <v>109</v>
      </c>
      <c r="O321" s="109" t="s">
        <v>11</v>
      </c>
    </row>
    <row r="322" spans="1:15" x14ac:dyDescent="0.3">
      <c r="A322" s="30" t="s">
        <v>47</v>
      </c>
      <c r="B322" s="30" t="s">
        <v>455</v>
      </c>
      <c r="C322" s="31" t="s">
        <v>64</v>
      </c>
      <c r="D322" s="30"/>
      <c r="E322" s="32">
        <v>43803</v>
      </c>
      <c r="F322" s="33">
        <v>0.6430555555555556</v>
      </c>
      <c r="G322" s="33"/>
      <c r="H322" s="35"/>
      <c r="I322" s="28" t="e">
        <f>((Tabela2[[#This Row],[TW - Terminal A]]-Tabela2[[#This Row],[KM]])/(Tabela2[[#This Row],[KM]]))</f>
        <v>#DIV/0!</v>
      </c>
      <c r="J322" s="35"/>
      <c r="K322" s="28" t="e">
        <f>((Tabela2[[#This Row],[TW - Terminal B ]]-Tabela2[[#This Row],[KM]])/(Tabela2[[#This Row],[KM]]))</f>
        <v>#DIV/0!</v>
      </c>
      <c r="L322" s="34" t="s">
        <v>251</v>
      </c>
      <c r="M322" s="35"/>
      <c r="N322" s="56" t="s">
        <v>115</v>
      </c>
      <c r="O322" s="109" t="s">
        <v>12</v>
      </c>
    </row>
    <row r="323" spans="1:15" x14ac:dyDescent="0.3">
      <c r="A323" s="30" t="s">
        <v>47</v>
      </c>
      <c r="B323" s="30" t="s">
        <v>455</v>
      </c>
      <c r="C323" s="31" t="s">
        <v>64</v>
      </c>
      <c r="D323" s="30"/>
      <c r="E323" s="32">
        <v>43830</v>
      </c>
      <c r="F323" s="38">
        <v>0.60486111111111118</v>
      </c>
      <c r="G323" s="38"/>
      <c r="H323" s="35"/>
      <c r="I323" s="28" t="e">
        <f>((Tabela2[[#This Row],[TW - Terminal A]]-Tabela2[[#This Row],[KM]])/(Tabela2[[#This Row],[KM]]))</f>
        <v>#DIV/0!</v>
      </c>
      <c r="J323" s="35"/>
      <c r="K323" s="28" t="e">
        <f>((Tabela2[[#This Row],[TW - Terminal B ]]-Tabela2[[#This Row],[KM]])/(Tabela2[[#This Row],[KM]]))</f>
        <v>#DIV/0!</v>
      </c>
      <c r="L323" s="34" t="s">
        <v>245</v>
      </c>
      <c r="M323" s="35"/>
      <c r="N323" s="56" t="s">
        <v>109</v>
      </c>
      <c r="O323" s="109" t="s">
        <v>11</v>
      </c>
    </row>
    <row r="324" spans="1:15" x14ac:dyDescent="0.3">
      <c r="A324" s="89" t="s">
        <v>47</v>
      </c>
      <c r="B324" s="30" t="s">
        <v>455</v>
      </c>
      <c r="C324" s="31" t="s">
        <v>66</v>
      </c>
      <c r="D324" s="89"/>
      <c r="E324" s="142">
        <v>43836</v>
      </c>
      <c r="F324" s="39">
        <v>2.6388888888888889E-2</v>
      </c>
      <c r="G324" s="39"/>
      <c r="H324" s="35"/>
      <c r="I324" s="28" t="e">
        <f>((Tabela2[[#This Row],[TW - Terminal A]]-Tabela2[[#This Row],[KM]])/(Tabela2[[#This Row],[KM]]))</f>
        <v>#DIV/0!</v>
      </c>
      <c r="J324" s="35"/>
      <c r="K324" s="28" t="e">
        <f>((Tabela2[[#This Row],[TW - Terminal B ]]-Tabela2[[#This Row],[KM]])/(Tabela2[[#This Row],[KM]]))</f>
        <v>#DIV/0!</v>
      </c>
      <c r="L324" s="40" t="s">
        <v>252</v>
      </c>
      <c r="M324" s="35"/>
      <c r="N324" s="178" t="s">
        <v>109</v>
      </c>
      <c r="O324" s="110" t="s">
        <v>11</v>
      </c>
    </row>
    <row r="325" spans="1:15" x14ac:dyDescent="0.3">
      <c r="A325" s="89" t="s">
        <v>53</v>
      </c>
      <c r="B325" s="30" t="s">
        <v>455</v>
      </c>
      <c r="C325" s="41" t="s">
        <v>97</v>
      </c>
      <c r="D325" s="89"/>
      <c r="E325" s="142">
        <v>43843</v>
      </c>
      <c r="F325" s="39">
        <v>0.88888888888888884</v>
      </c>
      <c r="G325" s="39"/>
      <c r="H325" s="35"/>
      <c r="I325" s="28" t="e">
        <f>((Tabela2[[#This Row],[TW - Terminal A]]-Tabela2[[#This Row],[KM]])/(Tabela2[[#This Row],[KM]]))</f>
        <v>#DIV/0!</v>
      </c>
      <c r="J325" s="35"/>
      <c r="K325" s="28" t="e">
        <f>((Tabela2[[#This Row],[TW - Terminal B ]]-Tabela2[[#This Row],[KM]])/(Tabela2[[#This Row],[KM]]))</f>
        <v>#DIV/0!</v>
      </c>
      <c r="L325" s="40" t="s">
        <v>171</v>
      </c>
      <c r="M325" s="35"/>
      <c r="N325" s="178"/>
      <c r="O325" s="110" t="s">
        <v>11</v>
      </c>
    </row>
    <row r="326" spans="1:15" x14ac:dyDescent="0.3">
      <c r="A326" s="30" t="s">
        <v>47</v>
      </c>
      <c r="B326" s="30" t="s">
        <v>455</v>
      </c>
      <c r="C326" s="31" t="s">
        <v>65</v>
      </c>
      <c r="D326" s="30"/>
      <c r="E326" s="32">
        <v>43855</v>
      </c>
      <c r="F326" s="38">
        <v>0.23630787037037038</v>
      </c>
      <c r="G326" s="38"/>
      <c r="H326" s="35"/>
      <c r="I326" s="28" t="e">
        <f>((Tabela2[[#This Row],[TW - Terminal A]]-Tabela2[[#This Row],[KM]])/(Tabela2[[#This Row],[KM]]))</f>
        <v>#DIV/0!</v>
      </c>
      <c r="J326" s="35"/>
      <c r="K326" s="28" t="e">
        <f>((Tabela2[[#This Row],[TW - Terminal B ]]-Tabela2[[#This Row],[KM]])/(Tabela2[[#This Row],[KM]]))</f>
        <v>#DIV/0!</v>
      </c>
      <c r="L326" s="34" t="s">
        <v>253</v>
      </c>
      <c r="M326" s="35"/>
      <c r="N326" s="56" t="s">
        <v>115</v>
      </c>
      <c r="O326" s="109" t="s">
        <v>12</v>
      </c>
    </row>
    <row r="327" spans="1:15" x14ac:dyDescent="0.3">
      <c r="A327" s="30" t="s">
        <v>48</v>
      </c>
      <c r="B327" s="30" t="s">
        <v>455</v>
      </c>
      <c r="C327" s="34" t="s">
        <v>75</v>
      </c>
      <c r="D327" s="30"/>
      <c r="E327" s="37">
        <v>43878</v>
      </c>
      <c r="F327" s="42">
        <v>0.6875</v>
      </c>
      <c r="G327" s="42"/>
      <c r="H327" s="35"/>
      <c r="I327" s="28" t="e">
        <f>((Tabela2[[#This Row],[TW - Terminal A]]-Tabela2[[#This Row],[KM]])/(Tabela2[[#This Row],[KM]]))</f>
        <v>#DIV/0!</v>
      </c>
      <c r="J327" s="35"/>
      <c r="K327" s="28" t="e">
        <f>((Tabela2[[#This Row],[TW - Terminal B ]]-Tabela2[[#This Row],[KM]])/(Tabela2[[#This Row],[KM]]))</f>
        <v>#DIV/0!</v>
      </c>
      <c r="L327" s="43" t="s">
        <v>254</v>
      </c>
      <c r="M327" s="35"/>
      <c r="N327" s="57"/>
      <c r="O327" s="108" t="s">
        <v>11</v>
      </c>
    </row>
    <row r="328" spans="1:15" x14ac:dyDescent="0.3">
      <c r="A328" s="30" t="s">
        <v>48</v>
      </c>
      <c r="B328" s="30" t="s">
        <v>455</v>
      </c>
      <c r="C328" s="34" t="s">
        <v>75</v>
      </c>
      <c r="D328" s="30"/>
      <c r="E328" s="37">
        <v>43929</v>
      </c>
      <c r="F328" s="42">
        <v>0.25486111111111109</v>
      </c>
      <c r="G328" s="42"/>
      <c r="H328" s="35"/>
      <c r="I328" s="28" t="e">
        <f>((Tabela2[[#This Row],[TW - Terminal A]]-Tabela2[[#This Row],[KM]])/(Tabela2[[#This Row],[KM]]))</f>
        <v>#DIV/0!</v>
      </c>
      <c r="J328" s="35"/>
      <c r="K328" s="28" t="e">
        <f>((Tabela2[[#This Row],[TW - Terminal B ]]-Tabela2[[#This Row],[KM]])/(Tabela2[[#This Row],[KM]]))</f>
        <v>#DIV/0!</v>
      </c>
      <c r="L328" s="43" t="s">
        <v>255</v>
      </c>
      <c r="M328" s="35"/>
      <c r="N328" s="57"/>
      <c r="O328" s="108" t="s">
        <v>11</v>
      </c>
    </row>
    <row r="329" spans="1:15" x14ac:dyDescent="0.3">
      <c r="A329" s="44" t="s">
        <v>47</v>
      </c>
      <c r="B329" s="30" t="s">
        <v>455</v>
      </c>
      <c r="C329" s="34" t="s">
        <v>66</v>
      </c>
      <c r="D329" s="44"/>
      <c r="E329" s="45">
        <v>43933</v>
      </c>
      <c r="F329" s="46">
        <v>0.24861111111111112</v>
      </c>
      <c r="G329" s="46"/>
      <c r="H329" s="35"/>
      <c r="I329" s="28" t="e">
        <f>((Tabela2[[#This Row],[TW - Terminal A]]-Tabela2[[#This Row],[KM]])/(Tabela2[[#This Row],[KM]]))</f>
        <v>#DIV/0!</v>
      </c>
      <c r="J329" s="35"/>
      <c r="K329" s="28" t="e">
        <f>((Tabela2[[#This Row],[TW - Terminal B ]]-Tabela2[[#This Row],[KM]])/(Tabela2[[#This Row],[KM]]))</f>
        <v>#DIV/0!</v>
      </c>
      <c r="L329" s="34" t="s">
        <v>4</v>
      </c>
      <c r="M329" s="35"/>
      <c r="N329" s="177" t="s">
        <v>114</v>
      </c>
      <c r="O329" s="110" t="s">
        <v>28</v>
      </c>
    </row>
    <row r="330" spans="1:15" x14ac:dyDescent="0.3">
      <c r="A330" s="30" t="s">
        <v>47</v>
      </c>
      <c r="B330" s="30" t="s">
        <v>455</v>
      </c>
      <c r="C330" s="34" t="s">
        <v>65</v>
      </c>
      <c r="D330" s="30"/>
      <c r="E330" s="32">
        <v>43939</v>
      </c>
      <c r="F330" s="38">
        <v>5.6307870370370362E-2</v>
      </c>
      <c r="G330" s="38"/>
      <c r="H330" s="35"/>
      <c r="I330" s="28" t="e">
        <f>((Tabela2[[#This Row],[TW - Terminal A]]-Tabela2[[#This Row],[KM]])/(Tabela2[[#This Row],[KM]]))</f>
        <v>#DIV/0!</v>
      </c>
      <c r="J330" s="35"/>
      <c r="K330" s="28" t="e">
        <f>((Tabela2[[#This Row],[TW - Terminal B ]]-Tabela2[[#This Row],[KM]])/(Tabela2[[#This Row],[KM]]))</f>
        <v>#DIV/0!</v>
      </c>
      <c r="L330" s="34" t="s">
        <v>156</v>
      </c>
      <c r="M330" s="35"/>
      <c r="N330" s="56" t="s">
        <v>109</v>
      </c>
      <c r="O330" s="109" t="s">
        <v>11</v>
      </c>
    </row>
    <row r="331" spans="1:15" x14ac:dyDescent="0.3">
      <c r="A331" s="30" t="s">
        <v>47</v>
      </c>
      <c r="B331" s="30" t="s">
        <v>455</v>
      </c>
      <c r="C331" s="34" t="s">
        <v>66</v>
      </c>
      <c r="D331" s="30"/>
      <c r="E331" s="32">
        <v>44021</v>
      </c>
      <c r="F331" s="38">
        <v>0.20902777777777778</v>
      </c>
      <c r="G331" s="38"/>
      <c r="H331" s="35"/>
      <c r="I331" s="28" t="e">
        <f>((Tabela2[[#This Row],[TW - Terminal A]]-Tabela2[[#This Row],[KM]])/(Tabela2[[#This Row],[KM]]))</f>
        <v>#DIV/0!</v>
      </c>
      <c r="J331" s="35"/>
      <c r="K331" s="28" t="e">
        <f>((Tabela2[[#This Row],[TW - Terminal B ]]-Tabela2[[#This Row],[KM]])/(Tabela2[[#This Row],[KM]]))</f>
        <v>#DIV/0!</v>
      </c>
      <c r="L331" s="34" t="s">
        <v>5</v>
      </c>
      <c r="M331" s="35"/>
      <c r="N331" s="56"/>
      <c r="O331" s="109" t="s">
        <v>29</v>
      </c>
    </row>
    <row r="332" spans="1:15" x14ac:dyDescent="0.3">
      <c r="A332" s="30" t="s">
        <v>53</v>
      </c>
      <c r="B332" s="30" t="s">
        <v>455</v>
      </c>
      <c r="C332" s="41" t="s">
        <v>97</v>
      </c>
      <c r="D332" s="30"/>
      <c r="E332" s="32">
        <v>44075</v>
      </c>
      <c r="F332" s="38">
        <v>0.50763888888888886</v>
      </c>
      <c r="G332" s="38"/>
      <c r="H332" s="35"/>
      <c r="I332" s="28" t="e">
        <f>((Tabela2[[#This Row],[TW - Terminal A]]-Tabela2[[#This Row],[KM]])/(Tabela2[[#This Row],[KM]]))</f>
        <v>#DIV/0!</v>
      </c>
      <c r="J332" s="35"/>
      <c r="K332" s="28" t="e">
        <f>((Tabela2[[#This Row],[TW - Terminal B ]]-Tabela2[[#This Row],[KM]])/(Tabela2[[#This Row],[KM]]))</f>
        <v>#DIV/0!</v>
      </c>
      <c r="L332" s="34" t="s">
        <v>256</v>
      </c>
      <c r="M332" s="35"/>
      <c r="N332" s="56"/>
      <c r="O332" s="108" t="s">
        <v>30</v>
      </c>
    </row>
    <row r="333" spans="1:15" x14ac:dyDescent="0.3">
      <c r="A333" s="30" t="s">
        <v>47</v>
      </c>
      <c r="B333" s="30" t="s">
        <v>455</v>
      </c>
      <c r="C333" s="31" t="s">
        <v>67</v>
      </c>
      <c r="D333" s="30"/>
      <c r="E333" s="32">
        <v>44075</v>
      </c>
      <c r="F333" s="38">
        <v>0.6166666666666667</v>
      </c>
      <c r="G333" s="38"/>
      <c r="H333" s="35"/>
      <c r="I333" s="28" t="e">
        <f>((Tabela2[[#This Row],[TW - Terminal A]]-Tabela2[[#This Row],[KM]])/(Tabela2[[#This Row],[KM]]))</f>
        <v>#DIV/0!</v>
      </c>
      <c r="J333" s="35"/>
      <c r="K333" s="28" t="e">
        <f>((Tabela2[[#This Row],[TW - Terminal B ]]-Tabela2[[#This Row],[KM]])/(Tabela2[[#This Row],[KM]]))</f>
        <v>#DIV/0!</v>
      </c>
      <c r="L333" s="34" t="s">
        <v>257</v>
      </c>
      <c r="M333" s="35"/>
      <c r="N333" s="56" t="s">
        <v>111</v>
      </c>
      <c r="O333" s="108" t="s">
        <v>31</v>
      </c>
    </row>
    <row r="334" spans="1:15" x14ac:dyDescent="0.3">
      <c r="A334" s="30" t="s">
        <v>47</v>
      </c>
      <c r="B334" s="30" t="s">
        <v>455</v>
      </c>
      <c r="C334" s="34" t="s">
        <v>67</v>
      </c>
      <c r="D334" s="30"/>
      <c r="E334" s="32">
        <v>44075</v>
      </c>
      <c r="F334" s="38">
        <v>0.68819444444444444</v>
      </c>
      <c r="G334" s="38"/>
      <c r="H334" s="35"/>
      <c r="I334" s="28" t="e">
        <f>((Tabela2[[#This Row],[TW - Terminal A]]-Tabela2[[#This Row],[KM]])/(Tabela2[[#This Row],[KM]]))</f>
        <v>#DIV/0!</v>
      </c>
      <c r="J334" s="35"/>
      <c r="K334" s="28" t="e">
        <f>((Tabela2[[#This Row],[TW - Terminal B ]]-Tabela2[[#This Row],[KM]])/(Tabela2[[#This Row],[KM]]))</f>
        <v>#DIV/0!</v>
      </c>
      <c r="L334" s="34" t="s">
        <v>258</v>
      </c>
      <c r="M334" s="35"/>
      <c r="N334" s="56" t="s">
        <v>111</v>
      </c>
      <c r="O334" s="108" t="s">
        <v>32</v>
      </c>
    </row>
    <row r="335" spans="1:15" x14ac:dyDescent="0.3">
      <c r="A335" s="30" t="s">
        <v>47</v>
      </c>
      <c r="B335" s="30" t="s">
        <v>455</v>
      </c>
      <c r="C335" s="34" t="s">
        <v>64</v>
      </c>
      <c r="D335" s="30"/>
      <c r="E335" s="32">
        <v>44116</v>
      </c>
      <c r="F335" s="38">
        <v>0.62569444444444444</v>
      </c>
      <c r="G335" s="38"/>
      <c r="H335" s="35"/>
      <c r="I335" s="28" t="e">
        <f>((Tabela2[[#This Row],[TW - Terminal A]]-Tabela2[[#This Row],[KM]])/(Tabela2[[#This Row],[KM]]))</f>
        <v>#DIV/0!</v>
      </c>
      <c r="J335" s="35"/>
      <c r="K335" s="28" t="e">
        <f>((Tabela2[[#This Row],[TW - Terminal B ]]-Tabela2[[#This Row],[KM]])/(Tabela2[[#This Row],[KM]]))</f>
        <v>#DIV/0!</v>
      </c>
      <c r="L335" s="34" t="s">
        <v>259</v>
      </c>
      <c r="M335" s="35"/>
      <c r="N335" s="56" t="s">
        <v>109</v>
      </c>
      <c r="O335" s="110" t="s">
        <v>11</v>
      </c>
    </row>
    <row r="336" spans="1:15" x14ac:dyDescent="0.3">
      <c r="A336" s="30" t="s">
        <v>47</v>
      </c>
      <c r="B336" s="30" t="s">
        <v>455</v>
      </c>
      <c r="C336" s="34" t="s">
        <v>66</v>
      </c>
      <c r="D336" s="30"/>
      <c r="E336" s="32">
        <v>44125</v>
      </c>
      <c r="F336" s="38">
        <v>0.25953703703703707</v>
      </c>
      <c r="G336" s="38"/>
      <c r="H336" s="35"/>
      <c r="I336" s="28" t="e">
        <f>((Tabela2[[#This Row],[TW - Terminal A]]-Tabela2[[#This Row],[KM]])/(Tabela2[[#This Row],[KM]]))</f>
        <v>#DIV/0!</v>
      </c>
      <c r="J336" s="35"/>
      <c r="K336" s="28" t="e">
        <f>((Tabela2[[#This Row],[TW - Terminal B ]]-Tabela2[[#This Row],[KM]])/(Tabela2[[#This Row],[KM]]))</f>
        <v>#DIV/0!</v>
      </c>
      <c r="L336" s="34" t="s">
        <v>4</v>
      </c>
      <c r="M336" s="35"/>
      <c r="N336" s="56" t="s">
        <v>114</v>
      </c>
      <c r="O336" s="109" t="s">
        <v>28</v>
      </c>
    </row>
    <row r="337" spans="1:15" x14ac:dyDescent="0.3">
      <c r="A337" s="30" t="s">
        <v>53</v>
      </c>
      <c r="B337" s="30" t="s">
        <v>455</v>
      </c>
      <c r="C337" s="34" t="s">
        <v>98</v>
      </c>
      <c r="D337" s="30"/>
      <c r="E337" s="32">
        <v>44136</v>
      </c>
      <c r="F337" s="38">
        <v>0.59375</v>
      </c>
      <c r="G337" s="38"/>
      <c r="H337" s="35"/>
      <c r="I337" s="28" t="e">
        <f>((Tabela2[[#This Row],[TW - Terminal A]]-Tabela2[[#This Row],[KM]])/(Tabela2[[#This Row],[KM]]))</f>
        <v>#DIV/0!</v>
      </c>
      <c r="J337" s="35"/>
      <c r="K337" s="28" t="e">
        <f>((Tabela2[[#This Row],[TW - Terminal B ]]-Tabela2[[#This Row],[KM]])/(Tabela2[[#This Row],[KM]]))</f>
        <v>#DIV/0!</v>
      </c>
      <c r="L337" s="34" t="s">
        <v>220</v>
      </c>
      <c r="M337" s="35"/>
      <c r="N337" s="56"/>
      <c r="O337" s="109" t="s">
        <v>11</v>
      </c>
    </row>
    <row r="338" spans="1:15" x14ac:dyDescent="0.3">
      <c r="A338" s="30" t="s">
        <v>53</v>
      </c>
      <c r="B338" s="30" t="s">
        <v>455</v>
      </c>
      <c r="C338" s="41" t="s">
        <v>97</v>
      </c>
      <c r="D338" s="30"/>
      <c r="E338" s="32">
        <v>44147</v>
      </c>
      <c r="F338" s="38">
        <v>0.9145833333333333</v>
      </c>
      <c r="G338" s="38"/>
      <c r="H338" s="35"/>
      <c r="I338" s="28" t="e">
        <f>((Tabela2[[#This Row],[TW - Terminal A]]-Tabela2[[#This Row],[KM]])/(Tabela2[[#This Row],[KM]]))</f>
        <v>#DIV/0!</v>
      </c>
      <c r="J338" s="35"/>
      <c r="K338" s="28" t="e">
        <f>((Tabela2[[#This Row],[TW - Terminal B ]]-Tabela2[[#This Row],[KM]])/(Tabela2[[#This Row],[KM]]))</f>
        <v>#DIV/0!</v>
      </c>
      <c r="L338" s="34" t="s">
        <v>260</v>
      </c>
      <c r="M338" s="35"/>
      <c r="N338" s="56"/>
      <c r="O338" s="109" t="s">
        <v>12</v>
      </c>
    </row>
    <row r="339" spans="1:15" x14ac:dyDescent="0.3">
      <c r="A339" s="30" t="s">
        <v>48</v>
      </c>
      <c r="B339" s="30" t="s">
        <v>455</v>
      </c>
      <c r="C339" s="31" t="s">
        <v>75</v>
      </c>
      <c r="D339" s="30"/>
      <c r="E339" s="37">
        <v>44170</v>
      </c>
      <c r="F339" s="42">
        <v>0.81527777777777777</v>
      </c>
      <c r="G339" s="42"/>
      <c r="H339" s="35"/>
      <c r="I339" s="28" t="e">
        <f>((Tabela2[[#This Row],[TW - Terminal A]]-Tabela2[[#This Row],[KM]])/(Tabela2[[#This Row],[KM]]))</f>
        <v>#DIV/0!</v>
      </c>
      <c r="J339" s="35"/>
      <c r="K339" s="28" t="e">
        <f>((Tabela2[[#This Row],[TW - Terminal B ]]-Tabela2[[#This Row],[KM]])/(Tabela2[[#This Row],[KM]]))</f>
        <v>#DIV/0!</v>
      </c>
      <c r="L339" s="43" t="s">
        <v>261</v>
      </c>
      <c r="M339" s="35"/>
      <c r="N339" s="57"/>
      <c r="O339" s="108" t="s">
        <v>11</v>
      </c>
    </row>
    <row r="340" spans="1:15" x14ac:dyDescent="0.3">
      <c r="A340" s="30" t="s">
        <v>53</v>
      </c>
      <c r="B340" s="30" t="s">
        <v>455</v>
      </c>
      <c r="C340" s="41" t="s">
        <v>97</v>
      </c>
      <c r="D340" s="30"/>
      <c r="E340" s="32">
        <v>44205</v>
      </c>
      <c r="F340" s="38">
        <v>0.31805555555555554</v>
      </c>
      <c r="G340" s="38"/>
      <c r="H340" s="35"/>
      <c r="I340" s="28" t="e">
        <f>((Tabela2[[#This Row],[TW - Terminal A]]-Tabela2[[#This Row],[KM]])/(Tabela2[[#This Row],[KM]]))</f>
        <v>#DIV/0!</v>
      </c>
      <c r="J340" s="35"/>
      <c r="K340" s="28" t="e">
        <f>((Tabela2[[#This Row],[TW - Terminal B ]]-Tabela2[[#This Row],[KM]])/(Tabela2[[#This Row],[KM]]))</f>
        <v>#DIV/0!</v>
      </c>
      <c r="L340" s="34" t="s">
        <v>262</v>
      </c>
      <c r="M340" s="35"/>
      <c r="N340" s="56"/>
      <c r="O340" s="109" t="s">
        <v>12</v>
      </c>
    </row>
    <row r="341" spans="1:15" x14ac:dyDescent="0.3">
      <c r="A341" s="30" t="s">
        <v>48</v>
      </c>
      <c r="B341" s="30" t="s">
        <v>455</v>
      </c>
      <c r="C341" s="31" t="s">
        <v>75</v>
      </c>
      <c r="D341" s="30"/>
      <c r="E341" s="37">
        <v>44242</v>
      </c>
      <c r="F341" s="42">
        <v>0.80902777777777779</v>
      </c>
      <c r="G341" s="42"/>
      <c r="H341" s="35"/>
      <c r="I341" s="28" t="e">
        <f>((Tabela2[[#This Row],[TW - Terminal A]]-Tabela2[[#This Row],[KM]])/(Tabela2[[#This Row],[KM]]))</f>
        <v>#DIV/0!</v>
      </c>
      <c r="J341" s="35"/>
      <c r="K341" s="28" t="e">
        <f>((Tabela2[[#This Row],[TW - Terminal B ]]-Tabela2[[#This Row],[KM]])/(Tabela2[[#This Row],[KM]]))</f>
        <v>#DIV/0!</v>
      </c>
      <c r="L341" s="43" t="s">
        <v>263</v>
      </c>
      <c r="M341" s="35"/>
      <c r="N341" s="57"/>
      <c r="O341" s="108" t="s">
        <v>11</v>
      </c>
    </row>
    <row r="342" spans="1:15" x14ac:dyDescent="0.3">
      <c r="A342" s="30" t="s">
        <v>48</v>
      </c>
      <c r="B342" s="30" t="s">
        <v>455</v>
      </c>
      <c r="C342" s="34" t="s">
        <v>54</v>
      </c>
      <c r="D342" s="30"/>
      <c r="E342" s="48">
        <v>44271</v>
      </c>
      <c r="F342" s="38">
        <v>0.77986111111111101</v>
      </c>
      <c r="G342" s="38"/>
      <c r="H342" s="35"/>
      <c r="I342" s="28" t="e">
        <f>((Tabela2[[#This Row],[TW - Terminal A]]-Tabela2[[#This Row],[KM]])/(Tabela2[[#This Row],[KM]]))</f>
        <v>#DIV/0!</v>
      </c>
      <c r="J342" s="35"/>
      <c r="K342" s="28" t="e">
        <f>((Tabela2[[#This Row],[TW - Terminal B ]]-Tabela2[[#This Row],[KM]])/(Tabela2[[#This Row],[KM]]))</f>
        <v>#DIV/0!</v>
      </c>
      <c r="L342" s="34" t="s">
        <v>264</v>
      </c>
      <c r="M342" s="35"/>
      <c r="N342" s="56"/>
      <c r="O342" s="109" t="s">
        <v>11</v>
      </c>
    </row>
    <row r="343" spans="1:15" x14ac:dyDescent="0.3">
      <c r="A343" s="30" t="s">
        <v>47</v>
      </c>
      <c r="B343" s="30" t="s">
        <v>455</v>
      </c>
      <c r="C343" s="34" t="s">
        <v>65</v>
      </c>
      <c r="D343" s="30"/>
      <c r="E343" s="48">
        <v>44275</v>
      </c>
      <c r="F343" s="38">
        <v>0.60763888888888895</v>
      </c>
      <c r="G343" s="38"/>
      <c r="H343" s="35"/>
      <c r="I343" s="28" t="e">
        <f>((Tabela2[[#This Row],[TW - Terminal A]]-Tabela2[[#This Row],[KM]])/(Tabela2[[#This Row],[KM]]))</f>
        <v>#DIV/0!</v>
      </c>
      <c r="J343" s="35"/>
      <c r="K343" s="28" t="e">
        <f>((Tabela2[[#This Row],[TW - Terminal B ]]-Tabela2[[#This Row],[KM]])/(Tabela2[[#This Row],[KM]]))</f>
        <v>#DIV/0!</v>
      </c>
      <c r="L343" s="34" t="s">
        <v>188</v>
      </c>
      <c r="M343" s="35"/>
      <c r="N343" s="56" t="s">
        <v>109</v>
      </c>
      <c r="O343" s="109" t="s">
        <v>11</v>
      </c>
    </row>
    <row r="344" spans="1:15" x14ac:dyDescent="0.3">
      <c r="A344" s="30" t="s">
        <v>47</v>
      </c>
      <c r="B344" s="30" t="s">
        <v>455</v>
      </c>
      <c r="C344" s="34" t="s">
        <v>65</v>
      </c>
      <c r="D344" s="30"/>
      <c r="E344" s="32">
        <v>44320</v>
      </c>
      <c r="F344" s="38">
        <v>0.66736111111111107</v>
      </c>
      <c r="G344" s="38"/>
      <c r="H344" s="35"/>
      <c r="I344" s="28" t="e">
        <f>((Tabela2[[#This Row],[TW - Terminal A]]-Tabela2[[#This Row],[KM]])/(Tabela2[[#This Row],[KM]]))</f>
        <v>#DIV/0!</v>
      </c>
      <c r="J344" s="35"/>
      <c r="K344" s="28" t="e">
        <f>((Tabela2[[#This Row],[TW - Terminal B ]]-Tabela2[[#This Row],[KM]])/(Tabela2[[#This Row],[KM]]))</f>
        <v>#DIV/0!</v>
      </c>
      <c r="L344" s="34" t="s">
        <v>265</v>
      </c>
      <c r="M344" s="35"/>
      <c r="N344" s="56" t="s">
        <v>108</v>
      </c>
      <c r="O344" s="108" t="s">
        <v>33</v>
      </c>
    </row>
    <row r="345" spans="1:15" x14ac:dyDescent="0.3">
      <c r="A345" s="30" t="s">
        <v>47</v>
      </c>
      <c r="B345" s="30" t="s">
        <v>455</v>
      </c>
      <c r="C345" s="34" t="s">
        <v>67</v>
      </c>
      <c r="D345" s="30"/>
      <c r="E345" s="32">
        <v>44332</v>
      </c>
      <c r="F345" s="38">
        <v>0.1451388888888889</v>
      </c>
      <c r="G345" s="38"/>
      <c r="H345" s="35"/>
      <c r="I345" s="28" t="e">
        <f>((Tabela2[[#This Row],[TW - Terminal A]]-Tabela2[[#This Row],[KM]])/(Tabela2[[#This Row],[KM]]))</f>
        <v>#DIV/0!</v>
      </c>
      <c r="J345" s="35"/>
      <c r="K345" s="28" t="e">
        <f>((Tabela2[[#This Row],[TW - Terminal B ]]-Tabela2[[#This Row],[KM]])/(Tabela2[[#This Row],[KM]]))</f>
        <v>#DIV/0!</v>
      </c>
      <c r="L345" s="34" t="s">
        <v>266</v>
      </c>
      <c r="M345" s="35"/>
      <c r="N345" s="56" t="s">
        <v>115</v>
      </c>
      <c r="O345" s="109" t="s">
        <v>12</v>
      </c>
    </row>
    <row r="346" spans="1:15" x14ac:dyDescent="0.3">
      <c r="A346" s="30" t="s">
        <v>47</v>
      </c>
      <c r="B346" s="30" t="s">
        <v>455</v>
      </c>
      <c r="C346" s="34" t="s">
        <v>67</v>
      </c>
      <c r="D346" s="30"/>
      <c r="E346" s="32">
        <v>44401</v>
      </c>
      <c r="F346" s="49">
        <v>1.2499999999999999E-2</v>
      </c>
      <c r="G346" s="49"/>
      <c r="H346" s="35"/>
      <c r="I346" s="28" t="e">
        <f>((Tabela2[[#This Row],[TW - Terminal A]]-Tabela2[[#This Row],[KM]])/(Tabela2[[#This Row],[KM]]))</f>
        <v>#DIV/0!</v>
      </c>
      <c r="J346" s="35"/>
      <c r="K346" s="28" t="e">
        <f>((Tabela2[[#This Row],[TW - Terminal B ]]-Tabela2[[#This Row],[KM]])/(Tabela2[[#This Row],[KM]]))</f>
        <v>#DIV/0!</v>
      </c>
      <c r="L346" s="34" t="s">
        <v>168</v>
      </c>
      <c r="M346" s="35"/>
      <c r="N346" s="56" t="s">
        <v>115</v>
      </c>
      <c r="O346" s="108" t="s">
        <v>12</v>
      </c>
    </row>
    <row r="347" spans="1:15" x14ac:dyDescent="0.3">
      <c r="A347" s="30" t="s">
        <v>47</v>
      </c>
      <c r="B347" s="30" t="s">
        <v>455</v>
      </c>
      <c r="C347" s="34" t="s">
        <v>65</v>
      </c>
      <c r="D347" s="30"/>
      <c r="E347" s="32">
        <v>44459</v>
      </c>
      <c r="F347" s="49">
        <v>0.67793981481481491</v>
      </c>
      <c r="G347" s="49"/>
      <c r="H347" s="35"/>
      <c r="I347" s="28" t="e">
        <f>((Tabela2[[#This Row],[TW - Terminal A]]-Tabela2[[#This Row],[KM]])/(Tabela2[[#This Row],[KM]]))</f>
        <v>#DIV/0!</v>
      </c>
      <c r="J347" s="35"/>
      <c r="K347" s="28" t="e">
        <f>((Tabela2[[#This Row],[TW - Terminal B ]]-Tabela2[[#This Row],[KM]])/(Tabela2[[#This Row],[KM]]))</f>
        <v>#DIV/0!</v>
      </c>
      <c r="L347" s="34" t="s">
        <v>267</v>
      </c>
      <c r="M347" s="35"/>
      <c r="N347" s="56" t="s">
        <v>111</v>
      </c>
      <c r="O347" s="108" t="s">
        <v>34</v>
      </c>
    </row>
    <row r="348" spans="1:15" x14ac:dyDescent="0.3">
      <c r="A348" s="30" t="s">
        <v>47</v>
      </c>
      <c r="B348" s="30" t="s">
        <v>455</v>
      </c>
      <c r="C348" s="31" t="s">
        <v>67</v>
      </c>
      <c r="D348" s="30"/>
      <c r="E348" s="32">
        <v>44465</v>
      </c>
      <c r="F348" s="38">
        <v>0.72222222222222221</v>
      </c>
      <c r="G348" s="38"/>
      <c r="H348" s="35"/>
      <c r="I348" s="28" t="e">
        <f>((Tabela2[[#This Row],[TW - Terminal A]]-Tabela2[[#This Row],[KM]])/(Tabela2[[#This Row],[KM]]))</f>
        <v>#DIV/0!</v>
      </c>
      <c r="J348" s="35"/>
      <c r="K348" s="28" t="e">
        <f>((Tabela2[[#This Row],[TW - Terminal B ]]-Tabela2[[#This Row],[KM]])/(Tabela2[[#This Row],[KM]]))</f>
        <v>#DIV/0!</v>
      </c>
      <c r="L348" s="34" t="s">
        <v>4</v>
      </c>
      <c r="M348" s="35"/>
      <c r="N348" s="56" t="s">
        <v>114</v>
      </c>
      <c r="O348" s="113" t="s">
        <v>35</v>
      </c>
    </row>
    <row r="349" spans="1:15" x14ac:dyDescent="0.3">
      <c r="A349" s="30" t="s">
        <v>53</v>
      </c>
      <c r="B349" s="30" t="s">
        <v>455</v>
      </c>
      <c r="C349" s="34" t="s">
        <v>98</v>
      </c>
      <c r="D349" s="30"/>
      <c r="E349" s="32">
        <v>44480</v>
      </c>
      <c r="F349" s="49">
        <v>0.30069444444444443</v>
      </c>
      <c r="G349" s="49"/>
      <c r="H349" s="35"/>
      <c r="I349" s="28" t="e">
        <f>((Tabela2[[#This Row],[TW - Terminal A]]-Tabela2[[#This Row],[KM]])/(Tabela2[[#This Row],[KM]]))</f>
        <v>#DIV/0!</v>
      </c>
      <c r="J349" s="35"/>
      <c r="K349" s="28" t="e">
        <f>((Tabela2[[#This Row],[TW - Terminal B ]]-Tabela2[[#This Row],[KM]])/(Tabela2[[#This Row],[KM]]))</f>
        <v>#DIV/0!</v>
      </c>
      <c r="L349" s="34" t="s">
        <v>4</v>
      </c>
      <c r="M349" s="35"/>
      <c r="N349" s="56"/>
      <c r="O349" s="108" t="s">
        <v>35</v>
      </c>
    </row>
    <row r="350" spans="1:15" x14ac:dyDescent="0.3">
      <c r="A350" s="30" t="s">
        <v>47</v>
      </c>
      <c r="B350" s="30" t="s">
        <v>455</v>
      </c>
      <c r="C350" s="31" t="s">
        <v>65</v>
      </c>
      <c r="D350" s="30"/>
      <c r="E350" s="32">
        <v>44499</v>
      </c>
      <c r="F350" s="38">
        <v>0.62275462962962969</v>
      </c>
      <c r="G350" s="38"/>
      <c r="H350" s="35"/>
      <c r="I350" s="28" t="e">
        <f>((Tabela2[[#This Row],[TW - Terminal A]]-Tabela2[[#This Row],[KM]])/(Tabela2[[#This Row],[KM]]))</f>
        <v>#DIV/0!</v>
      </c>
      <c r="J350" s="35"/>
      <c r="K350" s="28" t="e">
        <f>((Tabela2[[#This Row],[TW - Terminal B ]]-Tabela2[[#This Row],[KM]])/(Tabela2[[#This Row],[KM]]))</f>
        <v>#DIV/0!</v>
      </c>
      <c r="L350" s="34" t="s">
        <v>4</v>
      </c>
      <c r="M350" s="35"/>
      <c r="N350" s="56" t="s">
        <v>114</v>
      </c>
      <c r="O350" s="108" t="s">
        <v>35</v>
      </c>
    </row>
    <row r="351" spans="1:15" x14ac:dyDescent="0.3">
      <c r="A351" s="30" t="s">
        <v>48</v>
      </c>
      <c r="B351" s="30" t="s">
        <v>455</v>
      </c>
      <c r="C351" s="31" t="s">
        <v>54</v>
      </c>
      <c r="D351" s="30"/>
      <c r="E351" s="32">
        <v>44509</v>
      </c>
      <c r="F351" s="38">
        <v>7.2222222222222229E-2</v>
      </c>
      <c r="G351" s="38"/>
      <c r="H351" s="35"/>
      <c r="I351" s="28" t="e">
        <f>((Tabela2[[#This Row],[TW - Terminal A]]-Tabela2[[#This Row],[KM]])/(Tabela2[[#This Row],[KM]]))</f>
        <v>#DIV/0!</v>
      </c>
      <c r="J351" s="35"/>
      <c r="K351" s="28" t="e">
        <f>((Tabela2[[#This Row],[TW - Terminal B ]]-Tabela2[[#This Row],[KM]])/(Tabela2[[#This Row],[KM]]))</f>
        <v>#DIV/0!</v>
      </c>
      <c r="L351" s="34" t="s">
        <v>268</v>
      </c>
      <c r="M351" s="35"/>
      <c r="N351" s="56"/>
      <c r="O351" s="108" t="s">
        <v>11</v>
      </c>
    </row>
    <row r="352" spans="1:15" x14ac:dyDescent="0.3">
      <c r="A352" s="44" t="s">
        <v>47</v>
      </c>
      <c r="B352" s="30" t="s">
        <v>455</v>
      </c>
      <c r="C352" s="31" t="s">
        <v>65</v>
      </c>
      <c r="D352" s="44"/>
      <c r="E352" s="45">
        <v>44538</v>
      </c>
      <c r="F352" s="50">
        <v>0.29652777777777778</v>
      </c>
      <c r="G352" s="50"/>
      <c r="H352" s="35"/>
      <c r="I352" s="28" t="e">
        <f>((Tabela2[[#This Row],[TW - Terminal A]]-Tabela2[[#This Row],[KM]])/(Tabela2[[#This Row],[KM]]))</f>
        <v>#DIV/0!</v>
      </c>
      <c r="J352" s="35"/>
      <c r="K352" s="28" t="e">
        <f>((Tabela2[[#This Row],[TW - Terminal B ]]-Tabela2[[#This Row],[KM]])/(Tabela2[[#This Row],[KM]]))</f>
        <v>#DIV/0!</v>
      </c>
      <c r="L352" s="34" t="s">
        <v>4</v>
      </c>
      <c r="M352" s="35"/>
      <c r="N352" s="177"/>
      <c r="O352" s="114" t="s">
        <v>35</v>
      </c>
    </row>
    <row r="353" spans="1:15" x14ac:dyDescent="0.3">
      <c r="A353" s="30" t="s">
        <v>47</v>
      </c>
      <c r="B353" s="30" t="s">
        <v>448</v>
      </c>
      <c r="C353" s="31" t="s">
        <v>65</v>
      </c>
      <c r="D353" s="30"/>
      <c r="E353" s="32">
        <v>44542</v>
      </c>
      <c r="F353" s="38">
        <v>0.57708333333333328</v>
      </c>
      <c r="G353" s="38"/>
      <c r="H353" s="35"/>
      <c r="I353" s="28" t="e">
        <f>((Tabela2[[#This Row],[TW - Terminal A]]-Tabela2[[#This Row],[KM]])/(Tabela2[[#This Row],[KM]]))</f>
        <v>#DIV/0!</v>
      </c>
      <c r="J353" s="35"/>
      <c r="K353" s="28" t="e">
        <f>((Tabela2[[#This Row],[TW - Terminal B ]]-Tabela2[[#This Row],[KM]])/(Tabela2[[#This Row],[KM]]))</f>
        <v>#DIV/0!</v>
      </c>
      <c r="L353" s="34" t="s">
        <v>5</v>
      </c>
      <c r="M353" s="35"/>
      <c r="N353" s="56" t="s">
        <v>114</v>
      </c>
      <c r="O353" s="108" t="s">
        <v>36</v>
      </c>
    </row>
    <row r="354" spans="1:15" x14ac:dyDescent="0.3">
      <c r="A354" s="30" t="s">
        <v>47</v>
      </c>
      <c r="B354" s="30" t="s">
        <v>455</v>
      </c>
      <c r="C354" s="31" t="s">
        <v>66</v>
      </c>
      <c r="D354" s="30"/>
      <c r="E354" s="32">
        <v>44543</v>
      </c>
      <c r="F354" s="38">
        <v>0.86875000000000002</v>
      </c>
      <c r="G354" s="38"/>
      <c r="H354" s="35"/>
      <c r="I354" s="28" t="e">
        <f>((Tabela2[[#This Row],[TW - Terminal A]]-Tabela2[[#This Row],[KM]])/(Tabela2[[#This Row],[KM]]))</f>
        <v>#DIV/0!</v>
      </c>
      <c r="J354" s="35"/>
      <c r="K354" s="28" t="e">
        <f>((Tabela2[[#This Row],[TW - Terminal B ]]-Tabela2[[#This Row],[KM]])/(Tabela2[[#This Row],[KM]]))</f>
        <v>#DIV/0!</v>
      </c>
      <c r="L354" s="34" t="s">
        <v>269</v>
      </c>
      <c r="M354" s="35"/>
      <c r="N354" s="56" t="s">
        <v>115</v>
      </c>
      <c r="O354" s="108" t="s">
        <v>12</v>
      </c>
    </row>
    <row r="355" spans="1:15" x14ac:dyDescent="0.3">
      <c r="A355" s="30" t="s">
        <v>47</v>
      </c>
      <c r="B355" s="30" t="s">
        <v>455</v>
      </c>
      <c r="C355" s="34" t="s">
        <v>65</v>
      </c>
      <c r="D355" s="30"/>
      <c r="E355" s="32">
        <v>44561</v>
      </c>
      <c r="F355" s="38">
        <v>0.19166666666666665</v>
      </c>
      <c r="G355" s="38"/>
      <c r="H355" s="35"/>
      <c r="I355" s="28" t="e">
        <f>((Tabela2[[#This Row],[TW - Terminal A]]-Tabela2[[#This Row],[KM]])/(Tabela2[[#This Row],[KM]]))</f>
        <v>#DIV/0!</v>
      </c>
      <c r="J355" s="35"/>
      <c r="K355" s="28" t="e">
        <f>((Tabela2[[#This Row],[TW - Terminal B ]]-Tabela2[[#This Row],[KM]])/(Tabela2[[#This Row],[KM]]))</f>
        <v>#DIV/0!</v>
      </c>
      <c r="L355" s="34" t="s">
        <v>270</v>
      </c>
      <c r="M355" s="35"/>
      <c r="N355" s="56" t="s">
        <v>115</v>
      </c>
      <c r="O355" s="108" t="s">
        <v>12</v>
      </c>
    </row>
    <row r="356" spans="1:15" x14ac:dyDescent="0.3">
      <c r="A356" s="30" t="s">
        <v>47</v>
      </c>
      <c r="B356" s="30" t="s">
        <v>455</v>
      </c>
      <c r="C356" s="34" t="s">
        <v>65</v>
      </c>
      <c r="D356" s="30"/>
      <c r="E356" s="32">
        <v>44581</v>
      </c>
      <c r="F356" s="51">
        <v>0.88680555555555562</v>
      </c>
      <c r="G356" s="51"/>
      <c r="H356" s="35"/>
      <c r="I356" s="28" t="e">
        <f>((Tabela2[[#This Row],[TW - Terminal A]]-Tabela2[[#This Row],[KM]])/(Tabela2[[#This Row],[KM]]))</f>
        <v>#DIV/0!</v>
      </c>
      <c r="J356" s="35"/>
      <c r="K356" s="28" t="e">
        <f>((Tabela2[[#This Row],[TW - Terminal B ]]-Tabela2[[#This Row],[KM]])/(Tabela2[[#This Row],[KM]]))</f>
        <v>#DIV/0!</v>
      </c>
      <c r="L356" s="34" t="s">
        <v>266</v>
      </c>
      <c r="M356" s="35"/>
      <c r="N356" s="56" t="s">
        <v>115</v>
      </c>
      <c r="O356" s="108" t="s">
        <v>12</v>
      </c>
    </row>
    <row r="357" spans="1:15" x14ac:dyDescent="0.3">
      <c r="A357" s="30" t="s">
        <v>53</v>
      </c>
      <c r="B357" s="30" t="s">
        <v>455</v>
      </c>
      <c r="C357" s="34" t="s">
        <v>98</v>
      </c>
      <c r="D357" s="30"/>
      <c r="E357" s="32">
        <v>44584</v>
      </c>
      <c r="F357" s="38">
        <v>0.67291666666666661</v>
      </c>
      <c r="G357" s="38"/>
      <c r="H357" s="35"/>
      <c r="I357" s="28" t="e">
        <f>((Tabela2[[#This Row],[TW - Terminal A]]-Tabela2[[#This Row],[KM]])/(Tabela2[[#This Row],[KM]]))</f>
        <v>#DIV/0!</v>
      </c>
      <c r="J357" s="35"/>
      <c r="K357" s="28" t="e">
        <f>((Tabela2[[#This Row],[TW - Terminal B ]]-Tabela2[[#This Row],[KM]])/(Tabela2[[#This Row],[KM]]))</f>
        <v>#DIV/0!</v>
      </c>
      <c r="L357" s="34" t="s">
        <v>271</v>
      </c>
      <c r="M357" s="35"/>
      <c r="N357" s="56"/>
      <c r="O357" s="108" t="s">
        <v>11</v>
      </c>
    </row>
    <row r="358" spans="1:15" x14ac:dyDescent="0.3">
      <c r="A358" s="30" t="s">
        <v>47</v>
      </c>
      <c r="B358" s="30" t="s">
        <v>455</v>
      </c>
      <c r="C358" s="31" t="s">
        <v>65</v>
      </c>
      <c r="D358" s="30"/>
      <c r="E358" s="48">
        <v>44587</v>
      </c>
      <c r="F358" s="38">
        <v>0.86644675925925929</v>
      </c>
      <c r="G358" s="38"/>
      <c r="H358" s="35"/>
      <c r="I358" s="28" t="e">
        <f>((Tabela2[[#This Row],[TW - Terminal A]]-Tabela2[[#This Row],[KM]])/(Tabela2[[#This Row],[KM]]))</f>
        <v>#DIV/0!</v>
      </c>
      <c r="J358" s="35"/>
      <c r="K358" s="28" t="e">
        <f>((Tabela2[[#This Row],[TW - Terminal B ]]-Tabela2[[#This Row],[KM]])/(Tabela2[[#This Row],[KM]]))</f>
        <v>#DIV/0!</v>
      </c>
      <c r="L358" s="34" t="s">
        <v>272</v>
      </c>
      <c r="M358" s="35"/>
      <c r="N358" s="56" t="s">
        <v>115</v>
      </c>
      <c r="O358" s="108" t="s">
        <v>12</v>
      </c>
    </row>
    <row r="359" spans="1:15" x14ac:dyDescent="0.3">
      <c r="A359" s="30" t="s">
        <v>47</v>
      </c>
      <c r="B359" s="30" t="s">
        <v>455</v>
      </c>
      <c r="C359" s="31" t="s">
        <v>66</v>
      </c>
      <c r="D359" s="30"/>
      <c r="E359" s="48">
        <v>44609</v>
      </c>
      <c r="F359" s="38">
        <v>0.95049768518518529</v>
      </c>
      <c r="G359" s="38"/>
      <c r="H359" s="35"/>
      <c r="I359" s="28" t="e">
        <f>((Tabela2[[#This Row],[TW - Terminal A]]-Tabela2[[#This Row],[KM]])/(Tabela2[[#This Row],[KM]]))</f>
        <v>#DIV/0!</v>
      </c>
      <c r="J359" s="35"/>
      <c r="K359" s="28" t="e">
        <f>((Tabela2[[#This Row],[TW - Terminal B ]]-Tabela2[[#This Row],[KM]])/(Tabela2[[#This Row],[KM]]))</f>
        <v>#DIV/0!</v>
      </c>
      <c r="L359" s="34" t="s">
        <v>273</v>
      </c>
      <c r="M359" s="35"/>
      <c r="N359" s="56" t="s">
        <v>115</v>
      </c>
      <c r="O359" s="108" t="s">
        <v>12</v>
      </c>
    </row>
    <row r="360" spans="1:15" x14ac:dyDescent="0.3">
      <c r="A360" s="30" t="s">
        <v>47</v>
      </c>
      <c r="B360" s="30" t="s">
        <v>455</v>
      </c>
      <c r="C360" s="31" t="s">
        <v>67</v>
      </c>
      <c r="D360" s="30"/>
      <c r="E360" s="32">
        <v>44612</v>
      </c>
      <c r="F360" s="38">
        <v>0.71944444444444444</v>
      </c>
      <c r="G360" s="38"/>
      <c r="H360" s="35"/>
      <c r="I360" s="28" t="e">
        <f>((Tabela2[[#This Row],[TW - Terminal A]]-Tabela2[[#This Row],[KM]])/(Tabela2[[#This Row],[KM]]))</f>
        <v>#DIV/0!</v>
      </c>
      <c r="J360" s="35"/>
      <c r="K360" s="28" t="e">
        <f>((Tabela2[[#This Row],[TW - Terminal B ]]-Tabela2[[#This Row],[KM]])/(Tabela2[[#This Row],[KM]]))</f>
        <v>#DIV/0!</v>
      </c>
      <c r="L360" s="34" t="s">
        <v>274</v>
      </c>
      <c r="M360" s="35"/>
      <c r="N360" s="56" t="s">
        <v>109</v>
      </c>
      <c r="O360" s="108" t="s">
        <v>11</v>
      </c>
    </row>
    <row r="361" spans="1:15" x14ac:dyDescent="0.3">
      <c r="A361" s="30" t="s">
        <v>47</v>
      </c>
      <c r="B361" s="30" t="s">
        <v>448</v>
      </c>
      <c r="C361" s="34" t="s">
        <v>67</v>
      </c>
      <c r="D361" s="30"/>
      <c r="E361" s="32">
        <v>44612</v>
      </c>
      <c r="F361" s="38">
        <v>0.76111111111111107</v>
      </c>
      <c r="G361" s="38"/>
      <c r="H361" s="35"/>
      <c r="I361" s="28" t="e">
        <f>((Tabela2[[#This Row],[TW - Terminal A]]-Tabela2[[#This Row],[KM]])/(Tabela2[[#This Row],[KM]]))</f>
        <v>#DIV/0!</v>
      </c>
      <c r="J361" s="35"/>
      <c r="K361" s="28" t="e">
        <f>((Tabela2[[#This Row],[TW - Terminal B ]]-Tabela2[[#This Row],[KM]])/(Tabela2[[#This Row],[KM]]))</f>
        <v>#DIV/0!</v>
      </c>
      <c r="L361" s="34" t="s">
        <v>5</v>
      </c>
      <c r="M361" s="35"/>
      <c r="N361" s="56" t="s">
        <v>114</v>
      </c>
      <c r="O361" s="108" t="s">
        <v>37</v>
      </c>
    </row>
    <row r="362" spans="1:15" x14ac:dyDescent="0.3">
      <c r="A362" s="30" t="s">
        <v>53</v>
      </c>
      <c r="B362" s="30" t="s">
        <v>455</v>
      </c>
      <c r="C362" s="34" t="s">
        <v>99</v>
      </c>
      <c r="D362" s="30"/>
      <c r="E362" s="32">
        <v>44621</v>
      </c>
      <c r="F362" s="38">
        <v>0.38819444444444445</v>
      </c>
      <c r="G362" s="38"/>
      <c r="H362" s="35"/>
      <c r="I362" s="28" t="e">
        <f>((Tabela2[[#This Row],[TW - Terminal A]]-Tabela2[[#This Row],[KM]])/(Tabela2[[#This Row],[KM]]))</f>
        <v>#DIV/0!</v>
      </c>
      <c r="J362" s="35"/>
      <c r="K362" s="28" t="e">
        <f>((Tabela2[[#This Row],[TW - Terminal B ]]-Tabela2[[#This Row],[KM]])/(Tabela2[[#This Row],[KM]]))</f>
        <v>#DIV/0!</v>
      </c>
      <c r="L362" s="34" t="s">
        <v>275</v>
      </c>
      <c r="M362" s="35"/>
      <c r="N362" s="56"/>
      <c r="O362" s="108" t="s">
        <v>11</v>
      </c>
    </row>
    <row r="363" spans="1:15" x14ac:dyDescent="0.3">
      <c r="A363" s="30" t="s">
        <v>48</v>
      </c>
      <c r="B363" s="30" t="s">
        <v>455</v>
      </c>
      <c r="C363" s="34" t="s">
        <v>75</v>
      </c>
      <c r="D363" s="30"/>
      <c r="E363" s="37">
        <v>44631</v>
      </c>
      <c r="F363" s="42">
        <v>0.56111111111111112</v>
      </c>
      <c r="G363" s="42"/>
      <c r="H363" s="35"/>
      <c r="I363" s="28" t="e">
        <f>((Tabela2[[#This Row],[TW - Terminal A]]-Tabela2[[#This Row],[KM]])/(Tabela2[[#This Row],[KM]]))</f>
        <v>#DIV/0!</v>
      </c>
      <c r="J363" s="35"/>
      <c r="K363" s="28" t="e">
        <f>((Tabela2[[#This Row],[TW - Terminal B ]]-Tabela2[[#This Row],[KM]])/(Tabela2[[#This Row],[KM]]))</f>
        <v>#DIV/0!</v>
      </c>
      <c r="L363" s="43" t="s">
        <v>180</v>
      </c>
      <c r="M363" s="35"/>
      <c r="N363" s="57"/>
      <c r="O363" s="125" t="s">
        <v>11</v>
      </c>
    </row>
    <row r="364" spans="1:15" x14ac:dyDescent="0.3">
      <c r="A364" s="30" t="s">
        <v>47</v>
      </c>
      <c r="B364" s="30" t="s">
        <v>455</v>
      </c>
      <c r="C364" s="34" t="s">
        <v>66</v>
      </c>
      <c r="D364" s="30"/>
      <c r="E364" s="32">
        <v>44640</v>
      </c>
      <c r="F364" s="38">
        <v>0.20972222222222223</v>
      </c>
      <c r="G364" s="38"/>
      <c r="H364" s="35"/>
      <c r="I364" s="28" t="e">
        <f>((Tabela2[[#This Row],[TW - Terminal A]]-Tabela2[[#This Row],[KM]])/(Tabela2[[#This Row],[KM]]))</f>
        <v>#DIV/0!</v>
      </c>
      <c r="J364" s="35"/>
      <c r="K364" s="28" t="e">
        <f>((Tabela2[[#This Row],[TW - Terminal B ]]-Tabela2[[#This Row],[KM]])/(Tabela2[[#This Row],[KM]]))</f>
        <v>#DIV/0!</v>
      </c>
      <c r="L364" s="34" t="s">
        <v>276</v>
      </c>
      <c r="M364" s="35"/>
      <c r="N364" s="56" t="s">
        <v>115</v>
      </c>
      <c r="O364" s="108" t="s">
        <v>12</v>
      </c>
    </row>
    <row r="365" spans="1:15" x14ac:dyDescent="0.3">
      <c r="A365" s="44" t="s">
        <v>47</v>
      </c>
      <c r="B365" s="30" t="s">
        <v>455</v>
      </c>
      <c r="C365" s="34" t="s">
        <v>64</v>
      </c>
      <c r="D365" s="44"/>
      <c r="E365" s="90">
        <v>44708</v>
      </c>
      <c r="F365" s="50">
        <v>4.5138888888888888E-2</v>
      </c>
      <c r="G365" s="50"/>
      <c r="H365" s="35"/>
      <c r="I365" s="28" t="e">
        <f>((Tabela2[[#This Row],[TW - Terminal A]]-Tabela2[[#This Row],[KM]])/(Tabela2[[#This Row],[KM]]))</f>
        <v>#DIV/0!</v>
      </c>
      <c r="J365" s="35"/>
      <c r="K365" s="28" t="e">
        <f>((Tabela2[[#This Row],[TW - Terminal B ]]-Tabela2[[#This Row],[KM]])/(Tabela2[[#This Row],[KM]]))</f>
        <v>#DIV/0!</v>
      </c>
      <c r="L365" s="47" t="s">
        <v>183</v>
      </c>
      <c r="M365" s="35"/>
      <c r="N365" s="177" t="s">
        <v>115</v>
      </c>
      <c r="O365" s="114" t="s">
        <v>12</v>
      </c>
    </row>
    <row r="366" spans="1:15" x14ac:dyDescent="0.3">
      <c r="A366" s="134" t="s">
        <v>47</v>
      </c>
      <c r="B366" s="30" t="s">
        <v>455</v>
      </c>
      <c r="C366" s="34" t="s">
        <v>66</v>
      </c>
      <c r="D366" s="134"/>
      <c r="E366" s="58">
        <v>44739</v>
      </c>
      <c r="F366" s="59">
        <v>0.51041666666666663</v>
      </c>
      <c r="G366" s="59"/>
      <c r="H366" s="35"/>
      <c r="I366" s="28" t="e">
        <f>((Tabela2[[#This Row],[TW - Terminal A]]-Tabela2[[#This Row],[KM]])/(Tabela2[[#This Row],[KM]]))</f>
        <v>#DIV/0!</v>
      </c>
      <c r="J366" s="35"/>
      <c r="K366" s="28" t="e">
        <f>((Tabela2[[#This Row],[TW - Terminal B ]]-Tabela2[[#This Row],[KM]])/(Tabela2[[#This Row],[KM]]))</f>
        <v>#DIV/0!</v>
      </c>
      <c r="L366" s="60" t="s">
        <v>277</v>
      </c>
      <c r="M366" s="35"/>
      <c r="N366" s="55" t="s">
        <v>111</v>
      </c>
      <c r="O366" s="112" t="s">
        <v>38</v>
      </c>
    </row>
    <row r="367" spans="1:15" x14ac:dyDescent="0.3">
      <c r="A367" s="134" t="s">
        <v>47</v>
      </c>
      <c r="B367" s="30" t="s">
        <v>455</v>
      </c>
      <c r="C367" s="34" t="s">
        <v>66</v>
      </c>
      <c r="D367" s="134"/>
      <c r="E367" s="58">
        <v>44769</v>
      </c>
      <c r="F367" s="59">
        <v>0.60069444444444442</v>
      </c>
      <c r="G367" s="59"/>
      <c r="H367" s="35"/>
      <c r="I367" s="28" t="e">
        <f>((Tabela2[[#This Row],[TW - Terminal A]]-Tabela2[[#This Row],[KM]])/(Tabela2[[#This Row],[KM]]))</f>
        <v>#DIV/0!</v>
      </c>
      <c r="J367" s="35"/>
      <c r="K367" s="28" t="e">
        <f>((Tabela2[[#This Row],[TW - Terminal B ]]-Tabela2[[#This Row],[KM]])/(Tabela2[[#This Row],[KM]]))</f>
        <v>#DIV/0!</v>
      </c>
      <c r="L367" s="60" t="s">
        <v>278</v>
      </c>
      <c r="M367" s="35"/>
      <c r="N367" s="55" t="s">
        <v>111</v>
      </c>
      <c r="O367" s="112" t="s">
        <v>39</v>
      </c>
    </row>
    <row r="368" spans="1:15" x14ac:dyDescent="0.3">
      <c r="A368" s="134" t="s">
        <v>47</v>
      </c>
      <c r="B368" s="30" t="s">
        <v>455</v>
      </c>
      <c r="C368" s="31" t="s">
        <v>64</v>
      </c>
      <c r="D368" s="134"/>
      <c r="E368" s="58">
        <v>44829</v>
      </c>
      <c r="F368" s="59">
        <v>0.31875000000000003</v>
      </c>
      <c r="G368" s="59"/>
      <c r="H368" s="35"/>
      <c r="I368" s="28" t="e">
        <f>((Tabela2[[#This Row],[TW - Terminal A]]-Tabela2[[#This Row],[KM]])/(Tabela2[[#This Row],[KM]]))</f>
        <v>#DIV/0!</v>
      </c>
      <c r="J368" s="35"/>
      <c r="K368" s="28" t="e">
        <f>((Tabela2[[#This Row],[TW - Terminal B ]]-Tabela2[[#This Row],[KM]])/(Tabela2[[#This Row],[KM]]))</f>
        <v>#DIV/0!</v>
      </c>
      <c r="L368" s="60" t="s">
        <v>279</v>
      </c>
      <c r="M368" s="35"/>
      <c r="N368" s="55" t="s">
        <v>115</v>
      </c>
      <c r="O368" s="112" t="s">
        <v>12</v>
      </c>
    </row>
    <row r="369" spans="1:15" x14ac:dyDescent="0.3">
      <c r="A369" s="30" t="s">
        <v>48</v>
      </c>
      <c r="B369" s="30" t="s">
        <v>455</v>
      </c>
      <c r="C369" s="31" t="s">
        <v>75</v>
      </c>
      <c r="D369" s="30"/>
      <c r="E369" s="37">
        <v>44836</v>
      </c>
      <c r="F369" s="42">
        <v>0.82916666666666672</v>
      </c>
      <c r="G369" s="42"/>
      <c r="H369" s="35"/>
      <c r="I369" s="28" t="e">
        <f>((Tabela2[[#This Row],[TW - Terminal A]]-Tabela2[[#This Row],[KM]])/(Tabela2[[#This Row],[KM]]))</f>
        <v>#DIV/0!</v>
      </c>
      <c r="J369" s="35"/>
      <c r="K369" s="28" t="e">
        <f>((Tabela2[[#This Row],[TW - Terminal B ]]-Tabela2[[#This Row],[KM]])/(Tabela2[[#This Row],[KM]]))</f>
        <v>#DIV/0!</v>
      </c>
      <c r="L369" s="43" t="s">
        <v>280</v>
      </c>
      <c r="M369" s="35"/>
      <c r="N369" s="57"/>
      <c r="O369" s="108" t="s">
        <v>12</v>
      </c>
    </row>
    <row r="370" spans="1:15" x14ac:dyDescent="0.3">
      <c r="A370" s="30" t="s">
        <v>48</v>
      </c>
      <c r="B370" s="30" t="s">
        <v>455</v>
      </c>
      <c r="C370" s="31" t="s">
        <v>75</v>
      </c>
      <c r="D370" s="30"/>
      <c r="E370" s="37">
        <v>44854</v>
      </c>
      <c r="F370" s="42">
        <v>3.3333333333333333E-2</v>
      </c>
      <c r="G370" s="42"/>
      <c r="H370" s="35"/>
      <c r="I370" s="28" t="e">
        <f>((Tabela2[[#This Row],[TW - Terminal A]]-Tabela2[[#This Row],[KM]])/(Tabela2[[#This Row],[KM]]))</f>
        <v>#DIV/0!</v>
      </c>
      <c r="J370" s="35"/>
      <c r="K370" s="28" t="e">
        <f>((Tabela2[[#This Row],[TW - Terminal B ]]-Tabela2[[#This Row],[KM]])/(Tabela2[[#This Row],[KM]]))</f>
        <v>#DIV/0!</v>
      </c>
      <c r="L370" s="43" t="s">
        <v>281</v>
      </c>
      <c r="M370" s="35"/>
      <c r="N370" s="57"/>
      <c r="O370" s="108" t="s">
        <v>12</v>
      </c>
    </row>
    <row r="371" spans="1:15" x14ac:dyDescent="0.3">
      <c r="A371" s="30" t="s">
        <v>48</v>
      </c>
      <c r="B371" s="30" t="s">
        <v>455</v>
      </c>
      <c r="C371" s="31" t="s">
        <v>75</v>
      </c>
      <c r="D371" s="30"/>
      <c r="E371" s="37">
        <v>44864</v>
      </c>
      <c r="F371" s="42">
        <v>0.77986111111111112</v>
      </c>
      <c r="G371" s="42"/>
      <c r="H371" s="35"/>
      <c r="I371" s="28" t="e">
        <f>((Tabela2[[#This Row],[TW - Terminal A]]-Tabela2[[#This Row],[KM]])/(Tabela2[[#This Row],[KM]]))</f>
        <v>#DIV/0!</v>
      </c>
      <c r="J371" s="35"/>
      <c r="K371" s="28" t="e">
        <f>((Tabela2[[#This Row],[TW - Terminal B ]]-Tabela2[[#This Row],[KM]])/(Tabela2[[#This Row],[KM]]))</f>
        <v>#DIV/0!</v>
      </c>
      <c r="L371" s="43" t="s">
        <v>282</v>
      </c>
      <c r="M371" s="35"/>
      <c r="N371" s="57"/>
      <c r="O371" s="108" t="s">
        <v>11</v>
      </c>
    </row>
    <row r="372" spans="1:15" x14ac:dyDescent="0.3">
      <c r="A372" s="134" t="s">
        <v>47</v>
      </c>
      <c r="B372" s="30" t="s">
        <v>455</v>
      </c>
      <c r="C372" s="31" t="s">
        <v>65</v>
      </c>
      <c r="D372" s="134"/>
      <c r="E372" s="58">
        <v>44879</v>
      </c>
      <c r="F372" s="59">
        <v>0.47361111111111109</v>
      </c>
      <c r="G372" s="59"/>
      <c r="H372" s="35"/>
      <c r="I372" s="28" t="e">
        <f>((Tabela2[[#This Row],[TW - Terminal A]]-Tabela2[[#This Row],[KM]])/(Tabela2[[#This Row],[KM]]))</f>
        <v>#DIV/0!</v>
      </c>
      <c r="J372" s="35"/>
      <c r="K372" s="28" t="e">
        <f>((Tabela2[[#This Row],[TW - Terminal B ]]-Tabela2[[#This Row],[KM]])/(Tabela2[[#This Row],[KM]]))</f>
        <v>#DIV/0!</v>
      </c>
      <c r="L372" s="60" t="s">
        <v>283</v>
      </c>
      <c r="M372" s="35"/>
      <c r="N372" s="55" t="s">
        <v>109</v>
      </c>
      <c r="O372" s="112" t="s">
        <v>11</v>
      </c>
    </row>
    <row r="373" spans="1:15" x14ac:dyDescent="0.3">
      <c r="A373" s="134" t="s">
        <v>47</v>
      </c>
      <c r="B373" s="30" t="s">
        <v>455</v>
      </c>
      <c r="C373" s="31" t="s">
        <v>64</v>
      </c>
      <c r="D373" s="134"/>
      <c r="E373" s="58">
        <v>44879</v>
      </c>
      <c r="F373" s="59">
        <v>0.55534722222222221</v>
      </c>
      <c r="G373" s="59"/>
      <c r="H373" s="35"/>
      <c r="I373" s="28" t="e">
        <f>((Tabela2[[#This Row],[TW - Terminal A]]-Tabela2[[#This Row],[KM]])/(Tabela2[[#This Row],[KM]]))</f>
        <v>#DIV/0!</v>
      </c>
      <c r="J373" s="35"/>
      <c r="K373" s="28" t="e">
        <f>((Tabela2[[#This Row],[TW - Terminal B ]]-Tabela2[[#This Row],[KM]])/(Tabela2[[#This Row],[KM]]))</f>
        <v>#DIV/0!</v>
      </c>
      <c r="L373" s="60" t="s">
        <v>220</v>
      </c>
      <c r="M373" s="35"/>
      <c r="N373" s="55" t="s">
        <v>109</v>
      </c>
      <c r="O373" s="112" t="s">
        <v>11</v>
      </c>
    </row>
    <row r="374" spans="1:15" x14ac:dyDescent="0.3">
      <c r="A374" s="134" t="s">
        <v>47</v>
      </c>
      <c r="B374" s="30" t="s">
        <v>455</v>
      </c>
      <c r="C374" s="34" t="s">
        <v>65</v>
      </c>
      <c r="D374" s="134"/>
      <c r="E374" s="58">
        <v>44879</v>
      </c>
      <c r="F374" s="59">
        <v>0.47410879629629626</v>
      </c>
      <c r="G374" s="59"/>
      <c r="H374" s="35"/>
      <c r="I374" s="28" t="e">
        <f>((Tabela2[[#This Row],[TW - Terminal A]]-Tabela2[[#This Row],[KM]])/(Tabela2[[#This Row],[KM]]))</f>
        <v>#DIV/0!</v>
      </c>
      <c r="J374" s="35"/>
      <c r="K374" s="28" t="e">
        <f>((Tabela2[[#This Row],[TW - Terminal B ]]-Tabela2[[#This Row],[KM]])/(Tabela2[[#This Row],[KM]]))</f>
        <v>#DIV/0!</v>
      </c>
      <c r="L374" s="60" t="s">
        <v>284</v>
      </c>
      <c r="M374" s="35"/>
      <c r="N374" s="55" t="s">
        <v>109</v>
      </c>
      <c r="O374" s="112" t="s">
        <v>11</v>
      </c>
    </row>
    <row r="375" spans="1:15" x14ac:dyDescent="0.3">
      <c r="A375" s="30" t="s">
        <v>47</v>
      </c>
      <c r="B375" s="30" t="s">
        <v>455</v>
      </c>
      <c r="C375" s="34" t="s">
        <v>67</v>
      </c>
      <c r="D375" s="30"/>
      <c r="E375" s="58">
        <v>44880</v>
      </c>
      <c r="F375" s="59">
        <v>0.7634143518518518</v>
      </c>
      <c r="G375" s="59"/>
      <c r="H375" s="35"/>
      <c r="I375" s="28" t="e">
        <f>((Tabela2[[#This Row],[TW - Terminal A]]-Tabela2[[#This Row],[KM]])/(Tabela2[[#This Row],[KM]]))</f>
        <v>#DIV/0!</v>
      </c>
      <c r="J375" s="35"/>
      <c r="K375" s="28" t="e">
        <f>((Tabela2[[#This Row],[TW - Terminal B ]]-Tabela2[[#This Row],[KM]])/(Tabela2[[#This Row],[KM]]))</f>
        <v>#DIV/0!</v>
      </c>
      <c r="L375" s="60" t="s">
        <v>285</v>
      </c>
      <c r="M375" s="35"/>
      <c r="N375" s="55" t="s">
        <v>115</v>
      </c>
      <c r="O375" s="112" t="s">
        <v>12</v>
      </c>
    </row>
    <row r="376" spans="1:15" x14ac:dyDescent="0.3">
      <c r="A376" s="134" t="s">
        <v>47</v>
      </c>
      <c r="B376" s="30" t="s">
        <v>455</v>
      </c>
      <c r="C376" s="34" t="s">
        <v>67</v>
      </c>
      <c r="D376" s="134"/>
      <c r="E376" s="58">
        <v>44881</v>
      </c>
      <c r="F376" s="59">
        <v>0.9555555555555556</v>
      </c>
      <c r="G376" s="59"/>
      <c r="H376" s="35"/>
      <c r="I376" s="28" t="e">
        <f>((Tabela2[[#This Row],[TW - Terminal A]]-Tabela2[[#This Row],[KM]])/(Tabela2[[#This Row],[KM]]))</f>
        <v>#DIV/0!</v>
      </c>
      <c r="J376" s="35"/>
      <c r="K376" s="28" t="e">
        <f>((Tabela2[[#This Row],[TW - Terminal B ]]-Tabela2[[#This Row],[KM]])/(Tabela2[[#This Row],[KM]]))</f>
        <v>#DIV/0!</v>
      </c>
      <c r="L376" s="60" t="s">
        <v>286</v>
      </c>
      <c r="M376" s="35"/>
      <c r="N376" s="55" t="s">
        <v>109</v>
      </c>
      <c r="O376" s="112" t="s">
        <v>11</v>
      </c>
    </row>
    <row r="377" spans="1:15" x14ac:dyDescent="0.3">
      <c r="A377" s="134" t="s">
        <v>53</v>
      </c>
      <c r="B377" s="30" t="s">
        <v>455</v>
      </c>
      <c r="C377" s="34" t="s">
        <v>97</v>
      </c>
      <c r="D377" s="134"/>
      <c r="E377" s="58">
        <v>44964</v>
      </c>
      <c r="F377" s="59">
        <v>0.52500000000000002</v>
      </c>
      <c r="G377" s="59"/>
      <c r="H377" s="35"/>
      <c r="I377" s="28" t="e">
        <f>((Tabela2[[#This Row],[TW - Terminal A]]-Tabela2[[#This Row],[KM]])/(Tabela2[[#This Row],[KM]]))</f>
        <v>#DIV/0!</v>
      </c>
      <c r="J377" s="35"/>
      <c r="K377" s="28" t="e">
        <f>((Tabela2[[#This Row],[TW - Terminal B ]]-Tabela2[[#This Row],[KM]])/(Tabela2[[#This Row],[KM]]))</f>
        <v>#DIV/0!</v>
      </c>
      <c r="L377" s="60" t="s">
        <v>254</v>
      </c>
      <c r="M377" s="35"/>
      <c r="N377" s="55"/>
      <c r="O377" s="112" t="s">
        <v>11</v>
      </c>
    </row>
    <row r="378" spans="1:15" x14ac:dyDescent="0.3">
      <c r="A378" s="134" t="s">
        <v>47</v>
      </c>
      <c r="B378" s="30" t="s">
        <v>455</v>
      </c>
      <c r="C378" s="34" t="s">
        <v>64</v>
      </c>
      <c r="D378" s="134"/>
      <c r="E378" s="32">
        <v>44980</v>
      </c>
      <c r="F378" s="38">
        <v>0.49070601851851853</v>
      </c>
      <c r="G378" s="38"/>
      <c r="H378" s="35"/>
      <c r="I378" s="28" t="e">
        <f>((Tabela2[[#This Row],[TW - Terminal A]]-Tabela2[[#This Row],[KM]])/(Tabela2[[#This Row],[KM]]))</f>
        <v>#DIV/0!</v>
      </c>
      <c r="J378" s="35"/>
      <c r="K378" s="28" t="e">
        <f>((Tabela2[[#This Row],[TW - Terminal B ]]-Tabela2[[#This Row],[KM]])/(Tabela2[[#This Row],[KM]]))</f>
        <v>#DIV/0!</v>
      </c>
      <c r="L378" s="34" t="s">
        <v>287</v>
      </c>
      <c r="M378" s="35"/>
      <c r="N378" s="56" t="s">
        <v>109</v>
      </c>
      <c r="O378" s="108" t="s">
        <v>11</v>
      </c>
    </row>
    <row r="379" spans="1:15" x14ac:dyDescent="0.3">
      <c r="A379" s="30" t="s">
        <v>48</v>
      </c>
      <c r="B379" s="30" t="s">
        <v>455</v>
      </c>
      <c r="C379" s="34" t="s">
        <v>75</v>
      </c>
      <c r="D379" s="30"/>
      <c r="E379" s="32">
        <v>44992</v>
      </c>
      <c r="F379" s="38">
        <v>0.26250000000000001</v>
      </c>
      <c r="G379" s="38"/>
      <c r="H379" s="35"/>
      <c r="I379" s="28" t="e">
        <f>((Tabela2[[#This Row],[TW - Terminal A]]-Tabela2[[#This Row],[KM]])/(Tabela2[[#This Row],[KM]]))</f>
        <v>#DIV/0!</v>
      </c>
      <c r="J379" s="35"/>
      <c r="K379" s="28" t="e">
        <f>((Tabela2[[#This Row],[TW - Terminal B ]]-Tabela2[[#This Row],[KM]])/(Tabela2[[#This Row],[KM]]))</f>
        <v>#DIV/0!</v>
      </c>
      <c r="L379" s="34" t="s">
        <v>267</v>
      </c>
      <c r="M379" s="35"/>
      <c r="N379" s="56"/>
      <c r="O379" s="108" t="s">
        <v>12</v>
      </c>
    </row>
    <row r="380" spans="1:15" x14ac:dyDescent="0.3">
      <c r="A380" s="30" t="s">
        <v>47</v>
      </c>
      <c r="B380" s="30" t="s">
        <v>455</v>
      </c>
      <c r="C380" s="34" t="s">
        <v>64</v>
      </c>
      <c r="D380" s="30"/>
      <c r="E380" s="32">
        <v>44995</v>
      </c>
      <c r="F380" s="38">
        <v>0.11875000000000001</v>
      </c>
      <c r="G380" s="38"/>
      <c r="H380" s="35"/>
      <c r="I380" s="28" t="e">
        <f>((Tabela2[[#This Row],[TW - Terminal A]]-Tabela2[[#This Row],[KM]])/(Tabela2[[#This Row],[KM]]))</f>
        <v>#DIV/0!</v>
      </c>
      <c r="J380" s="35"/>
      <c r="K380" s="28" t="e">
        <f>((Tabela2[[#This Row],[TW - Terminal B ]]-Tabela2[[#This Row],[KM]])/(Tabela2[[#This Row],[KM]]))</f>
        <v>#DIV/0!</v>
      </c>
      <c r="L380" s="34" t="s">
        <v>193</v>
      </c>
      <c r="M380" s="35"/>
      <c r="N380" s="56" t="s">
        <v>109</v>
      </c>
      <c r="O380" s="108" t="s">
        <v>11</v>
      </c>
    </row>
    <row r="381" spans="1:15" x14ac:dyDescent="0.3">
      <c r="A381" s="30" t="s">
        <v>48</v>
      </c>
      <c r="B381" s="30" t="s">
        <v>455</v>
      </c>
      <c r="C381" s="34" t="s">
        <v>75</v>
      </c>
      <c r="D381" s="30"/>
      <c r="E381" s="32">
        <v>45003</v>
      </c>
      <c r="F381" s="38">
        <v>0.86875000000000002</v>
      </c>
      <c r="G381" s="38"/>
      <c r="H381" s="35"/>
      <c r="I381" s="28" t="e">
        <f>((Tabela2[[#This Row],[TW - Terminal A]]-Tabela2[[#This Row],[KM]])/(Tabela2[[#This Row],[KM]]))</f>
        <v>#DIV/0!</v>
      </c>
      <c r="J381" s="35"/>
      <c r="K381" s="28" t="e">
        <f>((Tabela2[[#This Row],[TW - Terminal B ]]-Tabela2[[#This Row],[KM]])/(Tabela2[[#This Row],[KM]]))</f>
        <v>#DIV/0!</v>
      </c>
      <c r="L381" s="34" t="s">
        <v>288</v>
      </c>
      <c r="M381" s="35"/>
      <c r="N381" s="56"/>
      <c r="O381" s="108" t="s">
        <v>12</v>
      </c>
    </row>
    <row r="382" spans="1:15" x14ac:dyDescent="0.3">
      <c r="A382" s="30" t="s">
        <v>47</v>
      </c>
      <c r="B382" s="30" t="s">
        <v>455</v>
      </c>
      <c r="C382" s="34" t="s">
        <v>64</v>
      </c>
      <c r="D382" s="30"/>
      <c r="E382" s="32">
        <v>44880</v>
      </c>
      <c r="F382" s="38">
        <v>0.7631944444444444</v>
      </c>
      <c r="G382" s="38"/>
      <c r="H382" s="35"/>
      <c r="I382" s="28" t="e">
        <f>((Tabela2[[#This Row],[TW - Terminal A]]-Tabela2[[#This Row],[KM]])/(Tabela2[[#This Row],[KM]]))</f>
        <v>#DIV/0!</v>
      </c>
      <c r="J382" s="35"/>
      <c r="K382" s="28" t="e">
        <f>((Tabela2[[#This Row],[TW - Terminal B ]]-Tabela2[[#This Row],[KM]])/(Tabela2[[#This Row],[KM]]))</f>
        <v>#DIV/0!</v>
      </c>
      <c r="L382" s="34" t="s">
        <v>284</v>
      </c>
      <c r="M382" s="35"/>
      <c r="N382" s="56" t="s">
        <v>109</v>
      </c>
      <c r="O382" s="108" t="s">
        <v>11</v>
      </c>
    </row>
    <row r="383" spans="1:15" x14ac:dyDescent="0.3">
      <c r="A383" s="30" t="s">
        <v>47</v>
      </c>
      <c r="B383" s="30" t="s">
        <v>455</v>
      </c>
      <c r="C383" s="34" t="s">
        <v>64</v>
      </c>
      <c r="D383" s="30"/>
      <c r="E383" s="32">
        <v>45029</v>
      </c>
      <c r="F383" s="38">
        <v>0.63958333333333328</v>
      </c>
      <c r="G383" s="38"/>
      <c r="H383" s="35"/>
      <c r="I383" s="28" t="e">
        <f>((Tabela2[[#This Row],[TW - Terminal A]]-Tabela2[[#This Row],[KM]])/(Tabela2[[#This Row],[KM]]))</f>
        <v>#DIV/0!</v>
      </c>
      <c r="J383" s="35"/>
      <c r="K383" s="28" t="e">
        <f>((Tabela2[[#This Row],[TW - Terminal B ]]-Tabela2[[#This Row],[KM]])/(Tabela2[[#This Row],[KM]]))</f>
        <v>#DIV/0!</v>
      </c>
      <c r="L383" s="34" t="s">
        <v>289</v>
      </c>
      <c r="M383" s="35"/>
      <c r="N383" s="56" t="s">
        <v>109</v>
      </c>
      <c r="O383" s="108" t="s">
        <v>11</v>
      </c>
    </row>
    <row r="384" spans="1:15" x14ac:dyDescent="0.3">
      <c r="A384" s="30" t="s">
        <v>48</v>
      </c>
      <c r="B384" s="30" t="s">
        <v>455</v>
      </c>
      <c r="C384" s="34" t="s">
        <v>75</v>
      </c>
      <c r="D384" s="30"/>
      <c r="E384" s="32">
        <v>45055</v>
      </c>
      <c r="F384" s="38">
        <v>9.0972222222222218E-2</v>
      </c>
      <c r="G384" s="38"/>
      <c r="H384" s="35"/>
      <c r="I384" s="28" t="e">
        <f>((Tabela2[[#This Row],[TW - Terminal A]]-Tabela2[[#This Row],[KM]])/(Tabela2[[#This Row],[KM]]))</f>
        <v>#DIV/0!</v>
      </c>
      <c r="J384" s="35"/>
      <c r="K384" s="28" t="e">
        <f>((Tabela2[[#This Row],[TW - Terminal B ]]-Tabela2[[#This Row],[KM]])/(Tabela2[[#This Row],[KM]]))</f>
        <v>#DIV/0!</v>
      </c>
      <c r="L384" s="34" t="s">
        <v>214</v>
      </c>
      <c r="M384" s="35"/>
      <c r="N384" s="56"/>
      <c r="O384" s="112" t="s">
        <v>11</v>
      </c>
    </row>
    <row r="385" spans="1:15" x14ac:dyDescent="0.3">
      <c r="A385" s="30" t="s">
        <v>48</v>
      </c>
      <c r="B385" s="30" t="s">
        <v>455</v>
      </c>
      <c r="C385" s="34" t="s">
        <v>75</v>
      </c>
      <c r="D385" s="30"/>
      <c r="E385" s="32">
        <v>45159</v>
      </c>
      <c r="F385" s="38">
        <v>0.86597222222222225</v>
      </c>
      <c r="G385" s="38"/>
      <c r="H385" s="35"/>
      <c r="I385" s="28" t="e">
        <f>((Tabela2[[#This Row],[TW - Terminal A]]-Tabela2[[#This Row],[KM]])/(Tabela2[[#This Row],[KM]]))</f>
        <v>#DIV/0!</v>
      </c>
      <c r="J385" s="35"/>
      <c r="K385" s="28" t="e">
        <f>((Tabela2[[#This Row],[TW - Terminal B ]]-Tabela2[[#This Row],[KM]])/(Tabela2[[#This Row],[KM]]))</f>
        <v>#DIV/0!</v>
      </c>
      <c r="L385" s="34" t="s">
        <v>290</v>
      </c>
      <c r="M385" s="35"/>
      <c r="N385" s="56"/>
      <c r="O385" s="108" t="s">
        <v>12</v>
      </c>
    </row>
    <row r="386" spans="1:15" x14ac:dyDescent="0.3">
      <c r="A386" s="30" t="s">
        <v>53</v>
      </c>
      <c r="B386" s="30" t="s">
        <v>455</v>
      </c>
      <c r="C386" s="31" t="s">
        <v>99</v>
      </c>
      <c r="D386" s="30"/>
      <c r="E386" s="32">
        <v>45219</v>
      </c>
      <c r="F386" s="38">
        <v>7.7777777777777779E-2</v>
      </c>
      <c r="G386" s="38"/>
      <c r="H386" s="35"/>
      <c r="I386" s="28" t="e">
        <f>((Tabela2[[#This Row],[TW - Terminal A]]-Tabela2[[#This Row],[KM]])/(Tabela2[[#This Row],[KM]]))</f>
        <v>#DIV/0!</v>
      </c>
      <c r="J386" s="35"/>
      <c r="K386" s="28" t="e">
        <f>((Tabela2[[#This Row],[TW - Terminal B ]]-Tabela2[[#This Row],[KM]])/(Tabela2[[#This Row],[KM]]))</f>
        <v>#DIV/0!</v>
      </c>
      <c r="L386" s="34"/>
      <c r="M386" s="35"/>
      <c r="N386" s="56"/>
      <c r="O386" s="108" t="s">
        <v>40</v>
      </c>
    </row>
    <row r="387" spans="1:15" x14ac:dyDescent="0.3">
      <c r="A387" s="30" t="s">
        <v>47</v>
      </c>
      <c r="B387" s="30" t="s">
        <v>455</v>
      </c>
      <c r="C387" s="31" t="s">
        <v>64</v>
      </c>
      <c r="D387" s="30"/>
      <c r="E387" s="32">
        <v>45251</v>
      </c>
      <c r="F387" s="38">
        <v>0.52777777777777779</v>
      </c>
      <c r="G387" s="38"/>
      <c r="H387" s="35"/>
      <c r="I387" s="28" t="e">
        <f>((Tabela2[[#This Row],[TW - Terminal A]]-Tabela2[[#This Row],[KM]])/(Tabela2[[#This Row],[KM]]))</f>
        <v>#DIV/0!</v>
      </c>
      <c r="J387" s="35"/>
      <c r="K387" s="28" t="e">
        <f>((Tabela2[[#This Row],[TW - Terminal B ]]-Tabela2[[#This Row],[KM]])/(Tabela2[[#This Row],[KM]]))</f>
        <v>#DIV/0!</v>
      </c>
      <c r="L387" s="34" t="s">
        <v>291</v>
      </c>
      <c r="M387" s="35"/>
      <c r="N387" s="56" t="s">
        <v>109</v>
      </c>
      <c r="O387" s="108" t="s">
        <v>11</v>
      </c>
    </row>
    <row r="388" spans="1:15" x14ac:dyDescent="0.3">
      <c r="A388" s="30" t="s">
        <v>48</v>
      </c>
      <c r="B388" s="30" t="s">
        <v>455</v>
      </c>
      <c r="C388" s="31" t="s">
        <v>75</v>
      </c>
      <c r="D388" s="30"/>
      <c r="E388" s="32">
        <v>45251</v>
      </c>
      <c r="F388" s="38">
        <v>0.73958333333333337</v>
      </c>
      <c r="G388" s="38"/>
      <c r="H388" s="35"/>
      <c r="I388" s="28" t="e">
        <f>((Tabela2[[#This Row],[TW - Terminal A]]-Tabela2[[#This Row],[KM]])/(Tabela2[[#This Row],[KM]]))</f>
        <v>#DIV/0!</v>
      </c>
      <c r="J388" s="35"/>
      <c r="K388" s="28" t="e">
        <f>((Tabela2[[#This Row],[TW - Terminal B ]]-Tabela2[[#This Row],[KM]])/(Tabela2[[#This Row],[KM]]))</f>
        <v>#DIV/0!</v>
      </c>
      <c r="L388" s="34" t="s">
        <v>292</v>
      </c>
      <c r="M388" s="35"/>
      <c r="N388" s="56"/>
      <c r="O388" s="108" t="s">
        <v>11</v>
      </c>
    </row>
    <row r="389" spans="1:15" x14ac:dyDescent="0.3">
      <c r="A389" s="30" t="s">
        <v>48</v>
      </c>
      <c r="B389" s="30" t="s">
        <v>455</v>
      </c>
      <c r="C389" s="34" t="s">
        <v>75</v>
      </c>
      <c r="D389" s="30"/>
      <c r="E389" s="32">
        <v>45296</v>
      </c>
      <c r="F389" s="38">
        <v>0.1423611111111111</v>
      </c>
      <c r="G389" s="38"/>
      <c r="H389" s="35"/>
      <c r="I389" s="28" t="e">
        <f>((Tabela2[[#This Row],[TW - Terminal A]]-Tabela2[[#This Row],[KM]])/(Tabela2[[#This Row],[KM]]))</f>
        <v>#DIV/0!</v>
      </c>
      <c r="J389" s="35"/>
      <c r="K389" s="28" t="e">
        <f>((Tabela2[[#This Row],[TW - Terminal B ]]-Tabela2[[#This Row],[KM]])/(Tabela2[[#This Row],[KM]]))</f>
        <v>#DIV/0!</v>
      </c>
      <c r="L389" s="34" t="s">
        <v>293</v>
      </c>
      <c r="M389" s="35"/>
      <c r="N389" s="56"/>
      <c r="O389" s="108" t="s">
        <v>11</v>
      </c>
    </row>
    <row r="390" spans="1:15" x14ac:dyDescent="0.3">
      <c r="A390" s="30" t="s">
        <v>47</v>
      </c>
      <c r="B390" s="30" t="s">
        <v>455</v>
      </c>
      <c r="C390" s="34" t="s">
        <v>64</v>
      </c>
      <c r="D390" s="30"/>
      <c r="E390" s="32">
        <v>45305</v>
      </c>
      <c r="F390" s="38">
        <v>0.3901736111111111</v>
      </c>
      <c r="G390" s="38"/>
      <c r="H390" s="35"/>
      <c r="I390" s="28" t="e">
        <f>((Tabela2[[#This Row],[TW - Terminal A]]-Tabela2[[#This Row],[KM]])/(Tabela2[[#This Row],[KM]]))</f>
        <v>#DIV/0!</v>
      </c>
      <c r="J390" s="35"/>
      <c r="K390" s="28" t="e">
        <f>((Tabela2[[#This Row],[TW - Terminal B ]]-Tabela2[[#This Row],[KM]])/(Tabela2[[#This Row],[KM]]))</f>
        <v>#DIV/0!</v>
      </c>
      <c r="L390" s="34" t="s">
        <v>294</v>
      </c>
      <c r="M390" s="35"/>
      <c r="N390" s="56" t="s">
        <v>109</v>
      </c>
      <c r="O390" s="108" t="s">
        <v>11</v>
      </c>
    </row>
    <row r="391" spans="1:15" x14ac:dyDescent="0.3">
      <c r="A391" s="30" t="s">
        <v>53</v>
      </c>
      <c r="B391" s="30" t="s">
        <v>455</v>
      </c>
      <c r="C391" s="34" t="s">
        <v>100</v>
      </c>
      <c r="D391" s="30"/>
      <c r="E391" s="32">
        <v>45306</v>
      </c>
      <c r="F391" s="38">
        <v>0.1315625</v>
      </c>
      <c r="G391" s="38"/>
      <c r="H391" s="35"/>
      <c r="I391" s="28" t="e">
        <f>((Tabela2[[#This Row],[TW - Terminal A]]-Tabela2[[#This Row],[KM]])/(Tabela2[[#This Row],[KM]]))</f>
        <v>#DIV/0!</v>
      </c>
      <c r="J391" s="35"/>
      <c r="K391" s="28" t="e">
        <f>((Tabela2[[#This Row],[TW - Terminal B ]]-Tabela2[[#This Row],[KM]])/(Tabela2[[#This Row],[KM]]))</f>
        <v>#DIV/0!</v>
      </c>
      <c r="L391" s="34" t="s">
        <v>181</v>
      </c>
      <c r="M391" s="35"/>
      <c r="N391" s="56"/>
      <c r="O391" s="108" t="s">
        <v>11</v>
      </c>
    </row>
    <row r="392" spans="1:15" x14ac:dyDescent="0.3">
      <c r="A392" s="30" t="s">
        <v>48</v>
      </c>
      <c r="B392" s="30" t="s">
        <v>455</v>
      </c>
      <c r="C392" s="34" t="s">
        <v>75</v>
      </c>
      <c r="D392" s="30"/>
      <c r="E392" s="32">
        <v>45360</v>
      </c>
      <c r="F392" s="38">
        <v>0.74652777777777779</v>
      </c>
      <c r="G392" s="38"/>
      <c r="H392" s="35"/>
      <c r="I392" s="28" t="e">
        <f>((Tabela2[[#This Row],[TW - Terminal A]]-Tabela2[[#This Row],[KM]])/(Tabela2[[#This Row],[KM]]))</f>
        <v>#DIV/0!</v>
      </c>
      <c r="J392" s="35"/>
      <c r="K392" s="28" t="e">
        <f>((Tabela2[[#This Row],[TW - Terminal B ]]-Tabela2[[#This Row],[KM]])/(Tabela2[[#This Row],[KM]]))</f>
        <v>#DIV/0!</v>
      </c>
      <c r="L392" s="34" t="s">
        <v>295</v>
      </c>
      <c r="M392" s="35"/>
      <c r="N392" s="56"/>
      <c r="O392" s="108" t="s">
        <v>11</v>
      </c>
    </row>
    <row r="393" spans="1:15" x14ac:dyDescent="0.3">
      <c r="A393" s="30" t="s">
        <v>53</v>
      </c>
      <c r="B393" s="30" t="s">
        <v>455</v>
      </c>
      <c r="C393" s="31" t="s">
        <v>99</v>
      </c>
      <c r="D393" s="30"/>
      <c r="E393" s="32">
        <v>45367</v>
      </c>
      <c r="F393" s="38">
        <v>0.28819444444444442</v>
      </c>
      <c r="G393" s="38"/>
      <c r="H393" s="35"/>
      <c r="I393" s="28" t="e">
        <f>((Tabela2[[#This Row],[TW - Terminal A]]-Tabela2[[#This Row],[KM]])/(Tabela2[[#This Row],[KM]]))</f>
        <v>#DIV/0!</v>
      </c>
      <c r="J393" s="35"/>
      <c r="K393" s="28" t="e">
        <f>((Tabela2[[#This Row],[TW - Terminal B ]]-Tabela2[[#This Row],[KM]])/(Tabela2[[#This Row],[KM]]))</f>
        <v>#DIV/0!</v>
      </c>
      <c r="L393" s="34" t="s">
        <v>260</v>
      </c>
      <c r="M393" s="35"/>
      <c r="N393" s="56"/>
      <c r="O393" s="108" t="s">
        <v>11</v>
      </c>
    </row>
    <row r="394" spans="1:15" x14ac:dyDescent="0.3">
      <c r="A394" s="30" t="s">
        <v>53</v>
      </c>
      <c r="B394" s="30" t="s">
        <v>455</v>
      </c>
      <c r="C394" s="34" t="s">
        <v>100</v>
      </c>
      <c r="D394" s="30"/>
      <c r="E394" s="32">
        <v>45367</v>
      </c>
      <c r="F394" s="38">
        <v>0.28819444444444442</v>
      </c>
      <c r="G394" s="38"/>
      <c r="H394" s="35"/>
      <c r="I394" s="28" t="e">
        <f>((Tabela2[[#This Row],[TW - Terminal A]]-Tabela2[[#This Row],[KM]])/(Tabela2[[#This Row],[KM]]))</f>
        <v>#DIV/0!</v>
      </c>
      <c r="J394" s="35"/>
      <c r="K394" s="28" t="e">
        <f>((Tabela2[[#This Row],[TW - Terminal B ]]-Tabela2[[#This Row],[KM]])/(Tabela2[[#This Row],[KM]]))</f>
        <v>#DIV/0!</v>
      </c>
      <c r="L394" s="34" t="s">
        <v>260</v>
      </c>
      <c r="M394" s="35"/>
      <c r="N394" s="56"/>
      <c r="O394" s="108" t="s">
        <v>11</v>
      </c>
    </row>
    <row r="395" spans="1:15" x14ac:dyDescent="0.3">
      <c r="A395" s="30" t="s">
        <v>47</v>
      </c>
      <c r="B395" s="30" t="s">
        <v>455</v>
      </c>
      <c r="C395" s="34" t="s">
        <v>66</v>
      </c>
      <c r="D395" s="30"/>
      <c r="E395" s="32">
        <v>45382</v>
      </c>
      <c r="F395" s="38">
        <v>0.1111111111111111</v>
      </c>
      <c r="G395" s="38"/>
      <c r="H395" s="35"/>
      <c r="I395" s="28" t="e">
        <f>((Tabela2[[#This Row],[TW - Terminal A]]-Tabela2[[#This Row],[KM]])/(Tabela2[[#This Row],[KM]]))</f>
        <v>#DIV/0!</v>
      </c>
      <c r="J395" s="35"/>
      <c r="K395" s="28" t="e">
        <f>((Tabela2[[#This Row],[TW - Terminal B ]]-Tabela2[[#This Row],[KM]])/(Tabela2[[#This Row],[KM]]))</f>
        <v>#DIV/0!</v>
      </c>
      <c r="L395" s="34" t="s">
        <v>296</v>
      </c>
      <c r="M395" s="35"/>
      <c r="N395" s="56" t="s">
        <v>115</v>
      </c>
      <c r="O395" s="108" t="s">
        <v>12</v>
      </c>
    </row>
    <row r="396" spans="1:15" x14ac:dyDescent="0.3">
      <c r="A396" s="30" t="s">
        <v>48</v>
      </c>
      <c r="B396" s="30" t="s">
        <v>455</v>
      </c>
      <c r="C396" s="34" t="s">
        <v>75</v>
      </c>
      <c r="D396" s="30"/>
      <c r="E396" s="32">
        <v>45383</v>
      </c>
      <c r="F396" s="38">
        <v>0.18194444444444444</v>
      </c>
      <c r="G396" s="38"/>
      <c r="H396" s="35"/>
      <c r="I396" s="28" t="e">
        <f>((Tabela2[[#This Row],[TW - Terminal A]]-Tabela2[[#This Row],[KM]])/(Tabela2[[#This Row],[KM]]))</f>
        <v>#DIV/0!</v>
      </c>
      <c r="J396" s="35"/>
      <c r="K396" s="28" t="e">
        <f>((Tabela2[[#This Row],[TW - Terminal B ]]-Tabela2[[#This Row],[KM]])/(Tabela2[[#This Row],[KM]]))</f>
        <v>#DIV/0!</v>
      </c>
      <c r="L396" s="34" t="s">
        <v>297</v>
      </c>
      <c r="M396" s="35"/>
      <c r="N396" s="56"/>
      <c r="O396" s="108" t="s">
        <v>11</v>
      </c>
    </row>
    <row r="397" spans="1:15" x14ac:dyDescent="0.3">
      <c r="A397" s="30" t="s">
        <v>47</v>
      </c>
      <c r="B397" s="30" t="s">
        <v>455</v>
      </c>
      <c r="C397" s="34" t="s">
        <v>66</v>
      </c>
      <c r="D397" s="30"/>
      <c r="E397" s="32">
        <v>45395</v>
      </c>
      <c r="F397" s="38">
        <v>0.84027777777777779</v>
      </c>
      <c r="G397" s="38"/>
      <c r="H397" s="35"/>
      <c r="I397" s="28" t="e">
        <f>((Tabela2[[#This Row],[TW - Terminal A]]-Tabela2[[#This Row],[KM]])/(Tabela2[[#This Row],[KM]]))</f>
        <v>#DIV/0!</v>
      </c>
      <c r="J397" s="35"/>
      <c r="K397" s="28" t="e">
        <f>((Tabela2[[#This Row],[TW - Terminal B ]]-Tabela2[[#This Row],[KM]])/(Tabela2[[#This Row],[KM]]))</f>
        <v>#DIV/0!</v>
      </c>
      <c r="L397" s="34" t="s">
        <v>229</v>
      </c>
      <c r="M397" s="35"/>
      <c r="N397" s="56" t="s">
        <v>115</v>
      </c>
      <c r="O397" s="108" t="s">
        <v>12</v>
      </c>
    </row>
    <row r="398" spans="1:15" x14ac:dyDescent="0.3">
      <c r="A398" s="30" t="s">
        <v>47</v>
      </c>
      <c r="B398" s="30" t="s">
        <v>455</v>
      </c>
      <c r="C398" s="34" t="s">
        <v>65</v>
      </c>
      <c r="D398" s="30"/>
      <c r="E398" s="32">
        <v>45472</v>
      </c>
      <c r="F398" s="38">
        <v>0.58888888888888891</v>
      </c>
      <c r="G398" s="38"/>
      <c r="H398" s="35"/>
      <c r="I398" s="28" t="e">
        <f>((Tabela2[[#This Row],[TW - Terminal A]]-Tabela2[[#This Row],[KM]])/(Tabela2[[#This Row],[KM]]))</f>
        <v>#DIV/0!</v>
      </c>
      <c r="J398" s="35"/>
      <c r="K398" s="28" t="e">
        <f>((Tabela2[[#This Row],[TW - Terminal B ]]-Tabela2[[#This Row],[KM]])/(Tabela2[[#This Row],[KM]]))</f>
        <v>#DIV/0!</v>
      </c>
      <c r="L398" s="34" t="s">
        <v>298</v>
      </c>
      <c r="M398" s="35"/>
      <c r="N398" s="56" t="s">
        <v>111</v>
      </c>
      <c r="O398" s="108" t="s">
        <v>41</v>
      </c>
    </row>
    <row r="399" spans="1:15" x14ac:dyDescent="0.3">
      <c r="A399" s="30" t="s">
        <v>47</v>
      </c>
      <c r="B399" s="30" t="s">
        <v>455</v>
      </c>
      <c r="C399" s="34" t="s">
        <v>66</v>
      </c>
      <c r="D399" s="30"/>
      <c r="E399" s="32">
        <v>45555</v>
      </c>
      <c r="F399" s="38">
        <v>0.66874999999999996</v>
      </c>
      <c r="G399" s="38"/>
      <c r="H399" s="35"/>
      <c r="I399" s="28" t="e">
        <f>((Tabela2[[#This Row],[TW - Terminal A]]-Tabela2[[#This Row],[KM]])/(Tabela2[[#This Row],[KM]]))</f>
        <v>#DIV/0!</v>
      </c>
      <c r="J399" s="35"/>
      <c r="K399" s="28" t="e">
        <f>((Tabela2[[#This Row],[TW - Terminal B ]]-Tabela2[[#This Row],[KM]])/(Tabela2[[#This Row],[KM]]))</f>
        <v>#DIV/0!</v>
      </c>
      <c r="L399" s="34" t="s">
        <v>299</v>
      </c>
      <c r="M399" s="35"/>
      <c r="N399" s="56" t="s">
        <v>111</v>
      </c>
      <c r="O399" s="108" t="s">
        <v>41</v>
      </c>
    </row>
    <row r="400" spans="1:15" x14ac:dyDescent="0.3">
      <c r="A400" s="30" t="s">
        <v>47</v>
      </c>
      <c r="B400" s="30" t="s">
        <v>455</v>
      </c>
      <c r="C400" s="34" t="s">
        <v>64</v>
      </c>
      <c r="D400" s="30"/>
      <c r="E400" s="32">
        <v>45567</v>
      </c>
      <c r="F400" s="38">
        <v>0.59583333333333333</v>
      </c>
      <c r="G400" s="38"/>
      <c r="H400" s="35"/>
      <c r="I400" s="28" t="e">
        <f>((Tabela2[[#This Row],[TW - Terminal A]]-Tabela2[[#This Row],[KM]])/(Tabela2[[#This Row],[KM]]))</f>
        <v>#DIV/0!</v>
      </c>
      <c r="J400" s="35"/>
      <c r="K400" s="28" t="e">
        <f>((Tabela2[[#This Row],[TW - Terminal B ]]-Tabela2[[#This Row],[KM]])/(Tabela2[[#This Row],[KM]]))</f>
        <v>#DIV/0!</v>
      </c>
      <c r="L400" s="34" t="s">
        <v>300</v>
      </c>
      <c r="M400" s="35"/>
      <c r="N400" s="56" t="s">
        <v>111</v>
      </c>
      <c r="O400" s="108" t="s">
        <v>41</v>
      </c>
    </row>
    <row r="401" spans="1:15" x14ac:dyDescent="0.3">
      <c r="A401" s="30" t="s">
        <v>53</v>
      </c>
      <c r="B401" s="30" t="s">
        <v>455</v>
      </c>
      <c r="C401" s="34" t="s">
        <v>98</v>
      </c>
      <c r="D401" s="30"/>
      <c r="E401" s="32">
        <v>45571</v>
      </c>
      <c r="F401" s="38">
        <v>1.5972222222222221E-2</v>
      </c>
      <c r="G401" s="38"/>
      <c r="H401" s="35"/>
      <c r="I401" s="28" t="e">
        <f>((Tabela2[[#This Row],[TW - Terminal A]]-Tabela2[[#This Row],[KM]])/(Tabela2[[#This Row],[KM]]))</f>
        <v>#DIV/0!</v>
      </c>
      <c r="J401" s="35"/>
      <c r="K401" s="28" t="e">
        <f>((Tabela2[[#This Row],[TW - Terminal B ]]-Tabela2[[#This Row],[KM]])/(Tabela2[[#This Row],[KM]]))</f>
        <v>#DIV/0!</v>
      </c>
      <c r="L401" s="34" t="s">
        <v>42</v>
      </c>
      <c r="M401" s="35"/>
      <c r="N401" s="56"/>
      <c r="O401" s="108" t="s">
        <v>43</v>
      </c>
    </row>
    <row r="402" spans="1:15" x14ac:dyDescent="0.3">
      <c r="A402" s="30" t="s">
        <v>53</v>
      </c>
      <c r="B402" s="30" t="s">
        <v>455</v>
      </c>
      <c r="C402" s="31" t="s">
        <v>98</v>
      </c>
      <c r="D402" s="30"/>
      <c r="E402" s="32">
        <v>45571</v>
      </c>
      <c r="F402" s="38">
        <v>0.56319444444444444</v>
      </c>
      <c r="G402" s="38"/>
      <c r="H402" s="35"/>
      <c r="I402" s="28" t="e">
        <f>((Tabela2[[#This Row],[TW - Terminal A]]-Tabela2[[#This Row],[KM]])/(Tabela2[[#This Row],[KM]]))</f>
        <v>#DIV/0!</v>
      </c>
      <c r="J402" s="35"/>
      <c r="K402" s="28" t="e">
        <f>((Tabela2[[#This Row],[TW - Terminal B ]]-Tabela2[[#This Row],[KM]])/(Tabela2[[#This Row],[KM]]))</f>
        <v>#DIV/0!</v>
      </c>
      <c r="L402" s="34" t="s">
        <v>301</v>
      </c>
      <c r="M402" s="35"/>
      <c r="N402" s="56"/>
      <c r="O402" s="108" t="s">
        <v>11</v>
      </c>
    </row>
    <row r="403" spans="1:15" x14ac:dyDescent="0.3">
      <c r="A403" s="30" t="s">
        <v>47</v>
      </c>
      <c r="B403" s="30" t="s">
        <v>455</v>
      </c>
      <c r="C403" s="31" t="s">
        <v>64</v>
      </c>
      <c r="D403" s="30"/>
      <c r="E403" s="32">
        <v>45584</v>
      </c>
      <c r="F403" s="38">
        <v>0.69374999999999998</v>
      </c>
      <c r="G403" s="38"/>
      <c r="H403" s="35"/>
      <c r="I403" s="28" t="e">
        <f>((Tabela2[[#This Row],[TW - Terminal A]]-Tabela2[[#This Row],[KM]])/(Tabela2[[#This Row],[KM]]))</f>
        <v>#DIV/0!</v>
      </c>
      <c r="J403" s="35"/>
      <c r="K403" s="28" t="e">
        <f>((Tabela2[[#This Row],[TW - Terminal B ]]-Tabela2[[#This Row],[KM]])/(Tabela2[[#This Row],[KM]]))</f>
        <v>#DIV/0!</v>
      </c>
      <c r="L403" s="34" t="s">
        <v>241</v>
      </c>
      <c r="M403" s="35"/>
      <c r="N403" s="56" t="s">
        <v>115</v>
      </c>
      <c r="O403" s="108" t="s">
        <v>12</v>
      </c>
    </row>
    <row r="404" spans="1:15" x14ac:dyDescent="0.3">
      <c r="A404" s="30" t="s">
        <v>47</v>
      </c>
      <c r="B404" s="30" t="s">
        <v>455</v>
      </c>
      <c r="C404" s="31" t="s">
        <v>65</v>
      </c>
      <c r="D404" s="30"/>
      <c r="E404" s="32">
        <v>45586</v>
      </c>
      <c r="F404" s="38">
        <v>0.69236111111111109</v>
      </c>
      <c r="G404" s="38"/>
      <c r="H404" s="35"/>
      <c r="I404" s="28" t="e">
        <f>((Tabela2[[#This Row],[TW - Terminal A]]-Tabela2[[#This Row],[KM]])/(Tabela2[[#This Row],[KM]]))</f>
        <v>#DIV/0!</v>
      </c>
      <c r="J404" s="35"/>
      <c r="K404" s="28" t="e">
        <f>((Tabela2[[#This Row],[TW - Terminal B ]]-Tabela2[[#This Row],[KM]])/(Tabela2[[#This Row],[KM]]))</f>
        <v>#DIV/0!</v>
      </c>
      <c r="L404" s="34" t="s">
        <v>302</v>
      </c>
      <c r="M404" s="35"/>
      <c r="N404" s="56" t="s">
        <v>115</v>
      </c>
      <c r="O404" s="108" t="s">
        <v>12</v>
      </c>
    </row>
    <row r="405" spans="1:15" x14ac:dyDescent="0.3">
      <c r="A405" s="30" t="s">
        <v>48</v>
      </c>
      <c r="B405" s="30" t="s">
        <v>455</v>
      </c>
      <c r="C405" s="34" t="s">
        <v>75</v>
      </c>
      <c r="D405" s="30"/>
      <c r="E405" s="32">
        <v>45622</v>
      </c>
      <c r="F405" s="38">
        <v>0.85138888888888886</v>
      </c>
      <c r="G405" s="38"/>
      <c r="H405" s="35"/>
      <c r="I405" s="28" t="e">
        <f>((Tabela2[[#This Row],[TW - Terminal A]]-Tabela2[[#This Row],[KM]])/(Tabela2[[#This Row],[KM]]))</f>
        <v>#DIV/0!</v>
      </c>
      <c r="J405" s="35"/>
      <c r="K405" s="28" t="e">
        <f>((Tabela2[[#This Row],[TW - Terminal B ]]-Tabela2[[#This Row],[KM]])/(Tabela2[[#This Row],[KM]]))</f>
        <v>#DIV/0!</v>
      </c>
      <c r="L405" s="34" t="s">
        <v>303</v>
      </c>
      <c r="M405" s="35"/>
      <c r="N405" s="56"/>
      <c r="O405" s="108" t="s">
        <v>12</v>
      </c>
    </row>
    <row r="406" spans="1:15" x14ac:dyDescent="0.3">
      <c r="A406" s="30" t="s">
        <v>53</v>
      </c>
      <c r="B406" s="30" t="s">
        <v>455</v>
      </c>
      <c r="C406" s="34" t="s">
        <v>100</v>
      </c>
      <c r="D406" s="30"/>
      <c r="E406" s="32">
        <v>45659</v>
      </c>
      <c r="F406" s="38">
        <v>0.46527777777777779</v>
      </c>
      <c r="G406" s="38"/>
      <c r="H406" s="35"/>
      <c r="I406" s="28" t="e">
        <f>((Tabela2[[#This Row],[TW - Terminal A]]-Tabela2[[#This Row],[KM]])/(Tabela2[[#This Row],[KM]]))</f>
        <v>#DIV/0!</v>
      </c>
      <c r="J406" s="35"/>
      <c r="K406" s="28" t="e">
        <f>((Tabela2[[#This Row],[TW - Terminal B ]]-Tabela2[[#This Row],[KM]])/(Tabela2[[#This Row],[KM]]))</f>
        <v>#DIV/0!</v>
      </c>
      <c r="L406" s="34" t="s">
        <v>304</v>
      </c>
      <c r="M406" s="35"/>
      <c r="N406" s="56"/>
      <c r="O406" s="108" t="s">
        <v>11</v>
      </c>
    </row>
    <row r="407" spans="1:15" x14ac:dyDescent="0.3">
      <c r="A407" s="30" t="s">
        <v>47</v>
      </c>
      <c r="B407" s="30" t="s">
        <v>455</v>
      </c>
      <c r="C407" s="34" t="s">
        <v>65</v>
      </c>
      <c r="D407" s="30"/>
      <c r="E407" s="32">
        <v>45662</v>
      </c>
      <c r="F407" s="38">
        <v>0.74569444444444444</v>
      </c>
      <c r="G407" s="38"/>
      <c r="H407" s="35"/>
      <c r="I407" s="28" t="e">
        <f>((Tabela2[[#This Row],[TW - Terminal A]]-Tabela2[[#This Row],[KM]])/(Tabela2[[#This Row],[KM]]))</f>
        <v>#DIV/0!</v>
      </c>
      <c r="J407" s="35"/>
      <c r="K407" s="28" t="e">
        <f>((Tabela2[[#This Row],[TW - Terminal B ]]-Tabela2[[#This Row],[KM]])/(Tabela2[[#This Row],[KM]]))</f>
        <v>#DIV/0!</v>
      </c>
      <c r="L407" s="34" t="s">
        <v>305</v>
      </c>
      <c r="M407" s="35"/>
      <c r="N407" s="56" t="s">
        <v>109</v>
      </c>
      <c r="O407" s="108" t="s">
        <v>11</v>
      </c>
    </row>
    <row r="408" spans="1:15" x14ac:dyDescent="0.3">
      <c r="A408" s="30" t="s">
        <v>48</v>
      </c>
      <c r="B408" s="30" t="s">
        <v>455</v>
      </c>
      <c r="C408" s="34" t="s">
        <v>75</v>
      </c>
      <c r="D408" s="30"/>
      <c r="E408" s="32">
        <v>45676</v>
      </c>
      <c r="F408" s="38">
        <v>4.2361111111111113E-2</v>
      </c>
      <c r="G408" s="38"/>
      <c r="H408" s="35"/>
      <c r="I408" s="28" t="e">
        <f>((Tabela2[[#This Row],[TW - Terminal A]]-Tabela2[[#This Row],[KM]])/(Tabela2[[#This Row],[KM]]))</f>
        <v>#DIV/0!</v>
      </c>
      <c r="J408" s="35"/>
      <c r="K408" s="28" t="e">
        <f>((Tabela2[[#This Row],[TW - Terminal B ]]-Tabela2[[#This Row],[KM]])/(Tabela2[[#This Row],[KM]]))</f>
        <v>#DIV/0!</v>
      </c>
      <c r="L408" s="34" t="s">
        <v>306</v>
      </c>
      <c r="M408" s="35"/>
      <c r="N408" s="56"/>
      <c r="O408" s="108" t="s">
        <v>11</v>
      </c>
    </row>
    <row r="409" spans="1:15" x14ac:dyDescent="0.3">
      <c r="A409" s="30" t="s">
        <v>47</v>
      </c>
      <c r="B409" s="30" t="s">
        <v>455</v>
      </c>
      <c r="C409" s="34" t="s">
        <v>64</v>
      </c>
      <c r="D409" s="30"/>
      <c r="E409" s="32">
        <v>45678</v>
      </c>
      <c r="F409" s="38">
        <v>0.55069444444444449</v>
      </c>
      <c r="G409" s="38"/>
      <c r="H409" s="35"/>
      <c r="I409" s="28" t="e">
        <f>((Tabela2[[#This Row],[TW - Terminal A]]-Tabela2[[#This Row],[KM]])/(Tabela2[[#This Row],[KM]]))</f>
        <v>#DIV/0!</v>
      </c>
      <c r="J409" s="35"/>
      <c r="K409" s="28" t="e">
        <f>((Tabela2[[#This Row],[TW - Terminal B ]]-Tabela2[[#This Row],[KM]])/(Tabela2[[#This Row],[KM]]))</f>
        <v>#DIV/0!</v>
      </c>
      <c r="L409" s="34" t="s">
        <v>307</v>
      </c>
      <c r="M409" s="35"/>
      <c r="N409" s="56" t="s">
        <v>109</v>
      </c>
      <c r="O409" s="108" t="s">
        <v>11</v>
      </c>
    </row>
    <row r="410" spans="1:15" x14ac:dyDescent="0.3">
      <c r="A410" s="83" t="s">
        <v>47</v>
      </c>
      <c r="B410" s="30" t="s">
        <v>455</v>
      </c>
      <c r="C410" s="34" t="s">
        <v>64</v>
      </c>
      <c r="D410" s="83"/>
      <c r="E410" s="37">
        <v>45703</v>
      </c>
      <c r="F410" s="42">
        <v>0.80347222222222225</v>
      </c>
      <c r="G410" s="42"/>
      <c r="H410" s="35"/>
      <c r="I410" s="28" t="e">
        <f>((Tabela2[[#This Row],[TW - Terminal A]]-Tabela2[[#This Row],[KM]])/(Tabela2[[#This Row],[KM]]))</f>
        <v>#DIV/0!</v>
      </c>
      <c r="J410" s="35"/>
      <c r="K410" s="28" t="e">
        <f>((Tabela2[[#This Row],[TW - Terminal B ]]-Tabela2[[#This Row],[KM]])/(Tabela2[[#This Row],[KM]]))</f>
        <v>#DIV/0!</v>
      </c>
      <c r="L410" s="43" t="s">
        <v>308</v>
      </c>
      <c r="M410" s="35"/>
      <c r="N410" s="57" t="s">
        <v>109</v>
      </c>
      <c r="O410" s="125" t="s">
        <v>11</v>
      </c>
    </row>
    <row r="411" spans="1:15" x14ac:dyDescent="0.3">
      <c r="A411" s="30" t="s">
        <v>53</v>
      </c>
      <c r="B411" s="30" t="s">
        <v>455</v>
      </c>
      <c r="C411" s="40" t="s">
        <v>97</v>
      </c>
      <c r="D411" s="30"/>
      <c r="E411" s="37">
        <v>45761</v>
      </c>
      <c r="F411" s="84">
        <v>0.6333333333333333</v>
      </c>
      <c r="G411" s="84"/>
      <c r="H411" s="35"/>
      <c r="I411" s="28" t="e">
        <f>((Tabela2[[#This Row],[TW - Terminal A]]-Tabela2[[#This Row],[KM]])/(Tabela2[[#This Row],[KM]]))</f>
        <v>#DIV/0!</v>
      </c>
      <c r="J411" s="35"/>
      <c r="K411" s="28" t="e">
        <f>((Tabela2[[#This Row],[TW - Terminal B ]]-Tabela2[[#This Row],[KM]])/(Tabela2[[#This Row],[KM]]))</f>
        <v>#DIV/0!</v>
      </c>
      <c r="L411" s="43"/>
      <c r="M411" s="35"/>
      <c r="N411" s="57"/>
      <c r="O411" s="125" t="s">
        <v>11</v>
      </c>
    </row>
    <row r="412" spans="1:15" x14ac:dyDescent="0.3">
      <c r="A412" s="30" t="s">
        <v>47</v>
      </c>
      <c r="B412" s="30" t="s">
        <v>455</v>
      </c>
      <c r="C412" s="34" t="s">
        <v>66</v>
      </c>
      <c r="D412" s="30"/>
      <c r="E412" s="37">
        <v>45771</v>
      </c>
      <c r="F412" s="84">
        <v>0.14861111111111111</v>
      </c>
      <c r="G412" s="84"/>
      <c r="H412" s="35"/>
      <c r="I412" s="28" t="e">
        <f>((Tabela2[[#This Row],[TW - Terminal A]]-Tabela2[[#This Row],[KM]])/(Tabela2[[#This Row],[KM]]))</f>
        <v>#DIV/0!</v>
      </c>
      <c r="J412" s="35"/>
      <c r="K412" s="28" t="e">
        <f>((Tabela2[[#This Row],[TW - Terminal B ]]-Tabela2[[#This Row],[KM]])/(Tabela2[[#This Row],[KM]]))</f>
        <v>#DIV/0!</v>
      </c>
      <c r="L412" s="43" t="s">
        <v>144</v>
      </c>
      <c r="M412" s="35"/>
      <c r="N412" s="57" t="s">
        <v>115</v>
      </c>
      <c r="O412" s="108" t="s">
        <v>12</v>
      </c>
    </row>
    <row r="413" spans="1:15" x14ac:dyDescent="0.3">
      <c r="A413" s="30" t="s">
        <v>48</v>
      </c>
      <c r="B413" s="30" t="s">
        <v>455</v>
      </c>
      <c r="C413" s="34" t="s">
        <v>75</v>
      </c>
      <c r="D413" s="30"/>
      <c r="E413" s="37">
        <v>45774</v>
      </c>
      <c r="F413" s="42">
        <v>0.95138888888888884</v>
      </c>
      <c r="G413" s="42"/>
      <c r="H413" s="104"/>
      <c r="I413" s="28" t="e">
        <f>((Tabela2[[#This Row],[TW - Terminal A]]-Tabela2[[#This Row],[KM]])/(Tabela2[[#This Row],[KM]]))</f>
        <v>#DIV/0!</v>
      </c>
      <c r="J413" s="104"/>
      <c r="K413" s="28" t="e">
        <f>((Tabela2[[#This Row],[TW - Terminal B ]]-Tabela2[[#This Row],[KM]])/(Tabela2[[#This Row],[KM]]))</f>
        <v>#DIV/0!</v>
      </c>
      <c r="L413" s="43" t="s">
        <v>279</v>
      </c>
      <c r="M413" s="104"/>
      <c r="N413" s="57"/>
      <c r="O413" s="125" t="s">
        <v>11</v>
      </c>
    </row>
    <row r="414" spans="1:15" x14ac:dyDescent="0.3">
      <c r="A414" s="30" t="s">
        <v>47</v>
      </c>
      <c r="B414" s="30" t="s">
        <v>455</v>
      </c>
      <c r="C414" s="34" t="s">
        <v>64</v>
      </c>
      <c r="D414" s="30"/>
      <c r="E414" s="37">
        <v>45924</v>
      </c>
      <c r="F414" s="42">
        <v>0.27329861111111109</v>
      </c>
      <c r="G414" s="42"/>
      <c r="H414" s="104"/>
      <c r="I414" s="28" t="e">
        <f>((Tabela2[[#This Row],[TW - Terminal A]]-Tabela2[[#This Row],[KM]])/(Tabela2[[#This Row],[KM]]))</f>
        <v>#DIV/0!</v>
      </c>
      <c r="J414" s="104"/>
      <c r="K414" s="28" t="e">
        <f>((Tabela2[[#This Row],[TW - Terminal B ]]-Tabela2[[#This Row],[KM]])/(Tabela2[[#This Row],[KM]]))</f>
        <v>#DIV/0!</v>
      </c>
      <c r="L414" s="43" t="s">
        <v>292</v>
      </c>
      <c r="M414" s="104"/>
      <c r="N414" s="57" t="s">
        <v>109</v>
      </c>
      <c r="O414" s="125" t="s">
        <v>11</v>
      </c>
    </row>
    <row r="415" spans="1:15" x14ac:dyDescent="0.3">
      <c r="A415" s="30" t="s">
        <v>47</v>
      </c>
      <c r="B415" s="30" t="s">
        <v>455</v>
      </c>
      <c r="C415" s="34" t="s">
        <v>67</v>
      </c>
      <c r="D415" s="30"/>
      <c r="E415" s="37">
        <v>45928</v>
      </c>
      <c r="F415" s="42">
        <v>0.64652777777777781</v>
      </c>
      <c r="G415" s="42"/>
      <c r="H415" s="104"/>
      <c r="I415" s="28" t="e">
        <f>((Tabela2[[#This Row],[TW - Terminal A]]-Tabela2[[#This Row],[KM]])/(Tabela2[[#This Row],[KM]]))</f>
        <v>#DIV/0!</v>
      </c>
      <c r="J415" s="104"/>
      <c r="K415" s="28" t="e">
        <f>((Tabela2[[#This Row],[TW - Terminal B ]]-Tabela2[[#This Row],[KM]])/(Tabela2[[#This Row],[KM]]))</f>
        <v>#DIV/0!</v>
      </c>
      <c r="L415" s="43" t="s">
        <v>309</v>
      </c>
      <c r="M415" s="104"/>
      <c r="N415" s="57" t="s">
        <v>111</v>
      </c>
      <c r="O415" s="108" t="s">
        <v>44</v>
      </c>
    </row>
    <row r="416" spans="1:15" x14ac:dyDescent="0.3">
      <c r="A416" s="30" t="s">
        <v>48</v>
      </c>
      <c r="B416" s="30" t="s">
        <v>455</v>
      </c>
      <c r="C416" s="34" t="s">
        <v>54</v>
      </c>
      <c r="D416" s="30"/>
      <c r="E416" s="37">
        <v>45950</v>
      </c>
      <c r="F416" s="42">
        <v>0.14027777777777778</v>
      </c>
      <c r="G416" s="42"/>
      <c r="H416" s="104"/>
      <c r="I416" s="28" t="e">
        <f>((Tabela2[[#This Row],[TW - Terminal A]]-Tabela2[[#This Row],[KM]])/(Tabela2[[#This Row],[KM]]))</f>
        <v>#DIV/0!</v>
      </c>
      <c r="J416" s="104"/>
      <c r="K416" s="28" t="e">
        <f>((Tabela2[[#This Row],[TW - Terminal B ]]-Tabela2[[#This Row],[KM]])/(Tabela2[[#This Row],[KM]]))</f>
        <v>#DIV/0!</v>
      </c>
      <c r="L416" s="43" t="s">
        <v>310</v>
      </c>
      <c r="M416" s="104"/>
      <c r="N416" s="57"/>
      <c r="O416" s="108" t="s">
        <v>11</v>
      </c>
    </row>
    <row r="417" spans="1:15" x14ac:dyDescent="0.3">
      <c r="A417" s="30" t="s">
        <v>47</v>
      </c>
      <c r="B417" s="30" t="s">
        <v>455</v>
      </c>
      <c r="C417" s="34" t="s">
        <v>65</v>
      </c>
      <c r="D417" s="30"/>
      <c r="E417" s="37">
        <v>45957</v>
      </c>
      <c r="F417" s="42">
        <v>0.19930555555555557</v>
      </c>
      <c r="G417" s="42"/>
      <c r="H417" s="104"/>
      <c r="I417" s="28" t="e">
        <f>((Tabela2[[#This Row],[TW - Terminal A]]-Tabela2[[#This Row],[KM]])/(Tabela2[[#This Row],[KM]]))</f>
        <v>#DIV/0!</v>
      </c>
      <c r="J417" s="104"/>
      <c r="K417" s="28" t="e">
        <f>((Tabela2[[#This Row],[TW - Terminal B ]]-Tabela2[[#This Row],[KM]])/(Tabela2[[#This Row],[KM]]))</f>
        <v>#DIV/0!</v>
      </c>
      <c r="L417" s="43" t="s">
        <v>311</v>
      </c>
      <c r="M417" s="104"/>
      <c r="N417" s="57" t="s">
        <v>109</v>
      </c>
      <c r="O417" s="108" t="s">
        <v>11</v>
      </c>
    </row>
    <row r="418" spans="1:15" x14ac:dyDescent="0.3">
      <c r="A418" s="30" t="s">
        <v>484</v>
      </c>
      <c r="B418" s="30" t="s">
        <v>455</v>
      </c>
      <c r="C418" s="34" t="s">
        <v>83</v>
      </c>
      <c r="D418" s="88"/>
      <c r="E418" s="90">
        <v>43889</v>
      </c>
      <c r="F418" s="39">
        <v>0.5805555555555556</v>
      </c>
      <c r="G418" s="39"/>
      <c r="H418" s="104"/>
      <c r="I418" s="28" t="e">
        <f>((Tabela2[[#This Row],[TW - Terminal A]]-Tabela2[[#This Row],[KM]])/(Tabela2[[#This Row],[KM]]))</f>
        <v>#DIV/0!</v>
      </c>
      <c r="J418" s="104"/>
      <c r="K418" s="28" t="e">
        <f>((Tabela2[[#This Row],[TW - Terminal B ]]-Tabela2[[#This Row],[KM]])/(Tabela2[[#This Row],[KM]]))</f>
        <v>#DIV/0!</v>
      </c>
      <c r="L418" s="34" t="s">
        <v>4</v>
      </c>
      <c r="M418" s="104"/>
      <c r="N418" s="57" t="s">
        <v>114</v>
      </c>
      <c r="O418" s="108" t="s">
        <v>135</v>
      </c>
    </row>
    <row r="419" spans="1:15" x14ac:dyDescent="0.3">
      <c r="A419" s="30" t="s">
        <v>484</v>
      </c>
      <c r="B419" s="30" t="s">
        <v>455</v>
      </c>
      <c r="C419" s="34" t="s">
        <v>123</v>
      </c>
      <c r="D419" s="85"/>
      <c r="E419" s="90">
        <v>43910</v>
      </c>
      <c r="F419" s="39">
        <v>0.21597222222222223</v>
      </c>
      <c r="G419" s="39"/>
      <c r="H419" s="104"/>
      <c r="I419" s="28" t="e">
        <f>((Tabela2[[#This Row],[TW - Terminal A]]-Tabela2[[#This Row],[KM]])/(Tabela2[[#This Row],[KM]]))</f>
        <v>#DIV/0!</v>
      </c>
      <c r="J419" s="104"/>
      <c r="K419" s="28" t="e">
        <f>((Tabela2[[#This Row],[TW - Terminal B ]]-Tabela2[[#This Row],[KM]])/(Tabela2[[#This Row],[KM]]))</f>
        <v>#DIV/0!</v>
      </c>
      <c r="L419" s="34" t="s">
        <v>4</v>
      </c>
      <c r="M419" s="104"/>
      <c r="N419" s="57" t="s">
        <v>114</v>
      </c>
      <c r="O419" s="108" t="s">
        <v>135</v>
      </c>
    </row>
    <row r="420" spans="1:15" x14ac:dyDescent="0.3">
      <c r="A420" s="30" t="s">
        <v>484</v>
      </c>
      <c r="B420" s="30" t="s">
        <v>455</v>
      </c>
      <c r="C420" s="34" t="s">
        <v>83</v>
      </c>
      <c r="D420" s="88"/>
      <c r="E420" s="90">
        <v>43915</v>
      </c>
      <c r="F420" s="39">
        <v>0.2253009259259259</v>
      </c>
      <c r="G420" s="39"/>
      <c r="H420" s="104"/>
      <c r="I420" s="28" t="e">
        <f>((Tabela2[[#This Row],[TW - Terminal A]]-Tabela2[[#This Row],[KM]])/(Tabela2[[#This Row],[KM]]))</f>
        <v>#DIV/0!</v>
      </c>
      <c r="J420" s="104"/>
      <c r="K420" s="28" t="e">
        <f>((Tabela2[[#This Row],[TW - Terminal B ]]-Tabela2[[#This Row],[KM]])/(Tabela2[[#This Row],[KM]]))</f>
        <v>#DIV/0!</v>
      </c>
      <c r="L420" s="34" t="s">
        <v>4</v>
      </c>
      <c r="M420" s="104"/>
      <c r="N420" s="57" t="s">
        <v>114</v>
      </c>
      <c r="O420" s="108" t="s">
        <v>135</v>
      </c>
    </row>
    <row r="421" spans="1:15" x14ac:dyDescent="0.3">
      <c r="A421" s="30" t="s">
        <v>484</v>
      </c>
      <c r="B421" s="30" t="s">
        <v>455</v>
      </c>
      <c r="C421" s="34" t="s">
        <v>83</v>
      </c>
      <c r="D421" s="88"/>
      <c r="E421" s="90">
        <v>43973</v>
      </c>
      <c r="F421" s="39">
        <v>0.65500000000000003</v>
      </c>
      <c r="G421" s="39"/>
      <c r="H421" s="104"/>
      <c r="I421" s="28" t="e">
        <f>((Tabela2[[#This Row],[TW - Terminal A]]-Tabela2[[#This Row],[KM]])/(Tabela2[[#This Row],[KM]]))</f>
        <v>#DIV/0!</v>
      </c>
      <c r="J421" s="104"/>
      <c r="K421" s="28" t="e">
        <f>((Tabela2[[#This Row],[TW - Terminal B ]]-Tabela2[[#This Row],[KM]])/(Tabela2[[#This Row],[KM]]))</f>
        <v>#DIV/0!</v>
      </c>
      <c r="L421" s="40" t="s">
        <v>405</v>
      </c>
      <c r="M421" s="104"/>
      <c r="N421" s="57" t="s">
        <v>108</v>
      </c>
      <c r="O421" s="108" t="s">
        <v>108</v>
      </c>
    </row>
    <row r="422" spans="1:15" x14ac:dyDescent="0.3">
      <c r="A422" s="30" t="s">
        <v>484</v>
      </c>
      <c r="B422" s="30" t="s">
        <v>455</v>
      </c>
      <c r="C422" s="34" t="s">
        <v>82</v>
      </c>
      <c r="D422" s="85"/>
      <c r="E422" s="90">
        <v>44118</v>
      </c>
      <c r="F422" s="39">
        <v>0.42708333333333331</v>
      </c>
      <c r="G422" s="39"/>
      <c r="H422" s="104"/>
      <c r="I422" s="28" t="e">
        <f>((Tabela2[[#This Row],[TW - Terminal A]]-Tabela2[[#This Row],[KM]])/(Tabela2[[#This Row],[KM]]))</f>
        <v>#DIV/0!</v>
      </c>
      <c r="J422" s="104"/>
      <c r="K422" s="28" t="e">
        <f>((Tabela2[[#This Row],[TW - Terminal B ]]-Tabela2[[#This Row],[KM]])/(Tabela2[[#This Row],[KM]]))</f>
        <v>#DIV/0!</v>
      </c>
      <c r="L422" s="34" t="s">
        <v>4</v>
      </c>
      <c r="M422" s="104"/>
      <c r="N422" s="57" t="s">
        <v>114</v>
      </c>
      <c r="O422" s="108" t="s">
        <v>135</v>
      </c>
    </row>
    <row r="423" spans="1:15" x14ac:dyDescent="0.3">
      <c r="A423" s="30" t="s">
        <v>484</v>
      </c>
      <c r="B423" s="30" t="s">
        <v>455</v>
      </c>
      <c r="C423" s="34" t="s">
        <v>123</v>
      </c>
      <c r="D423" s="85"/>
      <c r="E423" s="90">
        <v>44171</v>
      </c>
      <c r="F423" s="39">
        <v>0.56388888888888888</v>
      </c>
      <c r="G423" s="39"/>
      <c r="H423" s="104"/>
      <c r="I423" s="28" t="e">
        <f>((Tabela2[[#This Row],[TW - Terminal A]]-Tabela2[[#This Row],[KM]])/(Tabela2[[#This Row],[KM]]))</f>
        <v>#DIV/0!</v>
      </c>
      <c r="J423" s="104"/>
      <c r="K423" s="28" t="e">
        <f>((Tabela2[[#This Row],[TW - Terminal B ]]-Tabela2[[#This Row],[KM]])/(Tabela2[[#This Row],[KM]]))</f>
        <v>#DIV/0!</v>
      </c>
      <c r="L423" s="40" t="s">
        <v>410</v>
      </c>
      <c r="M423" s="104"/>
      <c r="N423" s="57" t="s">
        <v>109</v>
      </c>
      <c r="O423" s="108" t="s">
        <v>11</v>
      </c>
    </row>
    <row r="424" spans="1:15" x14ac:dyDescent="0.3">
      <c r="A424" s="30" t="s">
        <v>484</v>
      </c>
      <c r="B424" s="30" t="s">
        <v>455</v>
      </c>
      <c r="C424" s="34" t="s">
        <v>82</v>
      </c>
      <c r="D424" s="85"/>
      <c r="E424" s="90">
        <v>44181</v>
      </c>
      <c r="F424" s="39">
        <v>0.97222222222222221</v>
      </c>
      <c r="G424" s="39"/>
      <c r="H424" s="104"/>
      <c r="I424" s="28" t="e">
        <f>((Tabela2[[#This Row],[TW - Terminal A]]-Tabela2[[#This Row],[KM]])/(Tabela2[[#This Row],[KM]]))</f>
        <v>#DIV/0!</v>
      </c>
      <c r="J424" s="104"/>
      <c r="K424" s="28" t="e">
        <f>((Tabela2[[#This Row],[TW - Terminal B ]]-Tabela2[[#This Row],[KM]])/(Tabela2[[#This Row],[KM]]))</f>
        <v>#DIV/0!</v>
      </c>
      <c r="L424" s="40" t="s">
        <v>412</v>
      </c>
      <c r="M424" s="104"/>
      <c r="N424" s="57" t="s">
        <v>109</v>
      </c>
      <c r="O424" s="108" t="s">
        <v>11</v>
      </c>
    </row>
    <row r="425" spans="1:15" x14ac:dyDescent="0.3">
      <c r="A425" s="30" t="s">
        <v>484</v>
      </c>
      <c r="B425" s="30" t="s">
        <v>455</v>
      </c>
      <c r="C425" s="34" t="s">
        <v>122</v>
      </c>
      <c r="D425" s="85"/>
      <c r="E425" s="90">
        <v>44247</v>
      </c>
      <c r="F425" s="39">
        <v>2.3379629629629629E-2</v>
      </c>
      <c r="G425" s="39"/>
      <c r="H425" s="104"/>
      <c r="I425" s="28" t="e">
        <f>((Tabela2[[#This Row],[TW - Terminal A]]-Tabela2[[#This Row],[KM]])/(Tabela2[[#This Row],[KM]]))</f>
        <v>#DIV/0!</v>
      </c>
      <c r="J425" s="104"/>
      <c r="K425" s="28" t="e">
        <f>((Tabela2[[#This Row],[TW - Terminal B ]]-Tabela2[[#This Row],[KM]])/(Tabela2[[#This Row],[KM]]))</f>
        <v>#DIV/0!</v>
      </c>
      <c r="L425" s="40" t="s">
        <v>406</v>
      </c>
      <c r="M425" s="104"/>
      <c r="N425" s="57" t="s">
        <v>109</v>
      </c>
      <c r="O425" s="108" t="s">
        <v>11</v>
      </c>
    </row>
    <row r="426" spans="1:15" x14ac:dyDescent="0.3">
      <c r="A426" s="30" t="s">
        <v>484</v>
      </c>
      <c r="B426" s="30" t="s">
        <v>455</v>
      </c>
      <c r="C426" s="34" t="s">
        <v>123</v>
      </c>
      <c r="D426" s="85"/>
      <c r="E426" s="90">
        <v>44370</v>
      </c>
      <c r="F426" s="39">
        <v>0.16179398148148147</v>
      </c>
      <c r="G426" s="39"/>
      <c r="H426" s="104"/>
      <c r="I426" s="28" t="e">
        <f>((Tabela2[[#This Row],[TW - Terminal A]]-Tabela2[[#This Row],[KM]])/(Tabela2[[#This Row],[KM]]))</f>
        <v>#DIV/0!</v>
      </c>
      <c r="J426" s="104"/>
      <c r="K426" s="28" t="e">
        <f>((Tabela2[[#This Row],[TW - Terminal B ]]-Tabela2[[#This Row],[KM]])/(Tabela2[[#This Row],[KM]]))</f>
        <v>#DIV/0!</v>
      </c>
      <c r="L426" s="40" t="s">
        <v>287</v>
      </c>
      <c r="M426" s="104"/>
      <c r="N426" s="57" t="s">
        <v>114</v>
      </c>
      <c r="O426" s="108" t="s">
        <v>136</v>
      </c>
    </row>
    <row r="427" spans="1:15" x14ac:dyDescent="0.3">
      <c r="A427" s="30" t="s">
        <v>484</v>
      </c>
      <c r="B427" s="30" t="s">
        <v>455</v>
      </c>
      <c r="C427" s="34" t="s">
        <v>123</v>
      </c>
      <c r="D427" s="85"/>
      <c r="E427" s="90">
        <v>44422</v>
      </c>
      <c r="F427" s="39">
        <v>0.22291666666666665</v>
      </c>
      <c r="G427" s="39"/>
      <c r="H427" s="104"/>
      <c r="I427" s="28" t="e">
        <f>((Tabela2[[#This Row],[TW - Terminal A]]-Tabela2[[#This Row],[KM]])/(Tabela2[[#This Row],[KM]]))</f>
        <v>#DIV/0!</v>
      </c>
      <c r="J427" s="104"/>
      <c r="K427" s="28" t="e">
        <f>((Tabela2[[#This Row],[TW - Terminal B ]]-Tabela2[[#This Row],[KM]])/(Tabela2[[#This Row],[KM]]))</f>
        <v>#DIV/0!</v>
      </c>
      <c r="L427" s="40" t="s">
        <v>378</v>
      </c>
      <c r="M427" s="104"/>
      <c r="N427" s="57" t="s">
        <v>114</v>
      </c>
      <c r="O427" s="108" t="s">
        <v>136</v>
      </c>
    </row>
    <row r="428" spans="1:15" x14ac:dyDescent="0.3">
      <c r="A428" s="30" t="s">
        <v>48</v>
      </c>
      <c r="B428" s="30" t="s">
        <v>455</v>
      </c>
      <c r="C428" s="34" t="s">
        <v>75</v>
      </c>
      <c r="D428" s="85"/>
      <c r="E428" s="90">
        <v>40069</v>
      </c>
      <c r="F428" s="39">
        <v>0.22222222222222221</v>
      </c>
      <c r="G428" s="39"/>
      <c r="H428" s="104"/>
      <c r="I428" s="28" t="e">
        <f>((Tabela2[[#This Row],[TW - Terminal A]]-Tabela2[[#This Row],[KM]])/(Tabela2[[#This Row],[KM]]))</f>
        <v>#DIV/0!</v>
      </c>
      <c r="J428" s="104"/>
      <c r="K428" s="28" t="e">
        <f>((Tabela2[[#This Row],[TW - Terminal B ]]-Tabela2[[#This Row],[KM]])/(Tabela2[[#This Row],[KM]]))</f>
        <v>#DIV/0!</v>
      </c>
      <c r="L428" s="40"/>
      <c r="M428" s="104"/>
      <c r="N428" s="57"/>
      <c r="O428" s="108"/>
    </row>
    <row r="429" spans="1:15" x14ac:dyDescent="0.3">
      <c r="A429" s="30" t="s">
        <v>48</v>
      </c>
      <c r="B429" s="30" t="s">
        <v>455</v>
      </c>
      <c r="C429" s="34" t="s">
        <v>320</v>
      </c>
      <c r="D429" s="85"/>
      <c r="E429" s="90">
        <v>39829</v>
      </c>
      <c r="F429" s="39">
        <v>0.55138888888888882</v>
      </c>
      <c r="G429" s="39"/>
      <c r="H429" s="104"/>
      <c r="I429" s="28" t="e">
        <f>((Tabela2[[#This Row],[TW - Terminal A]]-Tabela2[[#This Row],[KM]])/(Tabela2[[#This Row],[KM]]))</f>
        <v>#DIV/0!</v>
      </c>
      <c r="J429" s="104"/>
      <c r="K429" s="28" t="e">
        <f>((Tabela2[[#This Row],[TW - Terminal B ]]-Tabela2[[#This Row],[KM]])/(Tabela2[[#This Row],[KM]]))</f>
        <v>#DIV/0!</v>
      </c>
      <c r="L429" s="40" t="s">
        <v>325</v>
      </c>
      <c r="M429" s="104"/>
      <c r="N429" s="57" t="s">
        <v>109</v>
      </c>
      <c r="O429" s="108"/>
    </row>
    <row r="430" spans="1:15" x14ac:dyDescent="0.3">
      <c r="A430" s="30" t="s">
        <v>48</v>
      </c>
      <c r="B430" s="30" t="s">
        <v>455</v>
      </c>
      <c r="C430" s="34" t="s">
        <v>320</v>
      </c>
      <c r="D430" s="85"/>
      <c r="E430" s="90">
        <v>39834</v>
      </c>
      <c r="F430" s="39">
        <v>0.62638888888888888</v>
      </c>
      <c r="G430" s="39"/>
      <c r="H430" s="104"/>
      <c r="I430" s="28" t="e">
        <f>((Tabela2[[#This Row],[TW - Terminal A]]-Tabela2[[#This Row],[KM]])/(Tabela2[[#This Row],[KM]]))</f>
        <v>#DIV/0!</v>
      </c>
      <c r="J430" s="104"/>
      <c r="K430" s="28" t="e">
        <f>((Tabela2[[#This Row],[TW - Terminal B ]]-Tabela2[[#This Row],[KM]])/(Tabela2[[#This Row],[KM]]))</f>
        <v>#DIV/0!</v>
      </c>
      <c r="L430" s="40" t="s">
        <v>326</v>
      </c>
      <c r="M430" s="104"/>
      <c r="N430" s="57" t="s">
        <v>109</v>
      </c>
      <c r="O430" s="108"/>
    </row>
    <row r="431" spans="1:15" x14ac:dyDescent="0.3">
      <c r="A431" s="30" t="s">
        <v>48</v>
      </c>
      <c r="B431" s="30" t="s">
        <v>455</v>
      </c>
      <c r="C431" s="34" t="s">
        <v>320</v>
      </c>
      <c r="D431" s="85"/>
      <c r="E431" s="90">
        <v>39838</v>
      </c>
      <c r="F431" s="39">
        <v>0.59791666666666665</v>
      </c>
      <c r="G431" s="39"/>
      <c r="H431" s="104"/>
      <c r="I431" s="28" t="e">
        <f>((Tabela2[[#This Row],[TW - Terminal A]]-Tabela2[[#This Row],[KM]])/(Tabela2[[#This Row],[KM]]))</f>
        <v>#DIV/0!</v>
      </c>
      <c r="J431" s="104"/>
      <c r="K431" s="28" t="e">
        <f>((Tabela2[[#This Row],[TW - Terminal B ]]-Tabela2[[#This Row],[KM]])/(Tabela2[[#This Row],[KM]]))</f>
        <v>#DIV/0!</v>
      </c>
      <c r="L431" s="40" t="s">
        <v>327</v>
      </c>
      <c r="M431" s="104"/>
      <c r="N431" s="57" t="s">
        <v>109</v>
      </c>
      <c r="O431" s="108"/>
    </row>
    <row r="432" spans="1:15" x14ac:dyDescent="0.3">
      <c r="A432" s="30" t="s">
        <v>48</v>
      </c>
      <c r="B432" s="30" t="s">
        <v>455</v>
      </c>
      <c r="C432" s="34" t="s">
        <v>320</v>
      </c>
      <c r="D432" s="85"/>
      <c r="E432" s="90">
        <v>39889</v>
      </c>
      <c r="F432" s="39">
        <v>0.81041666666666667</v>
      </c>
      <c r="G432" s="39"/>
      <c r="H432" s="104"/>
      <c r="I432" s="28" t="e">
        <f>((Tabela2[[#This Row],[TW - Terminal A]]-Tabela2[[#This Row],[KM]])/(Tabela2[[#This Row],[KM]]))</f>
        <v>#DIV/0!</v>
      </c>
      <c r="J432" s="104"/>
      <c r="K432" s="28" t="e">
        <f>((Tabela2[[#This Row],[TW - Terminal B ]]-Tabela2[[#This Row],[KM]])/(Tabela2[[#This Row],[KM]]))</f>
        <v>#DIV/0!</v>
      </c>
      <c r="L432" s="40" t="s">
        <v>328</v>
      </c>
      <c r="M432" s="104"/>
      <c r="N432" s="57" t="s">
        <v>109</v>
      </c>
      <c r="O432" s="108"/>
    </row>
    <row r="433" spans="1:15" x14ac:dyDescent="0.3">
      <c r="A433" s="30" t="s">
        <v>48</v>
      </c>
      <c r="B433" s="30" t="s">
        <v>455</v>
      </c>
      <c r="C433" s="34" t="s">
        <v>320</v>
      </c>
      <c r="D433" s="85"/>
      <c r="E433" s="90">
        <v>39898</v>
      </c>
      <c r="F433" s="39">
        <v>0.67499999999999993</v>
      </c>
      <c r="G433" s="39"/>
      <c r="H433" s="104"/>
      <c r="I433" s="28" t="e">
        <f>((Tabela2[[#This Row],[TW - Terminal A]]-Tabela2[[#This Row],[KM]])/(Tabela2[[#This Row],[KM]]))</f>
        <v>#DIV/0!</v>
      </c>
      <c r="J433" s="104"/>
      <c r="K433" s="28" t="e">
        <f>((Tabela2[[#This Row],[TW - Terminal B ]]-Tabela2[[#This Row],[KM]])/(Tabela2[[#This Row],[KM]]))</f>
        <v>#DIV/0!</v>
      </c>
      <c r="L433" s="40" t="s">
        <v>329</v>
      </c>
      <c r="M433" s="104"/>
      <c r="N433" s="57" t="s">
        <v>109</v>
      </c>
      <c r="O433" s="108"/>
    </row>
    <row r="434" spans="1:15" x14ac:dyDescent="0.3">
      <c r="A434" s="30" t="s">
        <v>48</v>
      </c>
      <c r="B434" s="30" t="s">
        <v>455</v>
      </c>
      <c r="C434" s="34" t="s">
        <v>320</v>
      </c>
      <c r="D434" s="85"/>
      <c r="E434" s="90">
        <v>39905</v>
      </c>
      <c r="F434" s="39">
        <v>0.71736111111111101</v>
      </c>
      <c r="G434" s="39"/>
      <c r="H434" s="104"/>
      <c r="I434" s="28" t="e">
        <f>((Tabela2[[#This Row],[TW - Terminal A]]-Tabela2[[#This Row],[KM]])/(Tabela2[[#This Row],[KM]]))</f>
        <v>#DIV/0!</v>
      </c>
      <c r="J434" s="104"/>
      <c r="K434" s="28" t="e">
        <f>((Tabela2[[#This Row],[TW - Terminal B ]]-Tabela2[[#This Row],[KM]])/(Tabela2[[#This Row],[KM]]))</f>
        <v>#DIV/0!</v>
      </c>
      <c r="L434" s="40" t="s">
        <v>156</v>
      </c>
      <c r="M434" s="104"/>
      <c r="N434" s="57" t="s">
        <v>109</v>
      </c>
      <c r="O434" s="108"/>
    </row>
    <row r="435" spans="1:15" x14ac:dyDescent="0.3">
      <c r="A435" s="30" t="s">
        <v>48</v>
      </c>
      <c r="B435" s="30" t="s">
        <v>455</v>
      </c>
      <c r="C435" s="34" t="s">
        <v>320</v>
      </c>
      <c r="D435" s="85"/>
      <c r="E435" s="90">
        <v>39949</v>
      </c>
      <c r="F435" s="39">
        <v>0.8569444444444444</v>
      </c>
      <c r="G435" s="39"/>
      <c r="H435" s="104"/>
      <c r="I435" s="28" t="e">
        <f>((Tabela2[[#This Row],[TW - Terminal A]]-Tabela2[[#This Row],[KM]])/(Tabela2[[#This Row],[KM]]))</f>
        <v>#DIV/0!</v>
      </c>
      <c r="J435" s="104"/>
      <c r="K435" s="28" t="e">
        <f>((Tabela2[[#This Row],[TW - Terminal B ]]-Tabela2[[#This Row],[KM]])/(Tabela2[[#This Row],[KM]]))</f>
        <v>#DIV/0!</v>
      </c>
      <c r="L435" s="40"/>
      <c r="M435" s="104"/>
      <c r="N435" s="57" t="s">
        <v>114</v>
      </c>
      <c r="O435" s="108" t="s">
        <v>131</v>
      </c>
    </row>
    <row r="436" spans="1:15" x14ac:dyDescent="0.3">
      <c r="A436" s="30" t="s">
        <v>48</v>
      </c>
      <c r="B436" s="30" t="s">
        <v>455</v>
      </c>
      <c r="C436" s="34" t="s">
        <v>75</v>
      </c>
      <c r="D436" s="85"/>
      <c r="E436" s="90">
        <v>40440</v>
      </c>
      <c r="F436" s="39">
        <v>0.56736111111111109</v>
      </c>
      <c r="G436" s="39"/>
      <c r="H436" s="104"/>
      <c r="I436" s="28" t="e">
        <f>((Tabela2[[#This Row],[TW - Terminal A]]-Tabela2[[#This Row],[KM]])/(Tabela2[[#This Row],[KM]]))</f>
        <v>#DIV/0!</v>
      </c>
      <c r="J436" s="104"/>
      <c r="K436" s="28" t="e">
        <f>((Tabela2[[#This Row],[TW - Terminal B ]]-Tabela2[[#This Row],[KM]])/(Tabela2[[#This Row],[KM]]))</f>
        <v>#DIV/0!</v>
      </c>
      <c r="L436" s="40" t="s">
        <v>398</v>
      </c>
      <c r="M436" s="104"/>
      <c r="N436" s="57" t="s">
        <v>111</v>
      </c>
      <c r="O436" s="108"/>
    </row>
    <row r="437" spans="1:15" x14ac:dyDescent="0.3">
      <c r="A437" s="30" t="s">
        <v>48</v>
      </c>
      <c r="B437" s="30" t="s">
        <v>455</v>
      </c>
      <c r="C437" s="34" t="s">
        <v>75</v>
      </c>
      <c r="D437" s="85"/>
      <c r="E437" s="90">
        <v>40486</v>
      </c>
      <c r="F437" s="39">
        <v>0.73263888888888884</v>
      </c>
      <c r="G437" s="39"/>
      <c r="H437" s="104"/>
      <c r="I437" s="28" t="e">
        <f>((Tabela2[[#This Row],[TW - Terminal A]]-Tabela2[[#This Row],[KM]])/(Tabela2[[#This Row],[KM]]))</f>
        <v>#DIV/0!</v>
      </c>
      <c r="J437" s="104"/>
      <c r="K437" s="28" t="e">
        <f>((Tabela2[[#This Row],[TW - Terminal B ]]-Tabela2[[#This Row],[KM]])/(Tabela2[[#This Row],[KM]]))</f>
        <v>#DIV/0!</v>
      </c>
      <c r="L437" s="40" t="s">
        <v>330</v>
      </c>
      <c r="M437" s="104"/>
      <c r="N437" s="57" t="s">
        <v>111</v>
      </c>
      <c r="O437" s="108"/>
    </row>
    <row r="438" spans="1:15" x14ac:dyDescent="0.3">
      <c r="A438" s="30" t="s">
        <v>48</v>
      </c>
      <c r="B438" s="30" t="s">
        <v>455</v>
      </c>
      <c r="C438" s="34" t="s">
        <v>75</v>
      </c>
      <c r="D438" s="85"/>
      <c r="E438" s="90">
        <v>40207</v>
      </c>
      <c r="F438" s="39">
        <v>0.55625000000000002</v>
      </c>
      <c r="G438" s="39"/>
      <c r="H438" s="104"/>
      <c r="I438" s="28" t="e">
        <f>((Tabela2[[#This Row],[TW - Terminal A]]-Tabela2[[#This Row],[KM]])/(Tabela2[[#This Row],[KM]]))</f>
        <v>#DIV/0!</v>
      </c>
      <c r="J438" s="104"/>
      <c r="K438" s="28" t="e">
        <f>((Tabela2[[#This Row],[TW - Terminal B ]]-Tabela2[[#This Row],[KM]])/(Tabela2[[#This Row],[KM]]))</f>
        <v>#DIV/0!</v>
      </c>
      <c r="L438" s="40"/>
      <c r="M438" s="104"/>
      <c r="N438" s="57" t="s">
        <v>114</v>
      </c>
      <c r="O438" s="108" t="s">
        <v>131</v>
      </c>
    </row>
    <row r="439" spans="1:15" x14ac:dyDescent="0.3">
      <c r="A439" s="30" t="s">
        <v>48</v>
      </c>
      <c r="B439" s="30" t="s">
        <v>455</v>
      </c>
      <c r="C439" s="34" t="s">
        <v>75</v>
      </c>
      <c r="D439" s="85"/>
      <c r="E439" s="90">
        <v>40440</v>
      </c>
      <c r="F439" s="39">
        <v>0.56736111111111109</v>
      </c>
      <c r="G439" s="39"/>
      <c r="H439" s="104"/>
      <c r="I439" s="28" t="e">
        <f>((Tabela2[[#This Row],[TW - Terminal A]]-Tabela2[[#This Row],[KM]])/(Tabela2[[#This Row],[KM]]))</f>
        <v>#DIV/0!</v>
      </c>
      <c r="J439" s="104"/>
      <c r="K439" s="28" t="e">
        <f>((Tabela2[[#This Row],[TW - Terminal B ]]-Tabela2[[#This Row],[KM]])/(Tabela2[[#This Row],[KM]]))</f>
        <v>#DIV/0!</v>
      </c>
      <c r="L439" s="40" t="s">
        <v>398</v>
      </c>
      <c r="M439" s="104"/>
      <c r="N439" s="57" t="s">
        <v>111</v>
      </c>
      <c r="O439" s="108"/>
    </row>
    <row r="440" spans="1:15" x14ac:dyDescent="0.3">
      <c r="A440" s="30" t="s">
        <v>48</v>
      </c>
      <c r="B440" s="30" t="s">
        <v>455</v>
      </c>
      <c r="C440" s="34" t="s">
        <v>75</v>
      </c>
      <c r="D440" s="85"/>
      <c r="E440" s="86">
        <v>40486</v>
      </c>
      <c r="F440" s="39">
        <v>0.73263888888888884</v>
      </c>
      <c r="G440" s="39"/>
      <c r="H440" s="104"/>
      <c r="I440" s="28" t="e">
        <f>((Tabela2[[#This Row],[TW - Terminal A]]-Tabela2[[#This Row],[KM]])/(Tabela2[[#This Row],[KM]]))</f>
        <v>#DIV/0!</v>
      </c>
      <c r="J440" s="104"/>
      <c r="K440" s="28" t="e">
        <f>((Tabela2[[#This Row],[TW - Terminal B ]]-Tabela2[[#This Row],[KM]])/(Tabela2[[#This Row],[KM]]))</f>
        <v>#DIV/0!</v>
      </c>
      <c r="L440" s="40" t="s">
        <v>330</v>
      </c>
      <c r="M440" s="104"/>
      <c r="N440" s="57" t="s">
        <v>111</v>
      </c>
      <c r="O440" s="108"/>
    </row>
    <row r="441" spans="1:15" x14ac:dyDescent="0.3">
      <c r="A441" s="30" t="s">
        <v>48</v>
      </c>
      <c r="B441" s="30" t="s">
        <v>455</v>
      </c>
      <c r="C441" s="34" t="s">
        <v>320</v>
      </c>
      <c r="D441" s="85"/>
      <c r="E441" s="90">
        <v>40216</v>
      </c>
      <c r="F441" s="39">
        <v>0.67222222222222217</v>
      </c>
      <c r="G441" s="39"/>
      <c r="H441" s="104"/>
      <c r="I441" s="28" t="e">
        <f>((Tabela2[[#This Row],[TW - Terminal A]]-Tabela2[[#This Row],[KM]])/(Tabela2[[#This Row],[KM]]))</f>
        <v>#DIV/0!</v>
      </c>
      <c r="J441" s="104"/>
      <c r="K441" s="28" t="e">
        <f>((Tabela2[[#This Row],[TW - Terminal B ]]-Tabela2[[#This Row],[KM]])/(Tabela2[[#This Row],[KM]]))</f>
        <v>#DIV/0!</v>
      </c>
      <c r="L441" s="40" t="s">
        <v>331</v>
      </c>
      <c r="M441" s="104"/>
      <c r="N441" s="57" t="s">
        <v>109</v>
      </c>
      <c r="O441" s="108"/>
    </row>
    <row r="442" spans="1:15" x14ac:dyDescent="0.3">
      <c r="A442" s="30" t="s">
        <v>48</v>
      </c>
      <c r="B442" s="30" t="s">
        <v>455</v>
      </c>
      <c r="C442" s="34" t="s">
        <v>320</v>
      </c>
      <c r="D442" s="85"/>
      <c r="E442" s="90">
        <v>40247</v>
      </c>
      <c r="F442" s="39">
        <v>0.75902777777777775</v>
      </c>
      <c r="G442" s="39"/>
      <c r="H442" s="104"/>
      <c r="I442" s="28" t="e">
        <f>((Tabela2[[#This Row],[TW - Terminal A]]-Tabela2[[#This Row],[KM]])/(Tabela2[[#This Row],[KM]]))</f>
        <v>#DIV/0!</v>
      </c>
      <c r="J442" s="104"/>
      <c r="K442" s="28" t="e">
        <f>((Tabela2[[#This Row],[TW - Terminal B ]]-Tabela2[[#This Row],[KM]])/(Tabela2[[#This Row],[KM]]))</f>
        <v>#DIV/0!</v>
      </c>
      <c r="L442" s="40" t="s">
        <v>399</v>
      </c>
      <c r="M442" s="104"/>
      <c r="N442" s="57" t="s">
        <v>108</v>
      </c>
      <c r="O442" s="108"/>
    </row>
    <row r="443" spans="1:15" x14ac:dyDescent="0.3">
      <c r="A443" s="30" t="s">
        <v>48</v>
      </c>
      <c r="B443" s="30" t="s">
        <v>455</v>
      </c>
      <c r="C443" s="34" t="s">
        <v>320</v>
      </c>
      <c r="D443" s="85"/>
      <c r="E443" s="90">
        <v>40252</v>
      </c>
      <c r="F443" s="39">
        <v>0.67083333333333339</v>
      </c>
      <c r="G443" s="39"/>
      <c r="H443" s="104"/>
      <c r="I443" s="28" t="e">
        <f>((Tabela2[[#This Row],[TW - Terminal A]]-Tabela2[[#This Row],[KM]])/(Tabela2[[#This Row],[KM]]))</f>
        <v>#DIV/0!</v>
      </c>
      <c r="J443" s="104"/>
      <c r="K443" s="28" t="e">
        <f>((Tabela2[[#This Row],[TW - Terminal B ]]-Tabela2[[#This Row],[KM]])/(Tabela2[[#This Row],[KM]]))</f>
        <v>#DIV/0!</v>
      </c>
      <c r="L443" s="40"/>
      <c r="M443" s="104"/>
      <c r="N443" s="57" t="s">
        <v>114</v>
      </c>
      <c r="O443" s="108" t="s">
        <v>131</v>
      </c>
    </row>
    <row r="444" spans="1:15" x14ac:dyDescent="0.3">
      <c r="A444" s="30" t="s">
        <v>48</v>
      </c>
      <c r="B444" s="30" t="s">
        <v>455</v>
      </c>
      <c r="C444" s="34" t="s">
        <v>320</v>
      </c>
      <c r="D444" s="85"/>
      <c r="E444" s="90">
        <v>40328</v>
      </c>
      <c r="F444" s="39">
        <v>0.57291666666666663</v>
      </c>
      <c r="G444" s="39"/>
      <c r="H444" s="104"/>
      <c r="I444" s="28" t="e">
        <f>((Tabela2[[#This Row],[TW - Terminal A]]-Tabela2[[#This Row],[KM]])/(Tabela2[[#This Row],[KM]]))</f>
        <v>#DIV/0!</v>
      </c>
      <c r="J444" s="104"/>
      <c r="K444" s="28" t="e">
        <f>((Tabela2[[#This Row],[TW - Terminal B ]]-Tabela2[[#This Row],[KM]])/(Tabela2[[#This Row],[KM]]))</f>
        <v>#DIV/0!</v>
      </c>
      <c r="L444" s="40" t="s">
        <v>332</v>
      </c>
      <c r="M444" s="104"/>
      <c r="N444" s="57" t="s">
        <v>108</v>
      </c>
      <c r="O444" s="108"/>
    </row>
    <row r="445" spans="1:15" x14ac:dyDescent="0.3">
      <c r="A445" s="30" t="s">
        <v>48</v>
      </c>
      <c r="B445" s="30" t="s">
        <v>455</v>
      </c>
      <c r="C445" s="34" t="s">
        <v>320</v>
      </c>
      <c r="D445" s="85"/>
      <c r="E445" s="90">
        <v>40437</v>
      </c>
      <c r="F445" s="39">
        <v>0.52847222222222223</v>
      </c>
      <c r="G445" s="39"/>
      <c r="H445" s="104"/>
      <c r="I445" s="28" t="e">
        <f>((Tabela2[[#This Row],[TW - Terminal A]]-Tabela2[[#This Row],[KM]])/(Tabela2[[#This Row],[KM]]))</f>
        <v>#DIV/0!</v>
      </c>
      <c r="J445" s="104"/>
      <c r="K445" s="28" t="e">
        <f>((Tabela2[[#This Row],[TW - Terminal B ]]-Tabela2[[#This Row],[KM]])/(Tabela2[[#This Row],[KM]]))</f>
        <v>#DIV/0!</v>
      </c>
      <c r="L445" s="40" t="s">
        <v>400</v>
      </c>
      <c r="M445" s="104"/>
      <c r="N445" s="57" t="s">
        <v>111</v>
      </c>
      <c r="O445" s="108"/>
    </row>
    <row r="446" spans="1:15" x14ac:dyDescent="0.3">
      <c r="A446" s="30" t="s">
        <v>48</v>
      </c>
      <c r="B446" s="30" t="s">
        <v>455</v>
      </c>
      <c r="C446" s="34" t="s">
        <v>320</v>
      </c>
      <c r="D446" s="85"/>
      <c r="E446" s="90">
        <v>40457</v>
      </c>
      <c r="F446" s="39" t="s">
        <v>127</v>
      </c>
      <c r="G446" s="39"/>
      <c r="H446" s="104"/>
      <c r="I446" s="28" t="e">
        <f>((Tabela2[[#This Row],[TW - Terminal A]]-Tabela2[[#This Row],[KM]])/(Tabela2[[#This Row],[KM]]))</f>
        <v>#DIV/0!</v>
      </c>
      <c r="J446" s="104"/>
      <c r="K446" s="28" t="e">
        <f>((Tabela2[[#This Row],[TW - Terminal B ]]-Tabela2[[#This Row],[KM]])/(Tabela2[[#This Row],[KM]]))</f>
        <v>#DIV/0!</v>
      </c>
      <c r="L446" s="40" t="s">
        <v>401</v>
      </c>
      <c r="M446" s="104"/>
      <c r="N446" s="57" t="s">
        <v>111</v>
      </c>
      <c r="O446" s="108"/>
    </row>
    <row r="447" spans="1:15" x14ac:dyDescent="0.3">
      <c r="A447" s="30" t="s">
        <v>48</v>
      </c>
      <c r="B447" s="30" t="s">
        <v>455</v>
      </c>
      <c r="C447" s="34" t="s">
        <v>320</v>
      </c>
      <c r="D447" s="85"/>
      <c r="E447" s="90">
        <v>40506</v>
      </c>
      <c r="F447" s="39" t="s">
        <v>128</v>
      </c>
      <c r="G447" s="39"/>
      <c r="H447" s="104"/>
      <c r="I447" s="28" t="e">
        <f>((Tabela2[[#This Row],[TW - Terminal A]]-Tabela2[[#This Row],[KM]])/(Tabela2[[#This Row],[KM]]))</f>
        <v>#DIV/0!</v>
      </c>
      <c r="J447" s="104"/>
      <c r="K447" s="28" t="e">
        <f>((Tabela2[[#This Row],[TW - Terminal B ]]-Tabela2[[#This Row],[KM]])/(Tabela2[[#This Row],[KM]]))</f>
        <v>#DIV/0!</v>
      </c>
      <c r="L447" s="40" t="s">
        <v>333</v>
      </c>
      <c r="M447" s="104"/>
      <c r="N447" s="57" t="s">
        <v>109</v>
      </c>
      <c r="O447" s="108"/>
    </row>
    <row r="448" spans="1:15" x14ac:dyDescent="0.3">
      <c r="A448" s="30" t="s">
        <v>48</v>
      </c>
      <c r="B448" s="30" t="s">
        <v>455</v>
      </c>
      <c r="C448" s="34" t="s">
        <v>320</v>
      </c>
      <c r="D448" s="85"/>
      <c r="E448" s="90">
        <v>40521</v>
      </c>
      <c r="F448" s="39">
        <v>0.625</v>
      </c>
      <c r="G448" s="39"/>
      <c r="H448" s="104"/>
      <c r="I448" s="28" t="e">
        <f>((Tabela2[[#This Row],[TW - Terminal A]]-Tabela2[[#This Row],[KM]])/(Tabela2[[#This Row],[KM]]))</f>
        <v>#DIV/0!</v>
      </c>
      <c r="J448" s="104"/>
      <c r="K448" s="28" t="e">
        <f>((Tabela2[[#This Row],[TW - Terminal B ]]-Tabela2[[#This Row],[KM]])/(Tabela2[[#This Row],[KM]]))</f>
        <v>#DIV/0!</v>
      </c>
      <c r="L448" s="40" t="s">
        <v>402</v>
      </c>
      <c r="M448" s="104"/>
      <c r="N448" s="57" t="s">
        <v>109</v>
      </c>
      <c r="O448" s="108"/>
    </row>
    <row r="449" spans="1:18" x14ac:dyDescent="0.3">
      <c r="A449" s="30" t="s">
        <v>48</v>
      </c>
      <c r="B449" s="30" t="s">
        <v>455</v>
      </c>
      <c r="C449" s="34" t="s">
        <v>320</v>
      </c>
      <c r="D449" s="85"/>
      <c r="E449" s="90">
        <v>40521</v>
      </c>
      <c r="F449" s="39">
        <v>0.91666666666666663</v>
      </c>
      <c r="G449" s="39"/>
      <c r="H449" s="104"/>
      <c r="I449" s="28" t="e">
        <f>((Tabela2[[#This Row],[TW - Terminal A]]-Tabela2[[#This Row],[KM]])/(Tabela2[[#This Row],[KM]]))</f>
        <v>#DIV/0!</v>
      </c>
      <c r="J449" s="104"/>
      <c r="K449" s="28" t="e">
        <f>((Tabela2[[#This Row],[TW - Terminal B ]]-Tabela2[[#This Row],[KM]])/(Tabela2[[#This Row],[KM]]))</f>
        <v>#DIV/0!</v>
      </c>
      <c r="L449" s="40" t="s">
        <v>403</v>
      </c>
      <c r="M449" s="104"/>
      <c r="N449" s="57" t="s">
        <v>109</v>
      </c>
      <c r="O449" s="108"/>
    </row>
    <row r="450" spans="1:18" x14ac:dyDescent="0.3">
      <c r="A450" s="30" t="s">
        <v>48</v>
      </c>
      <c r="B450" s="30" t="s">
        <v>455</v>
      </c>
      <c r="C450" s="34" t="s">
        <v>75</v>
      </c>
      <c r="D450" s="85"/>
      <c r="E450" s="90">
        <v>40811</v>
      </c>
      <c r="F450" s="39">
        <v>0.57291666666666663</v>
      </c>
      <c r="G450" s="39"/>
      <c r="H450" s="104"/>
      <c r="I450" s="28" t="e">
        <f>((Tabela2[[#This Row],[TW - Terminal A]]-Tabela2[[#This Row],[KM]])/(Tabela2[[#This Row],[KM]]))</f>
        <v>#DIV/0!</v>
      </c>
      <c r="J450" s="104"/>
      <c r="K450" s="28" t="e">
        <f>((Tabela2[[#This Row],[TW - Terminal B ]]-Tabela2[[#This Row],[KM]])/(Tabela2[[#This Row],[KM]]))</f>
        <v>#DIV/0!</v>
      </c>
      <c r="L450" s="40"/>
      <c r="M450" s="104"/>
      <c r="N450" s="57"/>
      <c r="O450" s="108"/>
    </row>
    <row r="451" spans="1:18" x14ac:dyDescent="0.3">
      <c r="A451" s="30" t="s">
        <v>48</v>
      </c>
      <c r="B451" s="30" t="s">
        <v>455</v>
      </c>
      <c r="C451" s="34" t="s">
        <v>320</v>
      </c>
      <c r="D451" s="88"/>
      <c r="E451" s="90">
        <v>41514</v>
      </c>
      <c r="F451" s="39">
        <v>0.63055555555555554</v>
      </c>
      <c r="G451" s="39"/>
      <c r="H451" s="104"/>
      <c r="I451" s="28" t="e">
        <f>((Tabela2[[#This Row],[TW - Terminal A]]-Tabela2[[#This Row],[KM]])/(Tabela2[[#This Row],[KM]]))</f>
        <v>#DIV/0!</v>
      </c>
      <c r="J451" s="104"/>
      <c r="K451" s="28" t="e">
        <f>((Tabela2[[#This Row],[TW - Terminal B ]]-Tabela2[[#This Row],[KM]])/(Tabela2[[#This Row],[KM]]))</f>
        <v>#DIV/0!</v>
      </c>
      <c r="L451" s="40"/>
      <c r="M451" s="104"/>
      <c r="N451" s="57" t="s">
        <v>114</v>
      </c>
      <c r="O451" s="108" t="s">
        <v>133</v>
      </c>
    </row>
    <row r="452" spans="1:18" x14ac:dyDescent="0.3">
      <c r="A452" s="30" t="s">
        <v>48</v>
      </c>
      <c r="B452" s="30" t="s">
        <v>455</v>
      </c>
      <c r="C452" s="34" t="s">
        <v>75</v>
      </c>
      <c r="D452" s="88"/>
      <c r="E452" s="90">
        <v>42436</v>
      </c>
      <c r="F452" s="39">
        <v>0.6381944444444444</v>
      </c>
      <c r="G452" s="39"/>
      <c r="H452" s="104"/>
      <c r="I452" s="28" t="e">
        <f>((Tabela2[[#This Row],[TW - Terminal A]]-Tabela2[[#This Row],[KM]])/(Tabela2[[#This Row],[KM]]))</f>
        <v>#DIV/0!</v>
      </c>
      <c r="J452" s="104"/>
      <c r="K452" s="28" t="e">
        <f>((Tabela2[[#This Row],[TW - Terminal B ]]-Tabela2[[#This Row],[KM]])/(Tabela2[[#This Row],[KM]]))</f>
        <v>#DIV/0!</v>
      </c>
      <c r="L452" s="40"/>
      <c r="M452" s="104"/>
      <c r="N452" s="57" t="s">
        <v>114</v>
      </c>
      <c r="O452" s="108"/>
    </row>
    <row r="453" spans="1:18" x14ac:dyDescent="0.3">
      <c r="A453" s="30" t="s">
        <v>48</v>
      </c>
      <c r="B453" s="30" t="s">
        <v>455</v>
      </c>
      <c r="C453" s="34" t="s">
        <v>320</v>
      </c>
      <c r="D453" s="88"/>
      <c r="E453" s="90">
        <v>42815</v>
      </c>
      <c r="F453" s="39">
        <v>0.73124999999999996</v>
      </c>
      <c r="G453" s="39"/>
      <c r="H453" s="104"/>
      <c r="I453" s="28" t="e">
        <f>((Tabela2[[#This Row],[TW - Terminal A]]-Tabela2[[#This Row],[KM]])/(Tabela2[[#This Row],[KM]]))</f>
        <v>#DIV/0!</v>
      </c>
      <c r="J453" s="104"/>
      <c r="K453" s="28" t="e">
        <f>((Tabela2[[#This Row],[TW - Terminal B ]]-Tabela2[[#This Row],[KM]])/(Tabela2[[#This Row],[KM]]))</f>
        <v>#DIV/0!</v>
      </c>
      <c r="L453" s="40"/>
      <c r="M453" s="104"/>
      <c r="N453" s="57" t="s">
        <v>114</v>
      </c>
      <c r="O453" s="108"/>
    </row>
    <row r="454" spans="1:18" x14ac:dyDescent="0.3">
      <c r="A454" s="30" t="s">
        <v>48</v>
      </c>
      <c r="B454" s="30" t="s">
        <v>455</v>
      </c>
      <c r="C454" s="34" t="s">
        <v>320</v>
      </c>
      <c r="D454" s="88"/>
      <c r="E454" s="90">
        <v>43351</v>
      </c>
      <c r="F454" s="39">
        <v>0.98055555555555551</v>
      </c>
      <c r="G454" s="39"/>
      <c r="H454" s="104"/>
      <c r="I454" s="28" t="e">
        <f>((Tabela2[[#This Row],[TW - Terminal A]]-Tabela2[[#This Row],[KM]])/(Tabela2[[#This Row],[KM]]))</f>
        <v>#DIV/0!</v>
      </c>
      <c r="J454" s="104"/>
      <c r="K454" s="28" t="e">
        <f>((Tabela2[[#This Row],[TW - Terminal B ]]-Tabela2[[#This Row],[KM]])/(Tabela2[[#This Row],[KM]]))</f>
        <v>#DIV/0!</v>
      </c>
      <c r="L454" s="40"/>
      <c r="M454" s="104"/>
      <c r="N454" s="57" t="s">
        <v>114</v>
      </c>
      <c r="O454" s="108"/>
    </row>
    <row r="455" spans="1:18" x14ac:dyDescent="0.3">
      <c r="A455" s="30" t="s">
        <v>48</v>
      </c>
      <c r="B455" s="30" t="s">
        <v>455</v>
      </c>
      <c r="C455" s="34" t="s">
        <v>320</v>
      </c>
      <c r="D455" s="88"/>
      <c r="E455" s="90">
        <v>43351</v>
      </c>
      <c r="F455" s="39">
        <v>0.99583333333333335</v>
      </c>
      <c r="G455" s="39"/>
      <c r="H455" s="104"/>
      <c r="I455" s="28" t="e">
        <f>((Tabela2[[#This Row],[TW - Terminal A]]-Tabela2[[#This Row],[KM]])/(Tabela2[[#This Row],[KM]]))</f>
        <v>#DIV/0!</v>
      </c>
      <c r="J455" s="104"/>
      <c r="K455" s="28" t="e">
        <f>((Tabela2[[#This Row],[TW - Terminal B ]]-Tabela2[[#This Row],[KM]])/(Tabela2[[#This Row],[KM]]))</f>
        <v>#DIV/0!</v>
      </c>
      <c r="L455" s="40"/>
      <c r="M455" s="104"/>
      <c r="N455" s="57" t="s">
        <v>114</v>
      </c>
      <c r="O455" s="108"/>
    </row>
    <row r="456" spans="1:18" x14ac:dyDescent="0.3">
      <c r="A456" s="30" t="s">
        <v>48</v>
      </c>
      <c r="B456" s="30" t="s">
        <v>455</v>
      </c>
      <c r="C456" s="34" t="s">
        <v>75</v>
      </c>
      <c r="D456" s="88"/>
      <c r="E456" s="90">
        <v>43478</v>
      </c>
      <c r="F456" s="39">
        <v>0.5229166666666667</v>
      </c>
      <c r="G456" s="39"/>
      <c r="H456" s="104"/>
      <c r="I456" s="28" t="e">
        <f>((Tabela2[[#This Row],[TW - Terminal A]]-Tabela2[[#This Row],[KM]])/(Tabela2[[#This Row],[KM]]))</f>
        <v>#DIV/0!</v>
      </c>
      <c r="J456" s="104"/>
      <c r="K456" s="28" t="e">
        <f>((Tabela2[[#This Row],[TW - Terminal B ]]-Tabela2[[#This Row],[KM]])/(Tabela2[[#This Row],[KM]]))</f>
        <v>#DIV/0!</v>
      </c>
      <c r="L456" s="40"/>
      <c r="M456" s="104"/>
      <c r="N456" s="57" t="s">
        <v>114</v>
      </c>
      <c r="O456" s="182"/>
    </row>
    <row r="457" spans="1:18" x14ac:dyDescent="0.3">
      <c r="A457" s="30" t="s">
        <v>48</v>
      </c>
      <c r="B457" s="30" t="s">
        <v>455</v>
      </c>
      <c r="C457" s="34" t="s">
        <v>320</v>
      </c>
      <c r="D457" s="88"/>
      <c r="E457" s="86">
        <v>43739</v>
      </c>
      <c r="F457" s="39">
        <v>0.75138888888888888</v>
      </c>
      <c r="G457" s="39"/>
      <c r="H457" s="104"/>
      <c r="I457" s="28" t="e">
        <f>((Tabela2[[#This Row],[TW - Terminal A]]-Tabela2[[#This Row],[KM]])/(Tabela2[[#This Row],[KM]]))</f>
        <v>#DIV/0!</v>
      </c>
      <c r="J457" s="104"/>
      <c r="K457" s="28" t="e">
        <f>((Tabela2[[#This Row],[TW - Terminal B ]]-Tabela2[[#This Row],[KM]])/(Tabela2[[#This Row],[KM]]))</f>
        <v>#DIV/0!</v>
      </c>
      <c r="L457" s="40"/>
      <c r="M457" s="104"/>
      <c r="N457" s="57" t="s">
        <v>114</v>
      </c>
      <c r="O457" s="131"/>
    </row>
    <row r="458" spans="1:18" x14ac:dyDescent="0.3">
      <c r="A458" s="74" t="s">
        <v>484</v>
      </c>
      <c r="B458" s="30" t="s">
        <v>455</v>
      </c>
      <c r="C458" s="93" t="s">
        <v>123</v>
      </c>
      <c r="D458" s="136"/>
      <c r="E458" s="101">
        <v>44425</v>
      </c>
      <c r="F458" s="129">
        <v>0.62222222222222223</v>
      </c>
      <c r="G458" s="129"/>
      <c r="H458" s="102"/>
      <c r="I458" s="28" t="e">
        <f>((Tabela2[[#This Row],[TW - Terminal A]]-Tabela2[[#This Row],[KM]])/(Tabela2[[#This Row],[KM]]))</f>
        <v>#DIV/0!</v>
      </c>
      <c r="J458" s="102"/>
      <c r="K458" s="28" t="e">
        <f>((Tabela2[[#This Row],[TW - Terminal B ]]-Tabela2[[#This Row],[KM]])/(Tabela2[[#This Row],[KM]]))</f>
        <v>#DIV/0!</v>
      </c>
      <c r="L458" s="89" t="s">
        <v>404</v>
      </c>
      <c r="M458" s="102"/>
      <c r="N458" s="43" t="s">
        <v>111</v>
      </c>
      <c r="O458" s="180" t="s">
        <v>44</v>
      </c>
    </row>
    <row r="459" spans="1:18" x14ac:dyDescent="0.3">
      <c r="A459" s="74" t="s">
        <v>484</v>
      </c>
      <c r="B459" s="30" t="s">
        <v>455</v>
      </c>
      <c r="C459" s="93" t="s">
        <v>122</v>
      </c>
      <c r="D459" s="85"/>
      <c r="E459" s="101">
        <v>44535</v>
      </c>
      <c r="F459" s="129">
        <v>2.991898148148148E-2</v>
      </c>
      <c r="G459" s="129"/>
      <c r="H459" s="104"/>
      <c r="I459" s="28" t="e">
        <f>((Tabela2[[#This Row],[TW - Terminal A]]-Tabela2[[#This Row],[KM]])/(Tabela2[[#This Row],[KM]]))</f>
        <v>#DIV/0!</v>
      </c>
      <c r="J459" s="104"/>
      <c r="K459" s="28" t="e">
        <f>((Tabela2[[#This Row],[TW - Terminal B ]]-Tabela2[[#This Row],[KM]])/(Tabela2[[#This Row],[KM]]))</f>
        <v>#DIV/0!</v>
      </c>
      <c r="L459" s="89" t="s">
        <v>407</v>
      </c>
      <c r="M459" s="104"/>
      <c r="N459" s="43" t="s">
        <v>109</v>
      </c>
      <c r="O459" s="180" t="s">
        <v>11</v>
      </c>
      <c r="P459"/>
      <c r="Q459"/>
      <c r="R459"/>
    </row>
    <row r="460" spans="1:18" x14ac:dyDescent="0.3">
      <c r="A460" s="30" t="s">
        <v>484</v>
      </c>
      <c r="B460" s="30" t="s">
        <v>455</v>
      </c>
      <c r="C460" s="34" t="s">
        <v>123</v>
      </c>
      <c r="D460" s="85"/>
      <c r="E460" s="86">
        <v>44535</v>
      </c>
      <c r="F460" s="39">
        <v>2.991898148148148E-2</v>
      </c>
      <c r="G460" s="129"/>
      <c r="H460" s="104"/>
      <c r="I460" s="28" t="e">
        <f>((Tabela2[[#This Row],[TW - Terminal A]]-Tabela2[[#This Row],[KM]])/(Tabela2[[#This Row],[KM]]))</f>
        <v>#DIV/0!</v>
      </c>
      <c r="J460" s="104"/>
      <c r="K460" s="28" t="e">
        <f>((Tabela2[[#This Row],[TW - Terminal B ]]-Tabela2[[#This Row],[KM]])/(Tabela2[[#This Row],[KM]]))</f>
        <v>#DIV/0!</v>
      </c>
      <c r="L460" s="89" t="s">
        <v>407</v>
      </c>
      <c r="M460" s="104"/>
      <c r="N460" s="57" t="s">
        <v>109</v>
      </c>
      <c r="O460" s="131" t="s">
        <v>11</v>
      </c>
      <c r="P460"/>
      <c r="Q460"/>
      <c r="R460"/>
    </row>
    <row r="461" spans="1:18" x14ac:dyDescent="0.3">
      <c r="A461" s="30" t="s">
        <v>484</v>
      </c>
      <c r="B461" s="30" t="s">
        <v>455</v>
      </c>
      <c r="C461" s="34" t="s">
        <v>122</v>
      </c>
      <c r="D461" s="85"/>
      <c r="E461" s="86">
        <v>44539</v>
      </c>
      <c r="F461" s="39">
        <v>0.1653240740740741</v>
      </c>
      <c r="G461" s="129"/>
      <c r="H461" s="104"/>
      <c r="I461" s="28" t="e">
        <f>((Tabela2[[#This Row],[TW - Terminal A]]-Tabela2[[#This Row],[KM]])/(Tabela2[[#This Row],[KM]]))</f>
        <v>#DIV/0!</v>
      </c>
      <c r="J461" s="104"/>
      <c r="K461" s="28" t="e">
        <f>((Tabela2[[#This Row],[TW - Terminal B ]]-Tabela2[[#This Row],[KM]])/(Tabela2[[#This Row],[KM]]))</f>
        <v>#DIV/0!</v>
      </c>
      <c r="L461" s="89" t="s">
        <v>187</v>
      </c>
      <c r="M461" s="104"/>
      <c r="N461" s="57" t="s">
        <v>109</v>
      </c>
      <c r="O461" s="131" t="s">
        <v>11</v>
      </c>
      <c r="P461"/>
      <c r="Q461"/>
      <c r="R461"/>
    </row>
    <row r="462" spans="1:18" x14ac:dyDescent="0.3">
      <c r="A462" s="30" t="s">
        <v>484</v>
      </c>
      <c r="B462" s="30" t="s">
        <v>455</v>
      </c>
      <c r="C462" s="34" t="s">
        <v>122</v>
      </c>
      <c r="D462" s="85"/>
      <c r="E462" s="86">
        <v>44547</v>
      </c>
      <c r="F462" s="39">
        <v>0.13255787037037037</v>
      </c>
      <c r="G462" s="161"/>
      <c r="H462" s="104"/>
      <c r="I462" s="28" t="e">
        <f>((Tabela2[[#This Row],[TW - Terminal A]]-Tabela2[[#This Row],[KM]])/(Tabela2[[#This Row],[KM]]))</f>
        <v>#DIV/0!</v>
      </c>
      <c r="J462" s="104"/>
      <c r="K462" s="28" t="e">
        <f>((Tabela2[[#This Row],[TW - Terminal B ]]-Tabela2[[#This Row],[KM]])/(Tabela2[[#This Row],[KM]]))</f>
        <v>#DIV/0!</v>
      </c>
      <c r="L462" s="89" t="s">
        <v>336</v>
      </c>
      <c r="M462" s="104"/>
      <c r="N462" s="57" t="s">
        <v>109</v>
      </c>
      <c r="O462" s="131" t="s">
        <v>11</v>
      </c>
      <c r="P462" s="1"/>
      <c r="Q462"/>
      <c r="R462"/>
    </row>
    <row r="463" spans="1:18" x14ac:dyDescent="0.3">
      <c r="A463" s="30" t="s">
        <v>484</v>
      </c>
      <c r="B463" s="30" t="s">
        <v>455</v>
      </c>
      <c r="C463" s="34" t="s">
        <v>123</v>
      </c>
      <c r="D463" s="85"/>
      <c r="E463" s="86">
        <v>44547</v>
      </c>
      <c r="F463" s="39">
        <v>0.13255787037037037</v>
      </c>
      <c r="G463" s="161"/>
      <c r="H463" s="104"/>
      <c r="I463" s="28" t="e">
        <f>((Tabela2[[#This Row],[TW - Terminal A]]-Tabela2[[#This Row],[KM]])/(Tabela2[[#This Row],[KM]]))</f>
        <v>#DIV/0!</v>
      </c>
      <c r="J463" s="104"/>
      <c r="K463" s="28" t="e">
        <f>((Tabela2[[#This Row],[TW - Terminal B ]]-Tabela2[[#This Row],[KM]])/(Tabela2[[#This Row],[KM]]))</f>
        <v>#DIV/0!</v>
      </c>
      <c r="L463" s="89" t="s">
        <v>336</v>
      </c>
      <c r="M463" s="104"/>
      <c r="N463" s="57" t="s">
        <v>109</v>
      </c>
      <c r="O463" s="131" t="s">
        <v>11</v>
      </c>
      <c r="P463" s="1"/>
      <c r="Q463"/>
      <c r="R463"/>
    </row>
    <row r="464" spans="1:18" x14ac:dyDescent="0.3">
      <c r="A464" s="30" t="s">
        <v>484</v>
      </c>
      <c r="B464" s="30" t="s">
        <v>455</v>
      </c>
      <c r="C464" s="34" t="s">
        <v>123</v>
      </c>
      <c r="D464" s="85"/>
      <c r="E464" s="86">
        <v>44589</v>
      </c>
      <c r="F464" s="39">
        <v>0.97644675925925928</v>
      </c>
      <c r="G464" s="161"/>
      <c r="H464" s="104"/>
      <c r="I464" s="28" t="e">
        <f>((Tabela2[[#This Row],[TW - Terminal A]]-Tabela2[[#This Row],[KM]])/(Tabela2[[#This Row],[KM]]))</f>
        <v>#DIV/0!</v>
      </c>
      <c r="J464" s="104"/>
      <c r="K464" s="28" t="e">
        <f>((Tabela2[[#This Row],[TW - Terminal B ]]-Tabela2[[#This Row],[KM]])/(Tabela2[[#This Row],[KM]]))</f>
        <v>#DIV/0!</v>
      </c>
      <c r="L464" s="89" t="s">
        <v>411</v>
      </c>
      <c r="M464" s="104"/>
      <c r="N464" s="57" t="s">
        <v>109</v>
      </c>
      <c r="O464" s="131" t="s">
        <v>11</v>
      </c>
      <c r="P464" s="1"/>
      <c r="Q464"/>
      <c r="R464"/>
    </row>
    <row r="465" spans="1:18" x14ac:dyDescent="0.3">
      <c r="A465" s="30" t="s">
        <v>484</v>
      </c>
      <c r="B465" s="30" t="s">
        <v>455</v>
      </c>
      <c r="C465" s="34" t="s">
        <v>122</v>
      </c>
      <c r="D465" s="85"/>
      <c r="E465" s="86">
        <v>44603</v>
      </c>
      <c r="F465" s="39">
        <v>0.68023148148148149</v>
      </c>
      <c r="G465" s="161"/>
      <c r="H465" s="104"/>
      <c r="I465" s="28" t="e">
        <f>((Tabela2[[#This Row],[TW - Terminal A]]-Tabela2[[#This Row],[KM]])/(Tabela2[[#This Row],[KM]]))</f>
        <v>#DIV/0!</v>
      </c>
      <c r="J465" s="104"/>
      <c r="K465" s="28" t="e">
        <f>((Tabela2[[#This Row],[TW - Terminal B ]]-Tabela2[[#This Row],[KM]])/(Tabela2[[#This Row],[KM]]))</f>
        <v>#DIV/0!</v>
      </c>
      <c r="L465" s="89" t="s">
        <v>339</v>
      </c>
      <c r="M465" s="104"/>
      <c r="N465" s="57" t="s">
        <v>109</v>
      </c>
      <c r="O465" s="131" t="s">
        <v>11</v>
      </c>
      <c r="P465" s="1"/>
      <c r="Q465"/>
      <c r="R465"/>
    </row>
    <row r="466" spans="1:18" ht="19.5" customHeight="1" x14ac:dyDescent="0.3">
      <c r="A466" s="30" t="s">
        <v>484</v>
      </c>
      <c r="B466" s="30" t="s">
        <v>455</v>
      </c>
      <c r="C466" s="34" t="s">
        <v>122</v>
      </c>
      <c r="D466" s="85"/>
      <c r="E466" s="86">
        <v>44617</v>
      </c>
      <c r="F466" s="39">
        <v>0.66805555555555562</v>
      </c>
      <c r="G466" s="161"/>
      <c r="H466" s="104"/>
      <c r="I466" s="28" t="e">
        <f>((Tabela2[[#This Row],[TW - Terminal A]]-Tabela2[[#This Row],[KM]])/(Tabela2[[#This Row],[KM]]))</f>
        <v>#DIV/0!</v>
      </c>
      <c r="J466" s="104"/>
      <c r="K466" s="28" t="e">
        <f>((Tabela2[[#This Row],[TW - Terminal B ]]-Tabela2[[#This Row],[KM]])/(Tabela2[[#This Row],[KM]]))</f>
        <v>#DIV/0!</v>
      </c>
      <c r="L466" s="89" t="s">
        <v>408</v>
      </c>
      <c r="M466" s="104"/>
      <c r="N466" s="57" t="s">
        <v>114</v>
      </c>
      <c r="O466" s="85" t="s">
        <v>134</v>
      </c>
    </row>
    <row r="467" spans="1:18" ht="19.5" customHeight="1" x14ac:dyDescent="0.3">
      <c r="A467" s="30" t="s">
        <v>484</v>
      </c>
      <c r="B467" s="30" t="s">
        <v>455</v>
      </c>
      <c r="C467" s="34" t="s">
        <v>123</v>
      </c>
      <c r="D467" s="85"/>
      <c r="E467" s="86">
        <v>44619</v>
      </c>
      <c r="F467" s="39">
        <v>0.75501157407407404</v>
      </c>
      <c r="G467" s="161"/>
      <c r="H467" s="104"/>
      <c r="I467" s="28" t="e">
        <f>((Tabela2[[#This Row],[TW - Terminal A]]-Tabela2[[#This Row],[KM]])/(Tabela2[[#This Row],[KM]]))</f>
        <v>#DIV/0!</v>
      </c>
      <c r="J467" s="104"/>
      <c r="K467" s="28" t="e">
        <f>((Tabela2[[#This Row],[TW - Terminal B ]]-Tabela2[[#This Row],[KM]])/(Tabela2[[#This Row],[KM]]))</f>
        <v>#DIV/0!</v>
      </c>
      <c r="L467" s="89" t="s">
        <v>409</v>
      </c>
      <c r="M467" s="104"/>
      <c r="N467" s="57" t="s">
        <v>109</v>
      </c>
      <c r="O467" s="85" t="s">
        <v>11</v>
      </c>
    </row>
    <row r="468" spans="1:18" ht="19.5" customHeight="1" x14ac:dyDescent="0.3">
      <c r="A468" s="30" t="s">
        <v>484</v>
      </c>
      <c r="B468" s="30" t="s">
        <v>455</v>
      </c>
      <c r="C468" s="34" t="s">
        <v>122</v>
      </c>
      <c r="D468" s="85"/>
      <c r="E468" s="86">
        <v>44647</v>
      </c>
      <c r="F468" s="39">
        <v>0.75501157407407404</v>
      </c>
      <c r="G468" s="161"/>
      <c r="H468" s="104"/>
      <c r="I468" s="28" t="e">
        <f>((Tabela2[[#This Row],[TW - Terminal A]]-Tabela2[[#This Row],[KM]])/(Tabela2[[#This Row],[KM]]))</f>
        <v>#DIV/0!</v>
      </c>
      <c r="J468" s="104"/>
      <c r="K468" s="28" t="e">
        <f>((Tabela2[[#This Row],[TW - Terminal B ]]-Tabela2[[#This Row],[KM]])/(Tabela2[[#This Row],[KM]]))</f>
        <v>#DIV/0!</v>
      </c>
      <c r="L468" s="89" t="s">
        <v>409</v>
      </c>
      <c r="M468" s="104"/>
      <c r="N468" s="57" t="s">
        <v>109</v>
      </c>
      <c r="O468" s="85" t="s">
        <v>11</v>
      </c>
    </row>
    <row r="469" spans="1:18" ht="19.5" customHeight="1" x14ac:dyDescent="0.3">
      <c r="A469" s="30" t="s">
        <v>484</v>
      </c>
      <c r="B469" s="30" t="s">
        <v>455</v>
      </c>
      <c r="C469" s="34" t="s">
        <v>82</v>
      </c>
      <c r="D469" s="85"/>
      <c r="E469" s="86">
        <v>44650</v>
      </c>
      <c r="F469" s="39">
        <v>0.97515046296296293</v>
      </c>
      <c r="G469" s="161"/>
      <c r="H469" s="104"/>
      <c r="I469" s="28" t="e">
        <f>((Tabela2[[#This Row],[TW - Terminal A]]-Tabela2[[#This Row],[KM]])/(Tabela2[[#This Row],[KM]]))</f>
        <v>#DIV/0!</v>
      </c>
      <c r="J469" s="104"/>
      <c r="K469" s="28" t="e">
        <f>((Tabela2[[#This Row],[TW - Terminal B ]]-Tabela2[[#This Row],[KM]])/(Tabela2[[#This Row],[KM]]))</f>
        <v>#DIV/0!</v>
      </c>
      <c r="L469" s="89" t="s">
        <v>413</v>
      </c>
      <c r="M469" s="104"/>
      <c r="N469" s="57" t="s">
        <v>115</v>
      </c>
      <c r="O469" s="85" t="s">
        <v>138</v>
      </c>
    </row>
    <row r="470" spans="1:18" ht="26.7" customHeight="1" x14ac:dyDescent="0.3">
      <c r="A470" s="30" t="s">
        <v>484</v>
      </c>
      <c r="B470" s="30" t="s">
        <v>455</v>
      </c>
      <c r="C470" s="34" t="s">
        <v>83</v>
      </c>
      <c r="D470" s="85"/>
      <c r="E470" s="86">
        <v>44831</v>
      </c>
      <c r="F470" s="39">
        <v>0.52083333333333337</v>
      </c>
      <c r="G470" s="161"/>
      <c r="H470" s="104"/>
      <c r="I470" s="28" t="e">
        <f>((Tabela2[[#This Row],[TW - Terminal A]]-Tabela2[[#This Row],[KM]])/(Tabela2[[#This Row],[KM]]))</f>
        <v>#DIV/0!</v>
      </c>
      <c r="J470" s="104"/>
      <c r="K470" s="28" t="e">
        <f>((Tabela2[[#This Row],[TW - Terminal B ]]-Tabela2[[#This Row],[KM]])/(Tabela2[[#This Row],[KM]]))</f>
        <v>#DIV/0!</v>
      </c>
      <c r="L470" s="89" t="s">
        <v>356</v>
      </c>
      <c r="M470" s="104"/>
      <c r="N470" s="57" t="s">
        <v>109</v>
      </c>
      <c r="O470" s="85" t="s">
        <v>11</v>
      </c>
    </row>
    <row r="471" spans="1:18" ht="26.7" customHeight="1" x14ac:dyDescent="0.3">
      <c r="A471" s="30" t="s">
        <v>484</v>
      </c>
      <c r="B471" s="30" t="s">
        <v>455</v>
      </c>
      <c r="C471" s="34" t="s">
        <v>82</v>
      </c>
      <c r="D471" s="85"/>
      <c r="E471" s="86">
        <v>44833</v>
      </c>
      <c r="F471" s="39">
        <v>0.71388888888888891</v>
      </c>
      <c r="G471" s="161"/>
      <c r="H471" s="104"/>
      <c r="I471" s="28" t="e">
        <f>((Tabela2[[#This Row],[TW - Terminal A]]-Tabela2[[#This Row],[KM]])/(Tabela2[[#This Row],[KM]]))</f>
        <v>#DIV/0!</v>
      </c>
      <c r="J471" s="104"/>
      <c r="K471" s="28" t="e">
        <f>((Tabela2[[#This Row],[TW - Terminal B ]]-Tabela2[[#This Row],[KM]])/(Tabela2[[#This Row],[KM]]))</f>
        <v>#DIV/0!</v>
      </c>
      <c r="L471" s="89" t="s">
        <v>277</v>
      </c>
      <c r="M471" s="104"/>
      <c r="N471" s="57" t="s">
        <v>115</v>
      </c>
      <c r="O471" s="85" t="s">
        <v>138</v>
      </c>
    </row>
    <row r="472" spans="1:18" ht="26.7" customHeight="1" x14ac:dyDescent="0.3">
      <c r="A472" s="74" t="s">
        <v>484</v>
      </c>
      <c r="B472" s="30" t="s">
        <v>455</v>
      </c>
      <c r="C472" s="93" t="s">
        <v>123</v>
      </c>
      <c r="D472" s="85"/>
      <c r="E472" s="101">
        <v>44853</v>
      </c>
      <c r="F472" s="129">
        <v>0.72388888888888892</v>
      </c>
      <c r="G472" s="162"/>
      <c r="H472" s="102"/>
      <c r="I472" s="28" t="e">
        <f>((Tabela2[[#This Row],[TW - Terminal A]]-Tabela2[[#This Row],[KM]])/(Tabela2[[#This Row],[KM]]))</f>
        <v>#DIV/0!</v>
      </c>
      <c r="J472" s="102"/>
      <c r="K472" s="28" t="e">
        <f>((Tabela2[[#This Row],[TW - Terminal B ]]-Tabela2[[#This Row],[KM]])/(Tabela2[[#This Row],[KM]]))</f>
        <v>#DIV/0!</v>
      </c>
      <c r="L472" s="34" t="s">
        <v>4</v>
      </c>
      <c r="M472" s="102"/>
      <c r="N472" s="57" t="s">
        <v>114</v>
      </c>
      <c r="O472" s="136" t="s">
        <v>135</v>
      </c>
    </row>
    <row r="473" spans="1:18" x14ac:dyDescent="0.3">
      <c r="A473" s="30" t="s">
        <v>484</v>
      </c>
      <c r="B473" s="30" t="s">
        <v>455</v>
      </c>
      <c r="C473" s="34" t="s">
        <v>123</v>
      </c>
      <c r="D473" s="85"/>
      <c r="E473" s="86">
        <v>44855</v>
      </c>
      <c r="F473" s="39">
        <v>0.75902777777777775</v>
      </c>
      <c r="G473" s="161"/>
      <c r="H473" s="102"/>
      <c r="I473" s="28" t="e">
        <f>((Tabela2[[#This Row],[TW - Terminal A]]-Tabela2[[#This Row],[KM]])/(Tabela2[[#This Row],[KM]]))</f>
        <v>#DIV/0!</v>
      </c>
      <c r="J473" s="102"/>
      <c r="K473" s="167" t="e">
        <f>((Tabela2[[#This Row],[TW - Terminal B ]]-Tabela2[[#This Row],[KM]])/(Tabela2[[#This Row],[KM]]))</f>
        <v>#DIV/0!</v>
      </c>
      <c r="L473" s="89" t="s">
        <v>177</v>
      </c>
      <c r="M473" s="104"/>
      <c r="N473" s="57" t="s">
        <v>109</v>
      </c>
      <c r="O473" s="131" t="s">
        <v>11</v>
      </c>
      <c r="P473" s="1"/>
      <c r="Q473"/>
      <c r="R473"/>
    </row>
    <row r="474" spans="1:18" x14ac:dyDescent="0.3">
      <c r="A474" s="74" t="s">
        <v>484</v>
      </c>
      <c r="B474" s="25" t="s">
        <v>455</v>
      </c>
      <c r="C474" s="93" t="s">
        <v>82</v>
      </c>
      <c r="D474" s="136"/>
      <c r="E474" s="101">
        <v>44889</v>
      </c>
      <c r="F474" s="129">
        <v>0.96733796296296293</v>
      </c>
      <c r="G474" s="162"/>
      <c r="H474" s="102"/>
      <c r="I474" s="28" t="e">
        <f>((Tabela2[[#This Row],[TW - Terminal A]]-Tabela2[[#This Row],[KM]])/(Tabela2[[#This Row],[KM]]))</f>
        <v>#DIV/0!</v>
      </c>
      <c r="J474" s="102"/>
      <c r="K474" s="168" t="e">
        <f>((Tabela2[[#This Row],[TW - Terminal B ]]-Tabela2[[#This Row],[KM]])/(Tabela2[[#This Row],[KM]]))</f>
        <v>#DIV/0!</v>
      </c>
      <c r="L474" s="40" t="s">
        <v>220</v>
      </c>
      <c r="M474" s="14"/>
      <c r="N474" s="43" t="s">
        <v>115</v>
      </c>
      <c r="O474" s="36" t="s">
        <v>138</v>
      </c>
      <c r="P474"/>
      <c r="Q474"/>
      <c r="R474"/>
    </row>
    <row r="475" spans="1:18" ht="39" customHeight="1" x14ac:dyDescent="0.3">
      <c r="A475" s="74" t="s">
        <v>484</v>
      </c>
      <c r="B475" s="25" t="s">
        <v>455</v>
      </c>
      <c r="C475" s="128" t="s">
        <v>82</v>
      </c>
      <c r="D475" s="136"/>
      <c r="E475" s="101">
        <v>44900</v>
      </c>
      <c r="F475" s="129">
        <v>0.86276620370370372</v>
      </c>
      <c r="G475" s="162"/>
      <c r="H475" s="102"/>
      <c r="I475" s="28" t="e">
        <f>((Tabela2[[#This Row],[TW - Terminal A]]-Tabela2[[#This Row],[KM]])/(Tabela2[[#This Row],[KM]]))</f>
        <v>#DIV/0!</v>
      </c>
      <c r="J475" s="102"/>
      <c r="K475" s="167" t="e">
        <f>((Tabela2[[#This Row],[TW - Terminal B ]]-Tabela2[[#This Row],[KM]])/(Tabela2[[#This Row],[KM]]))</f>
        <v>#DIV/0!</v>
      </c>
      <c r="L475" s="89" t="s">
        <v>414</v>
      </c>
      <c r="M475" s="14"/>
      <c r="N475" s="43" t="s">
        <v>109</v>
      </c>
      <c r="O475" s="36" t="s">
        <v>11</v>
      </c>
      <c r="P475"/>
      <c r="Q475"/>
      <c r="R475"/>
    </row>
    <row r="476" spans="1:18" ht="69.45" customHeight="1" x14ac:dyDescent="0.3">
      <c r="A476" s="74" t="s">
        <v>484</v>
      </c>
      <c r="B476" s="25" t="s">
        <v>455</v>
      </c>
      <c r="C476" s="128" t="s">
        <v>122</v>
      </c>
      <c r="D476" s="136"/>
      <c r="E476" s="101">
        <v>44913</v>
      </c>
      <c r="F476" s="129">
        <v>0.66875000000000007</v>
      </c>
      <c r="G476" s="162"/>
      <c r="H476" s="102"/>
      <c r="I476" s="28" t="e">
        <f>((Tabela2[[#This Row],[TW - Terminal A]]-Tabela2[[#This Row],[KM]])/(Tabela2[[#This Row],[KM]]))</f>
        <v>#DIV/0!</v>
      </c>
      <c r="J476" s="102"/>
      <c r="K476" s="167" t="e">
        <f>((Tabela2[[#This Row],[TW - Terminal B ]]-Tabela2[[#This Row],[KM]])/(Tabela2[[#This Row],[KM]]))</f>
        <v>#DIV/0!</v>
      </c>
      <c r="L476" s="89" t="s">
        <v>288</v>
      </c>
      <c r="M476" s="14"/>
      <c r="N476" s="43" t="s">
        <v>109</v>
      </c>
      <c r="O476" s="36" t="s">
        <v>11</v>
      </c>
      <c r="P476"/>
      <c r="Q476"/>
      <c r="R476"/>
    </row>
    <row r="477" spans="1:18" ht="78" customHeight="1" x14ac:dyDescent="0.3">
      <c r="A477" s="74" t="s">
        <v>484</v>
      </c>
      <c r="B477" s="25" t="s">
        <v>455</v>
      </c>
      <c r="C477" s="128" t="s">
        <v>122</v>
      </c>
      <c r="D477" s="136"/>
      <c r="E477" s="101">
        <v>44916</v>
      </c>
      <c r="F477" s="129">
        <v>0.16879629629629631</v>
      </c>
      <c r="G477" s="162"/>
      <c r="H477" s="102"/>
      <c r="I477" s="28" t="e">
        <f>((Tabela2[[#This Row],[TW - Terminal A]]-Tabela2[[#This Row],[KM]])/(Tabela2[[#This Row],[KM]]))</f>
        <v>#DIV/0!</v>
      </c>
      <c r="J477" s="102"/>
      <c r="K477" s="167" t="e">
        <f>((Tabela2[[#This Row],[TW - Terminal B ]]-Tabela2[[#This Row],[KM]])/(Tabela2[[#This Row],[KM]]))</f>
        <v>#DIV/0!</v>
      </c>
      <c r="L477" s="89" t="s">
        <v>307</v>
      </c>
      <c r="M477" s="14"/>
      <c r="N477" s="43" t="s">
        <v>109</v>
      </c>
      <c r="O477" s="36" t="s">
        <v>11</v>
      </c>
      <c r="P477"/>
      <c r="Q477"/>
      <c r="R477"/>
    </row>
    <row r="478" spans="1:18" x14ac:dyDescent="0.3">
      <c r="A478" s="74" t="s">
        <v>484</v>
      </c>
      <c r="B478" s="25" t="s">
        <v>455</v>
      </c>
      <c r="C478" s="93" t="s">
        <v>123</v>
      </c>
      <c r="D478" s="136"/>
      <c r="E478" s="101">
        <v>44916</v>
      </c>
      <c r="F478" s="129">
        <v>0.16879629629629631</v>
      </c>
      <c r="G478" s="162"/>
      <c r="H478" s="102"/>
      <c r="I478" s="28" t="e">
        <f>((Tabela2[[#This Row],[TW - Terminal A]]-Tabela2[[#This Row],[KM]])/(Tabela2[[#This Row],[KM]]))</f>
        <v>#DIV/0!</v>
      </c>
      <c r="J478" s="102"/>
      <c r="K478" s="167" t="e">
        <f>((Tabela2[[#This Row],[TW - Terminal B ]]-Tabela2[[#This Row],[KM]])/(Tabela2[[#This Row],[KM]]))</f>
        <v>#DIV/0!</v>
      </c>
      <c r="L478" s="89" t="s">
        <v>307</v>
      </c>
      <c r="M478" s="14"/>
      <c r="N478" s="43" t="s">
        <v>109</v>
      </c>
      <c r="O478" s="36" t="s">
        <v>11</v>
      </c>
      <c r="P478"/>
      <c r="Q478"/>
      <c r="R478"/>
    </row>
    <row r="479" spans="1:18" x14ac:dyDescent="0.3">
      <c r="A479" s="74" t="s">
        <v>484</v>
      </c>
      <c r="B479" s="25" t="s">
        <v>455</v>
      </c>
      <c r="C479" s="93" t="s">
        <v>122</v>
      </c>
      <c r="D479" s="136"/>
      <c r="E479" s="101">
        <v>44941</v>
      </c>
      <c r="F479" s="129">
        <v>0.74098379629629629</v>
      </c>
      <c r="G479" s="162"/>
      <c r="H479" s="102"/>
      <c r="I479" s="28" t="e">
        <f>((Tabela2[[#This Row],[TW - Terminal A]]-Tabela2[[#This Row],[KM]])/(Tabela2[[#This Row],[KM]]))</f>
        <v>#DIV/0!</v>
      </c>
      <c r="J479" s="102"/>
      <c r="K479" s="167" t="e">
        <f>((Tabela2[[#This Row],[TW - Terminal B ]]-Tabela2[[#This Row],[KM]])/(Tabela2[[#This Row],[KM]]))</f>
        <v>#DIV/0!</v>
      </c>
      <c r="L479" s="89" t="s">
        <v>211</v>
      </c>
      <c r="M479" s="14"/>
      <c r="N479" s="43" t="s">
        <v>109</v>
      </c>
      <c r="O479" s="36" t="s">
        <v>11</v>
      </c>
      <c r="P479"/>
      <c r="Q479"/>
      <c r="R479"/>
    </row>
    <row r="480" spans="1:18" x14ac:dyDescent="0.3">
      <c r="A480" s="74" t="s">
        <v>484</v>
      </c>
      <c r="B480" s="25" t="s">
        <v>455</v>
      </c>
      <c r="C480" s="93" t="s">
        <v>123</v>
      </c>
      <c r="D480" s="138"/>
      <c r="E480" s="101">
        <v>44972</v>
      </c>
      <c r="F480" s="129">
        <v>0.71875</v>
      </c>
      <c r="G480" s="162"/>
      <c r="H480" s="102"/>
      <c r="I480" s="28" t="e">
        <f>((Tabela2[[#This Row],[TW - Terminal A]]-Tabela2[[#This Row],[KM]])/(Tabela2[[#This Row],[KM]]))</f>
        <v>#DIV/0!</v>
      </c>
      <c r="J480" s="102"/>
      <c r="K480" s="167" t="e">
        <f>((Tabela2[[#This Row],[TW - Terminal B ]]-Tabela2[[#This Row],[KM]])/(Tabela2[[#This Row],[KM]]))</f>
        <v>#DIV/0!</v>
      </c>
      <c r="L480" s="89" t="s">
        <v>395</v>
      </c>
      <c r="M480" s="14"/>
      <c r="N480" s="43" t="s">
        <v>114</v>
      </c>
      <c r="O480" s="36" t="s">
        <v>139</v>
      </c>
      <c r="P480"/>
      <c r="Q480"/>
      <c r="R480"/>
    </row>
    <row r="481" spans="1:19" x14ac:dyDescent="0.3">
      <c r="A481" s="74" t="s">
        <v>484</v>
      </c>
      <c r="B481" s="25" t="s">
        <v>455</v>
      </c>
      <c r="C481" s="93" t="s">
        <v>123</v>
      </c>
      <c r="D481" s="136"/>
      <c r="E481" s="101">
        <v>44992</v>
      </c>
      <c r="F481" s="129">
        <v>0.21458333333333335</v>
      </c>
      <c r="G481" s="162"/>
      <c r="H481" s="102"/>
      <c r="I481" s="28" t="e">
        <f>((Tabela2[[#This Row],[TW - Terminal A]]-Tabela2[[#This Row],[KM]])/(Tabela2[[#This Row],[KM]]))</f>
        <v>#DIV/0!</v>
      </c>
      <c r="J481" s="102"/>
      <c r="K481" s="167" t="e">
        <f>((Tabela2[[#This Row],[TW - Terminal B ]]-Tabela2[[#This Row],[KM]])/(Tabela2[[#This Row],[KM]]))</f>
        <v>#DIV/0!</v>
      </c>
      <c r="L481" s="89" t="s">
        <v>313</v>
      </c>
      <c r="M481" s="14"/>
      <c r="N481" s="43" t="s">
        <v>115</v>
      </c>
      <c r="O481" s="36" t="s">
        <v>137</v>
      </c>
      <c r="P481"/>
      <c r="Q481"/>
      <c r="R481"/>
    </row>
    <row r="482" spans="1:19" x14ac:dyDescent="0.3">
      <c r="A482" s="74" t="s">
        <v>484</v>
      </c>
      <c r="B482" s="25" t="s">
        <v>455</v>
      </c>
      <c r="C482" s="93" t="s">
        <v>82</v>
      </c>
      <c r="D482" s="136"/>
      <c r="E482" s="101">
        <v>45008</v>
      </c>
      <c r="F482" s="129">
        <v>0.57515046296296302</v>
      </c>
      <c r="G482" s="162"/>
      <c r="H482" s="102"/>
      <c r="I482" s="28" t="e">
        <f>((Tabela2[[#This Row],[TW - Terminal A]]-Tabela2[[#This Row],[KM]])/(Tabela2[[#This Row],[KM]]))</f>
        <v>#DIV/0!</v>
      </c>
      <c r="J482" s="102"/>
      <c r="K482" s="167" t="e">
        <f>((Tabela2[[#This Row],[TW - Terminal B ]]-Tabela2[[#This Row],[KM]])/(Tabela2[[#This Row],[KM]]))</f>
        <v>#DIV/0!</v>
      </c>
      <c r="L482" s="89" t="s">
        <v>314</v>
      </c>
      <c r="M482" s="14"/>
      <c r="N482" s="43" t="s">
        <v>109</v>
      </c>
      <c r="O482" s="36" t="s">
        <v>11</v>
      </c>
      <c r="P482"/>
      <c r="Q482"/>
      <c r="R482"/>
    </row>
    <row r="483" spans="1:19" x14ac:dyDescent="0.3">
      <c r="A483" s="74" t="s">
        <v>484</v>
      </c>
      <c r="B483" s="25" t="s">
        <v>455</v>
      </c>
      <c r="C483" s="93" t="s">
        <v>83</v>
      </c>
      <c r="D483" s="136"/>
      <c r="E483" s="101">
        <v>45008</v>
      </c>
      <c r="F483" s="129">
        <v>0.57515046296296302</v>
      </c>
      <c r="G483" s="162"/>
      <c r="I483" s="28" t="e">
        <f>((Tabela2[[#This Row],[TW - Terminal A]]-Tabela2[[#This Row],[KM]])/(Tabela2[[#This Row],[KM]]))</f>
        <v>#DIV/0!</v>
      </c>
      <c r="J483" s="102"/>
      <c r="K483" s="167" t="e">
        <f>((Tabela2[[#This Row],[TW - Terminal B ]]-Tabela2[[#This Row],[KM]])/(Tabela2[[#This Row],[KM]]))</f>
        <v>#DIV/0!</v>
      </c>
      <c r="L483" s="89" t="s">
        <v>314</v>
      </c>
      <c r="M483" s="14"/>
      <c r="N483" s="43" t="s">
        <v>109</v>
      </c>
      <c r="O483" s="36" t="s">
        <v>11</v>
      </c>
      <c r="P483"/>
      <c r="Q483"/>
      <c r="R483"/>
    </row>
    <row r="484" spans="1:19" ht="33" customHeight="1" x14ac:dyDescent="0.3">
      <c r="A484" s="74" t="s">
        <v>484</v>
      </c>
      <c r="B484" s="30" t="s">
        <v>455</v>
      </c>
      <c r="C484" s="93" t="s">
        <v>82</v>
      </c>
      <c r="D484" s="137"/>
      <c r="E484" s="141">
        <v>45202</v>
      </c>
      <c r="F484" s="87">
        <v>0.45208333333333334</v>
      </c>
      <c r="G484" s="164"/>
      <c r="I484" s="28" t="e">
        <f>((Tabela2[[#This Row],[TW - Terminal A]]-Tabela2[[#This Row],[KM]])/(Tabela2[[#This Row],[KM]]))</f>
        <v>#DIV/0!</v>
      </c>
      <c r="K484" s="167" t="e">
        <f>((Tabela2[[#This Row],[TW - Terminal B ]]-Tabela2[[#This Row],[KM]])/(Tabela2[[#This Row],[KM]]))</f>
        <v>#DIV/0!</v>
      </c>
      <c r="L484" s="83"/>
      <c r="M484" s="14"/>
      <c r="N484" s="57" t="s">
        <v>112</v>
      </c>
      <c r="O484" s="126"/>
      <c r="P484"/>
      <c r="Q484" s="5"/>
      <c r="S484" s="1"/>
    </row>
  </sheetData>
  <sheetProtection autoFilter="0"/>
  <phoneticPr fontId="5" type="noConversion"/>
  <dataValidations count="2">
    <dataValidation type="list" allowBlank="1" showInputMessage="1" showErrorMessage="1" sqref="D329:D330 D357:D363 D366:D367 D2:D327 D442:D448 D369:D380 D349:D355 D332:D347 D382:D440 D450:D473" xr:uid="{204376B9-6B70-4955-8799-ECB14CDD38A3}">
      <formula1>INDIRECT("Tabela1[Tipo deFalta]")</formula1>
    </dataValidation>
    <dataValidation type="list" allowBlank="1" showInputMessage="1" showErrorMessage="1" sqref="B2:B484" xr:uid="{6E48AE62-0D6F-4854-B90B-11CC965BEB7E}">
      <formula1>INDIRECT("Tabela6[Equipamento]")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Dados!$C$2:$C$90</xm:f>
          </x14:formula1>
          <xm:sqref>C2:C473</xm:sqref>
        </x14:dataValidation>
        <x14:dataValidation type="list" allowBlank="1" showInputMessage="1" showErrorMessage="1" xr:uid="{92A00CC1-D2B8-49DB-BBAF-0BF7EC57FCFD}">
          <x14:formula1>
            <xm:f>Dados!$A$2:$A$8</xm:f>
          </x14:formula1>
          <xm:sqref>A2:A473</xm:sqref>
        </x14:dataValidation>
        <x14:dataValidation type="list" allowBlank="1" showInputMessage="1" showErrorMessage="1" xr:uid="{A661DFBF-4C8E-4E9C-91F1-476EA8BE752D}">
          <x14:formula1>
            <xm:f>Dados!#REF!</xm:f>
          </x14:formula1>
          <xm:sqref>N2:N457 L458:L459 N459:N473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7412-1D77-440D-8390-AE926AE49C63}">
  <dimension ref="A1:Y80"/>
  <sheetViews>
    <sheetView showGridLines="0" topLeftCell="F1" zoomScale="115" zoomScaleNormal="115" workbookViewId="0">
      <selection activeCell="X1" sqref="X1"/>
    </sheetView>
  </sheetViews>
  <sheetFormatPr defaultRowHeight="14.4" x14ac:dyDescent="0.3"/>
  <cols>
    <col min="1" max="1" width="15" customWidth="1"/>
    <col min="2" max="2" width="16.33203125" customWidth="1"/>
    <col min="3" max="3" width="24.33203125" bestFit="1" customWidth="1"/>
    <col min="5" max="5" width="40.33203125" customWidth="1"/>
    <col min="6" max="6" width="30.33203125" customWidth="1"/>
  </cols>
  <sheetData>
    <row r="1" spans="1:25" x14ac:dyDescent="0.3">
      <c r="A1" s="96" t="s">
        <v>46</v>
      </c>
      <c r="B1" s="98" t="s">
        <v>495</v>
      </c>
      <c r="C1" s="99" t="s">
        <v>0</v>
      </c>
      <c r="D1" s="99" t="s">
        <v>415</v>
      </c>
      <c r="E1" s="99" t="s">
        <v>483</v>
      </c>
      <c r="F1" t="s">
        <v>461</v>
      </c>
      <c r="G1" s="185" t="s">
        <v>2</v>
      </c>
      <c r="H1" s="186" t="s">
        <v>496</v>
      </c>
      <c r="I1" s="185" t="s">
        <v>497</v>
      </c>
      <c r="J1" s="186" t="s">
        <v>498</v>
      </c>
      <c r="K1" s="185" t="s">
        <v>499</v>
      </c>
      <c r="L1" s="186" t="s">
        <v>500</v>
      </c>
      <c r="M1" s="185" t="s">
        <v>501</v>
      </c>
      <c r="N1" s="186" t="s">
        <v>502</v>
      </c>
      <c r="O1" s="185" t="s">
        <v>503</v>
      </c>
      <c r="P1" s="186" t="s">
        <v>504</v>
      </c>
      <c r="Q1" s="185" t="s">
        <v>505</v>
      </c>
      <c r="R1" s="186" t="s">
        <v>506</v>
      </c>
      <c r="S1" s="185" t="s">
        <v>507</v>
      </c>
      <c r="T1" s="186" t="s">
        <v>508</v>
      </c>
      <c r="U1" s="185" t="s">
        <v>509</v>
      </c>
      <c r="V1" s="186" t="s">
        <v>510</v>
      </c>
      <c r="W1" s="187" t="s">
        <v>511</v>
      </c>
      <c r="X1" s="186" t="s">
        <v>512</v>
      </c>
      <c r="Y1" s="15"/>
    </row>
    <row r="2" spans="1:25" ht="15" thickBot="1" x14ac:dyDescent="0.35">
      <c r="A2" s="95" t="s">
        <v>47</v>
      </c>
      <c r="B2" s="94" t="s">
        <v>47</v>
      </c>
      <c r="C2" s="9" t="s">
        <v>64</v>
      </c>
      <c r="D2" s="10">
        <v>248.56</v>
      </c>
      <c r="E2" s="132" t="s">
        <v>478</v>
      </c>
      <c r="F2" s="106" t="s">
        <v>490</v>
      </c>
      <c r="G2" s="188" t="s">
        <v>513</v>
      </c>
      <c r="H2" s="189" t="s">
        <v>514</v>
      </c>
      <c r="I2" s="190" t="s">
        <v>515</v>
      </c>
      <c r="J2" s="191" t="s">
        <v>514</v>
      </c>
      <c r="K2" s="190" t="s">
        <v>515</v>
      </c>
      <c r="L2" s="191" t="s">
        <v>514</v>
      </c>
      <c r="M2" s="190" t="s">
        <v>515</v>
      </c>
      <c r="N2" s="191" t="s">
        <v>514</v>
      </c>
      <c r="O2" s="190" t="s">
        <v>515</v>
      </c>
      <c r="P2" s="191" t="s">
        <v>514</v>
      </c>
      <c r="Q2" s="190" t="s">
        <v>513</v>
      </c>
      <c r="R2" s="189" t="s">
        <v>514</v>
      </c>
      <c r="S2" s="190" t="s">
        <v>513</v>
      </c>
      <c r="T2" s="189" t="s">
        <v>514</v>
      </c>
      <c r="U2" s="190" t="s">
        <v>515</v>
      </c>
      <c r="V2" s="191" t="s">
        <v>514</v>
      </c>
      <c r="W2" s="190" t="s">
        <v>515</v>
      </c>
      <c r="X2" s="191" t="s">
        <v>514</v>
      </c>
      <c r="Y2" s="15"/>
    </row>
    <row r="3" spans="1:25" x14ac:dyDescent="0.3">
      <c r="A3" s="95" t="s">
        <v>48</v>
      </c>
      <c r="B3" s="94" t="s">
        <v>47</v>
      </c>
      <c r="C3" s="9" t="s">
        <v>65</v>
      </c>
      <c r="D3" s="10">
        <v>257.3</v>
      </c>
      <c r="E3" s="132" t="s">
        <v>477</v>
      </c>
      <c r="F3" s="103" t="s">
        <v>463</v>
      </c>
      <c r="G3" s="188" t="s">
        <v>516</v>
      </c>
      <c r="H3" s="192" t="s">
        <v>517</v>
      </c>
      <c r="I3" s="190" t="s">
        <v>518</v>
      </c>
      <c r="J3" s="191" t="s">
        <v>519</v>
      </c>
      <c r="K3" s="190" t="s">
        <v>520</v>
      </c>
      <c r="L3" s="191" t="s">
        <v>521</v>
      </c>
      <c r="M3" s="190" t="s">
        <v>522</v>
      </c>
      <c r="N3" s="191" t="s">
        <v>523</v>
      </c>
      <c r="O3" s="190" t="s">
        <v>524</v>
      </c>
      <c r="P3" s="191" t="s">
        <v>525</v>
      </c>
      <c r="Q3" s="190" t="s">
        <v>526</v>
      </c>
      <c r="R3" s="189" t="s">
        <v>527</v>
      </c>
      <c r="S3" s="190" t="s">
        <v>526</v>
      </c>
      <c r="T3" s="189" t="s">
        <v>527</v>
      </c>
      <c r="U3" s="190" t="s">
        <v>526</v>
      </c>
      <c r="V3" s="191" t="s">
        <v>319</v>
      </c>
      <c r="W3" s="190" t="s">
        <v>528</v>
      </c>
      <c r="X3" s="191" t="s">
        <v>529</v>
      </c>
      <c r="Y3" s="15"/>
    </row>
    <row r="4" spans="1:25" x14ac:dyDescent="0.3">
      <c r="A4" s="95" t="s">
        <v>49</v>
      </c>
      <c r="B4" s="94" t="s">
        <v>47</v>
      </c>
      <c r="C4" s="11" t="s">
        <v>66</v>
      </c>
      <c r="D4" s="10">
        <v>254.89</v>
      </c>
      <c r="E4" s="132" t="s">
        <v>476</v>
      </c>
      <c r="F4" s="106" t="s">
        <v>464</v>
      </c>
      <c r="G4" s="188" t="s">
        <v>530</v>
      </c>
      <c r="H4" s="192" t="s">
        <v>531</v>
      </c>
      <c r="I4" s="190" t="s">
        <v>532</v>
      </c>
      <c r="J4" s="191" t="s">
        <v>533</v>
      </c>
      <c r="K4" s="193" t="s">
        <v>534</v>
      </c>
      <c r="L4" s="194" t="s">
        <v>535</v>
      </c>
      <c r="M4" s="190" t="s">
        <v>536</v>
      </c>
      <c r="N4" s="191" t="s">
        <v>537</v>
      </c>
      <c r="O4" s="190" t="s">
        <v>538</v>
      </c>
      <c r="P4" s="191" t="s">
        <v>539</v>
      </c>
      <c r="Q4" s="190" t="s">
        <v>540</v>
      </c>
      <c r="R4" s="189" t="s">
        <v>541</v>
      </c>
      <c r="S4" s="190" t="s">
        <v>540</v>
      </c>
      <c r="T4" s="189" t="s">
        <v>541</v>
      </c>
      <c r="U4" s="190" t="s">
        <v>540</v>
      </c>
      <c r="V4" s="191" t="s">
        <v>542</v>
      </c>
      <c r="W4" s="193" t="s">
        <v>543</v>
      </c>
      <c r="X4" s="194" t="s">
        <v>542</v>
      </c>
      <c r="Y4" s="15"/>
    </row>
    <row r="5" spans="1:25" x14ac:dyDescent="0.3">
      <c r="A5" s="95" t="s">
        <v>50</v>
      </c>
      <c r="B5" s="94" t="s">
        <v>47</v>
      </c>
      <c r="C5" s="9" t="s">
        <v>67</v>
      </c>
      <c r="D5" s="10">
        <v>174.03</v>
      </c>
      <c r="E5" s="132" t="s">
        <v>475</v>
      </c>
      <c r="F5" s="106" t="s">
        <v>465</v>
      </c>
      <c r="G5" s="188" t="s">
        <v>544</v>
      </c>
      <c r="H5" s="192" t="s">
        <v>545</v>
      </c>
      <c r="I5" s="190" t="s">
        <v>546</v>
      </c>
      <c r="J5" s="191" t="s">
        <v>547</v>
      </c>
      <c r="K5" s="15"/>
      <c r="L5" s="15"/>
      <c r="M5" s="190" t="s">
        <v>548</v>
      </c>
      <c r="N5" s="191" t="s">
        <v>549</v>
      </c>
      <c r="O5" s="190" t="s">
        <v>550</v>
      </c>
      <c r="P5" s="191" t="s">
        <v>551</v>
      </c>
      <c r="Q5" s="190" t="s">
        <v>552</v>
      </c>
      <c r="R5" s="189" t="s">
        <v>553</v>
      </c>
      <c r="S5" s="190" t="s">
        <v>552</v>
      </c>
      <c r="T5" s="189" t="s">
        <v>553</v>
      </c>
      <c r="U5" s="190" t="s">
        <v>554</v>
      </c>
      <c r="V5" s="191" t="s">
        <v>555</v>
      </c>
      <c r="W5" s="15"/>
      <c r="X5" s="15"/>
      <c r="Y5" s="15"/>
    </row>
    <row r="6" spans="1:25" x14ac:dyDescent="0.3">
      <c r="A6" s="95" t="s">
        <v>51</v>
      </c>
      <c r="B6" s="94" t="s">
        <v>47</v>
      </c>
      <c r="C6" s="12" t="s">
        <v>68</v>
      </c>
      <c r="D6" s="10">
        <v>343.51</v>
      </c>
      <c r="E6" s="132" t="s">
        <v>481</v>
      </c>
      <c r="F6" s="106" t="s">
        <v>466</v>
      </c>
      <c r="G6" s="188" t="s">
        <v>556</v>
      </c>
      <c r="H6" s="192" t="s">
        <v>557</v>
      </c>
      <c r="I6" s="193" t="s">
        <v>558</v>
      </c>
      <c r="J6" s="194" t="s">
        <v>559</v>
      </c>
      <c r="K6" s="15"/>
      <c r="L6" s="15"/>
      <c r="M6" s="190" t="s">
        <v>560</v>
      </c>
      <c r="N6" s="191" t="s">
        <v>561</v>
      </c>
      <c r="O6" s="190" t="s">
        <v>562</v>
      </c>
      <c r="P6" s="191" t="s">
        <v>563</v>
      </c>
      <c r="Q6" s="193" t="s">
        <v>564</v>
      </c>
      <c r="R6" s="195" t="s">
        <v>565</v>
      </c>
      <c r="S6" s="193" t="s">
        <v>564</v>
      </c>
      <c r="T6" s="195" t="s">
        <v>565</v>
      </c>
      <c r="U6" s="193" t="s">
        <v>566</v>
      </c>
      <c r="V6" s="194" t="s">
        <v>567</v>
      </c>
      <c r="W6" s="15"/>
      <c r="X6" s="15"/>
      <c r="Y6" s="15"/>
    </row>
    <row r="7" spans="1:25" x14ac:dyDescent="0.3">
      <c r="A7" s="95" t="s">
        <v>52</v>
      </c>
      <c r="B7" s="94" t="s">
        <v>48</v>
      </c>
      <c r="C7" s="12" t="s">
        <v>54</v>
      </c>
      <c r="D7" s="10">
        <v>42.68</v>
      </c>
      <c r="E7" s="132" t="s">
        <v>479</v>
      </c>
      <c r="F7" s="106" t="s">
        <v>467</v>
      </c>
      <c r="G7" s="188" t="s">
        <v>568</v>
      </c>
      <c r="H7" s="192" t="s">
        <v>569</v>
      </c>
      <c r="I7" s="15"/>
      <c r="J7" s="15"/>
      <c r="K7" s="15"/>
      <c r="L7" s="15"/>
      <c r="M7" s="193" t="s">
        <v>570</v>
      </c>
      <c r="N7" s="194" t="s">
        <v>571</v>
      </c>
      <c r="O7" s="190" t="s">
        <v>572</v>
      </c>
      <c r="P7" s="191" t="s">
        <v>121</v>
      </c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3">
      <c r="A8" s="100" t="s">
        <v>53</v>
      </c>
      <c r="B8" s="94" t="s">
        <v>48</v>
      </c>
      <c r="C8" s="12" t="s">
        <v>75</v>
      </c>
      <c r="D8" s="10">
        <v>208.67</v>
      </c>
      <c r="E8" s="132" t="s">
        <v>480</v>
      </c>
      <c r="F8" s="106" t="s">
        <v>468</v>
      </c>
      <c r="G8" s="188" t="s">
        <v>573</v>
      </c>
      <c r="H8" s="192" t="s">
        <v>574</v>
      </c>
      <c r="I8" s="15"/>
      <c r="J8" s="15"/>
      <c r="K8" s="15"/>
      <c r="L8" s="15"/>
      <c r="M8" s="15"/>
      <c r="N8" s="15"/>
      <c r="O8" s="190" t="s">
        <v>575</v>
      </c>
      <c r="P8" s="191" t="s">
        <v>576</v>
      </c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3">
      <c r="B9" s="94" t="s">
        <v>48</v>
      </c>
      <c r="C9" s="12" t="s">
        <v>320</v>
      </c>
      <c r="D9" s="10">
        <v>321.70999999999998</v>
      </c>
      <c r="E9" s="132" t="s">
        <v>482</v>
      </c>
      <c r="F9" s="106" t="s">
        <v>469</v>
      </c>
      <c r="G9" s="188" t="s">
        <v>577</v>
      </c>
      <c r="H9" s="192" t="s">
        <v>578</v>
      </c>
      <c r="I9" s="15"/>
      <c r="J9" s="15"/>
      <c r="K9" s="15"/>
      <c r="L9" s="15"/>
      <c r="M9" s="15"/>
      <c r="N9" s="15"/>
      <c r="O9" s="190" t="s">
        <v>579</v>
      </c>
      <c r="P9" s="191" t="s">
        <v>580</v>
      </c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3">
      <c r="B10" s="94" t="s">
        <v>48</v>
      </c>
      <c r="C10" s="12" t="s">
        <v>76</v>
      </c>
      <c r="D10" s="8"/>
      <c r="E10" s="95"/>
      <c r="F10" s="106" t="s">
        <v>442</v>
      </c>
      <c r="G10" s="190" t="s">
        <v>581</v>
      </c>
      <c r="H10" s="192" t="s">
        <v>582</v>
      </c>
      <c r="I10" s="15"/>
      <c r="J10" s="15"/>
      <c r="K10" s="15"/>
      <c r="L10" s="15"/>
      <c r="M10" s="15"/>
      <c r="N10" s="15"/>
      <c r="O10" s="190" t="s">
        <v>583</v>
      </c>
      <c r="P10" s="191" t="s">
        <v>584</v>
      </c>
      <c r="Q10" s="15"/>
      <c r="R10" s="15"/>
      <c r="S10" s="15"/>
      <c r="T10" s="15"/>
      <c r="U10" s="15"/>
      <c r="V10" s="15"/>
      <c r="W10" s="15"/>
      <c r="X10" s="15"/>
      <c r="Y10" s="15"/>
    </row>
    <row r="11" spans="1:25" x14ac:dyDescent="0.3">
      <c r="B11" s="94" t="s">
        <v>48</v>
      </c>
      <c r="C11" s="12" t="s">
        <v>77</v>
      </c>
      <c r="D11" s="8"/>
      <c r="E11" s="95"/>
      <c r="F11" s="106" t="s">
        <v>448</v>
      </c>
      <c r="G11" s="190" t="s">
        <v>585</v>
      </c>
      <c r="H11" s="192" t="s">
        <v>586</v>
      </c>
      <c r="I11" s="15"/>
      <c r="J11" s="15"/>
      <c r="K11" s="15"/>
      <c r="L11" s="15"/>
      <c r="M11" s="15"/>
      <c r="N11" s="15"/>
      <c r="O11" s="190" t="s">
        <v>587</v>
      </c>
      <c r="P11" s="191" t="s">
        <v>588</v>
      </c>
      <c r="Q11" s="15"/>
      <c r="R11" s="15"/>
      <c r="S11" s="15"/>
      <c r="T11" s="15"/>
      <c r="U11" s="15"/>
      <c r="V11" s="15"/>
      <c r="W11" s="15"/>
      <c r="X11" s="15"/>
      <c r="Y11" s="15"/>
    </row>
    <row r="12" spans="1:25" x14ac:dyDescent="0.3">
      <c r="B12" s="94" t="s">
        <v>48</v>
      </c>
      <c r="C12" s="12" t="s">
        <v>78</v>
      </c>
      <c r="D12" s="8"/>
      <c r="E12" s="95"/>
      <c r="F12" s="106" t="s">
        <v>5</v>
      </c>
      <c r="G12" s="190" t="s">
        <v>589</v>
      </c>
      <c r="H12" s="192" t="s">
        <v>590</v>
      </c>
      <c r="I12" s="15"/>
      <c r="J12" s="15"/>
      <c r="K12" s="15"/>
      <c r="L12" s="15"/>
      <c r="M12" s="15"/>
      <c r="N12" s="15"/>
      <c r="O12" s="190" t="s">
        <v>591</v>
      </c>
      <c r="P12" s="191" t="s">
        <v>118</v>
      </c>
      <c r="Q12" s="15"/>
      <c r="R12" s="15"/>
      <c r="S12" s="15"/>
      <c r="T12" s="15"/>
      <c r="U12" s="15"/>
      <c r="V12" s="15"/>
      <c r="W12" s="15"/>
      <c r="X12" s="15"/>
      <c r="Y12" s="15"/>
    </row>
    <row r="13" spans="1:25" x14ac:dyDescent="0.3">
      <c r="B13" s="94" t="s">
        <v>48</v>
      </c>
      <c r="C13" s="12" t="s">
        <v>79</v>
      </c>
      <c r="D13" s="8"/>
      <c r="E13" s="95"/>
      <c r="F13" s="106" t="s">
        <v>493</v>
      </c>
      <c r="G13" s="190" t="s">
        <v>592</v>
      </c>
      <c r="H13" s="192" t="s">
        <v>593</v>
      </c>
      <c r="I13" s="15"/>
      <c r="J13" s="15"/>
      <c r="K13" s="15"/>
      <c r="L13" s="15"/>
      <c r="M13" s="15"/>
      <c r="N13" s="15"/>
      <c r="O13" s="193" t="s">
        <v>594</v>
      </c>
      <c r="P13" s="194" t="s">
        <v>595</v>
      </c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3">
      <c r="B14" s="94" t="s">
        <v>48</v>
      </c>
      <c r="C14" s="12" t="s">
        <v>80</v>
      </c>
      <c r="D14" s="8"/>
      <c r="E14" s="95"/>
      <c r="F14" s="106" t="s">
        <v>494</v>
      </c>
      <c r="G14" s="190" t="s">
        <v>596</v>
      </c>
      <c r="H14" s="192" t="s">
        <v>597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3">
      <c r="B15" s="94" t="s">
        <v>48</v>
      </c>
      <c r="C15" s="12" t="s">
        <v>81</v>
      </c>
      <c r="D15" s="8"/>
      <c r="E15" s="95"/>
      <c r="G15" s="190" t="s">
        <v>598</v>
      </c>
      <c r="H15" s="192" t="s">
        <v>599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3">
      <c r="B16" s="94" t="s">
        <v>47</v>
      </c>
      <c r="C16" s="8" t="s">
        <v>55</v>
      </c>
      <c r="D16" s="8"/>
      <c r="E16" s="95"/>
      <c r="G16" s="193" t="s">
        <v>600</v>
      </c>
      <c r="H16" s="196" t="s">
        <v>601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2:25" x14ac:dyDescent="0.3">
      <c r="B17" s="94" t="s">
        <v>47</v>
      </c>
      <c r="C17" s="8" t="s">
        <v>56</v>
      </c>
      <c r="D17" s="8"/>
      <c r="E17" s="9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2:25" x14ac:dyDescent="0.3">
      <c r="B18" s="94" t="s">
        <v>47</v>
      </c>
      <c r="C18" s="8" t="s">
        <v>57</v>
      </c>
      <c r="D18" s="8"/>
      <c r="E18" s="9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2:25" x14ac:dyDescent="0.3">
      <c r="B19" s="94" t="s">
        <v>47</v>
      </c>
      <c r="C19" s="8" t="s">
        <v>57</v>
      </c>
      <c r="D19" s="8"/>
      <c r="E19" s="9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2:25" x14ac:dyDescent="0.3">
      <c r="B20" s="94" t="s">
        <v>47</v>
      </c>
      <c r="C20" s="8" t="s">
        <v>58</v>
      </c>
      <c r="D20" s="8"/>
      <c r="E20" s="100"/>
    </row>
    <row r="21" spans="2:25" x14ac:dyDescent="0.3">
      <c r="B21" s="94" t="s">
        <v>47</v>
      </c>
      <c r="C21" s="8" t="s">
        <v>59</v>
      </c>
      <c r="D21" s="8"/>
    </row>
    <row r="22" spans="2:25" x14ac:dyDescent="0.3">
      <c r="B22" s="94" t="s">
        <v>47</v>
      </c>
      <c r="C22" s="8" t="s">
        <v>60</v>
      </c>
      <c r="D22" s="8"/>
    </row>
    <row r="23" spans="2:25" x14ac:dyDescent="0.3">
      <c r="B23" s="94" t="s">
        <v>47</v>
      </c>
      <c r="C23" s="8" t="s">
        <v>61</v>
      </c>
      <c r="D23" s="8"/>
    </row>
    <row r="24" spans="2:25" x14ac:dyDescent="0.3">
      <c r="B24" s="94" t="s">
        <v>47</v>
      </c>
      <c r="C24" s="8" t="s">
        <v>62</v>
      </c>
      <c r="D24" s="8"/>
    </row>
    <row r="25" spans="2:25" x14ac:dyDescent="0.3">
      <c r="B25" s="94" t="s">
        <v>47</v>
      </c>
      <c r="C25" s="8" t="s">
        <v>63</v>
      </c>
      <c r="D25" s="8"/>
    </row>
    <row r="26" spans="2:25" x14ac:dyDescent="0.3">
      <c r="B26" s="94" t="s">
        <v>47</v>
      </c>
      <c r="C26" s="8" t="s">
        <v>69</v>
      </c>
      <c r="D26" s="8"/>
    </row>
    <row r="27" spans="2:25" x14ac:dyDescent="0.3">
      <c r="B27" s="94" t="s">
        <v>47</v>
      </c>
      <c r="C27" s="8" t="s">
        <v>70</v>
      </c>
      <c r="D27" s="8"/>
    </row>
    <row r="28" spans="2:25" x14ac:dyDescent="0.3">
      <c r="B28" s="94" t="s">
        <v>47</v>
      </c>
      <c r="C28" s="8" t="s">
        <v>18</v>
      </c>
      <c r="D28" s="8"/>
    </row>
    <row r="29" spans="2:25" x14ac:dyDescent="0.3">
      <c r="B29" s="94" t="s">
        <v>47</v>
      </c>
      <c r="C29" s="8" t="s">
        <v>71</v>
      </c>
      <c r="D29" s="8"/>
    </row>
    <row r="30" spans="2:25" x14ac:dyDescent="0.3">
      <c r="B30" s="94" t="s">
        <v>47</v>
      </c>
      <c r="C30" s="8" t="s">
        <v>72</v>
      </c>
      <c r="D30" s="8"/>
    </row>
    <row r="31" spans="2:25" x14ac:dyDescent="0.3">
      <c r="B31" s="94" t="s">
        <v>47</v>
      </c>
      <c r="C31" s="8" t="s">
        <v>73</v>
      </c>
      <c r="D31" s="8"/>
    </row>
    <row r="32" spans="2:25" x14ac:dyDescent="0.3">
      <c r="B32" s="94" t="s">
        <v>47</v>
      </c>
      <c r="C32" s="8" t="s">
        <v>74</v>
      </c>
      <c r="D32" s="8"/>
    </row>
    <row r="33" spans="2:5" x14ac:dyDescent="0.3">
      <c r="B33" s="94" t="s">
        <v>49</v>
      </c>
      <c r="C33" s="8" t="s">
        <v>82</v>
      </c>
      <c r="D33" s="10">
        <v>120.4</v>
      </c>
      <c r="E33" s="132" t="s">
        <v>471</v>
      </c>
    </row>
    <row r="34" spans="2:5" x14ac:dyDescent="0.3">
      <c r="B34" s="94" t="s">
        <v>49</v>
      </c>
      <c r="C34" s="8" t="s">
        <v>83</v>
      </c>
      <c r="D34" s="10">
        <v>120.4</v>
      </c>
      <c r="E34" s="132" t="s">
        <v>471</v>
      </c>
    </row>
    <row r="35" spans="2:5" x14ac:dyDescent="0.3">
      <c r="B35" s="94" t="s">
        <v>49</v>
      </c>
      <c r="C35" s="8" t="s">
        <v>84</v>
      </c>
      <c r="D35" s="8"/>
    </row>
    <row r="36" spans="2:5" x14ac:dyDescent="0.3">
      <c r="B36" s="94" t="s">
        <v>49</v>
      </c>
      <c r="C36" s="8" t="s">
        <v>85</v>
      </c>
      <c r="D36" s="8"/>
    </row>
    <row r="37" spans="2:5" x14ac:dyDescent="0.3">
      <c r="B37" s="94" t="s">
        <v>49</v>
      </c>
      <c r="C37" s="8" t="s">
        <v>86</v>
      </c>
      <c r="D37" s="8"/>
    </row>
    <row r="38" spans="2:5" x14ac:dyDescent="0.3">
      <c r="B38" s="94" t="s">
        <v>49</v>
      </c>
      <c r="C38" s="8" t="s">
        <v>87</v>
      </c>
      <c r="D38" s="8"/>
    </row>
    <row r="39" spans="2:5" x14ac:dyDescent="0.3">
      <c r="B39" s="94" t="s">
        <v>49</v>
      </c>
      <c r="C39" s="8" t="s">
        <v>88</v>
      </c>
      <c r="D39" s="8"/>
    </row>
    <row r="40" spans="2:5" x14ac:dyDescent="0.3">
      <c r="B40" s="94" t="s">
        <v>49</v>
      </c>
      <c r="C40" s="8" t="s">
        <v>89</v>
      </c>
      <c r="D40" s="8"/>
    </row>
    <row r="41" spans="2:5" x14ac:dyDescent="0.3">
      <c r="B41" s="94" t="s">
        <v>49</v>
      </c>
      <c r="C41" s="8" t="s">
        <v>91</v>
      </c>
      <c r="D41" s="8"/>
    </row>
    <row r="42" spans="2:5" x14ac:dyDescent="0.3">
      <c r="B42" s="94" t="s">
        <v>49</v>
      </c>
      <c r="C42" s="8" t="s">
        <v>90</v>
      </c>
      <c r="D42" s="8"/>
    </row>
    <row r="43" spans="2:5" x14ac:dyDescent="0.3">
      <c r="B43" s="94" t="s">
        <v>49</v>
      </c>
      <c r="C43" s="8" t="s">
        <v>92</v>
      </c>
      <c r="D43" s="8"/>
    </row>
    <row r="44" spans="2:5" x14ac:dyDescent="0.3">
      <c r="B44" s="94" t="s">
        <v>49</v>
      </c>
      <c r="C44" s="8" t="s">
        <v>93</v>
      </c>
      <c r="D44" s="8"/>
    </row>
    <row r="45" spans="2:5" x14ac:dyDescent="0.3">
      <c r="B45" s="94" t="s">
        <v>49</v>
      </c>
      <c r="C45" s="8" t="s">
        <v>94</v>
      </c>
      <c r="D45" s="8"/>
    </row>
    <row r="46" spans="2:5" x14ac:dyDescent="0.3">
      <c r="B46" s="94" t="s">
        <v>53</v>
      </c>
      <c r="C46" s="8" t="s">
        <v>97</v>
      </c>
      <c r="D46" s="8"/>
      <c r="E46" s="132" t="s">
        <v>472</v>
      </c>
    </row>
    <row r="47" spans="2:5" x14ac:dyDescent="0.3">
      <c r="B47" s="94" t="s">
        <v>53</v>
      </c>
      <c r="C47" s="8" t="s">
        <v>98</v>
      </c>
      <c r="D47" s="8"/>
      <c r="E47" s="132" t="s">
        <v>473</v>
      </c>
    </row>
    <row r="48" spans="2:5" x14ac:dyDescent="0.3">
      <c r="B48" s="94" t="s">
        <v>53</v>
      </c>
      <c r="C48" s="8" t="s">
        <v>99</v>
      </c>
      <c r="D48" s="8"/>
      <c r="E48" s="132" t="s">
        <v>474</v>
      </c>
    </row>
    <row r="49" spans="2:5" x14ac:dyDescent="0.3">
      <c r="B49" s="94" t="s">
        <v>53</v>
      </c>
      <c r="C49" s="8" t="s">
        <v>100</v>
      </c>
      <c r="D49" s="8"/>
      <c r="E49" s="132" t="s">
        <v>474</v>
      </c>
    </row>
    <row r="50" spans="2:5" x14ac:dyDescent="0.3">
      <c r="B50" s="94" t="s">
        <v>53</v>
      </c>
      <c r="C50" s="8" t="s">
        <v>101</v>
      </c>
      <c r="D50" s="8"/>
    </row>
    <row r="51" spans="2:5" x14ac:dyDescent="0.3">
      <c r="B51" s="94" t="s">
        <v>53</v>
      </c>
      <c r="C51" s="8" t="s">
        <v>102</v>
      </c>
      <c r="D51" s="8"/>
    </row>
    <row r="52" spans="2:5" x14ac:dyDescent="0.3">
      <c r="B52" s="94" t="s">
        <v>53</v>
      </c>
      <c r="C52" s="8" t="s">
        <v>103</v>
      </c>
      <c r="D52" s="8"/>
    </row>
    <row r="53" spans="2:5" x14ac:dyDescent="0.3">
      <c r="B53" s="94" t="s">
        <v>53</v>
      </c>
      <c r="C53" s="8" t="s">
        <v>104</v>
      </c>
      <c r="D53" s="8"/>
    </row>
    <row r="54" spans="2:5" x14ac:dyDescent="0.3">
      <c r="B54" s="94" t="s">
        <v>53</v>
      </c>
      <c r="C54" s="8" t="s">
        <v>105</v>
      </c>
      <c r="D54" s="8"/>
    </row>
    <row r="55" spans="2:5" x14ac:dyDescent="0.3">
      <c r="B55" s="94" t="s">
        <v>53</v>
      </c>
      <c r="C55" s="8" t="s">
        <v>106</v>
      </c>
      <c r="D55" s="8"/>
    </row>
    <row r="56" spans="2:5" x14ac:dyDescent="0.3">
      <c r="B56" s="94" t="s">
        <v>53</v>
      </c>
      <c r="C56" s="8" t="s">
        <v>107</v>
      </c>
      <c r="D56" s="8"/>
    </row>
    <row r="57" spans="2:5" x14ac:dyDescent="0.3">
      <c r="B57" s="94" t="s">
        <v>49</v>
      </c>
      <c r="C57" s="8" t="s">
        <v>122</v>
      </c>
      <c r="D57" s="10">
        <v>264.3</v>
      </c>
      <c r="E57" s="132" t="s">
        <v>470</v>
      </c>
    </row>
    <row r="58" spans="2:5" x14ac:dyDescent="0.3">
      <c r="B58" s="94" t="s">
        <v>49</v>
      </c>
      <c r="C58" s="8" t="s">
        <v>123</v>
      </c>
      <c r="D58" s="10">
        <v>264.3</v>
      </c>
      <c r="E58" s="132" t="s">
        <v>470</v>
      </c>
    </row>
    <row r="59" spans="2:5" x14ac:dyDescent="0.3">
      <c r="B59" s="94" t="s">
        <v>49</v>
      </c>
      <c r="C59" s="8" t="s">
        <v>124</v>
      </c>
      <c r="D59" s="10">
        <v>264.3</v>
      </c>
      <c r="E59" s="132" t="s">
        <v>470</v>
      </c>
    </row>
    <row r="60" spans="2:5" x14ac:dyDescent="0.3">
      <c r="B60" s="94" t="s">
        <v>49</v>
      </c>
      <c r="C60" s="8" t="s">
        <v>125</v>
      </c>
      <c r="D60" s="10">
        <v>120.4</v>
      </c>
      <c r="E60" s="132" t="s">
        <v>471</v>
      </c>
    </row>
    <row r="61" spans="2:5" x14ac:dyDescent="0.3">
      <c r="B61" s="94" t="s">
        <v>48</v>
      </c>
      <c r="C61" s="7" t="s">
        <v>416</v>
      </c>
      <c r="D61" s="10">
        <v>232.5</v>
      </c>
      <c r="E61" s="14"/>
    </row>
    <row r="62" spans="2:5" ht="18.45" customHeight="1" x14ac:dyDescent="0.3">
      <c r="B62" s="94" t="s">
        <v>48</v>
      </c>
      <c r="C62" s="7" t="s">
        <v>417</v>
      </c>
      <c r="D62" s="10">
        <v>256.88</v>
      </c>
      <c r="E62" s="14"/>
    </row>
    <row r="63" spans="2:5" ht="14.7" customHeight="1" x14ac:dyDescent="0.3">
      <c r="B63" s="94" t="s">
        <v>48</v>
      </c>
      <c r="C63" s="7" t="s">
        <v>418</v>
      </c>
      <c r="D63" s="10">
        <v>104.4</v>
      </c>
      <c r="E63" s="14"/>
    </row>
    <row r="64" spans="2:5" x14ac:dyDescent="0.3">
      <c r="B64" s="94" t="s">
        <v>48</v>
      </c>
      <c r="C64" s="7" t="s">
        <v>419</v>
      </c>
      <c r="D64" s="10">
        <v>2</v>
      </c>
      <c r="E64" s="14"/>
    </row>
    <row r="65" spans="2:5" x14ac:dyDescent="0.3">
      <c r="B65" s="94" t="s">
        <v>432</v>
      </c>
      <c r="C65" s="8" t="s">
        <v>420</v>
      </c>
      <c r="D65" s="10">
        <v>22</v>
      </c>
      <c r="E65" s="14"/>
    </row>
    <row r="66" spans="2:5" x14ac:dyDescent="0.3">
      <c r="B66" s="94" t="s">
        <v>432</v>
      </c>
      <c r="C66" s="8" t="s">
        <v>421</v>
      </c>
      <c r="D66" s="10">
        <v>22</v>
      </c>
      <c r="E66" s="14"/>
    </row>
    <row r="67" spans="2:5" x14ac:dyDescent="0.3">
      <c r="B67" s="94" t="s">
        <v>432</v>
      </c>
      <c r="C67" s="8" t="s">
        <v>422</v>
      </c>
      <c r="D67" s="10">
        <v>193.2</v>
      </c>
      <c r="E67" s="14"/>
    </row>
    <row r="68" spans="2:5" x14ac:dyDescent="0.3">
      <c r="B68" s="94" t="s">
        <v>432</v>
      </c>
      <c r="C68" s="8" t="s">
        <v>423</v>
      </c>
      <c r="D68" s="10">
        <v>191.5</v>
      </c>
      <c r="E68" s="14"/>
    </row>
    <row r="69" spans="2:5" x14ac:dyDescent="0.3">
      <c r="B69" s="94" t="s">
        <v>432</v>
      </c>
      <c r="C69" s="8" t="s">
        <v>424</v>
      </c>
      <c r="D69" s="10">
        <v>35</v>
      </c>
      <c r="E69" s="14"/>
    </row>
    <row r="70" spans="2:5" x14ac:dyDescent="0.3">
      <c r="B70" s="94" t="s">
        <v>432</v>
      </c>
      <c r="C70" s="8" t="s">
        <v>425</v>
      </c>
      <c r="D70" s="10">
        <v>177.36</v>
      </c>
      <c r="E70" s="14"/>
    </row>
    <row r="71" spans="2:5" x14ac:dyDescent="0.3">
      <c r="B71" s="94" t="s">
        <v>432</v>
      </c>
      <c r="C71" s="8" t="s">
        <v>426</v>
      </c>
      <c r="D71" s="10">
        <v>321.19</v>
      </c>
      <c r="E71" s="14"/>
    </row>
    <row r="72" spans="2:5" x14ac:dyDescent="0.3">
      <c r="B72" s="94" t="s">
        <v>432</v>
      </c>
      <c r="C72" s="8" t="s">
        <v>427</v>
      </c>
      <c r="D72" s="10">
        <v>121.07</v>
      </c>
      <c r="E72" s="14"/>
    </row>
    <row r="73" spans="2:5" x14ac:dyDescent="0.3">
      <c r="B73" s="94" t="s">
        <v>432</v>
      </c>
      <c r="C73" s="8" t="s">
        <v>428</v>
      </c>
      <c r="D73" s="10">
        <v>243.12</v>
      </c>
      <c r="E73" s="14"/>
    </row>
    <row r="74" spans="2:5" x14ac:dyDescent="0.3">
      <c r="B74" s="94" t="s">
        <v>432</v>
      </c>
      <c r="C74" s="8" t="s">
        <v>429</v>
      </c>
      <c r="D74" s="10">
        <v>113.88</v>
      </c>
      <c r="E74" s="14"/>
    </row>
    <row r="75" spans="2:5" x14ac:dyDescent="0.3">
      <c r="B75" s="94" t="s">
        <v>432</v>
      </c>
      <c r="C75" s="8" t="s">
        <v>430</v>
      </c>
      <c r="D75" s="10">
        <v>203.07</v>
      </c>
      <c r="E75" s="14"/>
    </row>
    <row r="76" spans="2:5" x14ac:dyDescent="0.3">
      <c r="B76" s="94" t="s">
        <v>432</v>
      </c>
      <c r="C76" s="8" t="s">
        <v>431</v>
      </c>
      <c r="D76" s="10">
        <v>212.4</v>
      </c>
      <c r="E76" s="14"/>
    </row>
    <row r="77" spans="2:5" x14ac:dyDescent="0.3">
      <c r="B77" s="97" t="s">
        <v>47</v>
      </c>
      <c r="C77" s="16" t="s">
        <v>446</v>
      </c>
    </row>
    <row r="78" spans="2:5" x14ac:dyDescent="0.3">
      <c r="B78" s="97" t="s">
        <v>47</v>
      </c>
      <c r="C78" s="16" t="s">
        <v>447</v>
      </c>
    </row>
    <row r="79" spans="2:5" x14ac:dyDescent="0.3">
      <c r="B79" s="97"/>
      <c r="C79" s="16"/>
    </row>
    <row r="80" spans="2:5" x14ac:dyDescent="0.3">
      <c r="B80" s="97"/>
      <c r="C80" s="16"/>
    </row>
  </sheetData>
  <conditionalFormatting sqref="E2:E9">
    <cfRule type="cellIs" dxfId="4" priority="18" operator="equal">
      <formula>"Preencher"</formula>
    </cfRule>
  </conditionalFormatting>
  <conditionalFormatting sqref="E33:E34">
    <cfRule type="cellIs" dxfId="3" priority="12" operator="equal">
      <formula>"Preencher"</formula>
    </cfRule>
  </conditionalFormatting>
  <conditionalFormatting sqref="E46:E51">
    <cfRule type="cellIs" dxfId="2" priority="5" operator="equal">
      <formula>"Preencher"</formula>
    </cfRule>
  </conditionalFormatting>
  <conditionalFormatting sqref="E57:E61">
    <cfRule type="cellIs" dxfId="1" priority="1" operator="equal">
      <formula>"Preencher"</formula>
    </cfRule>
  </conditionalFormatting>
  <conditionalFormatting sqref="F24:F45">
    <cfRule type="cellIs" dxfId="0" priority="24" operator="equal">
      <formula>"Preencher"</formula>
    </cfRule>
  </conditionalFormatting>
  <dataValidations count="1">
    <dataValidation type="list" allowBlank="1" showInputMessage="1" showErrorMessage="1" sqref="E57:E59" xr:uid="{DCC574AE-C0FF-4A98-97BA-259E1E0C0BA7}">
      <formula1>INDIRECT("Base!" &amp; ADDRESS(MATCH(#REF!,ListaCombos,0),2) &amp; ":" &amp; ADDRESS(MATCH(#REF!,ListaCombos,0),MATCH(TRUE,ISBLANK(INDIRECT("Base!" &amp; ADDRESS(MATCH(#REF!,ListaCombos,0),2) &amp; ":" &amp; ADDRESS(MATCH(#REF!,ListaCombos,0),100))),0)))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092600-b0ef-48e0-a7ee-0d04c94b37c3">
      <Terms xmlns="http://schemas.microsoft.com/office/infopath/2007/PartnerControls"/>
    </lcf76f155ced4ddcb4097134ff3c332f>
    <TaxCatchAll xmlns="ba2a25a5-3018-4c7b-8fb6-719e460532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85F718352F34F8A3673C88EB4A721" ma:contentTypeVersion="15" ma:contentTypeDescription="Create a new document." ma:contentTypeScope="" ma:versionID="ccd733e44ba7b992eeb2a6e9358bcbd5">
  <xsd:schema xmlns:xsd="http://www.w3.org/2001/XMLSchema" xmlns:xs="http://www.w3.org/2001/XMLSchema" xmlns:p="http://schemas.microsoft.com/office/2006/metadata/properties" xmlns:ns2="72092600-b0ef-48e0-a7ee-0d04c94b37c3" xmlns:ns3="ba2a25a5-3018-4c7b-8fb6-719e4605327a" targetNamespace="http://schemas.microsoft.com/office/2006/metadata/properties" ma:root="true" ma:fieldsID="25c2075fe6df249a760d7f2d1629bbff" ns2:_="" ns3:_="">
    <xsd:import namespace="72092600-b0ef-48e0-a7ee-0d04c94b37c3"/>
    <xsd:import namespace="ba2a25a5-3018-4c7b-8fb6-719e460532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92600-b0ef-48e0-a7ee-0d04c94b3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f3294f-b991-4594-a1d0-3fdc6aad1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a25a5-3018-4c7b-8fb6-719e460532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7b47ce6-5fc3-42fb-bd2d-2f8291314fa3}" ma:internalName="TaxCatchAll" ma:showField="CatchAllData" ma:web="ba2a25a5-3018-4c7b-8fb6-719e460532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ED21C52-6A07-41B7-94DF-77A6172DF737}">
  <ds:schemaRefs>
    <ds:schemaRef ds:uri="http://schemas.microsoft.com/office/2006/metadata/properties"/>
    <ds:schemaRef ds:uri="http://schemas.microsoft.com/office/infopath/2007/PartnerControls"/>
    <ds:schemaRef ds:uri="72092600-b0ef-48e0-a7ee-0d04c94b37c3"/>
    <ds:schemaRef ds:uri="ba2a25a5-3018-4c7b-8fb6-719e4605327a"/>
  </ds:schemaRefs>
</ds:datastoreItem>
</file>

<file path=customXml/itemProps2.xml><?xml version="1.0" encoding="utf-8"?>
<ds:datastoreItem xmlns:ds="http://schemas.openxmlformats.org/officeDocument/2006/customXml" ds:itemID="{91819A60-B5A2-4957-AF2A-68C24D819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D52E22-F8CE-49B9-B477-E630249D7B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92600-b0ef-48e0-a7ee-0d04c94b37c3"/>
    <ds:schemaRef ds:uri="ba2a25a5-3018-4c7b-8fb6-719e46053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4601332-5879-4FF9-B25F-A1992492A9A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9c74747-83cc-460d-85d3-019f41c6d39e}" enabled="1" method="Privileged" siteId="{5e07ae6e-562b-416d-84a3-21f574a3a4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Ocorrências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 Claudio Martins</dc:creator>
  <cp:keywords/>
  <dc:description/>
  <cp:lastModifiedBy>Hernandes Ribeiro Cruz</cp:lastModifiedBy>
  <cp:revision/>
  <cp:lastPrinted>2025-11-08T00:49:37Z</cp:lastPrinted>
  <dcterms:created xsi:type="dcterms:W3CDTF">2020-01-22T02:50:37Z</dcterms:created>
  <dcterms:modified xsi:type="dcterms:W3CDTF">2026-01-02T16:17:42Z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0x01010028185F718352F34F8A3673C88EB4A721</vt:lpwstr>
  </property>
  <property fmtid="{D5CDD505-2E9C-101B-9397-08002B2CF9AE}" pid="3" name="MediaServiceImageTags">
    <vt:lpwstr/>
  </property>
</Properties>
</file>