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09 - Desenvolvimento de Softwares\Python\Localizacaodetorres\"/>
    </mc:Choice>
  </mc:AlternateContent>
  <xr:revisionPtr revIDLastSave="0" documentId="13_ncr:1_{C8FAEAF7-1B85-4FDB-934B-1DEECCC96CFA}" xr6:coauthVersionLast="47" xr6:coauthVersionMax="47" xr10:uidLastSave="{00000000-0000-0000-0000-000000000000}"/>
  <bookViews>
    <workbookView xWindow="-120" yWindow="-120" windowWidth="29040" windowHeight="15720" tabRatio="974" xr2:uid="{00000000-000D-0000-FFFF-FFFF00000000}"/>
  </bookViews>
  <sheets>
    <sheet name="DADOS" sheetId="3" r:id="rId1"/>
    <sheet name="KM_LT" sheetId="17" r:id="rId2"/>
    <sheet name="LT SMSD" sheetId="4" r:id="rId3"/>
    <sheet name="LT SDRDE" sheetId="5" r:id="rId4"/>
    <sheet name="LT RDEBJD" sheetId="6" r:id="rId5"/>
    <sheet name="LT BJDBJS" sheetId="7" r:id="rId6"/>
    <sheet name="LT BJDICA" sheetId="8" r:id="rId7"/>
    <sheet name="LT ICASPU" sheetId="9" r:id="rId8"/>
    <sheet name="LT CMDSPU" sheetId="10" r:id="rId9"/>
    <sheet name="LT IZCO2" sheetId="11" r:id="rId10"/>
    <sheet name="LT COMC2" sheetId="12" r:id="rId11"/>
    <sheet name="LT GUMC2" sheetId="13" r:id="rId12"/>
    <sheet name="LT SMGU2" sheetId="14" r:id="rId13"/>
    <sheet name="LT SMSB3" sheetId="15" r:id="rId14"/>
    <sheet name="LT JUJB C1" sheetId="18" r:id="rId15"/>
    <sheet name="LT JUJB C2" sheetId="20" r:id="rId16"/>
    <sheet name="LT BNNM C1" sheetId="21" r:id="rId17"/>
    <sheet name="LT BNNM C2" sheetId="22" r:id="rId18"/>
    <sheet name="Torres JBJU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3" i="22" l="1"/>
  <c r="B562" i="22"/>
  <c r="B561" i="22"/>
  <c r="B560" i="22"/>
  <c r="B559" i="22"/>
  <c r="B558" i="22"/>
  <c r="B557" i="22"/>
  <c r="B556" i="22"/>
  <c r="B555" i="22"/>
  <c r="B554" i="22"/>
  <c r="B553" i="22"/>
  <c r="B552" i="22"/>
  <c r="B551" i="22"/>
  <c r="B550" i="22"/>
  <c r="B549" i="22"/>
  <c r="B548" i="22"/>
  <c r="B547" i="22"/>
  <c r="B546" i="22"/>
  <c r="B545" i="22"/>
  <c r="B544" i="22"/>
  <c r="B543" i="22"/>
  <c r="B542" i="22"/>
  <c r="B541" i="22"/>
  <c r="B540" i="22"/>
  <c r="B539" i="22"/>
  <c r="B538" i="22"/>
  <c r="B537" i="22"/>
  <c r="B536" i="22"/>
  <c r="B535" i="22"/>
  <c r="B534" i="22"/>
  <c r="B533" i="22"/>
  <c r="B532" i="22"/>
  <c r="B531" i="22"/>
  <c r="B530" i="22"/>
  <c r="B529" i="22"/>
  <c r="B528" i="22"/>
  <c r="B527" i="22"/>
  <c r="B526" i="22"/>
  <c r="B525" i="22"/>
  <c r="B524" i="22"/>
  <c r="B523" i="22"/>
  <c r="B522" i="22"/>
  <c r="B521" i="22"/>
  <c r="B520" i="22"/>
  <c r="B519" i="22"/>
  <c r="B518" i="22"/>
  <c r="B517" i="22"/>
  <c r="B516" i="22"/>
  <c r="B515" i="22"/>
  <c r="B514" i="22"/>
  <c r="B513" i="22"/>
  <c r="B512" i="22"/>
  <c r="B511" i="22"/>
  <c r="B510" i="22"/>
  <c r="B509" i="22"/>
  <c r="B508" i="22"/>
  <c r="B507" i="22"/>
  <c r="B506" i="22"/>
  <c r="B505" i="22"/>
  <c r="B504" i="22"/>
  <c r="B503" i="22"/>
  <c r="B502" i="22"/>
  <c r="B501" i="22"/>
  <c r="B500" i="22"/>
  <c r="B499" i="22"/>
  <c r="B498" i="22"/>
  <c r="B497" i="22"/>
  <c r="B496" i="22"/>
  <c r="B495" i="22"/>
  <c r="B494" i="22"/>
  <c r="B493" i="22"/>
  <c r="B492" i="22"/>
  <c r="B491" i="22"/>
  <c r="B490" i="22"/>
  <c r="B489" i="22"/>
  <c r="B488" i="22"/>
  <c r="B487" i="22"/>
  <c r="B486" i="22"/>
  <c r="B485" i="22"/>
  <c r="B484" i="22"/>
  <c r="B483" i="22"/>
  <c r="B482" i="22"/>
  <c r="B481" i="22"/>
  <c r="B480" i="22"/>
  <c r="B479" i="22"/>
  <c r="B478" i="22"/>
  <c r="B477" i="22"/>
  <c r="B476" i="22"/>
  <c r="B475" i="22"/>
  <c r="B474" i="22"/>
  <c r="B473" i="22"/>
  <c r="B472" i="22"/>
  <c r="B471" i="22"/>
  <c r="B470" i="22"/>
  <c r="B469" i="22"/>
  <c r="B468" i="22"/>
  <c r="B467" i="22"/>
  <c r="B466" i="22"/>
  <c r="B465" i="22"/>
  <c r="B464" i="22"/>
  <c r="B463" i="22"/>
  <c r="B462" i="22"/>
  <c r="B461" i="22"/>
  <c r="B460" i="22"/>
  <c r="B459" i="22"/>
  <c r="B458" i="22"/>
  <c r="B457" i="22"/>
  <c r="B456" i="22"/>
  <c r="B455" i="22"/>
  <c r="B454" i="22"/>
  <c r="B453" i="22"/>
  <c r="B452" i="22"/>
  <c r="B451" i="22"/>
  <c r="B450" i="22"/>
  <c r="B449" i="22"/>
  <c r="B448" i="22"/>
  <c r="B447" i="22"/>
  <c r="B446" i="22"/>
  <c r="B445" i="22"/>
  <c r="B444" i="22"/>
  <c r="B443" i="22"/>
  <c r="B442" i="22"/>
  <c r="B441" i="22"/>
  <c r="B440" i="22"/>
  <c r="B439" i="22"/>
  <c r="B438" i="22"/>
  <c r="B437" i="22"/>
  <c r="B436" i="22"/>
  <c r="B435" i="22"/>
  <c r="B434" i="22"/>
  <c r="B433" i="22"/>
  <c r="B432" i="22"/>
  <c r="B431" i="22"/>
  <c r="B430" i="22"/>
  <c r="B429" i="22"/>
  <c r="B428" i="22"/>
  <c r="B427" i="22"/>
  <c r="B426" i="22"/>
  <c r="B425" i="22"/>
  <c r="B424" i="22"/>
  <c r="B423" i="22"/>
  <c r="B422" i="22"/>
  <c r="B421" i="22"/>
  <c r="B420" i="22"/>
  <c r="B419" i="22"/>
  <c r="B418" i="22"/>
  <c r="B417" i="22"/>
  <c r="B416" i="22"/>
  <c r="B415" i="22"/>
  <c r="B414" i="22"/>
  <c r="B413" i="22"/>
  <c r="B412" i="22"/>
  <c r="B411" i="22"/>
  <c r="B410" i="22"/>
  <c r="B409" i="22"/>
  <c r="B408" i="22"/>
  <c r="B407" i="22"/>
  <c r="B406" i="22"/>
  <c r="B405" i="22"/>
  <c r="B404" i="22"/>
  <c r="B403" i="22"/>
  <c r="B402" i="22"/>
  <c r="B401" i="22"/>
  <c r="B400" i="22"/>
  <c r="B399" i="22"/>
  <c r="B398" i="22"/>
  <c r="B397" i="22"/>
  <c r="B396" i="22"/>
  <c r="B395" i="22"/>
  <c r="B394" i="22"/>
  <c r="B393" i="22"/>
  <c r="B392" i="22"/>
  <c r="B391" i="22"/>
  <c r="B390" i="22"/>
  <c r="B389" i="22"/>
  <c r="B388" i="22"/>
  <c r="B387" i="22"/>
  <c r="B386" i="22"/>
  <c r="B385" i="22"/>
  <c r="B384" i="22"/>
  <c r="B383" i="22"/>
  <c r="B382" i="22"/>
  <c r="B381" i="22"/>
  <c r="B380" i="22"/>
  <c r="B379" i="22"/>
  <c r="B378" i="22"/>
  <c r="B377" i="22"/>
  <c r="B376" i="22"/>
  <c r="B375" i="22"/>
  <c r="B374" i="22"/>
  <c r="B373" i="22"/>
  <c r="B372" i="22"/>
  <c r="B371" i="22"/>
  <c r="B370" i="22"/>
  <c r="B369" i="22"/>
  <c r="B368" i="22"/>
  <c r="B367" i="22"/>
  <c r="B366" i="22"/>
  <c r="B365" i="22"/>
  <c r="B364" i="22"/>
  <c r="B363" i="22"/>
  <c r="B362" i="22"/>
  <c r="B361" i="22"/>
  <c r="B360" i="22"/>
  <c r="B359" i="22"/>
  <c r="B358" i="22"/>
  <c r="B357" i="22"/>
  <c r="B356" i="22"/>
  <c r="B355" i="22"/>
  <c r="B354" i="22"/>
  <c r="B353" i="22"/>
  <c r="B352" i="22"/>
  <c r="B351" i="22"/>
  <c r="B350" i="22"/>
  <c r="B349" i="22"/>
  <c r="B348" i="22"/>
  <c r="B347" i="22"/>
  <c r="B346" i="22"/>
  <c r="B345" i="22"/>
  <c r="B344" i="22"/>
  <c r="B343" i="22"/>
  <c r="B342" i="22"/>
  <c r="B341" i="22"/>
  <c r="B340" i="22"/>
  <c r="B339" i="22"/>
  <c r="B338" i="22"/>
  <c r="B337" i="22"/>
  <c r="B336" i="22"/>
  <c r="B335" i="22"/>
  <c r="B334" i="22"/>
  <c r="B333" i="22"/>
  <c r="B332" i="22"/>
  <c r="B331" i="22"/>
  <c r="B330" i="22"/>
  <c r="B329" i="22"/>
  <c r="B328" i="22"/>
  <c r="B327" i="22"/>
  <c r="B326" i="22"/>
  <c r="B325" i="22"/>
  <c r="B324" i="22"/>
  <c r="B323" i="22"/>
  <c r="B322" i="22"/>
  <c r="B321" i="22"/>
  <c r="B320" i="22"/>
  <c r="B319" i="22"/>
  <c r="B318" i="22"/>
  <c r="B317" i="22"/>
  <c r="B316" i="22"/>
  <c r="B315" i="22"/>
  <c r="B314" i="22"/>
  <c r="B313" i="22"/>
  <c r="B312" i="22"/>
  <c r="B311" i="22"/>
  <c r="B310" i="22"/>
  <c r="B309" i="22"/>
  <c r="B308" i="22"/>
  <c r="B307" i="22"/>
  <c r="B306" i="22"/>
  <c r="B305" i="22"/>
  <c r="B304" i="22"/>
  <c r="B303" i="22"/>
  <c r="B302" i="22"/>
  <c r="B301" i="22"/>
  <c r="B300" i="22"/>
  <c r="B299" i="22"/>
  <c r="B298" i="22"/>
  <c r="B297" i="22"/>
  <c r="B296" i="22"/>
  <c r="B295" i="22"/>
  <c r="B294" i="22"/>
  <c r="B293" i="22"/>
  <c r="B292" i="22"/>
  <c r="B291" i="22"/>
  <c r="B290" i="22"/>
  <c r="B289" i="22"/>
  <c r="B288" i="22"/>
  <c r="B287" i="22"/>
  <c r="B286" i="22"/>
  <c r="B285" i="22"/>
  <c r="B284" i="22"/>
  <c r="B283" i="22"/>
  <c r="B282" i="22"/>
  <c r="B281" i="22"/>
  <c r="B280" i="22"/>
  <c r="B279" i="22"/>
  <c r="B278" i="22"/>
  <c r="B277" i="22"/>
  <c r="B276" i="22"/>
  <c r="B275" i="22"/>
  <c r="B274" i="22"/>
  <c r="B273" i="22"/>
  <c r="B272" i="22"/>
  <c r="B271" i="22"/>
  <c r="B270" i="22"/>
  <c r="B269" i="22"/>
  <c r="B268" i="22"/>
  <c r="B267" i="22"/>
  <c r="B266" i="22"/>
  <c r="B265" i="22"/>
  <c r="B264" i="22"/>
  <c r="B263" i="22"/>
  <c r="B262" i="22"/>
  <c r="B261" i="22"/>
  <c r="B260" i="22"/>
  <c r="B259" i="22"/>
  <c r="B258" i="22"/>
  <c r="B257" i="22"/>
  <c r="B256" i="22"/>
  <c r="B255" i="22"/>
  <c r="B254" i="22"/>
  <c r="B253" i="22"/>
  <c r="B252" i="22"/>
  <c r="B251" i="22"/>
  <c r="B250" i="22"/>
  <c r="B249" i="22"/>
  <c r="B248" i="22"/>
  <c r="B247" i="22"/>
  <c r="B246" i="22"/>
  <c r="B245" i="22"/>
  <c r="B244" i="22"/>
  <c r="B243" i="22"/>
  <c r="B242" i="22"/>
  <c r="B241" i="22"/>
  <c r="B240" i="22"/>
  <c r="B239" i="22"/>
  <c r="B238" i="22"/>
  <c r="B237" i="22"/>
  <c r="B236" i="22"/>
  <c r="B235" i="22"/>
  <c r="B234" i="22"/>
  <c r="B233" i="22"/>
  <c r="B232" i="22"/>
  <c r="B231" i="22"/>
  <c r="B230" i="22"/>
  <c r="B229" i="22"/>
  <c r="B228" i="22"/>
  <c r="B227" i="22"/>
  <c r="B226" i="22"/>
  <c r="B225" i="22"/>
  <c r="B224" i="22"/>
  <c r="B223" i="22"/>
  <c r="B222" i="22"/>
  <c r="B221" i="22"/>
  <c r="B220" i="22"/>
  <c r="B219" i="22"/>
  <c r="B218" i="22"/>
  <c r="B217" i="22"/>
  <c r="B216" i="22"/>
  <c r="B215" i="22"/>
  <c r="B214" i="22"/>
  <c r="B213" i="22"/>
  <c r="B212" i="22"/>
  <c r="B211" i="22"/>
  <c r="B210" i="22"/>
  <c r="B209" i="22"/>
  <c r="B208" i="22"/>
  <c r="B207" i="22"/>
  <c r="B206" i="22"/>
  <c r="B205" i="22"/>
  <c r="B204" i="22"/>
  <c r="B203" i="22"/>
  <c r="B202" i="22"/>
  <c r="B201" i="22"/>
  <c r="B200" i="22"/>
  <c r="B199" i="22"/>
  <c r="B198" i="22"/>
  <c r="B197" i="22"/>
  <c r="B196" i="22"/>
  <c r="B195" i="22"/>
  <c r="B194" i="22"/>
  <c r="B193" i="22"/>
  <c r="B192" i="22"/>
  <c r="B191" i="22"/>
  <c r="B190" i="22"/>
  <c r="B189" i="22"/>
  <c r="B188" i="22"/>
  <c r="B187" i="22"/>
  <c r="B186" i="22"/>
  <c r="B185" i="22"/>
  <c r="B184" i="22"/>
  <c r="B183" i="22"/>
  <c r="B182" i="22"/>
  <c r="B181" i="22"/>
  <c r="B180" i="22"/>
  <c r="B179" i="22"/>
  <c r="B178" i="22"/>
  <c r="B177" i="22"/>
  <c r="B176" i="22"/>
  <c r="B175" i="22"/>
  <c r="B174" i="22"/>
  <c r="B173" i="22"/>
  <c r="B172" i="22"/>
  <c r="B171" i="22"/>
  <c r="B170" i="22"/>
  <c r="B169" i="22"/>
  <c r="B168" i="22"/>
  <c r="B167" i="22"/>
  <c r="B166" i="22"/>
  <c r="B165" i="22"/>
  <c r="B164" i="22"/>
  <c r="B163" i="22"/>
  <c r="B162" i="22"/>
  <c r="B161" i="22"/>
  <c r="B160" i="22"/>
  <c r="B159" i="22"/>
  <c r="B158" i="22"/>
  <c r="B157" i="22"/>
  <c r="B156" i="22"/>
  <c r="B155" i="22"/>
  <c r="B154" i="22"/>
  <c r="B153" i="22"/>
  <c r="B152" i="22"/>
  <c r="B151" i="22"/>
  <c r="B150" i="22"/>
  <c r="B149" i="22"/>
  <c r="B148" i="22"/>
  <c r="B147" i="22"/>
  <c r="B146" i="22"/>
  <c r="B145" i="22"/>
  <c r="B144" i="22"/>
  <c r="B143" i="22"/>
  <c r="B142" i="22"/>
  <c r="B141" i="22"/>
  <c r="B140" i="22"/>
  <c r="B139" i="22"/>
  <c r="B138" i="22"/>
  <c r="B137" i="22"/>
  <c r="B136" i="22"/>
  <c r="B135" i="22"/>
  <c r="B134" i="22"/>
  <c r="B133" i="22"/>
  <c r="B132" i="22"/>
  <c r="B131" i="22"/>
  <c r="B130" i="22"/>
  <c r="B129" i="22"/>
  <c r="B128" i="22"/>
  <c r="B127" i="22"/>
  <c r="B126" i="22"/>
  <c r="B125" i="22"/>
  <c r="B124" i="22"/>
  <c r="B123" i="22"/>
  <c r="B122" i="22"/>
  <c r="B121" i="22"/>
  <c r="B120" i="22"/>
  <c r="B119" i="22"/>
  <c r="B118" i="22"/>
  <c r="B117" i="22"/>
  <c r="B116" i="22"/>
  <c r="B115" i="22"/>
  <c r="B114" i="22"/>
  <c r="B113" i="22"/>
  <c r="B112" i="22"/>
  <c r="B111" i="22"/>
  <c r="B110" i="22"/>
  <c r="B109" i="22"/>
  <c r="B108" i="22"/>
  <c r="B107" i="22"/>
  <c r="B106" i="22"/>
  <c r="B105" i="22"/>
  <c r="B104" i="22"/>
  <c r="B103" i="22"/>
  <c r="B102" i="22"/>
  <c r="B101" i="22"/>
  <c r="B100" i="22"/>
  <c r="B99" i="22"/>
  <c r="B98" i="22"/>
  <c r="B97" i="22"/>
  <c r="B96" i="22"/>
  <c r="B95" i="22"/>
  <c r="B94" i="22"/>
  <c r="B93" i="22"/>
  <c r="B92" i="22"/>
  <c r="B91" i="22"/>
  <c r="B90" i="22"/>
  <c r="B89" i="22"/>
  <c r="B88" i="22"/>
  <c r="B87" i="22"/>
  <c r="B86" i="22"/>
  <c r="B85" i="22"/>
  <c r="B84" i="22"/>
  <c r="B83" i="22"/>
  <c r="B82" i="22"/>
  <c r="B81" i="22"/>
  <c r="B80" i="22"/>
  <c r="B79" i="22"/>
  <c r="B78" i="22"/>
  <c r="B77" i="22"/>
  <c r="B76" i="22"/>
  <c r="B75" i="22"/>
  <c r="B74" i="22"/>
  <c r="B73" i="22"/>
  <c r="B72" i="22"/>
  <c r="B71" i="22"/>
  <c r="B70" i="22"/>
  <c r="B69" i="22"/>
  <c r="B68" i="22"/>
  <c r="B67" i="22"/>
  <c r="B66" i="22"/>
  <c r="B65" i="22"/>
  <c r="B64" i="22"/>
  <c r="B63" i="22"/>
  <c r="B62" i="22"/>
  <c r="B61" i="22"/>
  <c r="B60" i="22"/>
  <c r="B59" i="22"/>
  <c r="B58" i="22"/>
  <c r="B57" i="22"/>
  <c r="B56" i="22"/>
  <c r="B55" i="22"/>
  <c r="B54" i="22"/>
  <c r="B53" i="22"/>
  <c r="B52" i="22"/>
  <c r="B51" i="22"/>
  <c r="B50" i="22"/>
  <c r="B49" i="22"/>
  <c r="B48" i="22"/>
  <c r="B47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B9" i="22"/>
  <c r="B8" i="22"/>
  <c r="B7" i="22"/>
  <c r="B6" i="22"/>
  <c r="B5" i="22"/>
  <c r="B4" i="22"/>
  <c r="B3" i="22"/>
  <c r="B2" i="22"/>
  <c r="B272" i="21"/>
  <c r="B273" i="21"/>
  <c r="B274" i="21"/>
  <c r="B275" i="21"/>
  <c r="B276" i="21"/>
  <c r="B277" i="21"/>
  <c r="B278" i="21"/>
  <c r="B279" i="21"/>
  <c r="B280" i="21"/>
  <c r="B281" i="21"/>
  <c r="B282" i="21"/>
  <c r="B283" i="21"/>
  <c r="B284" i="21"/>
  <c r="B285" i="21"/>
  <c r="B286" i="21"/>
  <c r="B287" i="21"/>
  <c r="B288" i="21"/>
  <c r="B289" i="21"/>
  <c r="B290" i="21"/>
  <c r="B291" i="21"/>
  <c r="B292" i="21"/>
  <c r="B293" i="21"/>
  <c r="B294" i="21"/>
  <c r="B295" i="21"/>
  <c r="B296" i="21"/>
  <c r="B297" i="21"/>
  <c r="B298" i="21"/>
  <c r="B299" i="21"/>
  <c r="B300" i="21"/>
  <c r="B301" i="21"/>
  <c r="B302" i="21"/>
  <c r="B303" i="21"/>
  <c r="B304" i="21"/>
  <c r="B305" i="21"/>
  <c r="B306" i="21"/>
  <c r="B307" i="21"/>
  <c r="B308" i="21"/>
  <c r="B309" i="21"/>
  <c r="B310" i="21"/>
  <c r="B311" i="21"/>
  <c r="B312" i="21"/>
  <c r="B313" i="21"/>
  <c r="B314" i="21"/>
  <c r="B315" i="21"/>
  <c r="B316" i="21"/>
  <c r="B317" i="21"/>
  <c r="B318" i="21"/>
  <c r="B319" i="21"/>
  <c r="B320" i="21"/>
  <c r="B321" i="21"/>
  <c r="B322" i="21"/>
  <c r="B323" i="21"/>
  <c r="B324" i="21"/>
  <c r="B325" i="21"/>
  <c r="B326" i="21"/>
  <c r="B327" i="21"/>
  <c r="B328" i="21"/>
  <c r="B329" i="21"/>
  <c r="B330" i="21"/>
  <c r="B331" i="21"/>
  <c r="B332" i="21"/>
  <c r="B333" i="21"/>
  <c r="B334" i="21"/>
  <c r="B335" i="21"/>
  <c r="B336" i="21"/>
  <c r="B337" i="21"/>
  <c r="B338" i="21"/>
  <c r="B339" i="21"/>
  <c r="B340" i="21"/>
  <c r="B341" i="21"/>
  <c r="B342" i="21"/>
  <c r="B343" i="21"/>
  <c r="B344" i="21"/>
  <c r="B345" i="21"/>
  <c r="B346" i="21"/>
  <c r="B347" i="21"/>
  <c r="B348" i="21"/>
  <c r="B349" i="21"/>
  <c r="B350" i="21"/>
  <c r="B351" i="21"/>
  <c r="B352" i="21"/>
  <c r="B353" i="21"/>
  <c r="B354" i="21"/>
  <c r="B355" i="21"/>
  <c r="B356" i="21"/>
  <c r="B357" i="21"/>
  <c r="B358" i="21"/>
  <c r="B359" i="21"/>
  <c r="B360" i="21"/>
  <c r="B361" i="21"/>
  <c r="B362" i="21"/>
  <c r="B363" i="21"/>
  <c r="B364" i="21"/>
  <c r="B365" i="21"/>
  <c r="B366" i="21"/>
  <c r="B367" i="21"/>
  <c r="B368" i="21"/>
  <c r="B369" i="21"/>
  <c r="B370" i="21"/>
  <c r="B371" i="21"/>
  <c r="B372" i="21"/>
  <c r="B373" i="21"/>
  <c r="B374" i="21"/>
  <c r="B375" i="21"/>
  <c r="B376" i="21"/>
  <c r="B377" i="21"/>
  <c r="B378" i="21"/>
  <c r="B379" i="21"/>
  <c r="B380" i="21"/>
  <c r="B381" i="21"/>
  <c r="B382" i="21"/>
  <c r="B383" i="21"/>
  <c r="B384" i="21"/>
  <c r="B385" i="21"/>
  <c r="B386" i="21"/>
  <c r="B387" i="21"/>
  <c r="B388" i="21"/>
  <c r="B389" i="21"/>
  <c r="B390" i="21"/>
  <c r="B391" i="21"/>
  <c r="B392" i="21"/>
  <c r="B393" i="21"/>
  <c r="B394" i="21"/>
  <c r="B395" i="21"/>
  <c r="B396" i="21"/>
  <c r="B397" i="21"/>
  <c r="B398" i="21"/>
  <c r="B399" i="21"/>
  <c r="B400" i="21"/>
  <c r="B401" i="21"/>
  <c r="B402" i="21"/>
  <c r="B403" i="21"/>
  <c r="B404" i="21"/>
  <c r="B405" i="21"/>
  <c r="B406" i="21"/>
  <c r="B407" i="21"/>
  <c r="B408" i="21"/>
  <c r="B409" i="21"/>
  <c r="B410" i="21"/>
  <c r="B411" i="21"/>
  <c r="B412" i="21"/>
  <c r="B413" i="21"/>
  <c r="B414" i="21"/>
  <c r="B415" i="21"/>
  <c r="B416" i="21"/>
  <c r="B417" i="21"/>
  <c r="B418" i="21"/>
  <c r="B419" i="21"/>
  <c r="B420" i="21"/>
  <c r="B421" i="21"/>
  <c r="B422" i="21"/>
  <c r="B423" i="21"/>
  <c r="B424" i="21"/>
  <c r="B425" i="21"/>
  <c r="B426" i="21"/>
  <c r="B427" i="21"/>
  <c r="B428" i="21"/>
  <c r="B429" i="21"/>
  <c r="B430" i="21"/>
  <c r="B431" i="21"/>
  <c r="B432" i="21"/>
  <c r="B433" i="21"/>
  <c r="B434" i="21"/>
  <c r="B435" i="21"/>
  <c r="B436" i="21"/>
  <c r="B437" i="21"/>
  <c r="B438" i="21"/>
  <c r="B439" i="21"/>
  <c r="B440" i="21"/>
  <c r="B441" i="21"/>
  <c r="B442" i="21"/>
  <c r="B443" i="21"/>
  <c r="B444" i="21"/>
  <c r="B445" i="21"/>
  <c r="B446" i="21"/>
  <c r="B447" i="21"/>
  <c r="B448" i="21"/>
  <c r="B449" i="21"/>
  <c r="B450" i="21"/>
  <c r="B451" i="21"/>
  <c r="B452" i="21"/>
  <c r="B453" i="21"/>
  <c r="B454" i="21"/>
  <c r="B455" i="21"/>
  <c r="B456" i="21"/>
  <c r="B457" i="21"/>
  <c r="B458" i="21"/>
  <c r="B459" i="21"/>
  <c r="B460" i="21"/>
  <c r="B461" i="21"/>
  <c r="B462" i="21"/>
  <c r="B463" i="21"/>
  <c r="B464" i="21"/>
  <c r="B465" i="21"/>
  <c r="B466" i="21"/>
  <c r="B467" i="21"/>
  <c r="B468" i="21"/>
  <c r="B469" i="21"/>
  <c r="B470" i="21"/>
  <c r="B471" i="21"/>
  <c r="B472" i="21"/>
  <c r="B473" i="21"/>
  <c r="B474" i="21"/>
  <c r="B475" i="21"/>
  <c r="B476" i="21"/>
  <c r="B477" i="21"/>
  <c r="B478" i="21"/>
  <c r="B479" i="21"/>
  <c r="B480" i="21"/>
  <c r="B481" i="21"/>
  <c r="B482" i="21"/>
  <c r="B483" i="21"/>
  <c r="B484" i="21"/>
  <c r="B485" i="21"/>
  <c r="B486" i="21"/>
  <c r="B487" i="21"/>
  <c r="B488" i="21"/>
  <c r="B489" i="21"/>
  <c r="B490" i="21"/>
  <c r="B491" i="21"/>
  <c r="B492" i="21"/>
  <c r="B493" i="21"/>
  <c r="B494" i="21"/>
  <c r="B495" i="21"/>
  <c r="B496" i="21"/>
  <c r="B497" i="21"/>
  <c r="B498" i="21"/>
  <c r="B499" i="21"/>
  <c r="B500" i="21"/>
  <c r="B501" i="21"/>
  <c r="B502" i="21"/>
  <c r="B503" i="21"/>
  <c r="B504" i="21"/>
  <c r="B505" i="21"/>
  <c r="B506" i="21"/>
  <c r="B507" i="21"/>
  <c r="B508" i="21"/>
  <c r="B509" i="21"/>
  <c r="B510" i="21"/>
  <c r="B511" i="21"/>
  <c r="B512" i="21"/>
  <c r="B513" i="21"/>
  <c r="B514" i="21"/>
  <c r="B515" i="21"/>
  <c r="B516" i="21"/>
  <c r="B517" i="21"/>
  <c r="B518" i="21"/>
  <c r="B519" i="21"/>
  <c r="B520" i="21"/>
  <c r="B521" i="21"/>
  <c r="B522" i="21"/>
  <c r="B523" i="21"/>
  <c r="B524" i="21"/>
  <c r="B525" i="21"/>
  <c r="B526" i="21"/>
  <c r="B527" i="21"/>
  <c r="B528" i="21"/>
  <c r="B529" i="21"/>
  <c r="B530" i="21"/>
  <c r="B531" i="21"/>
  <c r="B532" i="21"/>
  <c r="B533" i="21"/>
  <c r="B534" i="21"/>
  <c r="B535" i="21"/>
  <c r="B536" i="21"/>
  <c r="B537" i="21"/>
  <c r="B538" i="21"/>
  <c r="B539" i="21"/>
  <c r="B540" i="21"/>
  <c r="B541" i="21"/>
  <c r="B542" i="21"/>
  <c r="B543" i="21"/>
  <c r="B544" i="21"/>
  <c r="B545" i="21"/>
  <c r="B546" i="21"/>
  <c r="B547" i="21"/>
  <c r="B548" i="21"/>
  <c r="B549" i="21"/>
  <c r="B550" i="21"/>
  <c r="B551" i="21"/>
  <c r="B552" i="21"/>
  <c r="B553" i="21"/>
  <c r="B554" i="21"/>
  <c r="B555" i="21"/>
  <c r="B556" i="21"/>
  <c r="B557" i="21"/>
  <c r="B558" i="21"/>
  <c r="B559" i="21"/>
  <c r="B560" i="21"/>
  <c r="B561" i="21"/>
  <c r="B562" i="21"/>
  <c r="B563" i="21"/>
  <c r="B271" i="21"/>
  <c r="B270" i="21"/>
  <c r="B269" i="21"/>
  <c r="B268" i="21"/>
  <c r="B267" i="21"/>
  <c r="B266" i="21"/>
  <c r="B265" i="21"/>
  <c r="B264" i="21"/>
  <c r="B263" i="21"/>
  <c r="B262" i="21"/>
  <c r="B261" i="21"/>
  <c r="B260" i="21"/>
  <c r="B259" i="21"/>
  <c r="B258" i="21"/>
  <c r="B257" i="21"/>
  <c r="B256" i="21"/>
  <c r="B255" i="21"/>
  <c r="B254" i="21"/>
  <c r="B253" i="21"/>
  <c r="B252" i="21"/>
  <c r="B251" i="21"/>
  <c r="B250" i="21"/>
  <c r="B249" i="21"/>
  <c r="B248" i="21"/>
  <c r="B247" i="21"/>
  <c r="B246" i="21"/>
  <c r="B245" i="21"/>
  <c r="B244" i="21"/>
  <c r="B243" i="21"/>
  <c r="B242" i="21"/>
  <c r="B241" i="21"/>
  <c r="B240" i="21"/>
  <c r="B239" i="21"/>
  <c r="B238" i="21"/>
  <c r="B237" i="21"/>
  <c r="B236" i="21"/>
  <c r="B235" i="21"/>
  <c r="B234" i="21"/>
  <c r="B233" i="21"/>
  <c r="B232" i="21"/>
  <c r="B231" i="21"/>
  <c r="B230" i="21"/>
  <c r="B229" i="21"/>
  <c r="B228" i="21"/>
  <c r="B227" i="21"/>
  <c r="B226" i="21"/>
  <c r="B225" i="21"/>
  <c r="B224" i="21"/>
  <c r="B223" i="21"/>
  <c r="B222" i="21"/>
  <c r="B221" i="21"/>
  <c r="B220" i="21"/>
  <c r="B219" i="21"/>
  <c r="B218" i="21"/>
  <c r="B217" i="21"/>
  <c r="B216" i="21"/>
  <c r="B215" i="21"/>
  <c r="B214" i="21"/>
  <c r="B213" i="21"/>
  <c r="B212" i="21"/>
  <c r="B211" i="21"/>
  <c r="B210" i="21"/>
  <c r="B209" i="21"/>
  <c r="B208" i="21"/>
  <c r="B207" i="21"/>
  <c r="B206" i="21"/>
  <c r="B205" i="21"/>
  <c r="B204" i="21"/>
  <c r="B203" i="21"/>
  <c r="B202" i="21"/>
  <c r="B201" i="21"/>
  <c r="B200" i="21"/>
  <c r="B199" i="21"/>
  <c r="B198" i="21"/>
  <c r="B197" i="21"/>
  <c r="B196" i="21"/>
  <c r="B195" i="21"/>
  <c r="B194" i="21"/>
  <c r="B193" i="21"/>
  <c r="B192" i="21"/>
  <c r="B191" i="21"/>
  <c r="B190" i="21"/>
  <c r="B189" i="21"/>
  <c r="B188" i="21"/>
  <c r="B187" i="21"/>
  <c r="B186" i="21"/>
  <c r="B185" i="21"/>
  <c r="B184" i="21"/>
  <c r="B183" i="21"/>
  <c r="B182" i="21"/>
  <c r="B181" i="21"/>
  <c r="B180" i="21"/>
  <c r="B179" i="21"/>
  <c r="B178" i="21"/>
  <c r="B177" i="21"/>
  <c r="B176" i="21"/>
  <c r="B175" i="21"/>
  <c r="B174" i="21"/>
  <c r="B173" i="21"/>
  <c r="B172" i="21"/>
  <c r="B171" i="21"/>
  <c r="B170" i="21"/>
  <c r="B169" i="21"/>
  <c r="B168" i="21"/>
  <c r="B167" i="21"/>
  <c r="B166" i="21"/>
  <c r="B165" i="21"/>
  <c r="B164" i="21"/>
  <c r="B163" i="21"/>
  <c r="B162" i="21"/>
  <c r="B161" i="21"/>
  <c r="B160" i="21"/>
  <c r="B159" i="21"/>
  <c r="B158" i="21"/>
  <c r="B157" i="21"/>
  <c r="B156" i="21"/>
  <c r="B155" i="21"/>
  <c r="B154" i="21"/>
  <c r="B153" i="21"/>
  <c r="B152" i="21"/>
  <c r="B151" i="21"/>
  <c r="B150" i="21"/>
  <c r="B149" i="21"/>
  <c r="B148" i="21"/>
  <c r="B147" i="21"/>
  <c r="B146" i="21"/>
  <c r="B145" i="21"/>
  <c r="B144" i="21"/>
  <c r="B143" i="21"/>
  <c r="B142" i="21"/>
  <c r="B141" i="21"/>
  <c r="B140" i="21"/>
  <c r="B139" i="21"/>
  <c r="B138" i="21"/>
  <c r="B137" i="21"/>
  <c r="B136" i="21"/>
  <c r="B135" i="21"/>
  <c r="B134" i="21"/>
  <c r="B133" i="21"/>
  <c r="B132" i="21"/>
  <c r="B131" i="21"/>
  <c r="B130" i="21"/>
  <c r="B129" i="21"/>
  <c r="B128" i="21"/>
  <c r="B127" i="21"/>
  <c r="B126" i="21"/>
  <c r="B125" i="21"/>
  <c r="B124" i="21"/>
  <c r="B123" i="21"/>
  <c r="B122" i="21"/>
  <c r="B121" i="21"/>
  <c r="B120" i="21"/>
  <c r="B119" i="21"/>
  <c r="B118" i="21"/>
  <c r="B117" i="21"/>
  <c r="B116" i="21"/>
  <c r="B115" i="21"/>
  <c r="B114" i="21"/>
  <c r="B113" i="21"/>
  <c r="B112" i="21"/>
  <c r="B111" i="21"/>
  <c r="B110" i="21"/>
  <c r="B109" i="21"/>
  <c r="B108" i="21"/>
  <c r="B107" i="21"/>
  <c r="B106" i="21"/>
  <c r="B105" i="21"/>
  <c r="B104" i="21"/>
  <c r="B103" i="21"/>
  <c r="B102" i="21"/>
  <c r="B101" i="21"/>
  <c r="B100" i="21"/>
  <c r="B99" i="21"/>
  <c r="B98" i="21"/>
  <c r="B97" i="21"/>
  <c r="B96" i="21"/>
  <c r="B95" i="21"/>
  <c r="B94" i="21"/>
  <c r="B93" i="21"/>
  <c r="B92" i="21"/>
  <c r="B91" i="21"/>
  <c r="B90" i="21"/>
  <c r="B89" i="21"/>
  <c r="B88" i="21"/>
  <c r="B87" i="21"/>
  <c r="B86" i="21"/>
  <c r="B85" i="21"/>
  <c r="B84" i="21"/>
  <c r="B83" i="21"/>
  <c r="B82" i="21"/>
  <c r="B81" i="21"/>
  <c r="B80" i="21"/>
  <c r="B79" i="21"/>
  <c r="B78" i="21"/>
  <c r="B77" i="21"/>
  <c r="B76" i="21"/>
  <c r="B75" i="21"/>
  <c r="B74" i="21"/>
  <c r="B73" i="21"/>
  <c r="B72" i="21"/>
  <c r="B71" i="21"/>
  <c r="B70" i="21"/>
  <c r="B69" i="21"/>
  <c r="B68" i="21"/>
  <c r="B67" i="21"/>
  <c r="B66" i="21"/>
  <c r="B65" i="21"/>
  <c r="B64" i="21"/>
  <c r="B63" i="21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5" i="21"/>
  <c r="B4" i="21"/>
  <c r="B3" i="21"/>
  <c r="B2" i="21"/>
  <c r="B271" i="20" l="1"/>
  <c r="B270" i="20"/>
  <c r="B269" i="20"/>
  <c r="B268" i="20"/>
  <c r="B267" i="20"/>
  <c r="B266" i="20"/>
  <c r="B265" i="20"/>
  <c r="B264" i="20"/>
  <c r="B263" i="20"/>
  <c r="B262" i="20"/>
  <c r="B261" i="20"/>
  <c r="B260" i="20"/>
  <c r="B259" i="20"/>
  <c r="B258" i="20"/>
  <c r="B257" i="20"/>
  <c r="B256" i="20"/>
  <c r="B255" i="20"/>
  <c r="B254" i="20"/>
  <c r="B253" i="20"/>
  <c r="B252" i="20"/>
  <c r="B251" i="20"/>
  <c r="B250" i="20"/>
  <c r="B249" i="20"/>
  <c r="B248" i="20"/>
  <c r="B247" i="20"/>
  <c r="B246" i="20"/>
  <c r="B245" i="20"/>
  <c r="B244" i="20"/>
  <c r="B243" i="20"/>
  <c r="B242" i="20"/>
  <c r="B241" i="20"/>
  <c r="B240" i="20"/>
  <c r="B239" i="20"/>
  <c r="B238" i="20"/>
  <c r="B237" i="20"/>
  <c r="B236" i="20"/>
  <c r="B235" i="20"/>
  <c r="B234" i="20"/>
  <c r="B233" i="20"/>
  <c r="B232" i="20"/>
  <c r="B231" i="20"/>
  <c r="B230" i="20"/>
  <c r="B229" i="20"/>
  <c r="B228" i="20"/>
  <c r="B227" i="20"/>
  <c r="B226" i="20"/>
  <c r="B225" i="20"/>
  <c r="B224" i="20"/>
  <c r="B223" i="20"/>
  <c r="B222" i="20"/>
  <c r="B221" i="20"/>
  <c r="B220" i="20"/>
  <c r="B219" i="20"/>
  <c r="B218" i="20"/>
  <c r="B217" i="20"/>
  <c r="B216" i="20"/>
  <c r="B215" i="20"/>
  <c r="B214" i="20"/>
  <c r="B213" i="20"/>
  <c r="B212" i="20"/>
  <c r="B211" i="20"/>
  <c r="B210" i="20"/>
  <c r="B209" i="20"/>
  <c r="B208" i="20"/>
  <c r="B207" i="20"/>
  <c r="B206" i="20"/>
  <c r="B205" i="20"/>
  <c r="B204" i="20"/>
  <c r="B203" i="20"/>
  <c r="B202" i="20"/>
  <c r="B201" i="20"/>
  <c r="B200" i="20"/>
  <c r="B199" i="20"/>
  <c r="B198" i="20"/>
  <c r="B197" i="20"/>
  <c r="B196" i="20"/>
  <c r="B195" i="20"/>
  <c r="B194" i="20"/>
  <c r="B193" i="20"/>
  <c r="B192" i="20"/>
  <c r="B191" i="20"/>
  <c r="B190" i="20"/>
  <c r="B189" i="20"/>
  <c r="B188" i="20"/>
  <c r="B187" i="20"/>
  <c r="B186" i="20"/>
  <c r="B185" i="20"/>
  <c r="B184" i="20"/>
  <c r="B183" i="20"/>
  <c r="B182" i="20"/>
  <c r="B181" i="20"/>
  <c r="B180" i="20"/>
  <c r="B179" i="20"/>
  <c r="B178" i="20"/>
  <c r="B177" i="20"/>
  <c r="B176" i="20"/>
  <c r="B175" i="20"/>
  <c r="B174" i="20"/>
  <c r="B173" i="20"/>
  <c r="B172" i="20"/>
  <c r="B171" i="20"/>
  <c r="B170" i="20"/>
  <c r="B169" i="20"/>
  <c r="B168" i="20"/>
  <c r="B167" i="20"/>
  <c r="B166" i="20"/>
  <c r="B165" i="20"/>
  <c r="B164" i="20"/>
  <c r="B163" i="20"/>
  <c r="B162" i="20"/>
  <c r="B161" i="20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B2" i="20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19" i="18"/>
  <c r="B220" i="18"/>
  <c r="B221" i="18"/>
  <c r="B222" i="18"/>
  <c r="B223" i="18"/>
  <c r="B224" i="18"/>
  <c r="B225" i="18"/>
  <c r="B226" i="18"/>
  <c r="B227" i="18"/>
  <c r="B228" i="18"/>
  <c r="B229" i="18"/>
  <c r="B230" i="18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" i="18"/>
  <c r="O2" i="4"/>
  <c r="I495" i="15" l="1"/>
  <c r="B493" i="15"/>
  <c r="B492" i="15"/>
  <c r="B491" i="15"/>
  <c r="B490" i="15"/>
  <c r="B489" i="15"/>
  <c r="B488" i="15"/>
  <c r="B487" i="15"/>
  <c r="B486" i="15"/>
  <c r="B485" i="15"/>
  <c r="B484" i="15"/>
  <c r="B483" i="15"/>
  <c r="B482" i="15"/>
  <c r="B481" i="15"/>
  <c r="B480" i="15"/>
  <c r="B479" i="15"/>
  <c r="B478" i="15"/>
  <c r="B477" i="15"/>
  <c r="B476" i="15"/>
  <c r="B475" i="15"/>
  <c r="B474" i="15"/>
  <c r="B473" i="15"/>
  <c r="B472" i="15"/>
  <c r="B471" i="15"/>
  <c r="B470" i="15"/>
  <c r="B469" i="15"/>
  <c r="B468" i="15"/>
  <c r="B467" i="15"/>
  <c r="B466" i="15"/>
  <c r="B465" i="15"/>
  <c r="B464" i="15"/>
  <c r="B463" i="15"/>
  <c r="B462" i="15"/>
  <c r="B461" i="15"/>
  <c r="B460" i="15"/>
  <c r="B459" i="15"/>
  <c r="B458" i="15"/>
  <c r="B457" i="15"/>
  <c r="B456" i="15"/>
  <c r="B455" i="15"/>
  <c r="B454" i="15"/>
  <c r="B453" i="15"/>
  <c r="B452" i="15"/>
  <c r="B451" i="15"/>
  <c r="B450" i="15"/>
  <c r="B449" i="15"/>
  <c r="B448" i="15"/>
  <c r="B447" i="15"/>
  <c r="B446" i="15"/>
  <c r="B445" i="15"/>
  <c r="B444" i="15"/>
  <c r="B443" i="15"/>
  <c r="B442" i="15"/>
  <c r="B441" i="15"/>
  <c r="B440" i="15"/>
  <c r="B439" i="15"/>
  <c r="B438" i="15"/>
  <c r="B437" i="15"/>
  <c r="B436" i="15"/>
  <c r="B435" i="15"/>
  <c r="B434" i="15"/>
  <c r="B433" i="15"/>
  <c r="B432" i="15"/>
  <c r="B431" i="15"/>
  <c r="B430" i="15"/>
  <c r="B429" i="15"/>
  <c r="B428" i="15"/>
  <c r="B427" i="15"/>
  <c r="B426" i="15"/>
  <c r="B425" i="15"/>
  <c r="B424" i="15"/>
  <c r="B423" i="15"/>
  <c r="B422" i="15"/>
  <c r="B421" i="15"/>
  <c r="B420" i="15"/>
  <c r="B419" i="15"/>
  <c r="B418" i="15"/>
  <c r="B417" i="15"/>
  <c r="B416" i="15"/>
  <c r="B415" i="15"/>
  <c r="B414" i="15"/>
  <c r="B413" i="15"/>
  <c r="B412" i="15"/>
  <c r="B411" i="15"/>
  <c r="B410" i="15"/>
  <c r="B409" i="15"/>
  <c r="B408" i="15"/>
  <c r="B407" i="15"/>
  <c r="B406" i="15"/>
  <c r="B405" i="15"/>
  <c r="B404" i="15"/>
  <c r="B403" i="15"/>
  <c r="B402" i="15"/>
  <c r="B401" i="15"/>
  <c r="B400" i="15"/>
  <c r="B399" i="15"/>
  <c r="B398" i="15"/>
  <c r="B397" i="15"/>
  <c r="B396" i="15"/>
  <c r="B395" i="15"/>
  <c r="B394" i="15"/>
  <c r="B393" i="15"/>
  <c r="B392" i="15"/>
  <c r="B391" i="15"/>
  <c r="B390" i="15"/>
  <c r="B389" i="15"/>
  <c r="B388" i="15"/>
  <c r="B387" i="15"/>
  <c r="B386" i="15"/>
  <c r="B385" i="15"/>
  <c r="B384" i="15"/>
  <c r="B383" i="15"/>
  <c r="B382" i="15"/>
  <c r="B381" i="15"/>
  <c r="B380" i="15"/>
  <c r="B379" i="15"/>
  <c r="B378" i="15"/>
  <c r="B377" i="15"/>
  <c r="B376" i="15"/>
  <c r="B375" i="15"/>
  <c r="B374" i="15"/>
  <c r="B373" i="15"/>
  <c r="B372" i="15"/>
  <c r="B371" i="15"/>
  <c r="B370" i="15"/>
  <c r="B369" i="15"/>
  <c r="B368" i="15"/>
  <c r="B367" i="15"/>
  <c r="B366" i="15"/>
  <c r="B365" i="15"/>
  <c r="B364" i="15"/>
  <c r="B363" i="15"/>
  <c r="B362" i="15"/>
  <c r="B361" i="15"/>
  <c r="B360" i="15"/>
  <c r="B359" i="15"/>
  <c r="B358" i="15"/>
  <c r="B357" i="15"/>
  <c r="B356" i="15"/>
  <c r="B355" i="15"/>
  <c r="B354" i="15"/>
  <c r="B353" i="15"/>
  <c r="B352" i="15"/>
  <c r="B351" i="15"/>
  <c r="B350" i="15"/>
  <c r="B349" i="15"/>
  <c r="B348" i="15"/>
  <c r="B347" i="15"/>
  <c r="B346" i="15"/>
  <c r="B345" i="15"/>
  <c r="B344" i="15"/>
  <c r="B343" i="15"/>
  <c r="B342" i="15"/>
  <c r="B341" i="15"/>
  <c r="B340" i="15"/>
  <c r="B339" i="15"/>
  <c r="B338" i="15"/>
  <c r="B337" i="15"/>
  <c r="B336" i="15"/>
  <c r="B335" i="15"/>
  <c r="B334" i="15"/>
  <c r="B333" i="15"/>
  <c r="B332" i="15"/>
  <c r="B331" i="15"/>
  <c r="B330" i="15"/>
  <c r="B329" i="15"/>
  <c r="B328" i="15"/>
  <c r="B327" i="15"/>
  <c r="B326" i="15"/>
  <c r="B325" i="15"/>
  <c r="B324" i="15"/>
  <c r="B323" i="15"/>
  <c r="B322" i="15"/>
  <c r="B321" i="15"/>
  <c r="B320" i="15"/>
  <c r="B319" i="15"/>
  <c r="B318" i="15"/>
  <c r="B317" i="15"/>
  <c r="B316" i="15"/>
  <c r="B315" i="15"/>
  <c r="B314" i="15"/>
  <c r="B313" i="15"/>
  <c r="B312" i="15"/>
  <c r="B311" i="15"/>
  <c r="B310" i="15"/>
  <c r="B309" i="15"/>
  <c r="B308" i="15"/>
  <c r="B307" i="15"/>
  <c r="B306" i="15"/>
  <c r="B305" i="15"/>
  <c r="B304" i="15"/>
  <c r="B303" i="15"/>
  <c r="B302" i="15"/>
  <c r="B301" i="15"/>
  <c r="B300" i="15"/>
  <c r="B299" i="15"/>
  <c r="B298" i="15"/>
  <c r="B297" i="15"/>
  <c r="B296" i="15"/>
  <c r="B295" i="15"/>
  <c r="B294" i="15"/>
  <c r="B293" i="15"/>
  <c r="B292" i="15"/>
  <c r="B291" i="15"/>
  <c r="B290" i="15"/>
  <c r="B289" i="15"/>
  <c r="B288" i="15"/>
  <c r="B287" i="15"/>
  <c r="B286" i="15"/>
  <c r="B285" i="15"/>
  <c r="B284" i="15"/>
  <c r="B283" i="15"/>
  <c r="B282" i="15"/>
  <c r="B281" i="15"/>
  <c r="B280" i="15"/>
  <c r="B279" i="15"/>
  <c r="B278" i="15"/>
  <c r="B277" i="15"/>
  <c r="B276" i="15"/>
  <c r="B275" i="15"/>
  <c r="B274" i="15"/>
  <c r="B273" i="15"/>
  <c r="B272" i="15"/>
  <c r="B271" i="15"/>
  <c r="B270" i="15"/>
  <c r="B269" i="15"/>
  <c r="B268" i="15"/>
  <c r="B267" i="15"/>
  <c r="B266" i="15"/>
  <c r="B265" i="15"/>
  <c r="B264" i="15"/>
  <c r="B263" i="15"/>
  <c r="B262" i="15"/>
  <c r="B261" i="15"/>
  <c r="B260" i="15"/>
  <c r="B259" i="15"/>
  <c r="B258" i="15"/>
  <c r="B257" i="15"/>
  <c r="B256" i="15"/>
  <c r="B255" i="15"/>
  <c r="B254" i="15"/>
  <c r="B253" i="15"/>
  <c r="B252" i="15"/>
  <c r="B251" i="15"/>
  <c r="B250" i="15"/>
  <c r="B249" i="15"/>
  <c r="B248" i="15"/>
  <c r="B247" i="15"/>
  <c r="B246" i="15"/>
  <c r="B245" i="15"/>
  <c r="B244" i="15"/>
  <c r="B243" i="15"/>
  <c r="B242" i="15"/>
  <c r="B241" i="15"/>
  <c r="B240" i="15"/>
  <c r="B239" i="15"/>
  <c r="B238" i="15"/>
  <c r="B237" i="15"/>
  <c r="B236" i="15"/>
  <c r="B235" i="15"/>
  <c r="B234" i="15"/>
  <c r="B233" i="15"/>
  <c r="B232" i="15"/>
  <c r="B231" i="15"/>
  <c r="B230" i="15"/>
  <c r="B229" i="15"/>
  <c r="B228" i="15"/>
  <c r="B227" i="15"/>
  <c r="B226" i="15"/>
  <c r="B225" i="15"/>
  <c r="B224" i="15"/>
  <c r="B223" i="15"/>
  <c r="B222" i="15"/>
  <c r="B221" i="15"/>
  <c r="B220" i="15"/>
  <c r="B219" i="15"/>
  <c r="B218" i="15"/>
  <c r="B217" i="15"/>
  <c r="B216" i="15"/>
  <c r="B215" i="15"/>
  <c r="B214" i="15"/>
  <c r="B213" i="15"/>
  <c r="B212" i="15"/>
  <c r="B211" i="15"/>
  <c r="B210" i="15"/>
  <c r="B209" i="15"/>
  <c r="B208" i="15"/>
  <c r="B207" i="15"/>
  <c r="B206" i="15"/>
  <c r="B205" i="15"/>
  <c r="B204" i="15"/>
  <c r="B203" i="15"/>
  <c r="B202" i="15"/>
  <c r="B201" i="15"/>
  <c r="B200" i="15"/>
  <c r="B199" i="15"/>
  <c r="B198" i="15"/>
  <c r="B197" i="15"/>
  <c r="B196" i="15"/>
  <c r="B195" i="15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B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B168" i="15"/>
  <c r="B167" i="15"/>
  <c r="B166" i="15"/>
  <c r="B165" i="15"/>
  <c r="B164" i="15"/>
  <c r="B163" i="15"/>
  <c r="B162" i="15"/>
  <c r="B161" i="15"/>
  <c r="B160" i="15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I518" i="14"/>
  <c r="B518" i="14"/>
  <c r="B517" i="14"/>
  <c r="B516" i="14"/>
  <c r="B515" i="14"/>
  <c r="B514" i="14"/>
  <c r="B513" i="14"/>
  <c r="B512" i="14"/>
  <c r="B511" i="14"/>
  <c r="B510" i="14"/>
  <c r="B509" i="14"/>
  <c r="B508" i="14"/>
  <c r="B507" i="14"/>
  <c r="B506" i="14"/>
  <c r="B505" i="14"/>
  <c r="B504" i="14"/>
  <c r="B503" i="14"/>
  <c r="B502" i="14"/>
  <c r="B501" i="14"/>
  <c r="B500" i="14"/>
  <c r="B499" i="14"/>
  <c r="B498" i="14"/>
  <c r="B497" i="14"/>
  <c r="B496" i="14"/>
  <c r="B495" i="14"/>
  <c r="B494" i="14"/>
  <c r="B493" i="14"/>
  <c r="B492" i="14"/>
  <c r="B491" i="14"/>
  <c r="B490" i="14"/>
  <c r="B489" i="14"/>
  <c r="B488" i="14"/>
  <c r="B487" i="14"/>
  <c r="B486" i="14"/>
  <c r="B485" i="14"/>
  <c r="B484" i="14"/>
  <c r="B483" i="14"/>
  <c r="B482" i="14"/>
  <c r="B481" i="14"/>
  <c r="B480" i="14"/>
  <c r="B479" i="14"/>
  <c r="B478" i="14"/>
  <c r="B477" i="14"/>
  <c r="B476" i="14"/>
  <c r="B475" i="14"/>
  <c r="B474" i="14"/>
  <c r="B473" i="14"/>
  <c r="B472" i="14"/>
  <c r="B471" i="14"/>
  <c r="B470" i="14"/>
  <c r="B469" i="14"/>
  <c r="B468" i="14"/>
  <c r="B467" i="14"/>
  <c r="B466" i="14"/>
  <c r="B465" i="14"/>
  <c r="B464" i="14"/>
  <c r="B463" i="14"/>
  <c r="B462" i="14"/>
  <c r="B461" i="14"/>
  <c r="B460" i="14"/>
  <c r="B459" i="14"/>
  <c r="B458" i="14"/>
  <c r="B457" i="14"/>
  <c r="B456" i="14"/>
  <c r="B455" i="14"/>
  <c r="B454" i="14"/>
  <c r="B453" i="14"/>
  <c r="B452" i="14"/>
  <c r="B451" i="14"/>
  <c r="B450" i="14"/>
  <c r="B449" i="14"/>
  <c r="B448" i="14"/>
  <c r="B447" i="14"/>
  <c r="B446" i="14"/>
  <c r="B445" i="14"/>
  <c r="B444" i="14"/>
  <c r="B443" i="14"/>
  <c r="B442" i="14"/>
  <c r="B441" i="14"/>
  <c r="B440" i="14"/>
  <c r="B439" i="14"/>
  <c r="B438" i="14"/>
  <c r="B437" i="14"/>
  <c r="B436" i="14"/>
  <c r="B435" i="14"/>
  <c r="B434" i="14"/>
  <c r="B433" i="14"/>
  <c r="B432" i="14"/>
  <c r="B431" i="14"/>
  <c r="B430" i="14"/>
  <c r="B429" i="14"/>
  <c r="B428" i="14"/>
  <c r="B427" i="14"/>
  <c r="B426" i="14"/>
  <c r="B425" i="14"/>
  <c r="B424" i="14"/>
  <c r="B423" i="14"/>
  <c r="B422" i="14"/>
  <c r="B421" i="14"/>
  <c r="B420" i="14"/>
  <c r="B419" i="14"/>
  <c r="B418" i="14"/>
  <c r="B417" i="14"/>
  <c r="B416" i="14"/>
  <c r="B415" i="14"/>
  <c r="B414" i="14"/>
  <c r="B413" i="14"/>
  <c r="B412" i="14"/>
  <c r="B411" i="14"/>
  <c r="B410" i="14"/>
  <c r="B409" i="14"/>
  <c r="B408" i="14"/>
  <c r="B407" i="14"/>
  <c r="B406" i="14"/>
  <c r="B405" i="14"/>
  <c r="B404" i="14"/>
  <c r="B403" i="14"/>
  <c r="B402" i="14"/>
  <c r="B401" i="14"/>
  <c r="B400" i="14"/>
  <c r="B399" i="14"/>
  <c r="B398" i="14"/>
  <c r="B397" i="14"/>
  <c r="B396" i="14"/>
  <c r="B395" i="14"/>
  <c r="B394" i="14"/>
  <c r="B393" i="14"/>
  <c r="B392" i="14"/>
  <c r="B391" i="14"/>
  <c r="B390" i="14"/>
  <c r="B389" i="14"/>
  <c r="B388" i="14"/>
  <c r="B387" i="14"/>
  <c r="B386" i="14"/>
  <c r="B385" i="14"/>
  <c r="B384" i="14"/>
  <c r="B383" i="14"/>
  <c r="B382" i="14"/>
  <c r="B381" i="14"/>
  <c r="B380" i="14"/>
  <c r="B379" i="14"/>
  <c r="B378" i="14"/>
  <c r="B377" i="14"/>
  <c r="B376" i="14"/>
  <c r="B375" i="14"/>
  <c r="B374" i="14"/>
  <c r="B373" i="14"/>
  <c r="B372" i="14"/>
  <c r="B371" i="14"/>
  <c r="B370" i="14"/>
  <c r="B369" i="14"/>
  <c r="B368" i="14"/>
  <c r="B367" i="14"/>
  <c r="B366" i="14"/>
  <c r="B365" i="14"/>
  <c r="B364" i="14"/>
  <c r="B363" i="14"/>
  <c r="B362" i="14"/>
  <c r="B361" i="14"/>
  <c r="B360" i="14"/>
  <c r="B359" i="14"/>
  <c r="B358" i="14"/>
  <c r="B357" i="14"/>
  <c r="B356" i="14"/>
  <c r="B355" i="14"/>
  <c r="B354" i="14"/>
  <c r="B353" i="14"/>
  <c r="B352" i="14"/>
  <c r="B351" i="14"/>
  <c r="B350" i="14"/>
  <c r="B349" i="14"/>
  <c r="B348" i="14"/>
  <c r="B347" i="14"/>
  <c r="B346" i="14"/>
  <c r="B345" i="14"/>
  <c r="B344" i="14"/>
  <c r="B343" i="14"/>
  <c r="B342" i="14"/>
  <c r="B341" i="14"/>
  <c r="B340" i="14"/>
  <c r="B339" i="14"/>
  <c r="B338" i="14"/>
  <c r="B337" i="14"/>
  <c r="B336" i="14"/>
  <c r="B335" i="14"/>
  <c r="B334" i="14"/>
  <c r="B333" i="14"/>
  <c r="B332" i="14"/>
  <c r="B331" i="14"/>
  <c r="B330" i="14"/>
  <c r="B329" i="14"/>
  <c r="B328" i="14"/>
  <c r="B327" i="14"/>
  <c r="B326" i="14"/>
  <c r="B325" i="14"/>
  <c r="B324" i="14"/>
  <c r="B323" i="14"/>
  <c r="B322" i="14"/>
  <c r="B321" i="14"/>
  <c r="B320" i="14"/>
  <c r="B319" i="14"/>
  <c r="B318" i="14"/>
  <c r="B317" i="14"/>
  <c r="B316" i="14"/>
  <c r="B315" i="14"/>
  <c r="B314" i="14"/>
  <c r="B313" i="14"/>
  <c r="B312" i="14"/>
  <c r="B311" i="14"/>
  <c r="B310" i="14"/>
  <c r="B309" i="14"/>
  <c r="B308" i="14"/>
  <c r="B307" i="14"/>
  <c r="B306" i="14"/>
  <c r="B305" i="14"/>
  <c r="B304" i="14"/>
  <c r="B303" i="14"/>
  <c r="B302" i="14"/>
  <c r="B301" i="14"/>
  <c r="B300" i="14"/>
  <c r="B299" i="14"/>
  <c r="B298" i="14"/>
  <c r="B297" i="14"/>
  <c r="B296" i="14"/>
  <c r="B295" i="14"/>
  <c r="B294" i="14"/>
  <c r="B293" i="14"/>
  <c r="B292" i="14"/>
  <c r="B291" i="14"/>
  <c r="B290" i="14"/>
  <c r="B289" i="14"/>
  <c r="B288" i="14"/>
  <c r="B287" i="14"/>
  <c r="B286" i="14"/>
  <c r="B285" i="14"/>
  <c r="B284" i="14"/>
  <c r="B283" i="14"/>
  <c r="B282" i="14"/>
  <c r="B281" i="14"/>
  <c r="B280" i="14"/>
  <c r="B279" i="14"/>
  <c r="B278" i="14"/>
  <c r="B277" i="14"/>
  <c r="B276" i="14"/>
  <c r="B275" i="14"/>
  <c r="B274" i="14"/>
  <c r="B273" i="14"/>
  <c r="B272" i="14"/>
  <c r="B271" i="14"/>
  <c r="B270" i="14"/>
  <c r="B269" i="14"/>
  <c r="B268" i="14"/>
  <c r="B267" i="14"/>
  <c r="B266" i="14"/>
  <c r="B265" i="14"/>
  <c r="B264" i="14"/>
  <c r="B263" i="14"/>
  <c r="B262" i="14"/>
  <c r="B261" i="14"/>
  <c r="B260" i="14"/>
  <c r="B259" i="14"/>
  <c r="B258" i="14"/>
  <c r="B257" i="14"/>
  <c r="B256" i="14"/>
  <c r="B255" i="14"/>
  <c r="B254" i="14"/>
  <c r="B253" i="14"/>
  <c r="B252" i="14"/>
  <c r="B251" i="14"/>
  <c r="B250" i="14"/>
  <c r="B249" i="14"/>
  <c r="B248" i="14"/>
  <c r="B247" i="14"/>
  <c r="B246" i="14"/>
  <c r="B245" i="14"/>
  <c r="B244" i="14"/>
  <c r="B243" i="14"/>
  <c r="B242" i="14"/>
  <c r="B241" i="14"/>
  <c r="B240" i="14"/>
  <c r="B239" i="14"/>
  <c r="B238" i="14"/>
  <c r="B237" i="14"/>
  <c r="B236" i="14"/>
  <c r="B235" i="14"/>
  <c r="B234" i="14"/>
  <c r="B233" i="14"/>
  <c r="B232" i="14"/>
  <c r="B231" i="14"/>
  <c r="B230" i="14"/>
  <c r="B229" i="14"/>
  <c r="B228" i="14"/>
  <c r="B227" i="14"/>
  <c r="B226" i="14"/>
  <c r="B225" i="14"/>
  <c r="B224" i="14"/>
  <c r="B223" i="14"/>
  <c r="B222" i="14"/>
  <c r="B221" i="14"/>
  <c r="B220" i="14"/>
  <c r="B219" i="14"/>
  <c r="B218" i="14"/>
  <c r="B217" i="14"/>
  <c r="B216" i="14"/>
  <c r="B215" i="14"/>
  <c r="B214" i="14"/>
  <c r="B213" i="14"/>
  <c r="B212" i="14"/>
  <c r="B211" i="14"/>
  <c r="B210" i="14"/>
  <c r="B209" i="14"/>
  <c r="B208" i="14"/>
  <c r="B207" i="14"/>
  <c r="B206" i="14"/>
  <c r="B205" i="14"/>
  <c r="B204" i="14"/>
  <c r="B203" i="14"/>
  <c r="B202" i="14"/>
  <c r="B201" i="14"/>
  <c r="B200" i="14"/>
  <c r="B199" i="14"/>
  <c r="B198" i="14"/>
  <c r="B197" i="14"/>
  <c r="B196" i="14"/>
  <c r="B195" i="14"/>
  <c r="B194" i="14"/>
  <c r="B193" i="14"/>
  <c r="B192" i="14"/>
  <c r="B191" i="14"/>
  <c r="B190" i="14"/>
  <c r="B189" i="14"/>
  <c r="B188" i="14"/>
  <c r="B187" i="14"/>
  <c r="B186" i="14"/>
  <c r="B185" i="14"/>
  <c r="B184" i="14"/>
  <c r="B183" i="14"/>
  <c r="B182" i="14"/>
  <c r="B181" i="14"/>
  <c r="B180" i="14"/>
  <c r="B179" i="14"/>
  <c r="B178" i="14"/>
  <c r="B177" i="14"/>
  <c r="B176" i="14"/>
  <c r="B175" i="14"/>
  <c r="B174" i="14"/>
  <c r="B173" i="14"/>
  <c r="B172" i="14"/>
  <c r="B171" i="14"/>
  <c r="B170" i="14"/>
  <c r="B169" i="14"/>
  <c r="B168" i="14"/>
  <c r="B167" i="14"/>
  <c r="B166" i="14"/>
  <c r="B165" i="14"/>
  <c r="B164" i="14"/>
  <c r="B163" i="14"/>
  <c r="B162" i="14"/>
  <c r="B161" i="14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  <c r="I513" i="13"/>
  <c r="B513" i="13"/>
  <c r="B512" i="13"/>
  <c r="B511" i="13"/>
  <c r="B510" i="13"/>
  <c r="B509" i="13"/>
  <c r="B508" i="13"/>
  <c r="B507" i="13"/>
  <c r="B506" i="13"/>
  <c r="B505" i="13"/>
  <c r="B504" i="13"/>
  <c r="B503" i="13"/>
  <c r="B502" i="13"/>
  <c r="B501" i="13"/>
  <c r="B500" i="13"/>
  <c r="B499" i="13"/>
  <c r="B498" i="13"/>
  <c r="B497" i="13"/>
  <c r="B496" i="13"/>
  <c r="B495" i="13"/>
  <c r="B494" i="13"/>
  <c r="B493" i="13"/>
  <c r="B492" i="13"/>
  <c r="B491" i="13"/>
  <c r="B490" i="13"/>
  <c r="B489" i="13"/>
  <c r="B488" i="13"/>
  <c r="B487" i="13"/>
  <c r="B486" i="13"/>
  <c r="B485" i="13"/>
  <c r="B484" i="13"/>
  <c r="B483" i="13"/>
  <c r="B482" i="13"/>
  <c r="B481" i="13"/>
  <c r="B480" i="13"/>
  <c r="B479" i="13"/>
  <c r="B478" i="13"/>
  <c r="B477" i="13"/>
  <c r="B476" i="13"/>
  <c r="B475" i="13"/>
  <c r="B474" i="13"/>
  <c r="B473" i="13"/>
  <c r="B472" i="13"/>
  <c r="B471" i="13"/>
  <c r="B470" i="13"/>
  <c r="B469" i="13"/>
  <c r="B468" i="13"/>
  <c r="B467" i="13"/>
  <c r="B466" i="13"/>
  <c r="B465" i="13"/>
  <c r="B464" i="13"/>
  <c r="B463" i="13"/>
  <c r="B462" i="13"/>
  <c r="B461" i="13"/>
  <c r="B460" i="13"/>
  <c r="B459" i="13"/>
  <c r="B458" i="13"/>
  <c r="B457" i="13"/>
  <c r="B456" i="13"/>
  <c r="B455" i="13"/>
  <c r="B454" i="13"/>
  <c r="B453" i="13"/>
  <c r="B452" i="13"/>
  <c r="B451" i="13"/>
  <c r="B450" i="13"/>
  <c r="B449" i="13"/>
  <c r="B448" i="13"/>
  <c r="B447" i="13"/>
  <c r="B446" i="13"/>
  <c r="B445" i="13"/>
  <c r="B444" i="13"/>
  <c r="B443" i="13"/>
  <c r="B442" i="13"/>
  <c r="B441" i="13"/>
  <c r="B440" i="13"/>
  <c r="B439" i="13"/>
  <c r="B438" i="13"/>
  <c r="B437" i="13"/>
  <c r="B436" i="13"/>
  <c r="B435" i="13"/>
  <c r="B434" i="13"/>
  <c r="B433" i="13"/>
  <c r="B432" i="13"/>
  <c r="B431" i="13"/>
  <c r="B430" i="13"/>
  <c r="B429" i="13"/>
  <c r="B428" i="13"/>
  <c r="B427" i="13"/>
  <c r="B426" i="13"/>
  <c r="B425" i="13"/>
  <c r="B424" i="13"/>
  <c r="B423" i="13"/>
  <c r="B422" i="13"/>
  <c r="B421" i="13"/>
  <c r="B420" i="13"/>
  <c r="B419" i="13"/>
  <c r="B418" i="13"/>
  <c r="B417" i="13"/>
  <c r="B416" i="13"/>
  <c r="B415" i="13"/>
  <c r="B414" i="13"/>
  <c r="B413" i="13"/>
  <c r="B412" i="13"/>
  <c r="B411" i="13"/>
  <c r="B410" i="13"/>
  <c r="B409" i="13"/>
  <c r="B408" i="13"/>
  <c r="B407" i="13"/>
  <c r="B406" i="13"/>
  <c r="B405" i="13"/>
  <c r="B404" i="13"/>
  <c r="B403" i="13"/>
  <c r="B402" i="13"/>
  <c r="B401" i="13"/>
  <c r="B400" i="13"/>
  <c r="B399" i="13"/>
  <c r="B398" i="13"/>
  <c r="B397" i="13"/>
  <c r="B396" i="13"/>
  <c r="B395" i="13"/>
  <c r="B394" i="13"/>
  <c r="B393" i="13"/>
  <c r="B392" i="13"/>
  <c r="B391" i="13"/>
  <c r="B390" i="13"/>
  <c r="B389" i="13"/>
  <c r="B388" i="13"/>
  <c r="B387" i="13"/>
  <c r="B386" i="13"/>
  <c r="B385" i="13"/>
  <c r="B384" i="13"/>
  <c r="B383" i="13"/>
  <c r="B382" i="13"/>
  <c r="B381" i="13"/>
  <c r="B380" i="13"/>
  <c r="B379" i="13"/>
  <c r="B378" i="13"/>
  <c r="B377" i="13"/>
  <c r="B376" i="13"/>
  <c r="B375" i="13"/>
  <c r="B374" i="13"/>
  <c r="B373" i="13"/>
  <c r="B372" i="13"/>
  <c r="B371" i="13"/>
  <c r="B370" i="13"/>
  <c r="B369" i="13"/>
  <c r="B368" i="13"/>
  <c r="B367" i="13"/>
  <c r="B366" i="13"/>
  <c r="B365" i="13"/>
  <c r="B364" i="13"/>
  <c r="B363" i="13"/>
  <c r="B362" i="13"/>
  <c r="B361" i="13"/>
  <c r="B360" i="13"/>
  <c r="B359" i="13"/>
  <c r="B358" i="13"/>
  <c r="B357" i="13"/>
  <c r="B356" i="13"/>
  <c r="B355" i="13"/>
  <c r="B354" i="13"/>
  <c r="B353" i="13"/>
  <c r="B352" i="13"/>
  <c r="B351" i="13"/>
  <c r="B350" i="13"/>
  <c r="B349" i="13"/>
  <c r="B348" i="13"/>
  <c r="B347" i="13"/>
  <c r="B346" i="13"/>
  <c r="B345" i="13"/>
  <c r="B344" i="13"/>
  <c r="B343" i="13"/>
  <c r="B342" i="13"/>
  <c r="B341" i="13"/>
  <c r="B340" i="13"/>
  <c r="B339" i="13"/>
  <c r="B338" i="13"/>
  <c r="B337" i="13"/>
  <c r="B336" i="13"/>
  <c r="B335" i="13"/>
  <c r="B334" i="13"/>
  <c r="B333" i="13"/>
  <c r="B332" i="13"/>
  <c r="B331" i="13"/>
  <c r="B330" i="13"/>
  <c r="B329" i="13"/>
  <c r="B328" i="13"/>
  <c r="B327" i="13"/>
  <c r="B326" i="13"/>
  <c r="B325" i="13"/>
  <c r="B324" i="13"/>
  <c r="B323" i="13"/>
  <c r="B322" i="13"/>
  <c r="B321" i="13"/>
  <c r="B320" i="13"/>
  <c r="B319" i="13"/>
  <c r="B318" i="13"/>
  <c r="B317" i="13"/>
  <c r="B316" i="13"/>
  <c r="B315" i="13"/>
  <c r="B314" i="13"/>
  <c r="B313" i="13"/>
  <c r="B312" i="13"/>
  <c r="B311" i="13"/>
  <c r="B310" i="13"/>
  <c r="B309" i="13"/>
  <c r="B308" i="13"/>
  <c r="B307" i="13"/>
  <c r="B306" i="13"/>
  <c r="B305" i="13"/>
  <c r="B304" i="13"/>
  <c r="B303" i="13"/>
  <c r="B302" i="13"/>
  <c r="B301" i="13"/>
  <c r="B300" i="13"/>
  <c r="B299" i="13"/>
  <c r="B298" i="13"/>
  <c r="B297" i="13"/>
  <c r="B296" i="13"/>
  <c r="B295" i="13"/>
  <c r="B294" i="13"/>
  <c r="B293" i="13"/>
  <c r="B292" i="13"/>
  <c r="B291" i="13"/>
  <c r="B290" i="13"/>
  <c r="B289" i="13"/>
  <c r="B288" i="13"/>
  <c r="B287" i="13"/>
  <c r="B286" i="13"/>
  <c r="B285" i="13"/>
  <c r="B284" i="13"/>
  <c r="B283" i="13"/>
  <c r="B282" i="13"/>
  <c r="B281" i="13"/>
  <c r="B280" i="13"/>
  <c r="B279" i="13"/>
  <c r="B278" i="13"/>
  <c r="B277" i="13"/>
  <c r="B276" i="13"/>
  <c r="B275" i="13"/>
  <c r="B274" i="13"/>
  <c r="B273" i="13"/>
  <c r="B272" i="13"/>
  <c r="B271" i="13"/>
  <c r="B270" i="13"/>
  <c r="B269" i="13"/>
  <c r="B268" i="13"/>
  <c r="B267" i="13"/>
  <c r="B266" i="13"/>
  <c r="B265" i="13"/>
  <c r="B264" i="13"/>
  <c r="B263" i="13"/>
  <c r="B262" i="13"/>
  <c r="B261" i="13"/>
  <c r="B260" i="13"/>
  <c r="B259" i="13"/>
  <c r="B258" i="13"/>
  <c r="B257" i="13"/>
  <c r="B256" i="13"/>
  <c r="B255" i="13"/>
  <c r="B254" i="13"/>
  <c r="B253" i="13"/>
  <c r="B252" i="13"/>
  <c r="B251" i="13"/>
  <c r="B250" i="13"/>
  <c r="B249" i="13"/>
  <c r="B248" i="13"/>
  <c r="B247" i="13"/>
  <c r="B246" i="13"/>
  <c r="B245" i="13"/>
  <c r="B244" i="13"/>
  <c r="B243" i="13"/>
  <c r="B242" i="13"/>
  <c r="B241" i="13"/>
  <c r="B240" i="13"/>
  <c r="B239" i="13"/>
  <c r="B238" i="13"/>
  <c r="B237" i="13"/>
  <c r="B236" i="13"/>
  <c r="B235" i="13"/>
  <c r="B234" i="13"/>
  <c r="B233" i="13"/>
  <c r="B232" i="13"/>
  <c r="B231" i="13"/>
  <c r="B230" i="13"/>
  <c r="B229" i="13"/>
  <c r="B228" i="13"/>
  <c r="B227" i="13"/>
  <c r="B226" i="13"/>
  <c r="B225" i="13"/>
  <c r="B224" i="13"/>
  <c r="B223" i="13"/>
  <c r="B222" i="13"/>
  <c r="B221" i="13"/>
  <c r="B220" i="13"/>
  <c r="B219" i="13"/>
  <c r="B218" i="13"/>
  <c r="B217" i="13"/>
  <c r="B216" i="13"/>
  <c r="B215" i="13"/>
  <c r="B214" i="13"/>
  <c r="B213" i="13"/>
  <c r="B212" i="13"/>
  <c r="B211" i="13"/>
  <c r="B210" i="13"/>
  <c r="B209" i="13"/>
  <c r="B208" i="13"/>
  <c r="B207" i="13"/>
  <c r="B206" i="13"/>
  <c r="B205" i="13"/>
  <c r="B204" i="13"/>
  <c r="B203" i="13"/>
  <c r="B202" i="13"/>
  <c r="B201" i="13"/>
  <c r="B200" i="13"/>
  <c r="B199" i="13"/>
  <c r="B198" i="13"/>
  <c r="B197" i="13"/>
  <c r="B196" i="13"/>
  <c r="B195" i="13"/>
  <c r="B194" i="13"/>
  <c r="B193" i="13"/>
  <c r="B192" i="13"/>
  <c r="B191" i="13"/>
  <c r="B190" i="13"/>
  <c r="B189" i="13"/>
  <c r="B188" i="13"/>
  <c r="B187" i="13"/>
  <c r="B186" i="13"/>
  <c r="B185" i="13"/>
  <c r="B184" i="13"/>
  <c r="B183" i="13"/>
  <c r="B182" i="13"/>
  <c r="B181" i="13"/>
  <c r="B180" i="13"/>
  <c r="B179" i="13"/>
  <c r="B178" i="13"/>
  <c r="B177" i="13"/>
  <c r="B176" i="13"/>
  <c r="B175" i="13"/>
  <c r="B174" i="13"/>
  <c r="B173" i="13"/>
  <c r="B172" i="13"/>
  <c r="B171" i="13"/>
  <c r="B170" i="13"/>
  <c r="B169" i="13"/>
  <c r="B168" i="13"/>
  <c r="B167" i="13"/>
  <c r="B166" i="13"/>
  <c r="B165" i="13"/>
  <c r="B164" i="13"/>
  <c r="B163" i="13"/>
  <c r="B162" i="13"/>
  <c r="B161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B148" i="13"/>
  <c r="B147" i="13"/>
  <c r="B146" i="13"/>
  <c r="B145" i="13"/>
  <c r="B144" i="13"/>
  <c r="B143" i="13"/>
  <c r="B142" i="13"/>
  <c r="B141" i="13"/>
  <c r="B140" i="13"/>
  <c r="B139" i="13"/>
  <c r="B138" i="13"/>
  <c r="B137" i="13"/>
  <c r="B136" i="13"/>
  <c r="B135" i="13"/>
  <c r="B134" i="13"/>
  <c r="B133" i="13"/>
  <c r="B132" i="13"/>
  <c r="B131" i="13"/>
  <c r="B130" i="13"/>
  <c r="B129" i="13"/>
  <c r="B128" i="13"/>
  <c r="B127" i="13"/>
  <c r="B126" i="13"/>
  <c r="B125" i="13"/>
  <c r="B124" i="13"/>
  <c r="B123" i="13"/>
  <c r="B122" i="13"/>
  <c r="B121" i="13"/>
  <c r="B120" i="13"/>
  <c r="B119" i="13"/>
  <c r="B118" i="13"/>
  <c r="B117" i="13"/>
  <c r="B116" i="13"/>
  <c r="B115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I365" i="12"/>
  <c r="B363" i="12"/>
  <c r="B362" i="12"/>
  <c r="B361" i="12"/>
  <c r="B360" i="12"/>
  <c r="B359" i="12"/>
  <c r="B358" i="12"/>
  <c r="B357" i="12"/>
  <c r="B356" i="12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I704" i="11"/>
  <c r="B702" i="11"/>
  <c r="B701" i="11"/>
  <c r="B700" i="1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I205" i="10"/>
  <c r="J3" i="10"/>
  <c r="B3" i="10" s="1"/>
  <c r="B2" i="10"/>
  <c r="I499" i="9"/>
  <c r="J3" i="9"/>
  <c r="J4" i="9" s="1"/>
  <c r="B2" i="9"/>
  <c r="I431" i="8"/>
  <c r="J3" i="8"/>
  <c r="J4" i="8" s="1"/>
  <c r="B2" i="8"/>
  <c r="I10" i="7"/>
  <c r="J3" i="7"/>
  <c r="B3" i="7" s="1"/>
  <c r="B2" i="7"/>
  <c r="I565" i="6"/>
  <c r="I595" i="6" s="1"/>
  <c r="J3" i="6"/>
  <c r="J4" i="6" s="1"/>
  <c r="B2" i="6"/>
  <c r="I405" i="5"/>
  <c r="J3" i="5"/>
  <c r="B3" i="5" s="1"/>
  <c r="B2" i="5"/>
  <c r="J4" i="7" l="1"/>
  <c r="J5" i="7" s="1"/>
  <c r="O2" i="15"/>
  <c r="N2" i="15"/>
  <c r="M2" i="15"/>
  <c r="M2" i="11"/>
  <c r="N2" i="11"/>
  <c r="O2" i="11"/>
  <c r="N2" i="12"/>
  <c r="M2" i="12"/>
  <c r="O2" i="12"/>
  <c r="N2" i="14"/>
  <c r="M2" i="14"/>
  <c r="O2" i="14"/>
  <c r="M2" i="13"/>
  <c r="O2" i="13"/>
  <c r="N2" i="13"/>
  <c r="J4" i="5"/>
  <c r="J5" i="5" s="1"/>
  <c r="J4" i="10"/>
  <c r="B4" i="10" s="1"/>
  <c r="B3" i="9"/>
  <c r="B3" i="8"/>
  <c r="B3" i="6"/>
  <c r="J5" i="9"/>
  <c r="B4" i="9"/>
  <c r="J5" i="8"/>
  <c r="B4" i="8"/>
  <c r="B5" i="7"/>
  <c r="J6" i="7"/>
  <c r="B4" i="7"/>
  <c r="J5" i="6"/>
  <c r="B4" i="6"/>
  <c r="N2" i="4"/>
  <c r="M2" i="4"/>
  <c r="B4" i="5" l="1"/>
  <c r="N2" i="7"/>
  <c r="J5" i="10"/>
  <c r="J6" i="10" s="1"/>
  <c r="B5" i="9"/>
  <c r="J6" i="9"/>
  <c r="B5" i="8"/>
  <c r="J6" i="8"/>
  <c r="B6" i="7"/>
  <c r="M2" i="7" s="1"/>
  <c r="J7" i="7"/>
  <c r="B5" i="6"/>
  <c r="J6" i="6"/>
  <c r="J6" i="5"/>
  <c r="B5" i="5"/>
  <c r="O2" i="7" l="1"/>
  <c r="B5" i="10"/>
  <c r="J7" i="10"/>
  <c r="B6" i="10"/>
  <c r="J7" i="9"/>
  <c r="B6" i="9"/>
  <c r="J7" i="8"/>
  <c r="B6" i="8"/>
  <c r="K2" i="7"/>
  <c r="K3" i="7" s="1"/>
  <c r="K4" i="7" s="1"/>
  <c r="K5" i="7" s="1"/>
  <c r="K6" i="7" s="1"/>
  <c r="K7" i="7" s="1"/>
  <c r="B7" i="7"/>
  <c r="B6" i="6"/>
  <c r="J7" i="6"/>
  <c r="J7" i="5"/>
  <c r="B6" i="5"/>
  <c r="B7" i="10" l="1"/>
  <c r="J8" i="10"/>
  <c r="J8" i="9"/>
  <c r="B7" i="9"/>
  <c r="B7" i="8"/>
  <c r="J8" i="8"/>
  <c r="J8" i="6"/>
  <c r="B7" i="6"/>
  <c r="J8" i="5"/>
  <c r="B7" i="5"/>
  <c r="J9" i="10" l="1"/>
  <c r="B8" i="10"/>
  <c r="J9" i="9"/>
  <c r="B8" i="9"/>
  <c r="J9" i="8"/>
  <c r="B8" i="8"/>
  <c r="J9" i="6"/>
  <c r="B8" i="6"/>
  <c r="J9" i="5"/>
  <c r="B8" i="5"/>
  <c r="B9" i="10" l="1"/>
  <c r="J10" i="10"/>
  <c r="J10" i="9"/>
  <c r="B9" i="9"/>
  <c r="B9" i="8"/>
  <c r="J10" i="8"/>
  <c r="J10" i="6"/>
  <c r="B9" i="6"/>
  <c r="B9" i="5"/>
  <c r="J10" i="5"/>
  <c r="J11" i="10" l="1"/>
  <c r="B10" i="10"/>
  <c r="J11" i="9"/>
  <c r="B10" i="9"/>
  <c r="J11" i="8"/>
  <c r="B10" i="8"/>
  <c r="B10" i="6"/>
  <c r="J11" i="6"/>
  <c r="J11" i="5"/>
  <c r="B10" i="5"/>
  <c r="J12" i="10" l="1"/>
  <c r="B11" i="10"/>
  <c r="J12" i="9"/>
  <c r="B11" i="9"/>
  <c r="J12" i="8"/>
  <c r="B11" i="8"/>
  <c r="B11" i="6"/>
  <c r="J12" i="6"/>
  <c r="B11" i="5"/>
  <c r="J12" i="5"/>
  <c r="J13" i="10" l="1"/>
  <c r="B12" i="10"/>
  <c r="J13" i="9"/>
  <c r="B12" i="9"/>
  <c r="B12" i="8"/>
  <c r="J13" i="8"/>
  <c r="J13" i="6"/>
  <c r="B12" i="6"/>
  <c r="J13" i="5"/>
  <c r="B12" i="5"/>
  <c r="J14" i="10" l="1"/>
  <c r="B13" i="10"/>
  <c r="J14" i="9"/>
  <c r="B13" i="9"/>
  <c r="J14" i="8"/>
  <c r="B13" i="8"/>
  <c r="J14" i="6"/>
  <c r="B13" i="6"/>
  <c r="J14" i="5"/>
  <c r="B13" i="5"/>
  <c r="J15" i="10" l="1"/>
  <c r="B14" i="10"/>
  <c r="J15" i="9"/>
  <c r="B14" i="9"/>
  <c r="J15" i="8"/>
  <c r="B14" i="8"/>
  <c r="J15" i="6"/>
  <c r="B14" i="6"/>
  <c r="J15" i="5"/>
  <c r="B14" i="5"/>
  <c r="B15" i="10" l="1"/>
  <c r="J16" i="10"/>
  <c r="J16" i="9"/>
  <c r="B15" i="9"/>
  <c r="J16" i="8"/>
  <c r="B15" i="8"/>
  <c r="J16" i="6"/>
  <c r="B15" i="6"/>
  <c r="J16" i="5"/>
  <c r="B15" i="5"/>
  <c r="J17" i="10" l="1"/>
  <c r="B16" i="10"/>
  <c r="J17" i="9"/>
  <c r="B16" i="9"/>
  <c r="B16" i="8"/>
  <c r="J17" i="8"/>
  <c r="J17" i="6"/>
  <c r="B16" i="6"/>
  <c r="J17" i="5"/>
  <c r="B16" i="5"/>
  <c r="B17" i="10" l="1"/>
  <c r="J18" i="10"/>
  <c r="J18" i="9"/>
  <c r="B17" i="9"/>
  <c r="B17" i="8"/>
  <c r="J18" i="8"/>
  <c r="J18" i="6"/>
  <c r="B17" i="6"/>
  <c r="B17" i="5"/>
  <c r="J18" i="5"/>
  <c r="J19" i="10" l="1"/>
  <c r="B18" i="10"/>
  <c r="J19" i="9"/>
  <c r="B18" i="9"/>
  <c r="J19" i="8"/>
  <c r="B18" i="8"/>
  <c r="B18" i="6"/>
  <c r="J19" i="6"/>
  <c r="J19" i="5"/>
  <c r="B18" i="5"/>
  <c r="J20" i="10" l="1"/>
  <c r="B19" i="10"/>
  <c r="J20" i="9"/>
  <c r="B19" i="9"/>
  <c r="B19" i="8"/>
  <c r="J20" i="8"/>
  <c r="J20" i="6"/>
  <c r="B19" i="6"/>
  <c r="B19" i="5"/>
  <c r="J20" i="5"/>
  <c r="J21" i="10" l="1"/>
  <c r="B20" i="10"/>
  <c r="J21" i="9"/>
  <c r="B20" i="9"/>
  <c r="J21" i="8"/>
  <c r="B20" i="8"/>
  <c r="J21" i="6"/>
  <c r="B20" i="6"/>
  <c r="J21" i="5"/>
  <c r="B20" i="5"/>
  <c r="J22" i="10" l="1"/>
  <c r="B21" i="10"/>
  <c r="J22" i="9"/>
  <c r="B21" i="9"/>
  <c r="B21" i="8"/>
  <c r="J22" i="8"/>
  <c r="J22" i="6"/>
  <c r="B21" i="6"/>
  <c r="J22" i="5"/>
  <c r="B21" i="5"/>
  <c r="J23" i="10" l="1"/>
  <c r="B22" i="10"/>
  <c r="J23" i="9"/>
  <c r="B22" i="9"/>
  <c r="J23" i="8"/>
  <c r="B22" i="8"/>
  <c r="J23" i="6"/>
  <c r="B22" i="6"/>
  <c r="J23" i="5"/>
  <c r="B22" i="5"/>
  <c r="B23" i="10" l="1"/>
  <c r="J24" i="10"/>
  <c r="J24" i="9"/>
  <c r="B23" i="9"/>
  <c r="B23" i="8"/>
  <c r="J24" i="8"/>
  <c r="J24" i="6"/>
  <c r="B23" i="6"/>
  <c r="J24" i="5"/>
  <c r="B23" i="5"/>
  <c r="J25" i="10" l="1"/>
  <c r="B24" i="10"/>
  <c r="J25" i="9"/>
  <c r="B24" i="9"/>
  <c r="B24" i="8"/>
  <c r="J25" i="8"/>
  <c r="J25" i="6"/>
  <c r="B24" i="6"/>
  <c r="J25" i="5"/>
  <c r="B24" i="5"/>
  <c r="B25" i="10" l="1"/>
  <c r="J26" i="10"/>
  <c r="J26" i="9"/>
  <c r="B25" i="9"/>
  <c r="B25" i="8"/>
  <c r="J26" i="8"/>
  <c r="J26" i="6"/>
  <c r="B25" i="6"/>
  <c r="B25" i="5"/>
  <c r="J26" i="5"/>
  <c r="J27" i="10" l="1"/>
  <c r="B26" i="10"/>
  <c r="J27" i="9"/>
  <c r="B26" i="9"/>
  <c r="J27" i="8"/>
  <c r="B26" i="8"/>
  <c r="B26" i="6"/>
  <c r="J27" i="6"/>
  <c r="J27" i="5"/>
  <c r="B26" i="5"/>
  <c r="J28" i="10" l="1"/>
  <c r="B27" i="10"/>
  <c r="J28" i="9"/>
  <c r="B27" i="9"/>
  <c r="J28" i="8"/>
  <c r="B27" i="8"/>
  <c r="B27" i="6"/>
  <c r="J28" i="6"/>
  <c r="B27" i="5"/>
  <c r="J28" i="5"/>
  <c r="J29" i="10" l="1"/>
  <c r="B28" i="10"/>
  <c r="J29" i="9"/>
  <c r="B28" i="9"/>
  <c r="B28" i="8"/>
  <c r="J29" i="8"/>
  <c r="J29" i="6"/>
  <c r="B28" i="6"/>
  <c r="J29" i="5"/>
  <c r="B28" i="5"/>
  <c r="J30" i="10" l="1"/>
  <c r="B29" i="10"/>
  <c r="B29" i="9"/>
  <c r="J30" i="9"/>
  <c r="J30" i="8"/>
  <c r="B29" i="8"/>
  <c r="J30" i="6"/>
  <c r="B29" i="6"/>
  <c r="J30" i="5"/>
  <c r="B29" i="5"/>
  <c r="J31" i="10" l="1"/>
  <c r="B30" i="10"/>
  <c r="B30" i="9"/>
  <c r="J31" i="9"/>
  <c r="J31" i="8"/>
  <c r="B30" i="8"/>
  <c r="J31" i="6"/>
  <c r="B30" i="6"/>
  <c r="J31" i="5"/>
  <c r="B30" i="5"/>
  <c r="B31" i="10" l="1"/>
  <c r="J32" i="10"/>
  <c r="B31" i="9"/>
  <c r="J32" i="9"/>
  <c r="B31" i="8"/>
  <c r="J32" i="8"/>
  <c r="J32" i="6"/>
  <c r="B31" i="6"/>
  <c r="J32" i="5"/>
  <c r="B31" i="5"/>
  <c r="J33" i="10" l="1"/>
  <c r="B32" i="10"/>
  <c r="J33" i="9"/>
  <c r="B32" i="9"/>
  <c r="B32" i="8"/>
  <c r="J33" i="8"/>
  <c r="J33" i="6"/>
  <c r="B32" i="6"/>
  <c r="J33" i="5"/>
  <c r="B32" i="5"/>
  <c r="B33" i="10" l="1"/>
  <c r="J34" i="10"/>
  <c r="J34" i="9"/>
  <c r="B33" i="9"/>
  <c r="J34" i="8"/>
  <c r="B33" i="8"/>
  <c r="J34" i="6"/>
  <c r="B33" i="6"/>
  <c r="B33" i="5"/>
  <c r="J34" i="5"/>
  <c r="J35" i="10" l="1"/>
  <c r="B34" i="10"/>
  <c r="J35" i="9"/>
  <c r="B34" i="9"/>
  <c r="J35" i="8"/>
  <c r="B34" i="8"/>
  <c r="B34" i="6"/>
  <c r="J35" i="6"/>
  <c r="J35" i="5"/>
  <c r="B34" i="5"/>
  <c r="J36" i="10" l="1"/>
  <c r="B35" i="10"/>
  <c r="J36" i="9"/>
  <c r="B35" i="9"/>
  <c r="B35" i="8"/>
  <c r="J36" i="8"/>
  <c r="J36" i="6"/>
  <c r="B35" i="6"/>
  <c r="B35" i="5"/>
  <c r="J36" i="5"/>
  <c r="J37" i="10" l="1"/>
  <c r="B36" i="10"/>
  <c r="J37" i="9"/>
  <c r="B36" i="9"/>
  <c r="J37" i="8"/>
  <c r="B36" i="8"/>
  <c r="J37" i="6"/>
  <c r="B36" i="6"/>
  <c r="J37" i="5"/>
  <c r="B36" i="5"/>
  <c r="J38" i="10" l="1"/>
  <c r="B37" i="10"/>
  <c r="B37" i="9"/>
  <c r="J38" i="9"/>
  <c r="B37" i="8"/>
  <c r="J38" i="8"/>
  <c r="J38" i="6"/>
  <c r="B37" i="6"/>
  <c r="J38" i="5"/>
  <c r="B37" i="5"/>
  <c r="J39" i="10" l="1"/>
  <c r="B38" i="10"/>
  <c r="B38" i="9"/>
  <c r="J39" i="9"/>
  <c r="J39" i="8"/>
  <c r="B38" i="8"/>
  <c r="J39" i="6"/>
  <c r="B38" i="6"/>
  <c r="J39" i="5"/>
  <c r="B38" i="5"/>
  <c r="B39" i="10" l="1"/>
  <c r="J40" i="10"/>
  <c r="B39" i="9"/>
  <c r="J40" i="9"/>
  <c r="B39" i="8"/>
  <c r="J40" i="8"/>
  <c r="J40" i="6"/>
  <c r="B39" i="6"/>
  <c r="J40" i="5"/>
  <c r="B39" i="5"/>
  <c r="J41" i="10" l="1"/>
  <c r="B40" i="10"/>
  <c r="J41" i="9"/>
  <c r="B40" i="9"/>
  <c r="J41" i="8"/>
  <c r="B40" i="8"/>
  <c r="J41" i="6"/>
  <c r="B40" i="6"/>
  <c r="J41" i="5"/>
  <c r="B40" i="5"/>
  <c r="B41" i="10" l="1"/>
  <c r="J42" i="10"/>
  <c r="J42" i="9"/>
  <c r="B41" i="9"/>
  <c r="B41" i="8"/>
  <c r="J42" i="8"/>
  <c r="J42" i="6"/>
  <c r="B41" i="6"/>
  <c r="B41" i="5"/>
  <c r="J42" i="5"/>
  <c r="J43" i="10" l="1"/>
  <c r="B42" i="10"/>
  <c r="J43" i="9"/>
  <c r="B42" i="9"/>
  <c r="J43" i="8"/>
  <c r="B42" i="8"/>
  <c r="B42" i="6"/>
  <c r="J43" i="6"/>
  <c r="J43" i="5"/>
  <c r="B42" i="5"/>
  <c r="J44" i="10" l="1"/>
  <c r="B43" i="10"/>
  <c r="J44" i="9"/>
  <c r="B43" i="9"/>
  <c r="J44" i="8"/>
  <c r="B43" i="8"/>
  <c r="B43" i="6"/>
  <c r="J44" i="6"/>
  <c r="B43" i="5"/>
  <c r="J44" i="5"/>
  <c r="J45" i="10" l="1"/>
  <c r="B44" i="10"/>
  <c r="J45" i="9"/>
  <c r="B44" i="9"/>
  <c r="B44" i="8"/>
  <c r="J45" i="8"/>
  <c r="J45" i="6"/>
  <c r="B44" i="6"/>
  <c r="J45" i="5"/>
  <c r="B44" i="5"/>
  <c r="J46" i="10" l="1"/>
  <c r="B45" i="10"/>
  <c r="B45" i="9"/>
  <c r="J46" i="9"/>
  <c r="J46" i="8"/>
  <c r="B45" i="8"/>
  <c r="J46" i="6"/>
  <c r="B45" i="6"/>
  <c r="J46" i="5"/>
  <c r="B45" i="5"/>
  <c r="J47" i="10" l="1"/>
  <c r="B46" i="10"/>
  <c r="J47" i="9"/>
  <c r="B46" i="9"/>
  <c r="J47" i="8"/>
  <c r="B46" i="8"/>
  <c r="J47" i="6"/>
  <c r="B46" i="6"/>
  <c r="J47" i="5"/>
  <c r="B46" i="5"/>
  <c r="B47" i="10" l="1"/>
  <c r="J48" i="10"/>
  <c r="B47" i="9"/>
  <c r="J48" i="9"/>
  <c r="J48" i="8"/>
  <c r="B47" i="8"/>
  <c r="J48" i="6"/>
  <c r="B47" i="6"/>
  <c r="J48" i="5"/>
  <c r="B47" i="5"/>
  <c r="J49" i="10" l="1"/>
  <c r="B48" i="10"/>
  <c r="J49" i="9"/>
  <c r="B48" i="9"/>
  <c r="B48" i="8"/>
  <c r="J49" i="8"/>
  <c r="J49" i="6"/>
  <c r="B48" i="6"/>
  <c r="J49" i="5"/>
  <c r="B48" i="5"/>
  <c r="B49" i="10" l="1"/>
  <c r="J50" i="10"/>
  <c r="J50" i="9"/>
  <c r="B49" i="9"/>
  <c r="B49" i="8"/>
  <c r="J50" i="8"/>
  <c r="J50" i="6"/>
  <c r="B49" i="6"/>
  <c r="B49" i="5"/>
  <c r="J50" i="5"/>
  <c r="J51" i="10" l="1"/>
  <c r="B50" i="10"/>
  <c r="J51" i="9"/>
  <c r="B50" i="9"/>
  <c r="J51" i="8"/>
  <c r="B50" i="8"/>
  <c r="B50" i="6"/>
  <c r="J51" i="6"/>
  <c r="J51" i="5"/>
  <c r="B50" i="5"/>
  <c r="J52" i="10" l="1"/>
  <c r="B51" i="10"/>
  <c r="J52" i="9"/>
  <c r="B51" i="9"/>
  <c r="B51" i="8"/>
  <c r="J52" i="8"/>
  <c r="J52" i="6"/>
  <c r="B51" i="6"/>
  <c r="B51" i="5"/>
  <c r="J52" i="5"/>
  <c r="J53" i="10" l="1"/>
  <c r="B52" i="10"/>
  <c r="J53" i="9"/>
  <c r="B52" i="9"/>
  <c r="J53" i="8"/>
  <c r="B52" i="8"/>
  <c r="J53" i="6"/>
  <c r="B52" i="6"/>
  <c r="J53" i="5"/>
  <c r="B52" i="5"/>
  <c r="J54" i="10" l="1"/>
  <c r="B53" i="10"/>
  <c r="B53" i="9"/>
  <c r="J54" i="9"/>
  <c r="B53" i="8"/>
  <c r="J54" i="8"/>
  <c r="J54" i="6"/>
  <c r="B53" i="6"/>
  <c r="J54" i="5"/>
  <c r="B53" i="5"/>
  <c r="J55" i="10" l="1"/>
  <c r="B54" i="10"/>
  <c r="J55" i="9"/>
  <c r="B54" i="9"/>
  <c r="J55" i="8"/>
  <c r="B54" i="8"/>
  <c r="J55" i="6"/>
  <c r="B54" i="6"/>
  <c r="J55" i="5"/>
  <c r="B54" i="5"/>
  <c r="B55" i="10" l="1"/>
  <c r="J56" i="10"/>
  <c r="B55" i="9"/>
  <c r="J56" i="9"/>
  <c r="B55" i="8"/>
  <c r="J56" i="8"/>
  <c r="J56" i="6"/>
  <c r="B55" i="6"/>
  <c r="J56" i="5"/>
  <c r="B55" i="5"/>
  <c r="J57" i="10" l="1"/>
  <c r="B56" i="10"/>
  <c r="J57" i="9"/>
  <c r="B56" i="9"/>
  <c r="B56" i="8"/>
  <c r="J57" i="8"/>
  <c r="J57" i="6"/>
  <c r="B56" i="6"/>
  <c r="J57" i="5"/>
  <c r="B56" i="5"/>
  <c r="B57" i="10" l="1"/>
  <c r="J58" i="10"/>
  <c r="J58" i="9"/>
  <c r="B57" i="9"/>
  <c r="B57" i="8"/>
  <c r="J58" i="8"/>
  <c r="J58" i="6"/>
  <c r="B57" i="6"/>
  <c r="B57" i="5"/>
  <c r="J58" i="5"/>
  <c r="J59" i="10" l="1"/>
  <c r="B58" i="10"/>
  <c r="J59" i="9"/>
  <c r="B58" i="9"/>
  <c r="J59" i="8"/>
  <c r="B58" i="8"/>
  <c r="B58" i="6"/>
  <c r="J59" i="6"/>
  <c r="J59" i="5"/>
  <c r="B58" i="5"/>
  <c r="J60" i="10" l="1"/>
  <c r="B59" i="10"/>
  <c r="J60" i="9"/>
  <c r="B59" i="9"/>
  <c r="J60" i="8"/>
  <c r="B59" i="8"/>
  <c r="B59" i="6"/>
  <c r="J60" i="6"/>
  <c r="B59" i="5"/>
  <c r="J60" i="5"/>
  <c r="J61" i="10" l="1"/>
  <c r="B60" i="10"/>
  <c r="J61" i="9"/>
  <c r="B60" i="9"/>
  <c r="B60" i="8"/>
  <c r="J61" i="8"/>
  <c r="J61" i="6"/>
  <c r="B60" i="6"/>
  <c r="J61" i="5"/>
  <c r="B60" i="5"/>
  <c r="J62" i="10" l="1"/>
  <c r="B61" i="10"/>
  <c r="B61" i="9"/>
  <c r="J62" i="9"/>
  <c r="J62" i="8"/>
  <c r="B61" i="8"/>
  <c r="J62" i="6"/>
  <c r="B61" i="6"/>
  <c r="J62" i="5"/>
  <c r="B61" i="5"/>
  <c r="B62" i="10" l="1"/>
  <c r="J63" i="10"/>
  <c r="J63" i="9"/>
  <c r="B62" i="9"/>
  <c r="J63" i="8"/>
  <c r="B62" i="8"/>
  <c r="J63" i="6"/>
  <c r="B62" i="6"/>
  <c r="J63" i="5"/>
  <c r="B62" i="5"/>
  <c r="J64" i="10" l="1"/>
  <c r="B63" i="10"/>
  <c r="B63" i="9"/>
  <c r="J64" i="9"/>
  <c r="B63" i="8"/>
  <c r="J64" i="8"/>
  <c r="J64" i="6"/>
  <c r="B63" i="6"/>
  <c r="J64" i="5"/>
  <c r="B63" i="5"/>
  <c r="J65" i="10" l="1"/>
  <c r="B64" i="10"/>
  <c r="J65" i="9"/>
  <c r="B64" i="9"/>
  <c r="B64" i="8"/>
  <c r="J65" i="8"/>
  <c r="J65" i="6"/>
  <c r="B64" i="6"/>
  <c r="J65" i="5"/>
  <c r="B64" i="5"/>
  <c r="J66" i="10" l="1"/>
  <c r="B65" i="10"/>
  <c r="J66" i="9"/>
  <c r="B65" i="9"/>
  <c r="J66" i="8"/>
  <c r="B65" i="8"/>
  <c r="J66" i="6"/>
  <c r="B65" i="6"/>
  <c r="B65" i="5"/>
  <c r="J66" i="5"/>
  <c r="J67" i="10" l="1"/>
  <c r="B66" i="10"/>
  <c r="J67" i="9"/>
  <c r="B66" i="9"/>
  <c r="J67" i="8"/>
  <c r="B66" i="8"/>
  <c r="J67" i="6"/>
  <c r="B66" i="6"/>
  <c r="J67" i="5"/>
  <c r="B66" i="5"/>
  <c r="J68" i="10" l="1"/>
  <c r="B67" i="10"/>
  <c r="J68" i="9"/>
  <c r="B67" i="9"/>
  <c r="B67" i="8"/>
  <c r="J68" i="8"/>
  <c r="J68" i="6"/>
  <c r="B67" i="6"/>
  <c r="B67" i="5"/>
  <c r="J68" i="5"/>
  <c r="B68" i="10" l="1"/>
  <c r="J69" i="10"/>
  <c r="J69" i="9"/>
  <c r="B68" i="9"/>
  <c r="J69" i="8"/>
  <c r="B68" i="8"/>
  <c r="J69" i="6"/>
  <c r="B68" i="6"/>
  <c r="J69" i="5"/>
  <c r="B68" i="5"/>
  <c r="B69" i="10" l="1"/>
  <c r="J70" i="10"/>
  <c r="B69" i="9"/>
  <c r="J70" i="9"/>
  <c r="B69" i="8"/>
  <c r="J70" i="8"/>
  <c r="J70" i="6"/>
  <c r="B69" i="6"/>
  <c r="J70" i="5"/>
  <c r="B69" i="5"/>
  <c r="B70" i="10" l="1"/>
  <c r="J71" i="10"/>
  <c r="J71" i="9"/>
  <c r="B70" i="9"/>
  <c r="J71" i="8"/>
  <c r="B70" i="8"/>
  <c r="B70" i="6"/>
  <c r="J71" i="6"/>
  <c r="J71" i="5"/>
  <c r="B70" i="5"/>
  <c r="J72" i="10" l="1"/>
  <c r="B71" i="10"/>
  <c r="B71" i="9"/>
  <c r="J72" i="9"/>
  <c r="B71" i="8"/>
  <c r="J72" i="8"/>
  <c r="J72" i="6"/>
  <c r="B71" i="6"/>
  <c r="J72" i="5"/>
  <c r="B71" i="5"/>
  <c r="J73" i="10" l="1"/>
  <c r="B72" i="10"/>
  <c r="J73" i="9"/>
  <c r="B72" i="9"/>
  <c r="J73" i="8"/>
  <c r="B72" i="8"/>
  <c r="J73" i="6"/>
  <c r="B72" i="6"/>
  <c r="J73" i="5"/>
  <c r="B72" i="5"/>
  <c r="J74" i="10" l="1"/>
  <c r="B73" i="10"/>
  <c r="J74" i="9"/>
  <c r="B73" i="9"/>
  <c r="B73" i="8"/>
  <c r="J74" i="8"/>
  <c r="J74" i="6"/>
  <c r="B73" i="6"/>
  <c r="B73" i="5"/>
  <c r="J74" i="5"/>
  <c r="B74" i="10" l="1"/>
  <c r="J75" i="10"/>
  <c r="J75" i="9"/>
  <c r="B74" i="9"/>
  <c r="J75" i="8"/>
  <c r="B74" i="8"/>
  <c r="J75" i="6"/>
  <c r="B74" i="6"/>
  <c r="J75" i="5"/>
  <c r="B74" i="5"/>
  <c r="J76" i="10" l="1"/>
  <c r="B75" i="10"/>
  <c r="J76" i="9"/>
  <c r="B75" i="9"/>
  <c r="J76" i="8"/>
  <c r="B75" i="8"/>
  <c r="B75" i="6"/>
  <c r="J76" i="6"/>
  <c r="B75" i="5"/>
  <c r="J76" i="5"/>
  <c r="B76" i="10" l="1"/>
  <c r="J77" i="10"/>
  <c r="J77" i="9"/>
  <c r="B76" i="9"/>
  <c r="B76" i="8"/>
  <c r="J77" i="8"/>
  <c r="J77" i="6"/>
  <c r="B76" i="6"/>
  <c r="J77" i="5"/>
  <c r="B76" i="5"/>
  <c r="B77" i="10" l="1"/>
  <c r="J78" i="10"/>
  <c r="B77" i="9"/>
  <c r="J78" i="9"/>
  <c r="J78" i="8"/>
  <c r="B77" i="8"/>
  <c r="J78" i="6"/>
  <c r="B77" i="6"/>
  <c r="J78" i="5"/>
  <c r="B77" i="5"/>
  <c r="B78" i="10" l="1"/>
  <c r="J79" i="10"/>
  <c r="J79" i="9"/>
  <c r="B78" i="9"/>
  <c r="J79" i="8"/>
  <c r="B78" i="8"/>
  <c r="B78" i="6"/>
  <c r="J79" i="6"/>
  <c r="J79" i="5"/>
  <c r="B78" i="5"/>
  <c r="J80" i="10" l="1"/>
  <c r="B79" i="10"/>
  <c r="B79" i="9"/>
  <c r="J80" i="9"/>
  <c r="J80" i="8"/>
  <c r="B79" i="8"/>
  <c r="J80" i="6"/>
  <c r="B79" i="6"/>
  <c r="J80" i="5"/>
  <c r="B79" i="5"/>
  <c r="J81" i="10" l="1"/>
  <c r="B80" i="10"/>
  <c r="J81" i="9"/>
  <c r="B80" i="9"/>
  <c r="B80" i="8"/>
  <c r="J81" i="8"/>
  <c r="J81" i="6"/>
  <c r="B80" i="6"/>
  <c r="J81" i="5"/>
  <c r="B80" i="5"/>
  <c r="B81" i="10" l="1"/>
  <c r="J82" i="10"/>
  <c r="J82" i="9"/>
  <c r="B81" i="9"/>
  <c r="B81" i="8"/>
  <c r="J82" i="8"/>
  <c r="J82" i="6"/>
  <c r="B81" i="6"/>
  <c r="J82" i="5"/>
  <c r="B81" i="5"/>
  <c r="J83" i="10" l="1"/>
  <c r="B82" i="10"/>
  <c r="J83" i="9"/>
  <c r="B82" i="9"/>
  <c r="J83" i="8"/>
  <c r="B82" i="8"/>
  <c r="J83" i="6"/>
  <c r="B82" i="6"/>
  <c r="J83" i="5"/>
  <c r="B82" i="5"/>
  <c r="J84" i="10" l="1"/>
  <c r="B83" i="10"/>
  <c r="J84" i="9"/>
  <c r="B83" i="9"/>
  <c r="B83" i="8"/>
  <c r="J84" i="8"/>
  <c r="J84" i="6"/>
  <c r="B83" i="6"/>
  <c r="B83" i="5"/>
  <c r="J84" i="5"/>
  <c r="B84" i="10" l="1"/>
  <c r="J85" i="10"/>
  <c r="J85" i="9"/>
  <c r="B84" i="9"/>
  <c r="J85" i="8"/>
  <c r="B84" i="8"/>
  <c r="J85" i="6"/>
  <c r="B84" i="6"/>
  <c r="J85" i="5"/>
  <c r="B84" i="5"/>
  <c r="B85" i="10" l="1"/>
  <c r="J86" i="10"/>
  <c r="B85" i="9"/>
  <c r="J86" i="9"/>
  <c r="B85" i="8"/>
  <c r="J86" i="8"/>
  <c r="J86" i="6"/>
  <c r="B85" i="6"/>
  <c r="J86" i="5"/>
  <c r="B85" i="5"/>
  <c r="B86" i="10" l="1"/>
  <c r="J87" i="10"/>
  <c r="J87" i="9"/>
  <c r="B86" i="9"/>
  <c r="J87" i="8"/>
  <c r="B86" i="8"/>
  <c r="B86" i="6"/>
  <c r="J87" i="6"/>
  <c r="J87" i="5"/>
  <c r="B86" i="5"/>
  <c r="J88" i="10" l="1"/>
  <c r="B87" i="10"/>
  <c r="B87" i="9"/>
  <c r="J88" i="9"/>
  <c r="B87" i="8"/>
  <c r="J88" i="8"/>
  <c r="J88" i="6"/>
  <c r="B87" i="6"/>
  <c r="J88" i="5"/>
  <c r="B87" i="5"/>
  <c r="B88" i="10" l="1"/>
  <c r="J89" i="10"/>
  <c r="J89" i="9"/>
  <c r="B88" i="9"/>
  <c r="B88" i="8"/>
  <c r="J89" i="8"/>
  <c r="J89" i="6"/>
  <c r="B88" i="6"/>
  <c r="J89" i="5"/>
  <c r="B88" i="5"/>
  <c r="J90" i="10" l="1"/>
  <c r="B89" i="10"/>
  <c r="J90" i="9"/>
  <c r="B89" i="9"/>
  <c r="B89" i="8"/>
  <c r="J90" i="8"/>
  <c r="J90" i="6"/>
  <c r="B89" i="6"/>
  <c r="J90" i="5"/>
  <c r="B89" i="5"/>
  <c r="J91" i="10" l="1"/>
  <c r="B90" i="10"/>
  <c r="J91" i="9"/>
  <c r="B90" i="9"/>
  <c r="J91" i="8"/>
  <c r="B90" i="8"/>
  <c r="J91" i="6"/>
  <c r="B90" i="6"/>
  <c r="J91" i="5"/>
  <c r="B90" i="5"/>
  <c r="J92" i="10" l="1"/>
  <c r="B91" i="10"/>
  <c r="J92" i="9"/>
  <c r="B91" i="9"/>
  <c r="J92" i="8"/>
  <c r="B91" i="8"/>
  <c r="B91" i="6"/>
  <c r="J92" i="6"/>
  <c r="J92" i="5"/>
  <c r="B91" i="5"/>
  <c r="J93" i="10" l="1"/>
  <c r="B92" i="10"/>
  <c r="J93" i="9"/>
  <c r="B92" i="9"/>
  <c r="B92" i="8"/>
  <c r="J93" i="8"/>
  <c r="J93" i="6"/>
  <c r="B92" i="6"/>
  <c r="J93" i="5"/>
  <c r="B92" i="5"/>
  <c r="B93" i="10" l="1"/>
  <c r="J94" i="10"/>
  <c r="B93" i="9"/>
  <c r="J94" i="9"/>
  <c r="J94" i="8"/>
  <c r="B93" i="8"/>
  <c r="J94" i="6"/>
  <c r="B93" i="6"/>
  <c r="J94" i="5"/>
  <c r="B93" i="5"/>
  <c r="J95" i="10" l="1"/>
  <c r="B94" i="10"/>
  <c r="J95" i="9"/>
  <c r="B94" i="9"/>
  <c r="J95" i="8"/>
  <c r="B94" i="8"/>
  <c r="B94" i="6"/>
  <c r="J95" i="6"/>
  <c r="J95" i="5"/>
  <c r="B94" i="5"/>
  <c r="B95" i="10" l="1"/>
  <c r="J96" i="10"/>
  <c r="J96" i="9"/>
  <c r="B95" i="9"/>
  <c r="B95" i="8"/>
  <c r="J96" i="8"/>
  <c r="J96" i="6"/>
  <c r="B95" i="6"/>
  <c r="J96" i="5"/>
  <c r="B95" i="5"/>
  <c r="J97" i="10" l="1"/>
  <c r="B96" i="10"/>
  <c r="J97" i="9"/>
  <c r="B96" i="9"/>
  <c r="B96" i="8"/>
  <c r="J97" i="8"/>
  <c r="J97" i="6"/>
  <c r="B96" i="6"/>
  <c r="J97" i="5"/>
  <c r="B96" i="5"/>
  <c r="J98" i="10" l="1"/>
  <c r="B97" i="10"/>
  <c r="J98" i="9"/>
  <c r="B97" i="9"/>
  <c r="J98" i="8"/>
  <c r="B97" i="8"/>
  <c r="J98" i="6"/>
  <c r="B97" i="6"/>
  <c r="J98" i="5"/>
  <c r="B97" i="5"/>
  <c r="J99" i="10" l="1"/>
  <c r="B98" i="10"/>
  <c r="J99" i="9"/>
  <c r="B98" i="9"/>
  <c r="J99" i="8"/>
  <c r="B98" i="8"/>
  <c r="J99" i="6"/>
  <c r="B98" i="6"/>
  <c r="J99" i="5"/>
  <c r="B98" i="5"/>
  <c r="J100" i="10" l="1"/>
  <c r="B99" i="10"/>
  <c r="B99" i="9"/>
  <c r="J100" i="9"/>
  <c r="B99" i="8"/>
  <c r="J100" i="8"/>
  <c r="J100" i="6"/>
  <c r="B99" i="6"/>
  <c r="B99" i="5"/>
  <c r="J100" i="5"/>
  <c r="J101" i="10" l="1"/>
  <c r="B100" i="10"/>
  <c r="J101" i="9"/>
  <c r="B100" i="9"/>
  <c r="J101" i="8"/>
  <c r="B100" i="8"/>
  <c r="J101" i="6"/>
  <c r="B100" i="6"/>
  <c r="J101" i="5"/>
  <c r="B100" i="5"/>
  <c r="J102" i="10" l="1"/>
  <c r="B101" i="10"/>
  <c r="J102" i="9"/>
  <c r="B101" i="9"/>
  <c r="B101" i="8"/>
  <c r="J102" i="8"/>
  <c r="J102" i="6"/>
  <c r="B101" i="6"/>
  <c r="J102" i="5"/>
  <c r="B101" i="5"/>
  <c r="B102" i="10" l="1"/>
  <c r="J103" i="10"/>
  <c r="J103" i="9"/>
  <c r="B102" i="9"/>
  <c r="J103" i="8"/>
  <c r="B102" i="8"/>
  <c r="B102" i="6"/>
  <c r="J103" i="6"/>
  <c r="J103" i="5"/>
  <c r="B102" i="5"/>
  <c r="M2" i="10" l="1"/>
  <c r="N2" i="10"/>
  <c r="O2" i="10"/>
  <c r="J104" i="10"/>
  <c r="B103" i="10"/>
  <c r="J104" i="9"/>
  <c r="B103" i="9"/>
  <c r="B103" i="8"/>
  <c r="J104" i="8"/>
  <c r="J104" i="6"/>
  <c r="B103" i="6"/>
  <c r="J104" i="5"/>
  <c r="B103" i="5"/>
  <c r="J105" i="10" l="1"/>
  <c r="B104" i="10"/>
  <c r="J105" i="9"/>
  <c r="B104" i="9"/>
  <c r="J105" i="8"/>
  <c r="B104" i="8"/>
  <c r="J105" i="6"/>
  <c r="B104" i="6"/>
  <c r="J105" i="5"/>
  <c r="B104" i="5"/>
  <c r="J106" i="10" l="1"/>
  <c r="B105" i="10"/>
  <c r="J106" i="9"/>
  <c r="B105" i="9"/>
  <c r="B105" i="8"/>
  <c r="J106" i="8"/>
  <c r="J106" i="6"/>
  <c r="B105" i="6"/>
  <c r="J106" i="5"/>
  <c r="B105" i="5"/>
  <c r="J107" i="10" l="1"/>
  <c r="B106" i="10"/>
  <c r="J107" i="9"/>
  <c r="B106" i="9"/>
  <c r="J107" i="8"/>
  <c r="B106" i="8"/>
  <c r="J107" i="6"/>
  <c r="B106" i="6"/>
  <c r="J107" i="5"/>
  <c r="B106" i="5"/>
  <c r="B107" i="10" l="1"/>
  <c r="J108" i="10"/>
  <c r="B107" i="9"/>
  <c r="J108" i="9"/>
  <c r="J108" i="8"/>
  <c r="B107" i="8"/>
  <c r="B107" i="6"/>
  <c r="J108" i="6"/>
  <c r="J108" i="5"/>
  <c r="B107" i="5"/>
  <c r="J109" i="10" l="1"/>
  <c r="B108" i="10"/>
  <c r="J109" i="9"/>
  <c r="B108" i="9"/>
  <c r="B108" i="8"/>
  <c r="J109" i="8"/>
  <c r="J109" i="6"/>
  <c r="B108" i="6"/>
  <c r="J109" i="5"/>
  <c r="B108" i="5"/>
  <c r="B109" i="10" l="1"/>
  <c r="J110" i="10"/>
  <c r="J110" i="9"/>
  <c r="B109" i="9"/>
  <c r="J110" i="8"/>
  <c r="B109" i="8"/>
  <c r="J110" i="6"/>
  <c r="B109" i="6"/>
  <c r="J110" i="5"/>
  <c r="B109" i="5"/>
  <c r="J111" i="10" l="1"/>
  <c r="B110" i="10"/>
  <c r="J111" i="9"/>
  <c r="B110" i="9"/>
  <c r="J111" i="8"/>
  <c r="B110" i="8"/>
  <c r="B110" i="6"/>
  <c r="J111" i="6"/>
  <c r="J111" i="5"/>
  <c r="B110" i="5"/>
  <c r="B111" i="10" l="1"/>
  <c r="J112" i="10"/>
  <c r="J112" i="9"/>
  <c r="B111" i="9"/>
  <c r="J112" i="8"/>
  <c r="B111" i="8"/>
  <c r="J112" i="6"/>
  <c r="B111" i="6"/>
  <c r="J112" i="5"/>
  <c r="B111" i="5"/>
  <c r="J113" i="10" l="1"/>
  <c r="B112" i="10"/>
  <c r="J113" i="9"/>
  <c r="B112" i="9"/>
  <c r="B112" i="8"/>
  <c r="J113" i="8"/>
  <c r="J113" i="6"/>
  <c r="B112" i="6"/>
  <c r="J113" i="5"/>
  <c r="B112" i="5"/>
  <c r="J114" i="10" l="1"/>
  <c r="B113" i="10"/>
  <c r="J114" i="9"/>
  <c r="B113" i="9"/>
  <c r="B113" i="8"/>
  <c r="J114" i="8"/>
  <c r="J114" i="6"/>
  <c r="B113" i="6"/>
  <c r="J114" i="5"/>
  <c r="B113" i="5"/>
  <c r="B114" i="10" l="1"/>
  <c r="J115" i="10"/>
  <c r="J115" i="9"/>
  <c r="B114" i="9"/>
  <c r="J115" i="8"/>
  <c r="B114" i="8"/>
  <c r="J115" i="6"/>
  <c r="B114" i="6"/>
  <c r="J115" i="5"/>
  <c r="B114" i="5"/>
  <c r="J116" i="10" l="1"/>
  <c r="B115" i="10"/>
  <c r="B115" i="9"/>
  <c r="J116" i="9"/>
  <c r="B115" i="8"/>
  <c r="J116" i="8"/>
  <c r="J116" i="6"/>
  <c r="B115" i="6"/>
  <c r="B115" i="5"/>
  <c r="J116" i="5"/>
  <c r="J117" i="10" l="1"/>
  <c r="B116" i="10"/>
  <c r="J117" i="9"/>
  <c r="B116" i="9"/>
  <c r="J117" i="8"/>
  <c r="B116" i="8"/>
  <c r="J117" i="6"/>
  <c r="B116" i="6"/>
  <c r="J117" i="5"/>
  <c r="B116" i="5"/>
  <c r="J118" i="10" l="1"/>
  <c r="B117" i="10"/>
  <c r="J118" i="9"/>
  <c r="B117" i="9"/>
  <c r="B117" i="8"/>
  <c r="J118" i="8"/>
  <c r="J118" i="6"/>
  <c r="B117" i="6"/>
  <c r="J118" i="5"/>
  <c r="B117" i="5"/>
  <c r="B118" i="10" l="1"/>
  <c r="J119" i="10"/>
  <c r="J119" i="9"/>
  <c r="B118" i="9"/>
  <c r="J119" i="8"/>
  <c r="B118" i="8"/>
  <c r="B118" i="6"/>
  <c r="J119" i="6"/>
  <c r="B118" i="5"/>
  <c r="J119" i="5"/>
  <c r="B119" i="10" l="1"/>
  <c r="J120" i="10"/>
  <c r="J120" i="9"/>
  <c r="B119" i="9"/>
  <c r="B119" i="8"/>
  <c r="J120" i="8"/>
  <c r="J120" i="6"/>
  <c r="B119" i="6"/>
  <c r="J120" i="5"/>
  <c r="B119" i="5"/>
  <c r="J121" i="10" l="1"/>
  <c r="B120" i="10"/>
  <c r="J121" i="9"/>
  <c r="B120" i="9"/>
  <c r="B120" i="8"/>
  <c r="J121" i="8"/>
  <c r="J121" i="6"/>
  <c r="B120" i="6"/>
  <c r="J121" i="5"/>
  <c r="B120" i="5"/>
  <c r="B121" i="10" l="1"/>
  <c r="J122" i="10"/>
  <c r="J122" i="9"/>
  <c r="B121" i="9"/>
  <c r="B121" i="8"/>
  <c r="J122" i="8"/>
  <c r="J122" i="6"/>
  <c r="B121" i="6"/>
  <c r="J122" i="5"/>
  <c r="B121" i="5"/>
  <c r="J123" i="10" l="1"/>
  <c r="B122" i="10"/>
  <c r="J123" i="9"/>
  <c r="B122" i="9"/>
  <c r="J123" i="8"/>
  <c r="B122" i="8"/>
  <c r="J123" i="6"/>
  <c r="B122" i="6"/>
  <c r="J123" i="5"/>
  <c r="B122" i="5"/>
  <c r="B123" i="10" l="1"/>
  <c r="J124" i="10"/>
  <c r="B123" i="9"/>
  <c r="J124" i="9"/>
  <c r="J124" i="8"/>
  <c r="B123" i="8"/>
  <c r="B123" i="6"/>
  <c r="J124" i="6"/>
  <c r="J124" i="5"/>
  <c r="B123" i="5"/>
  <c r="J125" i="10" l="1"/>
  <c r="B124" i="10"/>
  <c r="J125" i="9"/>
  <c r="B124" i="9"/>
  <c r="B124" i="8"/>
  <c r="J125" i="8"/>
  <c r="J125" i="6"/>
  <c r="B124" i="6"/>
  <c r="J125" i="5"/>
  <c r="B124" i="5"/>
  <c r="B125" i="10" l="1"/>
  <c r="J126" i="10"/>
  <c r="J126" i="9"/>
  <c r="B125" i="9"/>
  <c r="J126" i="8"/>
  <c r="B125" i="8"/>
  <c r="J126" i="6"/>
  <c r="B125" i="6"/>
  <c r="J126" i="5"/>
  <c r="B125" i="5"/>
  <c r="B126" i="10" l="1"/>
  <c r="J127" i="10"/>
  <c r="J127" i="9"/>
  <c r="B126" i="9"/>
  <c r="J127" i="8"/>
  <c r="B126" i="8"/>
  <c r="B126" i="6"/>
  <c r="J127" i="6"/>
  <c r="J127" i="5"/>
  <c r="B126" i="5"/>
  <c r="B127" i="10" l="1"/>
  <c r="J128" i="10"/>
  <c r="J128" i="9"/>
  <c r="B127" i="9"/>
  <c r="B127" i="8"/>
  <c r="J128" i="8"/>
  <c r="J128" i="6"/>
  <c r="B127" i="6"/>
  <c r="J128" i="5"/>
  <c r="B127" i="5"/>
  <c r="J129" i="10" l="1"/>
  <c r="B128" i="10"/>
  <c r="J129" i="9"/>
  <c r="B128" i="9"/>
  <c r="B128" i="8"/>
  <c r="J129" i="8"/>
  <c r="J129" i="6"/>
  <c r="B128" i="6"/>
  <c r="B128" i="5"/>
  <c r="J129" i="5"/>
  <c r="J130" i="10" l="1"/>
  <c r="B129" i="10"/>
  <c r="J130" i="9"/>
  <c r="B129" i="9"/>
  <c r="J130" i="8"/>
  <c r="B129" i="8"/>
  <c r="J130" i="6"/>
  <c r="B129" i="6"/>
  <c r="J130" i="5"/>
  <c r="B129" i="5"/>
  <c r="B130" i="10" l="1"/>
  <c r="J131" i="10"/>
  <c r="J131" i="9"/>
  <c r="B130" i="9"/>
  <c r="J131" i="8"/>
  <c r="B130" i="8"/>
  <c r="J131" i="6"/>
  <c r="B130" i="6"/>
  <c r="J131" i="5"/>
  <c r="B130" i="5"/>
  <c r="J132" i="10" l="1"/>
  <c r="B131" i="10"/>
  <c r="B131" i="9"/>
  <c r="J132" i="9"/>
  <c r="B131" i="8"/>
  <c r="J132" i="8"/>
  <c r="J132" i="6"/>
  <c r="B131" i="6"/>
  <c r="J132" i="5"/>
  <c r="B131" i="5"/>
  <c r="J133" i="10" l="1"/>
  <c r="B132" i="10"/>
  <c r="J133" i="9"/>
  <c r="B132" i="9"/>
  <c r="J133" i="8"/>
  <c r="B132" i="8"/>
  <c r="J133" i="6"/>
  <c r="B132" i="6"/>
  <c r="J133" i="5"/>
  <c r="B132" i="5"/>
  <c r="B133" i="10" l="1"/>
  <c r="J134" i="10"/>
  <c r="J134" i="9"/>
  <c r="B133" i="9"/>
  <c r="B133" i="8"/>
  <c r="J134" i="8"/>
  <c r="J134" i="6"/>
  <c r="B133" i="6"/>
  <c r="B133" i="5"/>
  <c r="J134" i="5"/>
  <c r="B134" i="10" l="1"/>
  <c r="J135" i="10"/>
  <c r="J135" i="9"/>
  <c r="B134" i="9"/>
  <c r="J135" i="8"/>
  <c r="B134" i="8"/>
  <c r="B134" i="6"/>
  <c r="J135" i="6"/>
  <c r="J135" i="5"/>
  <c r="B134" i="5"/>
  <c r="B135" i="10" l="1"/>
  <c r="J136" i="10"/>
  <c r="J136" i="9"/>
  <c r="B135" i="9"/>
  <c r="B135" i="8"/>
  <c r="J136" i="8"/>
  <c r="J136" i="6"/>
  <c r="B135" i="6"/>
  <c r="B135" i="5"/>
  <c r="J136" i="5"/>
  <c r="J137" i="10" l="1"/>
  <c r="B136" i="10"/>
  <c r="J137" i="9"/>
  <c r="B136" i="9"/>
  <c r="J137" i="8"/>
  <c r="B136" i="8"/>
  <c r="J137" i="6"/>
  <c r="B136" i="6"/>
  <c r="J137" i="5"/>
  <c r="B136" i="5"/>
  <c r="B137" i="10" l="1"/>
  <c r="J138" i="10"/>
  <c r="J138" i="9"/>
  <c r="B137" i="9"/>
  <c r="B137" i="8"/>
  <c r="J138" i="8"/>
  <c r="J138" i="6"/>
  <c r="B137" i="6"/>
  <c r="B137" i="5"/>
  <c r="J138" i="5"/>
  <c r="J139" i="10" l="1"/>
  <c r="B138" i="10"/>
  <c r="J139" i="9"/>
  <c r="B138" i="9"/>
  <c r="J139" i="8"/>
  <c r="B138" i="8"/>
  <c r="J139" i="6"/>
  <c r="B138" i="6"/>
  <c r="J139" i="5"/>
  <c r="B138" i="5"/>
  <c r="J140" i="10" l="1"/>
  <c r="B139" i="10"/>
  <c r="B139" i="9"/>
  <c r="J140" i="9"/>
  <c r="J140" i="8"/>
  <c r="B139" i="8"/>
  <c r="B139" i="6"/>
  <c r="J140" i="6"/>
  <c r="J140" i="5"/>
  <c r="B139" i="5"/>
  <c r="J141" i="10" l="1"/>
  <c r="B140" i="10"/>
  <c r="J141" i="9"/>
  <c r="B140" i="9"/>
  <c r="B140" i="8"/>
  <c r="J141" i="8"/>
  <c r="J141" i="6"/>
  <c r="B140" i="6"/>
  <c r="B140" i="5"/>
  <c r="J141" i="5"/>
  <c r="B141" i="10" l="1"/>
  <c r="J142" i="10"/>
  <c r="J142" i="9"/>
  <c r="B141" i="9"/>
  <c r="J142" i="8"/>
  <c r="B141" i="8"/>
  <c r="J142" i="6"/>
  <c r="B141" i="6"/>
  <c r="J142" i="5"/>
  <c r="B141" i="5"/>
  <c r="B142" i="10" l="1"/>
  <c r="J143" i="10"/>
  <c r="J143" i="9"/>
  <c r="B142" i="9"/>
  <c r="J143" i="8"/>
  <c r="B142" i="8"/>
  <c r="B142" i="6"/>
  <c r="J143" i="6"/>
  <c r="J143" i="5"/>
  <c r="B142" i="5"/>
  <c r="B143" i="10" l="1"/>
  <c r="J144" i="10"/>
  <c r="J144" i="9"/>
  <c r="B143" i="9"/>
  <c r="J144" i="8"/>
  <c r="B143" i="8"/>
  <c r="J144" i="6"/>
  <c r="B143" i="6"/>
  <c r="J144" i="5"/>
  <c r="B143" i="5"/>
  <c r="J145" i="10" l="1"/>
  <c r="B144" i="10"/>
  <c r="J145" i="9"/>
  <c r="B144" i="9"/>
  <c r="B144" i="8"/>
  <c r="J145" i="8"/>
  <c r="J145" i="6"/>
  <c r="B144" i="6"/>
  <c r="B144" i="5"/>
  <c r="J145" i="5"/>
  <c r="J146" i="10" l="1"/>
  <c r="B145" i="10"/>
  <c r="J146" i="9"/>
  <c r="B145" i="9"/>
  <c r="B145" i="8"/>
  <c r="J146" i="8"/>
  <c r="J146" i="6"/>
  <c r="B145" i="6"/>
  <c r="B145" i="5"/>
  <c r="J146" i="5"/>
  <c r="J147" i="10" l="1"/>
  <c r="B146" i="10"/>
  <c r="J147" i="9"/>
  <c r="B146" i="9"/>
  <c r="J147" i="8"/>
  <c r="B146" i="8"/>
  <c r="J147" i="6"/>
  <c r="B146" i="6"/>
  <c r="J147" i="5"/>
  <c r="B146" i="5"/>
  <c r="J148" i="10" l="1"/>
  <c r="B147" i="10"/>
  <c r="B147" i="9"/>
  <c r="J148" i="9"/>
  <c r="B147" i="8"/>
  <c r="J148" i="8"/>
  <c r="J148" i="6"/>
  <c r="B147" i="6"/>
  <c r="B147" i="5"/>
  <c r="J148" i="5"/>
  <c r="J149" i="10" l="1"/>
  <c r="B148" i="10"/>
  <c r="J149" i="9"/>
  <c r="B148" i="9"/>
  <c r="J149" i="8"/>
  <c r="B148" i="8"/>
  <c r="B148" i="6"/>
  <c r="J149" i="6"/>
  <c r="J149" i="5"/>
  <c r="B148" i="5"/>
  <c r="B149" i="10" l="1"/>
  <c r="J150" i="10"/>
  <c r="J150" i="9"/>
  <c r="B149" i="9"/>
  <c r="B149" i="8"/>
  <c r="J150" i="8"/>
  <c r="J150" i="6"/>
  <c r="B149" i="6"/>
  <c r="B149" i="5"/>
  <c r="J150" i="5"/>
  <c r="B150" i="10" l="1"/>
  <c r="J151" i="10"/>
  <c r="J151" i="9"/>
  <c r="B150" i="9"/>
  <c r="J151" i="8"/>
  <c r="B150" i="8"/>
  <c r="B150" i="6"/>
  <c r="J151" i="6"/>
  <c r="J151" i="5"/>
  <c r="B150" i="5"/>
  <c r="J152" i="10" l="1"/>
  <c r="B151" i="10"/>
  <c r="J152" i="9"/>
  <c r="B151" i="9"/>
  <c r="B151" i="8"/>
  <c r="J152" i="8"/>
  <c r="J152" i="6"/>
  <c r="B151" i="6"/>
  <c r="B151" i="5"/>
  <c r="J152" i="5"/>
  <c r="J153" i="10" l="1"/>
  <c r="B152" i="10"/>
  <c r="J153" i="9"/>
  <c r="B152" i="9"/>
  <c r="B152" i="8"/>
  <c r="J153" i="8"/>
  <c r="J153" i="6"/>
  <c r="B152" i="6"/>
  <c r="B152" i="5"/>
  <c r="J153" i="5"/>
  <c r="J154" i="10" l="1"/>
  <c r="B153" i="10"/>
  <c r="J154" i="9"/>
  <c r="B153" i="9"/>
  <c r="B153" i="8"/>
  <c r="J154" i="8"/>
  <c r="J154" i="6"/>
  <c r="B153" i="6"/>
  <c r="B153" i="5"/>
  <c r="J154" i="5"/>
  <c r="J155" i="10" l="1"/>
  <c r="B154" i="10"/>
  <c r="J155" i="9"/>
  <c r="B154" i="9"/>
  <c r="J155" i="8"/>
  <c r="B154" i="8"/>
  <c r="J155" i="6"/>
  <c r="B154" i="6"/>
  <c r="J155" i="5"/>
  <c r="B154" i="5"/>
  <c r="J156" i="10" l="1"/>
  <c r="B155" i="10"/>
  <c r="B155" i="9"/>
  <c r="J156" i="9"/>
  <c r="J156" i="8"/>
  <c r="B155" i="8"/>
  <c r="J156" i="6"/>
  <c r="B155" i="6"/>
  <c r="J156" i="5"/>
  <c r="B155" i="5"/>
  <c r="J157" i="10" l="1"/>
  <c r="B156" i="10"/>
  <c r="J157" i="9"/>
  <c r="B156" i="9"/>
  <c r="B156" i="8"/>
  <c r="J157" i="8"/>
  <c r="J157" i="6"/>
  <c r="B156" i="6"/>
  <c r="B156" i="5"/>
  <c r="J157" i="5"/>
  <c r="B157" i="10" l="1"/>
  <c r="J158" i="10"/>
  <c r="J158" i="9"/>
  <c r="B157" i="9"/>
  <c r="J158" i="8"/>
  <c r="B157" i="8"/>
  <c r="B157" i="6"/>
  <c r="J158" i="6"/>
  <c r="J158" i="5"/>
  <c r="B157" i="5"/>
  <c r="J159" i="10" l="1"/>
  <c r="B158" i="10"/>
  <c r="J159" i="9"/>
  <c r="B158" i="9"/>
  <c r="J159" i="8"/>
  <c r="B158" i="8"/>
  <c r="B158" i="6"/>
  <c r="J159" i="6"/>
  <c r="J159" i="5"/>
  <c r="B158" i="5"/>
  <c r="B159" i="10" l="1"/>
  <c r="J160" i="10"/>
  <c r="J160" i="9"/>
  <c r="B159" i="9"/>
  <c r="B159" i="8"/>
  <c r="J160" i="8"/>
  <c r="J160" i="6"/>
  <c r="B159" i="6"/>
  <c r="B159" i="5"/>
  <c r="J160" i="5"/>
  <c r="J161" i="10" l="1"/>
  <c r="B160" i="10"/>
  <c r="J161" i="9"/>
  <c r="B160" i="9"/>
  <c r="B160" i="8"/>
  <c r="J161" i="8"/>
  <c r="J161" i="6"/>
  <c r="B160" i="6"/>
  <c r="B160" i="5"/>
  <c r="J161" i="5"/>
  <c r="J162" i="10" l="1"/>
  <c r="B161" i="10"/>
  <c r="J162" i="9"/>
  <c r="B161" i="9"/>
  <c r="B161" i="8"/>
  <c r="J162" i="8"/>
  <c r="B161" i="6"/>
  <c r="J162" i="6"/>
  <c r="B161" i="5"/>
  <c r="J162" i="5"/>
  <c r="J163" i="10" l="1"/>
  <c r="B162" i="10"/>
  <c r="J163" i="9"/>
  <c r="B162" i="9"/>
  <c r="J163" i="8"/>
  <c r="B162" i="8"/>
  <c r="J163" i="6"/>
  <c r="B162" i="6"/>
  <c r="J163" i="5"/>
  <c r="B162" i="5"/>
  <c r="J164" i="10" l="1"/>
  <c r="B163" i="10"/>
  <c r="B163" i="9"/>
  <c r="J164" i="9"/>
  <c r="B163" i="8"/>
  <c r="J164" i="8"/>
  <c r="J164" i="6"/>
  <c r="B163" i="6"/>
  <c r="B163" i="5"/>
  <c r="J164" i="5"/>
  <c r="J165" i="10" l="1"/>
  <c r="B164" i="10"/>
  <c r="J165" i="9"/>
  <c r="B164" i="9"/>
  <c r="J165" i="8"/>
  <c r="B164" i="8"/>
  <c r="J165" i="6"/>
  <c r="B164" i="6"/>
  <c r="J165" i="5"/>
  <c r="B164" i="5"/>
  <c r="J166" i="10" l="1"/>
  <c r="B165" i="10"/>
  <c r="J166" i="9"/>
  <c r="B165" i="9"/>
  <c r="J166" i="8"/>
  <c r="B165" i="8"/>
  <c r="J166" i="6"/>
  <c r="B165" i="6"/>
  <c r="J166" i="5"/>
  <c r="B165" i="5"/>
  <c r="B166" i="10" l="1"/>
  <c r="J167" i="10"/>
  <c r="J167" i="9"/>
  <c r="B166" i="9"/>
  <c r="J167" i="8"/>
  <c r="B166" i="8"/>
  <c r="B166" i="6"/>
  <c r="J167" i="6"/>
  <c r="J167" i="5"/>
  <c r="B166" i="5"/>
  <c r="J168" i="10" l="1"/>
  <c r="B167" i="10"/>
  <c r="J168" i="9"/>
  <c r="B167" i="9"/>
  <c r="B167" i="8"/>
  <c r="J168" i="8"/>
  <c r="J168" i="6"/>
  <c r="B167" i="6"/>
  <c r="B167" i="5"/>
  <c r="J168" i="5"/>
  <c r="J169" i="10" l="1"/>
  <c r="B168" i="10"/>
  <c r="J169" i="9"/>
  <c r="B168" i="9"/>
  <c r="B168" i="8"/>
  <c r="J169" i="8"/>
  <c r="J169" i="6"/>
  <c r="B168" i="6"/>
  <c r="B168" i="5"/>
  <c r="J169" i="5"/>
  <c r="J170" i="10" l="1"/>
  <c r="B169" i="10"/>
  <c r="J170" i="9"/>
  <c r="B169" i="9"/>
  <c r="B169" i="8"/>
  <c r="J170" i="8"/>
  <c r="J170" i="6"/>
  <c r="B169" i="6"/>
  <c r="B169" i="5"/>
  <c r="J170" i="5"/>
  <c r="J171" i="10" l="1"/>
  <c r="B170" i="10"/>
  <c r="J171" i="9"/>
  <c r="B170" i="9"/>
  <c r="J171" i="8"/>
  <c r="B170" i="8"/>
  <c r="J171" i="6"/>
  <c r="B170" i="6"/>
  <c r="J171" i="5"/>
  <c r="B170" i="5"/>
  <c r="B171" i="10" l="1"/>
  <c r="J172" i="10"/>
  <c r="B171" i="9"/>
  <c r="J172" i="9"/>
  <c r="J172" i="8"/>
  <c r="B171" i="8"/>
  <c r="J172" i="6"/>
  <c r="B171" i="6"/>
  <c r="J172" i="5"/>
  <c r="B171" i="5"/>
  <c r="J173" i="10" l="1"/>
  <c r="B172" i="10"/>
  <c r="J173" i="9"/>
  <c r="B172" i="9"/>
  <c r="J173" i="8"/>
  <c r="B172" i="8"/>
  <c r="J173" i="6"/>
  <c r="B172" i="6"/>
  <c r="J173" i="5"/>
  <c r="B172" i="5"/>
  <c r="B173" i="10" l="1"/>
  <c r="J174" i="10"/>
  <c r="J174" i="9"/>
  <c r="B173" i="9"/>
  <c r="J174" i="8"/>
  <c r="B173" i="8"/>
  <c r="B173" i="6"/>
  <c r="J174" i="6"/>
  <c r="J174" i="5"/>
  <c r="B173" i="5"/>
  <c r="J175" i="10" l="1"/>
  <c r="B174" i="10"/>
  <c r="J175" i="9"/>
  <c r="B174" i="9"/>
  <c r="B174" i="8"/>
  <c r="J175" i="8"/>
  <c r="B174" i="6"/>
  <c r="J175" i="6"/>
  <c r="J175" i="5"/>
  <c r="B174" i="5"/>
  <c r="B175" i="10" l="1"/>
  <c r="J176" i="10"/>
  <c r="J176" i="9"/>
  <c r="B175" i="9"/>
  <c r="J176" i="8"/>
  <c r="B175" i="8"/>
  <c r="J176" i="6"/>
  <c r="B175" i="6"/>
  <c r="B175" i="5"/>
  <c r="J176" i="5"/>
  <c r="J177" i="10" l="1"/>
  <c r="B176" i="10"/>
  <c r="J177" i="9"/>
  <c r="B176" i="9"/>
  <c r="J177" i="8"/>
  <c r="B176" i="8"/>
  <c r="J177" i="6"/>
  <c r="B176" i="6"/>
  <c r="B176" i="5"/>
  <c r="J177" i="5"/>
  <c r="J178" i="10" l="1"/>
  <c r="B177" i="10"/>
  <c r="J178" i="9"/>
  <c r="B177" i="9"/>
  <c r="J178" i="8"/>
  <c r="B177" i="8"/>
  <c r="B177" i="6"/>
  <c r="J178" i="6"/>
  <c r="J178" i="5"/>
  <c r="B177" i="5"/>
  <c r="B178" i="10" l="1"/>
  <c r="J179" i="10"/>
  <c r="J179" i="9"/>
  <c r="B178" i="9"/>
  <c r="J179" i="8"/>
  <c r="B178" i="8"/>
  <c r="J179" i="6"/>
  <c r="B178" i="6"/>
  <c r="J179" i="5"/>
  <c r="B178" i="5"/>
  <c r="J180" i="10" l="1"/>
  <c r="B179" i="10"/>
  <c r="B179" i="9"/>
  <c r="J180" i="9"/>
  <c r="B179" i="8"/>
  <c r="J180" i="8"/>
  <c r="J180" i="6"/>
  <c r="B179" i="6"/>
  <c r="J180" i="5"/>
  <c r="B179" i="5"/>
  <c r="J181" i="10" l="1"/>
  <c r="B180" i="10"/>
  <c r="J181" i="9"/>
  <c r="B180" i="9"/>
  <c r="J181" i="8"/>
  <c r="B180" i="8"/>
  <c r="J181" i="6"/>
  <c r="B180" i="6"/>
  <c r="J181" i="5"/>
  <c r="B180" i="5"/>
  <c r="J182" i="10" l="1"/>
  <c r="B181" i="10"/>
  <c r="J182" i="9"/>
  <c r="B181" i="9"/>
  <c r="B181" i="8"/>
  <c r="J182" i="8"/>
  <c r="J182" i="6"/>
  <c r="B181" i="6"/>
  <c r="J182" i="5"/>
  <c r="B181" i="5"/>
  <c r="B182" i="10" l="1"/>
  <c r="J183" i="10"/>
  <c r="J183" i="9"/>
  <c r="B182" i="9"/>
  <c r="B182" i="8"/>
  <c r="J183" i="8"/>
  <c r="B182" i="6"/>
  <c r="J183" i="6"/>
  <c r="J183" i="5"/>
  <c r="B182" i="5"/>
  <c r="B183" i="10" l="1"/>
  <c r="J184" i="10"/>
  <c r="J184" i="9"/>
  <c r="B183" i="9"/>
  <c r="B183" i="8"/>
  <c r="J184" i="8"/>
  <c r="J184" i="6"/>
  <c r="B183" i="6"/>
  <c r="B183" i="5"/>
  <c r="J184" i="5"/>
  <c r="J185" i="10" l="1"/>
  <c r="B184" i="10"/>
  <c r="J185" i="9"/>
  <c r="B184" i="9"/>
  <c r="J185" i="8"/>
  <c r="B184" i="8"/>
  <c r="J185" i="6"/>
  <c r="B184" i="6"/>
  <c r="J185" i="5"/>
  <c r="B184" i="5"/>
  <c r="B185" i="10" l="1"/>
  <c r="J186" i="10"/>
  <c r="J186" i="9"/>
  <c r="B185" i="9"/>
  <c r="J186" i="8"/>
  <c r="B185" i="8"/>
  <c r="J186" i="6"/>
  <c r="B185" i="6"/>
  <c r="B185" i="5"/>
  <c r="J186" i="5"/>
  <c r="J187" i="10" l="1"/>
  <c r="B186" i="10"/>
  <c r="J187" i="9"/>
  <c r="B186" i="9"/>
  <c r="B186" i="8"/>
  <c r="J187" i="8"/>
  <c r="J187" i="6"/>
  <c r="B186" i="6"/>
  <c r="J187" i="5"/>
  <c r="B186" i="5"/>
  <c r="B187" i="10" l="1"/>
  <c r="J188" i="10"/>
  <c r="B187" i="9"/>
  <c r="J188" i="9"/>
  <c r="J188" i="8"/>
  <c r="B187" i="8"/>
  <c r="J188" i="6"/>
  <c r="B187" i="6"/>
  <c r="J188" i="5"/>
  <c r="B187" i="5"/>
  <c r="J189" i="10" l="1"/>
  <c r="B188" i="10"/>
  <c r="J189" i="9"/>
  <c r="B188" i="9"/>
  <c r="J189" i="8"/>
  <c r="B188" i="8"/>
  <c r="J189" i="6"/>
  <c r="B188" i="6"/>
  <c r="J189" i="5"/>
  <c r="B188" i="5"/>
  <c r="B189" i="10" l="1"/>
  <c r="J190" i="10"/>
  <c r="J190" i="9"/>
  <c r="B189" i="9"/>
  <c r="B189" i="8"/>
  <c r="J190" i="8"/>
  <c r="B189" i="6"/>
  <c r="J190" i="6"/>
  <c r="J190" i="5"/>
  <c r="B189" i="5"/>
  <c r="B190" i="10" l="1"/>
  <c r="J191" i="10"/>
  <c r="J191" i="9"/>
  <c r="B190" i="9"/>
  <c r="B190" i="8"/>
  <c r="J191" i="8"/>
  <c r="B190" i="6"/>
  <c r="J191" i="6"/>
  <c r="J191" i="5"/>
  <c r="B190" i="5"/>
  <c r="B191" i="10" l="1"/>
  <c r="J192" i="10"/>
  <c r="J192" i="9"/>
  <c r="B191" i="9"/>
  <c r="B191" i="8"/>
  <c r="J192" i="8"/>
  <c r="J192" i="6"/>
  <c r="B191" i="6"/>
  <c r="B191" i="5"/>
  <c r="J192" i="5"/>
  <c r="J193" i="10" l="1"/>
  <c r="B192" i="10"/>
  <c r="J193" i="9"/>
  <c r="B192" i="9"/>
  <c r="J193" i="8"/>
  <c r="B192" i="8"/>
  <c r="J193" i="6"/>
  <c r="B192" i="6"/>
  <c r="B192" i="5"/>
  <c r="J193" i="5"/>
  <c r="J194" i="10" l="1"/>
  <c r="B193" i="10"/>
  <c r="J194" i="9"/>
  <c r="B193" i="9"/>
  <c r="B193" i="8"/>
  <c r="J194" i="8"/>
  <c r="B193" i="6"/>
  <c r="J194" i="6"/>
  <c r="B193" i="5"/>
  <c r="J194" i="5"/>
  <c r="B194" i="10" l="1"/>
  <c r="J195" i="10"/>
  <c r="J195" i="9"/>
  <c r="B194" i="9"/>
  <c r="J195" i="8"/>
  <c r="B194" i="8"/>
  <c r="J195" i="6"/>
  <c r="B194" i="6"/>
  <c r="J195" i="5"/>
  <c r="B194" i="5"/>
  <c r="J196" i="10" l="1"/>
  <c r="B195" i="10"/>
  <c r="B195" i="9"/>
  <c r="J196" i="9"/>
  <c r="B195" i="8"/>
  <c r="J196" i="8"/>
  <c r="J196" i="6"/>
  <c r="B195" i="6"/>
  <c r="J196" i="5"/>
  <c r="B195" i="5"/>
  <c r="J197" i="10" l="1"/>
  <c r="B196" i="10"/>
  <c r="J197" i="9"/>
  <c r="B196" i="9"/>
  <c r="J197" i="8"/>
  <c r="B196" i="8"/>
  <c r="J197" i="6"/>
  <c r="B196" i="6"/>
  <c r="J197" i="5"/>
  <c r="B196" i="5"/>
  <c r="B197" i="10" l="1"/>
  <c r="J198" i="10"/>
  <c r="J198" i="9"/>
  <c r="B197" i="9"/>
  <c r="B197" i="8"/>
  <c r="J198" i="8"/>
  <c r="J198" i="6"/>
  <c r="B197" i="6"/>
  <c r="J198" i="5"/>
  <c r="B197" i="5"/>
  <c r="B198" i="10" l="1"/>
  <c r="J199" i="10"/>
  <c r="J199" i="9"/>
  <c r="B198" i="9"/>
  <c r="B198" i="8"/>
  <c r="J199" i="8"/>
  <c r="B198" i="6"/>
  <c r="J199" i="6"/>
  <c r="J199" i="5"/>
  <c r="B198" i="5"/>
  <c r="B199" i="10" l="1"/>
  <c r="J200" i="10"/>
  <c r="J200" i="9"/>
  <c r="B199" i="9"/>
  <c r="B199" i="8"/>
  <c r="J200" i="8"/>
  <c r="J200" i="6"/>
  <c r="B199" i="6"/>
  <c r="B199" i="5"/>
  <c r="J200" i="5"/>
  <c r="J201" i="10" l="1"/>
  <c r="B200" i="10"/>
  <c r="J201" i="9"/>
  <c r="B200" i="9"/>
  <c r="J201" i="8"/>
  <c r="B200" i="8"/>
  <c r="J201" i="6"/>
  <c r="B200" i="6"/>
  <c r="B200" i="5"/>
  <c r="J201" i="5"/>
  <c r="B201" i="10" l="1"/>
  <c r="J202" i="10"/>
  <c r="J202" i="9"/>
  <c r="B201" i="9"/>
  <c r="J202" i="8"/>
  <c r="B201" i="8"/>
  <c r="J202" i="6"/>
  <c r="B201" i="6"/>
  <c r="B201" i="5"/>
  <c r="J202" i="5"/>
  <c r="J203" i="10" l="1"/>
  <c r="B202" i="10"/>
  <c r="J203" i="9"/>
  <c r="B202" i="9"/>
  <c r="J203" i="8"/>
  <c r="B202" i="8"/>
  <c r="J203" i="6"/>
  <c r="B202" i="6"/>
  <c r="J203" i="5"/>
  <c r="B202" i="5"/>
  <c r="B203" i="10" l="1"/>
  <c r="K2" i="10"/>
  <c r="K3" i="10" s="1"/>
  <c r="K4" i="10" s="1"/>
  <c r="K5" i="10" s="1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4" i="10" s="1"/>
  <c r="K95" i="10" s="1"/>
  <c r="K96" i="10" s="1"/>
  <c r="K97" i="10" s="1"/>
  <c r="K98" i="10" s="1"/>
  <c r="K99" i="10" s="1"/>
  <c r="K100" i="10" s="1"/>
  <c r="K101" i="10" s="1"/>
  <c r="K102" i="10" s="1"/>
  <c r="K103" i="10" s="1"/>
  <c r="K104" i="10" s="1"/>
  <c r="K105" i="10" s="1"/>
  <c r="K106" i="10" s="1"/>
  <c r="K107" i="10" s="1"/>
  <c r="K108" i="10" s="1"/>
  <c r="K109" i="10" s="1"/>
  <c r="K110" i="10" s="1"/>
  <c r="K111" i="10" s="1"/>
  <c r="K112" i="10" s="1"/>
  <c r="K113" i="10" s="1"/>
  <c r="K114" i="10" s="1"/>
  <c r="K115" i="10" s="1"/>
  <c r="K116" i="10" s="1"/>
  <c r="K117" i="10" s="1"/>
  <c r="K118" i="10" s="1"/>
  <c r="K119" i="10" s="1"/>
  <c r="K120" i="10" s="1"/>
  <c r="K121" i="10" s="1"/>
  <c r="K122" i="10" s="1"/>
  <c r="K123" i="10" s="1"/>
  <c r="K124" i="10" s="1"/>
  <c r="K125" i="10" s="1"/>
  <c r="K126" i="10" s="1"/>
  <c r="K127" i="10" s="1"/>
  <c r="K128" i="10" s="1"/>
  <c r="K129" i="10" s="1"/>
  <c r="K130" i="10" s="1"/>
  <c r="K131" i="10" s="1"/>
  <c r="K132" i="10" s="1"/>
  <c r="K133" i="10" s="1"/>
  <c r="K134" i="10" s="1"/>
  <c r="K135" i="10" s="1"/>
  <c r="K136" i="10" s="1"/>
  <c r="K137" i="10" s="1"/>
  <c r="K138" i="10" s="1"/>
  <c r="K139" i="10" s="1"/>
  <c r="K140" i="10" s="1"/>
  <c r="K141" i="10" s="1"/>
  <c r="K142" i="10" s="1"/>
  <c r="K143" i="10" s="1"/>
  <c r="K144" i="10" s="1"/>
  <c r="K145" i="10" s="1"/>
  <c r="K146" i="10" s="1"/>
  <c r="K147" i="10" s="1"/>
  <c r="K148" i="10" s="1"/>
  <c r="K149" i="10" s="1"/>
  <c r="K150" i="10" s="1"/>
  <c r="K151" i="10" s="1"/>
  <c r="K152" i="10" s="1"/>
  <c r="K153" i="10" s="1"/>
  <c r="K154" i="10" s="1"/>
  <c r="K155" i="10" s="1"/>
  <c r="K156" i="10" s="1"/>
  <c r="K157" i="10" s="1"/>
  <c r="K158" i="10" s="1"/>
  <c r="K159" i="10" s="1"/>
  <c r="K160" i="10" s="1"/>
  <c r="K161" i="10" s="1"/>
  <c r="K162" i="10" s="1"/>
  <c r="K163" i="10" s="1"/>
  <c r="K164" i="10" s="1"/>
  <c r="K165" i="10" s="1"/>
  <c r="K166" i="10" s="1"/>
  <c r="K167" i="10" s="1"/>
  <c r="K168" i="10" s="1"/>
  <c r="K169" i="10" s="1"/>
  <c r="K170" i="10" s="1"/>
  <c r="K171" i="10" s="1"/>
  <c r="K172" i="10" s="1"/>
  <c r="K173" i="10" s="1"/>
  <c r="K174" i="10" s="1"/>
  <c r="K175" i="10" s="1"/>
  <c r="K176" i="10" s="1"/>
  <c r="K177" i="10" s="1"/>
  <c r="K178" i="10" s="1"/>
  <c r="K179" i="10" s="1"/>
  <c r="K180" i="10" s="1"/>
  <c r="K181" i="10" s="1"/>
  <c r="K182" i="10" s="1"/>
  <c r="K183" i="10" s="1"/>
  <c r="K184" i="10" s="1"/>
  <c r="K185" i="10" s="1"/>
  <c r="K186" i="10" s="1"/>
  <c r="K187" i="10" s="1"/>
  <c r="K188" i="10" s="1"/>
  <c r="K189" i="10" s="1"/>
  <c r="K190" i="10" s="1"/>
  <c r="K191" i="10" s="1"/>
  <c r="K192" i="10" s="1"/>
  <c r="K193" i="10" s="1"/>
  <c r="K194" i="10" s="1"/>
  <c r="K195" i="10" s="1"/>
  <c r="K196" i="10" s="1"/>
  <c r="K197" i="10" s="1"/>
  <c r="K198" i="10" s="1"/>
  <c r="K199" i="10" s="1"/>
  <c r="K200" i="10" s="1"/>
  <c r="K201" i="10" s="1"/>
  <c r="K202" i="10" s="1"/>
  <c r="K203" i="10" s="1"/>
  <c r="J204" i="9"/>
  <c r="B203" i="9"/>
  <c r="J204" i="8"/>
  <c r="B203" i="8"/>
  <c r="J204" i="6"/>
  <c r="B203" i="6"/>
  <c r="J204" i="5"/>
  <c r="B203" i="5"/>
  <c r="B204" i="9" l="1"/>
  <c r="J205" i="9"/>
  <c r="J205" i="8"/>
  <c r="B204" i="8"/>
  <c r="J205" i="6"/>
  <c r="B204" i="6"/>
  <c r="J205" i="5"/>
  <c r="B204" i="5"/>
  <c r="B205" i="9" l="1"/>
  <c r="J206" i="9"/>
  <c r="B205" i="8"/>
  <c r="J206" i="8"/>
  <c r="B205" i="6"/>
  <c r="J206" i="6"/>
  <c r="J206" i="5"/>
  <c r="B205" i="5"/>
  <c r="B206" i="9" l="1"/>
  <c r="J207" i="9"/>
  <c r="B206" i="8"/>
  <c r="J207" i="8"/>
  <c r="B206" i="6"/>
  <c r="J207" i="6"/>
  <c r="J207" i="5"/>
  <c r="B206" i="5"/>
  <c r="J208" i="9" l="1"/>
  <c r="B207" i="9"/>
  <c r="J208" i="8"/>
  <c r="B207" i="8"/>
  <c r="J208" i="6"/>
  <c r="B207" i="6"/>
  <c r="B207" i="5"/>
  <c r="J208" i="5"/>
  <c r="J209" i="9" l="1"/>
  <c r="B208" i="9"/>
  <c r="J209" i="8"/>
  <c r="B208" i="8"/>
  <c r="J209" i="6"/>
  <c r="B208" i="6"/>
  <c r="B208" i="5"/>
  <c r="J209" i="5"/>
  <c r="J210" i="9" l="1"/>
  <c r="B209" i="9"/>
  <c r="J210" i="8"/>
  <c r="B209" i="8"/>
  <c r="B209" i="6"/>
  <c r="J210" i="6"/>
  <c r="B209" i="5"/>
  <c r="J210" i="5"/>
  <c r="J211" i="9" l="1"/>
  <c r="B210" i="9"/>
  <c r="J211" i="8"/>
  <c r="B210" i="8"/>
  <c r="J211" i="6"/>
  <c r="B210" i="6"/>
  <c r="J211" i="5"/>
  <c r="B210" i="5"/>
  <c r="J212" i="9" l="1"/>
  <c r="B211" i="9"/>
  <c r="J212" i="8"/>
  <c r="B211" i="8"/>
  <c r="J212" i="6"/>
  <c r="B211" i="6"/>
  <c r="J212" i="5"/>
  <c r="B211" i="5"/>
  <c r="J213" i="9" l="1"/>
  <c r="B212" i="9"/>
  <c r="J213" i="8"/>
  <c r="B212" i="8"/>
  <c r="J213" i="6"/>
  <c r="B212" i="6"/>
  <c r="J213" i="5"/>
  <c r="B212" i="5"/>
  <c r="J214" i="9" l="1"/>
  <c r="B213" i="9"/>
  <c r="B213" i="8"/>
  <c r="J214" i="8"/>
  <c r="J214" i="6"/>
  <c r="B213" i="6"/>
  <c r="J214" i="5"/>
  <c r="B213" i="5"/>
  <c r="J215" i="9" l="1"/>
  <c r="B214" i="9"/>
  <c r="B214" i="8"/>
  <c r="J215" i="8"/>
  <c r="B214" i="6"/>
  <c r="J215" i="6"/>
  <c r="J215" i="5"/>
  <c r="B214" i="5"/>
  <c r="J216" i="9" l="1"/>
  <c r="B215" i="9"/>
  <c r="B215" i="8"/>
  <c r="J216" i="8"/>
  <c r="J216" i="6"/>
  <c r="B215" i="6"/>
  <c r="B215" i="5"/>
  <c r="J216" i="5"/>
  <c r="N2" i="8" l="1"/>
  <c r="M2" i="8"/>
  <c r="O2" i="8"/>
  <c r="B216" i="9"/>
  <c r="J217" i="9"/>
  <c r="J217" i="8"/>
  <c r="B216" i="8"/>
  <c r="J217" i="6"/>
  <c r="B216" i="6"/>
  <c r="B216" i="5"/>
  <c r="J217" i="5"/>
  <c r="J218" i="9" l="1"/>
  <c r="B217" i="9"/>
  <c r="J218" i="8"/>
  <c r="B217" i="8"/>
  <c r="J218" i="6"/>
  <c r="B217" i="6"/>
  <c r="B217" i="5"/>
  <c r="J218" i="5"/>
  <c r="B218" i="9" l="1"/>
  <c r="J219" i="9"/>
  <c r="J219" i="8"/>
  <c r="B218" i="8"/>
  <c r="J219" i="6"/>
  <c r="B218" i="6"/>
  <c r="J219" i="5"/>
  <c r="B218" i="5"/>
  <c r="J220" i="9" l="1"/>
  <c r="B219" i="9"/>
  <c r="J220" i="8"/>
  <c r="B219" i="8"/>
  <c r="J220" i="6"/>
  <c r="B219" i="6"/>
  <c r="J220" i="5"/>
  <c r="B219" i="5"/>
  <c r="J221" i="9" l="1"/>
  <c r="B220" i="9"/>
  <c r="J221" i="8"/>
  <c r="B220" i="8"/>
  <c r="J221" i="6"/>
  <c r="B220" i="6"/>
  <c r="J221" i="5"/>
  <c r="B220" i="5"/>
  <c r="J222" i="9" l="1"/>
  <c r="B221" i="9"/>
  <c r="J222" i="8"/>
  <c r="B221" i="8"/>
  <c r="B221" i="6"/>
  <c r="J222" i="6"/>
  <c r="J222" i="5"/>
  <c r="B221" i="5"/>
  <c r="J223" i="9" l="1"/>
  <c r="B222" i="9"/>
  <c r="B222" i="8"/>
  <c r="J223" i="8"/>
  <c r="B222" i="6"/>
  <c r="J223" i="6"/>
  <c r="J223" i="5"/>
  <c r="B222" i="5"/>
  <c r="J224" i="9" l="1"/>
  <c r="B223" i="9"/>
  <c r="J224" i="8"/>
  <c r="B223" i="8"/>
  <c r="J224" i="6"/>
  <c r="B223" i="6"/>
  <c r="B223" i="5"/>
  <c r="J224" i="5"/>
  <c r="B224" i="9" l="1"/>
  <c r="J225" i="9"/>
  <c r="J225" i="8"/>
  <c r="B224" i="8"/>
  <c r="J225" i="6"/>
  <c r="B224" i="6"/>
  <c r="B224" i="5"/>
  <c r="J225" i="5"/>
  <c r="J226" i="9" l="1"/>
  <c r="B225" i="9"/>
  <c r="J226" i="8"/>
  <c r="B225" i="8"/>
  <c r="B225" i="6"/>
  <c r="J226" i="6"/>
  <c r="B225" i="5"/>
  <c r="J226" i="5"/>
  <c r="B226" i="9" l="1"/>
  <c r="J227" i="9"/>
  <c r="J227" i="8"/>
  <c r="B226" i="8"/>
  <c r="J227" i="6"/>
  <c r="B226" i="6"/>
  <c r="J227" i="5"/>
  <c r="B226" i="5"/>
  <c r="J228" i="9" l="1"/>
  <c r="B227" i="9"/>
  <c r="B227" i="8"/>
  <c r="J228" i="8"/>
  <c r="J228" i="6"/>
  <c r="B227" i="6"/>
  <c r="J228" i="5"/>
  <c r="B227" i="5"/>
  <c r="J229" i="9" l="1"/>
  <c r="B228" i="9"/>
  <c r="J229" i="8"/>
  <c r="B228" i="8"/>
  <c r="J229" i="6"/>
  <c r="B228" i="6"/>
  <c r="J229" i="5"/>
  <c r="B228" i="5"/>
  <c r="J230" i="9" l="1"/>
  <c r="B229" i="9"/>
  <c r="B229" i="8"/>
  <c r="J230" i="8"/>
  <c r="J230" i="6"/>
  <c r="B229" i="6"/>
  <c r="J230" i="5"/>
  <c r="B229" i="5"/>
  <c r="J231" i="9" l="1"/>
  <c r="B230" i="9"/>
  <c r="J231" i="8"/>
  <c r="B230" i="8"/>
  <c r="B230" i="6"/>
  <c r="J231" i="6"/>
  <c r="J231" i="5"/>
  <c r="B230" i="5"/>
  <c r="J232" i="9" l="1"/>
  <c r="B231" i="9"/>
  <c r="B231" i="8"/>
  <c r="J232" i="8"/>
  <c r="J232" i="6"/>
  <c r="B231" i="6"/>
  <c r="B231" i="5"/>
  <c r="J232" i="5"/>
  <c r="B232" i="9" l="1"/>
  <c r="J233" i="9"/>
  <c r="J233" i="8"/>
  <c r="B232" i="8"/>
  <c r="J233" i="6"/>
  <c r="B232" i="6"/>
  <c r="B232" i="5"/>
  <c r="J233" i="5"/>
  <c r="J234" i="9" l="1"/>
  <c r="B233" i="9"/>
  <c r="J234" i="8"/>
  <c r="B233" i="8"/>
  <c r="J234" i="6"/>
  <c r="B233" i="6"/>
  <c r="B233" i="5"/>
  <c r="J234" i="5"/>
  <c r="B234" i="9" l="1"/>
  <c r="J235" i="9"/>
  <c r="J235" i="8"/>
  <c r="B234" i="8"/>
  <c r="J235" i="6"/>
  <c r="B234" i="6"/>
  <c r="J235" i="5"/>
  <c r="B234" i="5"/>
  <c r="J236" i="9" l="1"/>
  <c r="B235" i="9"/>
  <c r="J236" i="8"/>
  <c r="B235" i="8"/>
  <c r="J236" i="6"/>
  <c r="B235" i="6"/>
  <c r="J236" i="5"/>
  <c r="B235" i="5"/>
  <c r="J237" i="9" l="1"/>
  <c r="B236" i="9"/>
  <c r="J237" i="8"/>
  <c r="B236" i="8"/>
  <c r="J237" i="6"/>
  <c r="B236" i="6"/>
  <c r="J237" i="5"/>
  <c r="B236" i="5"/>
  <c r="J238" i="9" l="1"/>
  <c r="B237" i="9"/>
  <c r="J238" i="8"/>
  <c r="B237" i="8"/>
  <c r="B237" i="6"/>
  <c r="J238" i="6"/>
  <c r="J238" i="5"/>
  <c r="B237" i="5"/>
  <c r="J239" i="9" l="1"/>
  <c r="B238" i="9"/>
  <c r="B238" i="8"/>
  <c r="J239" i="8"/>
  <c r="B238" i="6"/>
  <c r="J239" i="6"/>
  <c r="J239" i="5"/>
  <c r="B238" i="5"/>
  <c r="J240" i="9" l="1"/>
  <c r="B239" i="9"/>
  <c r="B239" i="8"/>
  <c r="J240" i="8"/>
  <c r="J240" i="6"/>
  <c r="B239" i="6"/>
  <c r="B239" i="5"/>
  <c r="J240" i="5"/>
  <c r="B240" i="9" l="1"/>
  <c r="J241" i="9"/>
  <c r="J241" i="8"/>
  <c r="B240" i="8"/>
  <c r="J241" i="6"/>
  <c r="B240" i="6"/>
  <c r="B240" i="5"/>
  <c r="J241" i="5"/>
  <c r="J242" i="9" l="1"/>
  <c r="B241" i="9"/>
  <c r="J242" i="8"/>
  <c r="B241" i="8"/>
  <c r="B241" i="6"/>
  <c r="J242" i="6"/>
  <c r="B241" i="5"/>
  <c r="J242" i="5"/>
  <c r="B242" i="9" l="1"/>
  <c r="J243" i="9"/>
  <c r="J243" i="8"/>
  <c r="B242" i="8"/>
  <c r="J243" i="6"/>
  <c r="B242" i="6"/>
  <c r="J243" i="5"/>
  <c r="B242" i="5"/>
  <c r="J244" i="9" l="1"/>
  <c r="B243" i="9"/>
  <c r="B243" i="8"/>
  <c r="J244" i="8"/>
  <c r="J244" i="6"/>
  <c r="B243" i="6"/>
  <c r="J244" i="5"/>
  <c r="B243" i="5"/>
  <c r="J245" i="9" l="1"/>
  <c r="B244" i="9"/>
  <c r="J245" i="8"/>
  <c r="B244" i="8"/>
  <c r="J245" i="6"/>
  <c r="B244" i="6"/>
  <c r="J245" i="5"/>
  <c r="B244" i="5"/>
  <c r="J246" i="9" l="1"/>
  <c r="B245" i="9"/>
  <c r="B245" i="8"/>
  <c r="J246" i="8"/>
  <c r="J246" i="6"/>
  <c r="B245" i="6"/>
  <c r="J246" i="5"/>
  <c r="B245" i="5"/>
  <c r="B246" i="9" l="1"/>
  <c r="J247" i="9"/>
  <c r="B246" i="8"/>
  <c r="J247" i="8"/>
  <c r="B246" i="6"/>
  <c r="J247" i="6"/>
  <c r="J247" i="5"/>
  <c r="B246" i="5"/>
  <c r="J248" i="9" l="1"/>
  <c r="B247" i="9"/>
  <c r="B247" i="8"/>
  <c r="J248" i="8"/>
  <c r="J248" i="6"/>
  <c r="B247" i="6"/>
  <c r="B247" i="5"/>
  <c r="J248" i="5"/>
  <c r="J249" i="9" l="1"/>
  <c r="B248" i="9"/>
  <c r="J249" i="8"/>
  <c r="B248" i="8"/>
  <c r="J249" i="6"/>
  <c r="B248" i="6"/>
  <c r="B248" i="5"/>
  <c r="J249" i="5"/>
  <c r="J250" i="9" l="1"/>
  <c r="B249" i="9"/>
  <c r="J250" i="8"/>
  <c r="B249" i="8"/>
  <c r="J250" i="6"/>
  <c r="B249" i="6"/>
  <c r="B249" i="5"/>
  <c r="J250" i="5"/>
  <c r="J251" i="9" l="1"/>
  <c r="B250" i="9"/>
  <c r="J251" i="8"/>
  <c r="B250" i="8"/>
  <c r="J251" i="6"/>
  <c r="B250" i="6"/>
  <c r="J251" i="5"/>
  <c r="B250" i="5"/>
  <c r="J252" i="9" l="1"/>
  <c r="B251" i="9"/>
  <c r="J252" i="8"/>
  <c r="B251" i="8"/>
  <c r="J252" i="6"/>
  <c r="B251" i="6"/>
  <c r="J252" i="5"/>
  <c r="B251" i="5"/>
  <c r="J253" i="9" l="1"/>
  <c r="B252" i="9"/>
  <c r="J253" i="8"/>
  <c r="B252" i="8"/>
  <c r="J253" i="6"/>
  <c r="B252" i="6"/>
  <c r="J253" i="5"/>
  <c r="B252" i="5"/>
  <c r="J254" i="9" l="1"/>
  <c r="B253" i="9"/>
  <c r="B253" i="8"/>
  <c r="J254" i="8"/>
  <c r="B253" i="6"/>
  <c r="J254" i="6"/>
  <c r="J254" i="5"/>
  <c r="B253" i="5"/>
  <c r="B254" i="9" l="1"/>
  <c r="J255" i="9"/>
  <c r="B254" i="8"/>
  <c r="J255" i="8"/>
  <c r="B254" i="6"/>
  <c r="J255" i="6"/>
  <c r="J255" i="5"/>
  <c r="B254" i="5"/>
  <c r="J256" i="9" l="1"/>
  <c r="B255" i="9"/>
  <c r="B255" i="8"/>
  <c r="J256" i="8"/>
  <c r="J256" i="6"/>
  <c r="B255" i="6"/>
  <c r="B255" i="5"/>
  <c r="J256" i="5"/>
  <c r="J257" i="9" l="1"/>
  <c r="B256" i="9"/>
  <c r="J257" i="8"/>
  <c r="B256" i="8"/>
  <c r="J257" i="6"/>
  <c r="B256" i="6"/>
  <c r="B256" i="5"/>
  <c r="J257" i="5"/>
  <c r="J258" i="9" l="1"/>
  <c r="B257" i="9"/>
  <c r="J258" i="8"/>
  <c r="B257" i="8"/>
  <c r="B257" i="6"/>
  <c r="J258" i="6"/>
  <c r="B257" i="5"/>
  <c r="J258" i="5"/>
  <c r="J259" i="9" l="1"/>
  <c r="B258" i="9"/>
  <c r="J259" i="8"/>
  <c r="B258" i="8"/>
  <c r="J259" i="6"/>
  <c r="B258" i="6"/>
  <c r="J259" i="5"/>
  <c r="B258" i="5"/>
  <c r="J260" i="9" l="1"/>
  <c r="B259" i="9"/>
  <c r="J260" i="8"/>
  <c r="B259" i="8"/>
  <c r="J260" i="6"/>
  <c r="B259" i="6"/>
  <c r="J260" i="5"/>
  <c r="B259" i="5"/>
  <c r="J261" i="9" l="1"/>
  <c r="B260" i="9"/>
  <c r="J261" i="8"/>
  <c r="B260" i="8"/>
  <c r="J261" i="6"/>
  <c r="B260" i="6"/>
  <c r="J261" i="5"/>
  <c r="B260" i="5"/>
  <c r="J262" i="9" l="1"/>
  <c r="B261" i="9"/>
  <c r="B261" i="8"/>
  <c r="J262" i="8"/>
  <c r="J262" i="6"/>
  <c r="B261" i="6"/>
  <c r="J262" i="5"/>
  <c r="B261" i="5"/>
  <c r="B262" i="9" l="1"/>
  <c r="J263" i="9"/>
  <c r="B262" i="8"/>
  <c r="J263" i="8"/>
  <c r="B262" i="6"/>
  <c r="J263" i="6"/>
  <c r="J263" i="5"/>
  <c r="B262" i="5"/>
  <c r="J264" i="9" l="1"/>
  <c r="B263" i="9"/>
  <c r="B263" i="8"/>
  <c r="J264" i="8"/>
  <c r="J264" i="6"/>
  <c r="B263" i="6"/>
  <c r="B263" i="5"/>
  <c r="J264" i="5"/>
  <c r="J265" i="9" l="1"/>
  <c r="B264" i="9"/>
  <c r="J265" i="8"/>
  <c r="B264" i="8"/>
  <c r="J265" i="6"/>
  <c r="B264" i="6"/>
  <c r="B264" i="5"/>
  <c r="J265" i="5"/>
  <c r="J266" i="9" l="1"/>
  <c r="B265" i="9"/>
  <c r="J266" i="8"/>
  <c r="B265" i="8"/>
  <c r="B265" i="6"/>
  <c r="J266" i="6"/>
  <c r="B265" i="5"/>
  <c r="J266" i="5"/>
  <c r="J267" i="9" l="1"/>
  <c r="B266" i="9"/>
  <c r="J267" i="8"/>
  <c r="B266" i="8"/>
  <c r="J267" i="6"/>
  <c r="B266" i="6"/>
  <c r="J267" i="5"/>
  <c r="B266" i="5"/>
  <c r="J268" i="9" l="1"/>
  <c r="B267" i="9"/>
  <c r="J268" i="8"/>
  <c r="B267" i="8"/>
  <c r="J268" i="6"/>
  <c r="B267" i="6"/>
  <c r="J268" i="5"/>
  <c r="B267" i="5"/>
  <c r="J269" i="9" l="1"/>
  <c r="B268" i="9"/>
  <c r="J269" i="8"/>
  <c r="B268" i="8"/>
  <c r="J269" i="6"/>
  <c r="B268" i="6"/>
  <c r="J269" i="5"/>
  <c r="B268" i="5"/>
  <c r="J270" i="9" l="1"/>
  <c r="B269" i="9"/>
  <c r="B269" i="8"/>
  <c r="J270" i="8"/>
  <c r="B269" i="6"/>
  <c r="J270" i="6"/>
  <c r="J270" i="5"/>
  <c r="B269" i="5"/>
  <c r="B270" i="9" l="1"/>
  <c r="J271" i="9"/>
  <c r="B270" i="8"/>
  <c r="J271" i="8"/>
  <c r="B270" i="6"/>
  <c r="J271" i="6"/>
  <c r="J271" i="5"/>
  <c r="B270" i="5"/>
  <c r="J272" i="9" l="1"/>
  <c r="B271" i="9"/>
  <c r="B271" i="8"/>
  <c r="J272" i="8"/>
  <c r="J272" i="6"/>
  <c r="B271" i="6"/>
  <c r="B271" i="5"/>
  <c r="J272" i="5"/>
  <c r="J273" i="9" l="1"/>
  <c r="B272" i="9"/>
  <c r="J273" i="8"/>
  <c r="B272" i="8"/>
  <c r="J273" i="6"/>
  <c r="B272" i="6"/>
  <c r="B272" i="5"/>
  <c r="J273" i="5"/>
  <c r="J274" i="9" l="1"/>
  <c r="B273" i="9"/>
  <c r="J274" i="8"/>
  <c r="B273" i="8"/>
  <c r="J274" i="6"/>
  <c r="B273" i="6"/>
  <c r="B273" i="5"/>
  <c r="J274" i="5"/>
  <c r="J275" i="9" l="1"/>
  <c r="B274" i="9"/>
  <c r="J275" i="8"/>
  <c r="B274" i="8"/>
  <c r="J275" i="6"/>
  <c r="B274" i="6"/>
  <c r="J275" i="5"/>
  <c r="B274" i="5"/>
  <c r="J276" i="9" l="1"/>
  <c r="B275" i="9"/>
  <c r="J276" i="8"/>
  <c r="B275" i="8"/>
  <c r="J276" i="6"/>
  <c r="B275" i="6"/>
  <c r="J276" i="5"/>
  <c r="B275" i="5"/>
  <c r="J277" i="9" l="1"/>
  <c r="B276" i="9"/>
  <c r="J277" i="8"/>
  <c r="B276" i="8"/>
  <c r="J277" i="6"/>
  <c r="B276" i="6"/>
  <c r="J277" i="5"/>
  <c r="B276" i="5"/>
  <c r="J278" i="9" l="1"/>
  <c r="B277" i="9"/>
  <c r="B277" i="8"/>
  <c r="J278" i="8"/>
  <c r="B277" i="6"/>
  <c r="J278" i="6"/>
  <c r="J278" i="5"/>
  <c r="B277" i="5"/>
  <c r="B278" i="9" l="1"/>
  <c r="J279" i="9"/>
  <c r="B278" i="8"/>
  <c r="J279" i="8"/>
  <c r="B278" i="6"/>
  <c r="J279" i="6"/>
  <c r="J279" i="5"/>
  <c r="B278" i="5"/>
  <c r="J280" i="9" l="1"/>
  <c r="B279" i="9"/>
  <c r="B279" i="8"/>
  <c r="J280" i="8"/>
  <c r="J280" i="6"/>
  <c r="B279" i="6"/>
  <c r="B279" i="5"/>
  <c r="J280" i="5"/>
  <c r="J281" i="9" l="1"/>
  <c r="B280" i="9"/>
  <c r="J281" i="8"/>
  <c r="B280" i="8"/>
  <c r="J281" i="6"/>
  <c r="B280" i="6"/>
  <c r="B280" i="5"/>
  <c r="J281" i="5"/>
  <c r="J282" i="9" l="1"/>
  <c r="B281" i="9"/>
  <c r="J282" i="8"/>
  <c r="B281" i="8"/>
  <c r="J282" i="6"/>
  <c r="B281" i="6"/>
  <c r="B281" i="5"/>
  <c r="J282" i="5"/>
  <c r="J283" i="9" l="1"/>
  <c r="B282" i="9"/>
  <c r="J283" i="8"/>
  <c r="B282" i="8"/>
  <c r="J283" i="6"/>
  <c r="B282" i="6"/>
  <c r="J283" i="5"/>
  <c r="B282" i="5"/>
  <c r="J284" i="9" l="1"/>
  <c r="B283" i="9"/>
  <c r="J284" i="8"/>
  <c r="B283" i="8"/>
  <c r="J284" i="6"/>
  <c r="B283" i="6"/>
  <c r="J284" i="5"/>
  <c r="B283" i="5"/>
  <c r="J285" i="9" l="1"/>
  <c r="B284" i="9"/>
  <c r="J285" i="8"/>
  <c r="B284" i="8"/>
  <c r="J285" i="6"/>
  <c r="B284" i="6"/>
  <c r="J285" i="5"/>
  <c r="B284" i="5"/>
  <c r="J286" i="9" l="1"/>
  <c r="B285" i="9"/>
  <c r="B285" i="8"/>
  <c r="J286" i="8"/>
  <c r="B285" i="6"/>
  <c r="J286" i="6"/>
  <c r="J286" i="5"/>
  <c r="B285" i="5"/>
  <c r="B286" i="9" l="1"/>
  <c r="J287" i="9"/>
  <c r="B286" i="8"/>
  <c r="J287" i="8"/>
  <c r="B286" i="6"/>
  <c r="J287" i="6"/>
  <c r="J287" i="5"/>
  <c r="B286" i="5"/>
  <c r="J288" i="9" l="1"/>
  <c r="B287" i="9"/>
  <c r="B287" i="8"/>
  <c r="J288" i="8"/>
  <c r="J288" i="6"/>
  <c r="B287" i="6"/>
  <c r="B287" i="5"/>
  <c r="J288" i="5"/>
  <c r="J289" i="9" l="1"/>
  <c r="B288" i="9"/>
  <c r="J289" i="8"/>
  <c r="B288" i="8"/>
  <c r="J289" i="6"/>
  <c r="B288" i="6"/>
  <c r="B288" i="5"/>
  <c r="J289" i="5"/>
  <c r="J290" i="9" l="1"/>
  <c r="B289" i="9"/>
  <c r="J290" i="8"/>
  <c r="B289" i="8"/>
  <c r="J290" i="6"/>
  <c r="B289" i="6"/>
  <c r="B289" i="5"/>
  <c r="J290" i="5"/>
  <c r="J291" i="9" l="1"/>
  <c r="B290" i="9"/>
  <c r="J291" i="8"/>
  <c r="B290" i="8"/>
  <c r="J291" i="6"/>
  <c r="B290" i="6"/>
  <c r="J291" i="5"/>
  <c r="B290" i="5"/>
  <c r="J292" i="9" l="1"/>
  <c r="B291" i="9"/>
  <c r="J292" i="8"/>
  <c r="B291" i="8"/>
  <c r="J292" i="6"/>
  <c r="B291" i="6"/>
  <c r="B291" i="5"/>
  <c r="J292" i="5"/>
  <c r="J293" i="9" l="1"/>
  <c r="B292" i="9"/>
  <c r="J293" i="8"/>
  <c r="B292" i="8"/>
  <c r="J293" i="6"/>
  <c r="B292" i="6"/>
  <c r="J293" i="5"/>
  <c r="B292" i="5"/>
  <c r="J294" i="9" l="1"/>
  <c r="B293" i="9"/>
  <c r="B293" i="8"/>
  <c r="J294" i="8"/>
  <c r="B293" i="6"/>
  <c r="J294" i="6"/>
  <c r="B293" i="5"/>
  <c r="J294" i="5"/>
  <c r="B294" i="9" l="1"/>
  <c r="J295" i="9"/>
  <c r="B294" i="8"/>
  <c r="J295" i="8"/>
  <c r="B294" i="6"/>
  <c r="J295" i="6"/>
  <c r="J295" i="5"/>
  <c r="B294" i="5"/>
  <c r="J296" i="9" l="1"/>
  <c r="B295" i="9"/>
  <c r="B295" i="8"/>
  <c r="J296" i="8"/>
  <c r="J296" i="6"/>
  <c r="B295" i="6"/>
  <c r="B295" i="5"/>
  <c r="J296" i="5"/>
  <c r="J297" i="9" l="1"/>
  <c r="B296" i="9"/>
  <c r="J297" i="8"/>
  <c r="B296" i="8"/>
  <c r="J297" i="6"/>
  <c r="B296" i="6"/>
  <c r="B296" i="5"/>
  <c r="J297" i="5"/>
  <c r="J298" i="9" l="1"/>
  <c r="B297" i="9"/>
  <c r="J298" i="8"/>
  <c r="B297" i="8"/>
  <c r="J298" i="6"/>
  <c r="B297" i="6"/>
  <c r="B297" i="5"/>
  <c r="J298" i="5"/>
  <c r="J299" i="9" l="1"/>
  <c r="B298" i="9"/>
  <c r="J299" i="8"/>
  <c r="B298" i="8"/>
  <c r="J299" i="6"/>
  <c r="B298" i="6"/>
  <c r="J299" i="5"/>
  <c r="B298" i="5"/>
  <c r="J300" i="9" l="1"/>
  <c r="B299" i="9"/>
  <c r="J300" i="8"/>
  <c r="B299" i="8"/>
  <c r="J300" i="6"/>
  <c r="B299" i="6"/>
  <c r="J300" i="5"/>
  <c r="B299" i="5"/>
  <c r="J301" i="9" l="1"/>
  <c r="B300" i="9"/>
  <c r="J301" i="8"/>
  <c r="B300" i="8"/>
  <c r="J301" i="6"/>
  <c r="B300" i="6"/>
  <c r="B300" i="5"/>
  <c r="J301" i="5"/>
  <c r="J302" i="9" l="1"/>
  <c r="B301" i="9"/>
  <c r="B301" i="8"/>
  <c r="J302" i="8"/>
  <c r="B301" i="6"/>
  <c r="J302" i="6"/>
  <c r="J302" i="5"/>
  <c r="B301" i="5"/>
  <c r="B302" i="9" l="1"/>
  <c r="J303" i="9"/>
  <c r="B302" i="8"/>
  <c r="J303" i="8"/>
  <c r="B302" i="6"/>
  <c r="J303" i="6"/>
  <c r="J303" i="5"/>
  <c r="B302" i="5"/>
  <c r="J304" i="9" l="1"/>
  <c r="B303" i="9"/>
  <c r="B303" i="8"/>
  <c r="J304" i="8"/>
  <c r="J304" i="6"/>
  <c r="B303" i="6"/>
  <c r="J304" i="5"/>
  <c r="B303" i="5"/>
  <c r="O2" i="5" l="1"/>
  <c r="M2" i="5"/>
  <c r="J305" i="9"/>
  <c r="B304" i="9"/>
  <c r="J305" i="8"/>
  <c r="B304" i="8"/>
  <c r="J305" i="6"/>
  <c r="B304" i="6"/>
  <c r="B304" i="5"/>
  <c r="J305" i="5"/>
  <c r="N2" i="5" l="1"/>
  <c r="J306" i="9"/>
  <c r="B305" i="9"/>
  <c r="J306" i="8"/>
  <c r="B305" i="8"/>
  <c r="J306" i="6"/>
  <c r="B305" i="6"/>
  <c r="J306" i="5"/>
  <c r="B305" i="5"/>
  <c r="J307" i="9" l="1"/>
  <c r="B306" i="9"/>
  <c r="J307" i="8"/>
  <c r="B306" i="8"/>
  <c r="J307" i="6"/>
  <c r="B306" i="6"/>
  <c r="J307" i="5"/>
  <c r="B306" i="5"/>
  <c r="J308" i="9" l="1"/>
  <c r="B307" i="9"/>
  <c r="J308" i="8"/>
  <c r="B307" i="8"/>
  <c r="J308" i="6"/>
  <c r="B307" i="6"/>
  <c r="J308" i="5"/>
  <c r="B307" i="5"/>
  <c r="J309" i="9" l="1"/>
  <c r="B308" i="9"/>
  <c r="J309" i="8"/>
  <c r="B308" i="8"/>
  <c r="J309" i="6"/>
  <c r="B308" i="6"/>
  <c r="J309" i="5"/>
  <c r="B308" i="5"/>
  <c r="J310" i="9" l="1"/>
  <c r="B309" i="9"/>
  <c r="B309" i="8"/>
  <c r="J310" i="8"/>
  <c r="B309" i="6"/>
  <c r="J310" i="6"/>
  <c r="B309" i="5"/>
  <c r="J310" i="5"/>
  <c r="B310" i="9" l="1"/>
  <c r="J311" i="9"/>
  <c r="B310" i="8"/>
  <c r="J311" i="8"/>
  <c r="B310" i="6"/>
  <c r="J311" i="6"/>
  <c r="J311" i="5"/>
  <c r="B310" i="5"/>
  <c r="J312" i="9" l="1"/>
  <c r="B311" i="9"/>
  <c r="B311" i="8"/>
  <c r="J312" i="8"/>
  <c r="J312" i="6"/>
  <c r="B311" i="6"/>
  <c r="J312" i="5"/>
  <c r="B311" i="5"/>
  <c r="J313" i="9" l="1"/>
  <c r="B312" i="9"/>
  <c r="J313" i="8"/>
  <c r="B312" i="8"/>
  <c r="J313" i="6"/>
  <c r="B312" i="6"/>
  <c r="B312" i="5"/>
  <c r="J313" i="5"/>
  <c r="J314" i="9" l="1"/>
  <c r="B313" i="9"/>
  <c r="J314" i="8"/>
  <c r="B313" i="8"/>
  <c r="J314" i="6"/>
  <c r="B313" i="6"/>
  <c r="B313" i="5"/>
  <c r="J314" i="5"/>
  <c r="J315" i="9" l="1"/>
  <c r="B314" i="9"/>
  <c r="J315" i="8"/>
  <c r="B314" i="8"/>
  <c r="J315" i="6"/>
  <c r="B314" i="6"/>
  <c r="J315" i="5"/>
  <c r="B314" i="5"/>
  <c r="J316" i="9" l="1"/>
  <c r="B315" i="9"/>
  <c r="J316" i="8"/>
  <c r="B315" i="8"/>
  <c r="J316" i="6"/>
  <c r="B315" i="6"/>
  <c r="J316" i="5"/>
  <c r="B315" i="5"/>
  <c r="J317" i="9" l="1"/>
  <c r="B316" i="9"/>
  <c r="B316" i="8"/>
  <c r="J317" i="8"/>
  <c r="J317" i="6"/>
  <c r="B316" i="6"/>
  <c r="J317" i="5"/>
  <c r="B316" i="5"/>
  <c r="J318" i="9" l="1"/>
  <c r="B317" i="9"/>
  <c r="J318" i="8"/>
  <c r="B317" i="8"/>
  <c r="B317" i="6"/>
  <c r="J318" i="6"/>
  <c r="J318" i="5"/>
  <c r="B317" i="5"/>
  <c r="B318" i="9" l="1"/>
  <c r="J319" i="9"/>
  <c r="B318" i="8"/>
  <c r="J319" i="8"/>
  <c r="B318" i="6"/>
  <c r="J319" i="6"/>
  <c r="J319" i="5"/>
  <c r="B318" i="5"/>
  <c r="B319" i="9" l="1"/>
  <c r="J320" i="9"/>
  <c r="J320" i="8"/>
  <c r="B319" i="8"/>
  <c r="J320" i="6"/>
  <c r="B319" i="6"/>
  <c r="J320" i="5"/>
  <c r="B319" i="5"/>
  <c r="B320" i="9" l="1"/>
  <c r="J321" i="9"/>
  <c r="J321" i="8"/>
  <c r="B320" i="8"/>
  <c r="J321" i="6"/>
  <c r="B320" i="6"/>
  <c r="J321" i="5"/>
  <c r="B320" i="5"/>
  <c r="J322" i="9" l="1"/>
  <c r="B321" i="9"/>
  <c r="J322" i="8"/>
  <c r="B321" i="8"/>
  <c r="J322" i="6"/>
  <c r="B321" i="6"/>
  <c r="J322" i="5"/>
  <c r="B321" i="5"/>
  <c r="J323" i="9" l="1"/>
  <c r="B322" i="9"/>
  <c r="J323" i="8"/>
  <c r="B322" i="8"/>
  <c r="J323" i="6"/>
  <c r="B322" i="6"/>
  <c r="J323" i="5"/>
  <c r="B322" i="5"/>
  <c r="J324" i="9" l="1"/>
  <c r="B323" i="9"/>
  <c r="J324" i="8"/>
  <c r="B323" i="8"/>
  <c r="J324" i="6"/>
  <c r="B323" i="6"/>
  <c r="J324" i="5"/>
  <c r="B323" i="5"/>
  <c r="J325" i="9" l="1"/>
  <c r="B324" i="9"/>
  <c r="B324" i="8"/>
  <c r="J325" i="8"/>
  <c r="J325" i="6"/>
  <c r="B324" i="6"/>
  <c r="B324" i="5"/>
  <c r="J325" i="5"/>
  <c r="J326" i="9" l="1"/>
  <c r="B325" i="9"/>
  <c r="B325" i="8"/>
  <c r="J326" i="8"/>
  <c r="B325" i="6"/>
  <c r="J326" i="6"/>
  <c r="B325" i="5"/>
  <c r="J326" i="5"/>
  <c r="B326" i="9" l="1"/>
  <c r="J327" i="9"/>
  <c r="J327" i="8"/>
  <c r="B326" i="8"/>
  <c r="B326" i="6"/>
  <c r="J327" i="6"/>
  <c r="J327" i="5"/>
  <c r="B326" i="5"/>
  <c r="B327" i="9" l="1"/>
  <c r="J328" i="9"/>
  <c r="J328" i="8"/>
  <c r="B327" i="8"/>
  <c r="J328" i="6"/>
  <c r="B327" i="6"/>
  <c r="J328" i="5"/>
  <c r="B327" i="5"/>
  <c r="B328" i="9" l="1"/>
  <c r="J329" i="9"/>
  <c r="J329" i="8"/>
  <c r="B328" i="8"/>
  <c r="J329" i="6"/>
  <c r="B328" i="6"/>
  <c r="J329" i="5"/>
  <c r="B328" i="5"/>
  <c r="J330" i="9" l="1"/>
  <c r="B329" i="9"/>
  <c r="J330" i="8"/>
  <c r="B329" i="8"/>
  <c r="J330" i="6"/>
  <c r="B329" i="6"/>
  <c r="J330" i="5"/>
  <c r="B329" i="5"/>
  <c r="J331" i="9" l="1"/>
  <c r="B330" i="9"/>
  <c r="J331" i="8"/>
  <c r="B330" i="8"/>
  <c r="J331" i="6"/>
  <c r="B330" i="6"/>
  <c r="J331" i="5"/>
  <c r="B330" i="5"/>
  <c r="J332" i="9" l="1"/>
  <c r="B331" i="9"/>
  <c r="J332" i="8"/>
  <c r="B331" i="8"/>
  <c r="J332" i="6"/>
  <c r="B331" i="6"/>
  <c r="J332" i="5"/>
  <c r="B331" i="5"/>
  <c r="J333" i="9" l="1"/>
  <c r="B332" i="9"/>
  <c r="B332" i="8"/>
  <c r="J333" i="8"/>
  <c r="J333" i="6"/>
  <c r="B332" i="6"/>
  <c r="B332" i="5"/>
  <c r="J333" i="5"/>
  <c r="J334" i="9" l="1"/>
  <c r="B333" i="9"/>
  <c r="J334" i="8"/>
  <c r="B333" i="8"/>
  <c r="B333" i="6"/>
  <c r="J334" i="6"/>
  <c r="B333" i="5"/>
  <c r="J334" i="5"/>
  <c r="J335" i="9" l="1"/>
  <c r="B334" i="9"/>
  <c r="B334" i="8"/>
  <c r="J335" i="8"/>
  <c r="B334" i="6"/>
  <c r="J335" i="6"/>
  <c r="J335" i="5"/>
  <c r="B334" i="5"/>
  <c r="J336" i="9" l="1"/>
  <c r="B335" i="9"/>
  <c r="J336" i="8"/>
  <c r="B335" i="8"/>
  <c r="J336" i="6"/>
  <c r="B335" i="6"/>
  <c r="J336" i="5"/>
  <c r="B335" i="5"/>
  <c r="B336" i="9" l="1"/>
  <c r="J337" i="9"/>
  <c r="J337" i="8"/>
  <c r="B336" i="8"/>
  <c r="J337" i="6"/>
  <c r="B336" i="6"/>
  <c r="J337" i="5"/>
  <c r="B336" i="5"/>
  <c r="J338" i="9" l="1"/>
  <c r="B337" i="9"/>
  <c r="J338" i="8"/>
  <c r="B337" i="8"/>
  <c r="J338" i="6"/>
  <c r="B337" i="6"/>
  <c r="J338" i="5"/>
  <c r="B337" i="5"/>
  <c r="B338" i="9" l="1"/>
  <c r="J339" i="9"/>
  <c r="J339" i="8"/>
  <c r="B338" i="8"/>
  <c r="J339" i="6"/>
  <c r="B338" i="6"/>
  <c r="J339" i="5"/>
  <c r="B338" i="5"/>
  <c r="J340" i="9" l="1"/>
  <c r="B339" i="9"/>
  <c r="J340" i="8"/>
  <c r="B339" i="8"/>
  <c r="J340" i="6"/>
  <c r="B339" i="6"/>
  <c r="J340" i="5"/>
  <c r="B339" i="5"/>
  <c r="J341" i="9" l="1"/>
  <c r="B340" i="9"/>
  <c r="J341" i="8"/>
  <c r="B340" i="8"/>
  <c r="J341" i="6"/>
  <c r="B340" i="6"/>
  <c r="B340" i="5"/>
  <c r="J341" i="5"/>
  <c r="J342" i="9" l="1"/>
  <c r="B341" i="9"/>
  <c r="B341" i="8"/>
  <c r="J342" i="8"/>
  <c r="B341" i="6"/>
  <c r="J342" i="6"/>
  <c r="B341" i="5"/>
  <c r="J342" i="5"/>
  <c r="J343" i="9" l="1"/>
  <c r="B342" i="9"/>
  <c r="J343" i="8"/>
  <c r="B342" i="8"/>
  <c r="B342" i="6"/>
  <c r="J343" i="6"/>
  <c r="J343" i="5"/>
  <c r="B342" i="5"/>
  <c r="J344" i="9" l="1"/>
  <c r="B343" i="9"/>
  <c r="J344" i="8"/>
  <c r="B343" i="8"/>
  <c r="J344" i="6"/>
  <c r="B343" i="6"/>
  <c r="J344" i="5"/>
  <c r="B343" i="5"/>
  <c r="B344" i="9" l="1"/>
  <c r="J345" i="9"/>
  <c r="J345" i="8"/>
  <c r="B344" i="8"/>
  <c r="J345" i="6"/>
  <c r="B344" i="6"/>
  <c r="J345" i="5"/>
  <c r="B344" i="5"/>
  <c r="J346" i="9" l="1"/>
  <c r="B345" i="9"/>
  <c r="J346" i="8"/>
  <c r="B345" i="8"/>
  <c r="J346" i="6"/>
  <c r="B345" i="6"/>
  <c r="J346" i="5"/>
  <c r="B345" i="5"/>
  <c r="J347" i="9" l="1"/>
  <c r="B346" i="9"/>
  <c r="B346" i="8"/>
  <c r="J347" i="8"/>
  <c r="J347" i="6"/>
  <c r="B346" i="6"/>
  <c r="J347" i="5"/>
  <c r="B346" i="5"/>
  <c r="J348" i="9" l="1"/>
  <c r="B347" i="9"/>
  <c r="J348" i="8"/>
  <c r="B347" i="8"/>
  <c r="J348" i="6"/>
  <c r="B347" i="6"/>
  <c r="J348" i="5"/>
  <c r="B347" i="5"/>
  <c r="B348" i="9" l="1"/>
  <c r="J349" i="9"/>
  <c r="B348" i="8"/>
  <c r="J349" i="8"/>
  <c r="J349" i="6"/>
  <c r="B348" i="6"/>
  <c r="B348" i="5"/>
  <c r="J349" i="5"/>
  <c r="J350" i="9" l="1"/>
  <c r="B349" i="9"/>
  <c r="J350" i="8"/>
  <c r="B349" i="8"/>
  <c r="B349" i="6"/>
  <c r="J350" i="6"/>
  <c r="B349" i="5"/>
  <c r="J350" i="5"/>
  <c r="J351" i="9" l="1"/>
  <c r="B350" i="9"/>
  <c r="B350" i="8"/>
  <c r="J351" i="8"/>
  <c r="B350" i="6"/>
  <c r="J351" i="6"/>
  <c r="J351" i="5"/>
  <c r="B350" i="5"/>
  <c r="J352" i="9" l="1"/>
  <c r="B351" i="9"/>
  <c r="J352" i="8"/>
  <c r="B351" i="8"/>
  <c r="J352" i="6"/>
  <c r="B351" i="6"/>
  <c r="J352" i="5"/>
  <c r="B351" i="5"/>
  <c r="J353" i="9" l="1"/>
  <c r="B352" i="9"/>
  <c r="J353" i="8"/>
  <c r="B352" i="8"/>
  <c r="J353" i="6"/>
  <c r="B352" i="6"/>
  <c r="J353" i="5"/>
  <c r="B352" i="5"/>
  <c r="J354" i="9" l="1"/>
  <c r="B353" i="9"/>
  <c r="B353" i="8"/>
  <c r="J354" i="8"/>
  <c r="J354" i="6"/>
  <c r="B353" i="6"/>
  <c r="J354" i="5"/>
  <c r="B353" i="5"/>
  <c r="J355" i="9" l="1"/>
  <c r="B354" i="9"/>
  <c r="J355" i="8"/>
  <c r="B354" i="8"/>
  <c r="J355" i="6"/>
  <c r="B354" i="6"/>
  <c r="J355" i="5"/>
  <c r="B354" i="5"/>
  <c r="J356" i="9" l="1"/>
  <c r="B355" i="9"/>
  <c r="J356" i="8"/>
  <c r="B355" i="8"/>
  <c r="J356" i="6"/>
  <c r="B355" i="6"/>
  <c r="J356" i="5"/>
  <c r="B355" i="5"/>
  <c r="B356" i="9" l="1"/>
  <c r="J357" i="9"/>
  <c r="J357" i="8"/>
  <c r="B356" i="8"/>
  <c r="J357" i="6"/>
  <c r="B356" i="6"/>
  <c r="B356" i="5"/>
  <c r="J357" i="5"/>
  <c r="J358" i="9" l="1"/>
  <c r="B357" i="9"/>
  <c r="B357" i="8"/>
  <c r="J358" i="8"/>
  <c r="B357" i="6"/>
  <c r="J358" i="6"/>
  <c r="B357" i="5"/>
  <c r="J358" i="5"/>
  <c r="J359" i="9" l="1"/>
  <c r="B358" i="9"/>
  <c r="B358" i="8"/>
  <c r="J359" i="8"/>
  <c r="B358" i="6"/>
  <c r="J359" i="6"/>
  <c r="J359" i="5"/>
  <c r="B358" i="5"/>
  <c r="J360" i="9" l="1"/>
  <c r="B359" i="9"/>
  <c r="J360" i="8"/>
  <c r="B359" i="8"/>
  <c r="J360" i="6"/>
  <c r="B359" i="6"/>
  <c r="J360" i="5"/>
  <c r="B359" i="5"/>
  <c r="J361" i="9" l="1"/>
  <c r="B360" i="9"/>
  <c r="B360" i="8"/>
  <c r="J361" i="8"/>
  <c r="J361" i="6"/>
  <c r="B360" i="6"/>
  <c r="J361" i="5"/>
  <c r="B360" i="5"/>
  <c r="J362" i="9" l="1"/>
  <c r="B361" i="9"/>
  <c r="J362" i="8"/>
  <c r="B361" i="8"/>
  <c r="J362" i="6"/>
  <c r="B361" i="6"/>
  <c r="J362" i="5"/>
  <c r="B361" i="5"/>
  <c r="J363" i="9" l="1"/>
  <c r="B362" i="9"/>
  <c r="B362" i="8"/>
  <c r="J363" i="8"/>
  <c r="J363" i="6"/>
  <c r="B362" i="6"/>
  <c r="J363" i="5"/>
  <c r="B362" i="5"/>
  <c r="J364" i="9" l="1"/>
  <c r="B363" i="9"/>
  <c r="J364" i="8"/>
  <c r="B363" i="8"/>
  <c r="J364" i="6"/>
  <c r="B363" i="6"/>
  <c r="J364" i="5"/>
  <c r="B363" i="5"/>
  <c r="B364" i="9" l="1"/>
  <c r="J365" i="9"/>
  <c r="B364" i="8"/>
  <c r="J365" i="8"/>
  <c r="J365" i="6"/>
  <c r="B364" i="6"/>
  <c r="B364" i="5"/>
  <c r="J365" i="5"/>
  <c r="J366" i="9" l="1"/>
  <c r="B365" i="9"/>
  <c r="B365" i="8"/>
  <c r="J366" i="8"/>
  <c r="B365" i="6"/>
  <c r="J366" i="6"/>
  <c r="B365" i="5"/>
  <c r="J366" i="5"/>
  <c r="J367" i="9" l="1"/>
  <c r="B366" i="9"/>
  <c r="B366" i="8"/>
  <c r="J367" i="8"/>
  <c r="B366" i="6"/>
  <c r="J367" i="6"/>
  <c r="J367" i="5"/>
  <c r="B366" i="5"/>
  <c r="J368" i="9" l="1"/>
  <c r="B367" i="9"/>
  <c r="J368" i="8"/>
  <c r="B367" i="8"/>
  <c r="J368" i="6"/>
  <c r="B367" i="6"/>
  <c r="J368" i="5"/>
  <c r="B367" i="5"/>
  <c r="J369" i="9" l="1"/>
  <c r="B368" i="9"/>
  <c r="J369" i="8"/>
  <c r="B368" i="8"/>
  <c r="J369" i="6"/>
  <c r="B368" i="6"/>
  <c r="J369" i="5"/>
  <c r="B368" i="5"/>
  <c r="J370" i="9" l="1"/>
  <c r="B369" i="9"/>
  <c r="J370" i="8"/>
  <c r="B369" i="8"/>
  <c r="J370" i="6"/>
  <c r="B369" i="6"/>
  <c r="J370" i="5"/>
  <c r="B369" i="5"/>
  <c r="J371" i="9" l="1"/>
  <c r="B370" i="9"/>
  <c r="J371" i="8"/>
  <c r="B370" i="8"/>
  <c r="J371" i="6"/>
  <c r="B370" i="6"/>
  <c r="J371" i="5"/>
  <c r="B370" i="5"/>
  <c r="J372" i="9" l="1"/>
  <c r="B371" i="9"/>
  <c r="J372" i="8"/>
  <c r="B371" i="8"/>
  <c r="B371" i="6"/>
  <c r="J372" i="6"/>
  <c r="J372" i="5"/>
  <c r="B371" i="5"/>
  <c r="B372" i="9" l="1"/>
  <c r="J373" i="9"/>
  <c r="B372" i="8"/>
  <c r="J373" i="8"/>
  <c r="J373" i="6"/>
  <c r="B372" i="6"/>
  <c r="B372" i="5"/>
  <c r="J373" i="5"/>
  <c r="J374" i="9" l="1"/>
  <c r="B373" i="9"/>
  <c r="B373" i="8"/>
  <c r="J374" i="8"/>
  <c r="B373" i="6"/>
  <c r="J374" i="6"/>
  <c r="B373" i="5"/>
  <c r="J374" i="5"/>
  <c r="M2" i="9" l="1"/>
  <c r="N2" i="9"/>
  <c r="O2" i="9"/>
  <c r="J375" i="9"/>
  <c r="B374" i="9"/>
  <c r="J375" i="8"/>
  <c r="B374" i="8"/>
  <c r="J375" i="6"/>
  <c r="B374" i="6"/>
  <c r="J375" i="5"/>
  <c r="B374" i="5"/>
  <c r="J376" i="9" l="1"/>
  <c r="B375" i="9"/>
  <c r="J376" i="8"/>
  <c r="B375" i="8"/>
  <c r="B375" i="6"/>
  <c r="J376" i="6"/>
  <c r="J376" i="5"/>
  <c r="B375" i="5"/>
  <c r="J377" i="9" l="1"/>
  <c r="B376" i="9"/>
  <c r="B376" i="8"/>
  <c r="J377" i="8"/>
  <c r="J377" i="6"/>
  <c r="B376" i="6"/>
  <c r="J377" i="5"/>
  <c r="B376" i="5"/>
  <c r="J378" i="9" l="1"/>
  <c r="B377" i="9"/>
  <c r="J378" i="8"/>
  <c r="B377" i="8"/>
  <c r="J378" i="6"/>
  <c r="B377" i="6"/>
  <c r="J378" i="5"/>
  <c r="B377" i="5"/>
  <c r="J379" i="9" l="1"/>
  <c r="B378" i="9"/>
  <c r="J379" i="8"/>
  <c r="B378" i="8"/>
  <c r="B378" i="6"/>
  <c r="J379" i="6"/>
  <c r="J379" i="5"/>
  <c r="B378" i="5"/>
  <c r="J380" i="9" l="1"/>
  <c r="B379" i="9"/>
  <c r="J380" i="8"/>
  <c r="B379" i="8"/>
  <c r="J380" i="6"/>
  <c r="B379" i="6"/>
  <c r="J380" i="5"/>
  <c r="B379" i="5"/>
  <c r="B380" i="9" l="1"/>
  <c r="J381" i="9"/>
  <c r="B380" i="8"/>
  <c r="J381" i="8"/>
  <c r="J381" i="6"/>
  <c r="B380" i="6"/>
  <c r="B380" i="5"/>
  <c r="J381" i="5"/>
  <c r="J382" i="9" l="1"/>
  <c r="B381" i="9"/>
  <c r="B381" i="8"/>
  <c r="J382" i="8"/>
  <c r="J382" i="6"/>
  <c r="B381" i="6"/>
  <c r="B381" i="5"/>
  <c r="J382" i="5"/>
  <c r="J383" i="9" l="1"/>
  <c r="B382" i="9"/>
  <c r="B382" i="8"/>
  <c r="J383" i="8"/>
  <c r="B382" i="6"/>
  <c r="J383" i="6"/>
  <c r="J383" i="5"/>
  <c r="B382" i="5"/>
  <c r="J384" i="9" l="1"/>
  <c r="B383" i="9"/>
  <c r="J384" i="8"/>
  <c r="B383" i="8"/>
  <c r="J384" i="6"/>
  <c r="B383" i="6"/>
  <c r="J384" i="5"/>
  <c r="B383" i="5"/>
  <c r="J385" i="9" l="1"/>
  <c r="B384" i="9"/>
  <c r="J385" i="8"/>
  <c r="B384" i="8"/>
  <c r="J385" i="6"/>
  <c r="B384" i="6"/>
  <c r="J385" i="5"/>
  <c r="B384" i="5"/>
  <c r="B385" i="9" l="1"/>
  <c r="J386" i="9"/>
  <c r="J386" i="8"/>
  <c r="B385" i="8"/>
  <c r="B385" i="6"/>
  <c r="J386" i="6"/>
  <c r="J386" i="5"/>
  <c r="B385" i="5"/>
  <c r="B386" i="9" l="1"/>
  <c r="J387" i="9"/>
  <c r="J387" i="8"/>
  <c r="B386" i="8"/>
  <c r="J387" i="6"/>
  <c r="B386" i="6"/>
  <c r="J387" i="5"/>
  <c r="B386" i="5"/>
  <c r="B387" i="9" l="1"/>
  <c r="J388" i="9"/>
  <c r="J388" i="8"/>
  <c r="B387" i="8"/>
  <c r="B387" i="6"/>
  <c r="J388" i="6"/>
  <c r="J388" i="5"/>
  <c r="B387" i="5"/>
  <c r="J389" i="9" l="1"/>
  <c r="B388" i="9"/>
  <c r="J389" i="8"/>
  <c r="B388" i="8"/>
  <c r="J389" i="6"/>
  <c r="B388" i="6"/>
  <c r="B388" i="5"/>
  <c r="J389" i="5"/>
  <c r="J390" i="9" l="1"/>
  <c r="B389" i="9"/>
  <c r="B389" i="8"/>
  <c r="J390" i="8"/>
  <c r="B389" i="6"/>
  <c r="J390" i="6"/>
  <c r="B389" i="5"/>
  <c r="J390" i="5"/>
  <c r="J391" i="9" l="1"/>
  <c r="B390" i="9"/>
  <c r="J391" i="8"/>
  <c r="B390" i="8"/>
  <c r="B390" i="6"/>
  <c r="J391" i="6"/>
  <c r="J391" i="5"/>
  <c r="B390" i="5"/>
  <c r="J392" i="9" l="1"/>
  <c r="B391" i="9"/>
  <c r="J392" i="8"/>
  <c r="B391" i="8"/>
  <c r="B391" i="6"/>
  <c r="J392" i="6"/>
  <c r="J392" i="5"/>
  <c r="B391" i="5"/>
  <c r="J393" i="9" l="1"/>
  <c r="B392" i="9"/>
  <c r="J393" i="8"/>
  <c r="B392" i="8"/>
  <c r="J393" i="6"/>
  <c r="B392" i="6"/>
  <c r="J393" i="5"/>
  <c r="B392" i="5"/>
  <c r="B393" i="9" l="1"/>
  <c r="J394" i="9"/>
  <c r="J394" i="8"/>
  <c r="B393" i="8"/>
  <c r="J394" i="6"/>
  <c r="B393" i="6"/>
  <c r="J394" i="5"/>
  <c r="B393" i="5"/>
  <c r="B394" i="9" l="1"/>
  <c r="J395" i="9"/>
  <c r="J395" i="8"/>
  <c r="B394" i="8"/>
  <c r="B394" i="6"/>
  <c r="J395" i="6"/>
  <c r="J395" i="5"/>
  <c r="B394" i="5"/>
  <c r="B395" i="9" l="1"/>
  <c r="J396" i="9"/>
  <c r="J396" i="8"/>
  <c r="B395" i="8"/>
  <c r="J396" i="6"/>
  <c r="B395" i="6"/>
  <c r="J396" i="5"/>
  <c r="B395" i="5"/>
  <c r="J397" i="9" l="1"/>
  <c r="B396" i="9"/>
  <c r="B396" i="8"/>
  <c r="J397" i="8"/>
  <c r="J397" i="6"/>
  <c r="B396" i="6"/>
  <c r="B396" i="5"/>
  <c r="J397" i="5"/>
  <c r="J398" i="9" l="1"/>
  <c r="B397" i="9"/>
  <c r="J398" i="8"/>
  <c r="B397" i="8"/>
  <c r="J398" i="6"/>
  <c r="B397" i="6"/>
  <c r="B397" i="5"/>
  <c r="J398" i="5"/>
  <c r="J399" i="9" l="1"/>
  <c r="B398" i="9"/>
  <c r="B398" i="8"/>
  <c r="J399" i="8"/>
  <c r="B398" i="6"/>
  <c r="J399" i="6"/>
  <c r="J399" i="5"/>
  <c r="B398" i="5"/>
  <c r="J400" i="9" l="1"/>
  <c r="B399" i="9"/>
  <c r="J400" i="8"/>
  <c r="B399" i="8"/>
  <c r="J400" i="6"/>
  <c r="B399" i="6"/>
  <c r="J400" i="5"/>
  <c r="B399" i="5"/>
  <c r="J401" i="9" l="1"/>
  <c r="B400" i="9"/>
  <c r="J401" i="8"/>
  <c r="B400" i="8"/>
  <c r="J401" i="6"/>
  <c r="B400" i="6"/>
  <c r="J401" i="5"/>
  <c r="B400" i="5"/>
  <c r="J402" i="9" l="1"/>
  <c r="B401" i="9"/>
  <c r="J402" i="8"/>
  <c r="B401" i="8"/>
  <c r="B401" i="6"/>
  <c r="J402" i="6"/>
  <c r="J402" i="5"/>
  <c r="B401" i="5"/>
  <c r="B402" i="9" l="1"/>
  <c r="J403" i="9"/>
  <c r="J403" i="8"/>
  <c r="B402" i="8"/>
  <c r="J403" i="6"/>
  <c r="B402" i="6"/>
  <c r="J403" i="5"/>
  <c r="B402" i="5"/>
  <c r="B403" i="9" l="1"/>
  <c r="J404" i="9"/>
  <c r="J404" i="8"/>
  <c r="B403" i="8"/>
  <c r="B403" i="6"/>
  <c r="J404" i="6"/>
  <c r="B403" i="5"/>
  <c r="K2" i="5"/>
  <c r="K3" i="5" s="1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K299" i="5" s="1"/>
  <c r="K300" i="5" s="1"/>
  <c r="K301" i="5" s="1"/>
  <c r="K302" i="5" s="1"/>
  <c r="K303" i="5" s="1"/>
  <c r="K304" i="5" s="1"/>
  <c r="K305" i="5" s="1"/>
  <c r="K306" i="5" s="1"/>
  <c r="K307" i="5" s="1"/>
  <c r="K308" i="5" s="1"/>
  <c r="K309" i="5" s="1"/>
  <c r="K310" i="5" s="1"/>
  <c r="K311" i="5" s="1"/>
  <c r="K312" i="5" s="1"/>
  <c r="K313" i="5" s="1"/>
  <c r="K314" i="5" s="1"/>
  <c r="K315" i="5" s="1"/>
  <c r="K316" i="5" s="1"/>
  <c r="K317" i="5" s="1"/>
  <c r="K318" i="5" s="1"/>
  <c r="K319" i="5" s="1"/>
  <c r="K320" i="5" s="1"/>
  <c r="K321" i="5" s="1"/>
  <c r="K322" i="5" s="1"/>
  <c r="K323" i="5" s="1"/>
  <c r="K324" i="5" s="1"/>
  <c r="K325" i="5" s="1"/>
  <c r="K326" i="5" s="1"/>
  <c r="K327" i="5" s="1"/>
  <c r="K328" i="5" s="1"/>
  <c r="K329" i="5" s="1"/>
  <c r="K330" i="5" s="1"/>
  <c r="K331" i="5" s="1"/>
  <c r="K332" i="5" s="1"/>
  <c r="K333" i="5" s="1"/>
  <c r="K334" i="5" s="1"/>
  <c r="K335" i="5" s="1"/>
  <c r="K336" i="5" s="1"/>
  <c r="K337" i="5" s="1"/>
  <c r="K338" i="5" s="1"/>
  <c r="K339" i="5" s="1"/>
  <c r="K340" i="5" s="1"/>
  <c r="K341" i="5" s="1"/>
  <c r="K342" i="5" s="1"/>
  <c r="K343" i="5" s="1"/>
  <c r="K344" i="5" s="1"/>
  <c r="K345" i="5" s="1"/>
  <c r="K346" i="5" s="1"/>
  <c r="K347" i="5" s="1"/>
  <c r="K348" i="5" s="1"/>
  <c r="K349" i="5" s="1"/>
  <c r="K350" i="5" s="1"/>
  <c r="K351" i="5" s="1"/>
  <c r="K352" i="5" s="1"/>
  <c r="K353" i="5" s="1"/>
  <c r="K354" i="5" s="1"/>
  <c r="K355" i="5" s="1"/>
  <c r="K356" i="5" s="1"/>
  <c r="K357" i="5" s="1"/>
  <c r="K358" i="5" s="1"/>
  <c r="K359" i="5" s="1"/>
  <c r="K360" i="5" s="1"/>
  <c r="K361" i="5" s="1"/>
  <c r="K362" i="5" s="1"/>
  <c r="K363" i="5" s="1"/>
  <c r="K364" i="5" s="1"/>
  <c r="K365" i="5" s="1"/>
  <c r="K366" i="5" s="1"/>
  <c r="K367" i="5" s="1"/>
  <c r="K368" i="5" s="1"/>
  <c r="K369" i="5" s="1"/>
  <c r="K370" i="5" s="1"/>
  <c r="K371" i="5" s="1"/>
  <c r="K372" i="5" s="1"/>
  <c r="K373" i="5" s="1"/>
  <c r="K374" i="5" s="1"/>
  <c r="K375" i="5" s="1"/>
  <c r="K376" i="5" s="1"/>
  <c r="K377" i="5" s="1"/>
  <c r="K378" i="5" s="1"/>
  <c r="K379" i="5" s="1"/>
  <c r="K380" i="5" s="1"/>
  <c r="K381" i="5" s="1"/>
  <c r="K382" i="5" s="1"/>
  <c r="K383" i="5" s="1"/>
  <c r="K384" i="5" s="1"/>
  <c r="K385" i="5" s="1"/>
  <c r="K386" i="5" s="1"/>
  <c r="K387" i="5" s="1"/>
  <c r="K388" i="5" s="1"/>
  <c r="K389" i="5" s="1"/>
  <c r="K390" i="5" s="1"/>
  <c r="K391" i="5" s="1"/>
  <c r="K392" i="5" s="1"/>
  <c r="K393" i="5" s="1"/>
  <c r="K394" i="5" s="1"/>
  <c r="K395" i="5" s="1"/>
  <c r="K396" i="5" s="1"/>
  <c r="K397" i="5" s="1"/>
  <c r="K398" i="5" s="1"/>
  <c r="K399" i="5" s="1"/>
  <c r="K400" i="5" s="1"/>
  <c r="K401" i="5" s="1"/>
  <c r="K402" i="5" s="1"/>
  <c r="K403" i="5" s="1"/>
  <c r="J405" i="9" l="1"/>
  <c r="B404" i="9"/>
  <c r="J405" i="8"/>
  <c r="B404" i="8"/>
  <c r="J405" i="6"/>
  <c r="B404" i="6"/>
  <c r="J406" i="9" l="1"/>
  <c r="B405" i="9"/>
  <c r="B405" i="8"/>
  <c r="J406" i="8"/>
  <c r="B405" i="6"/>
  <c r="J406" i="6"/>
  <c r="J407" i="9" l="1"/>
  <c r="B406" i="9"/>
  <c r="J407" i="8"/>
  <c r="B406" i="8"/>
  <c r="J407" i="6"/>
  <c r="B406" i="6"/>
  <c r="J408" i="9" l="1"/>
  <c r="B407" i="9"/>
  <c r="J408" i="8"/>
  <c r="B407" i="8"/>
  <c r="B407" i="6"/>
  <c r="J408" i="6"/>
  <c r="J409" i="9" l="1"/>
  <c r="B408" i="9"/>
  <c r="J409" i="8"/>
  <c r="B408" i="8"/>
  <c r="J409" i="6"/>
  <c r="B408" i="6"/>
  <c r="J410" i="9" l="1"/>
  <c r="B409" i="9"/>
  <c r="J410" i="8"/>
  <c r="B409" i="8"/>
  <c r="J410" i="6"/>
  <c r="B409" i="6"/>
  <c r="B410" i="9" l="1"/>
  <c r="J411" i="9"/>
  <c r="B410" i="8"/>
  <c r="J411" i="8"/>
  <c r="B410" i="6"/>
  <c r="J411" i="6"/>
  <c r="B411" i="9" l="1"/>
  <c r="J412" i="9"/>
  <c r="J412" i="8"/>
  <c r="B411" i="8"/>
  <c r="J412" i="6"/>
  <c r="B411" i="6"/>
  <c r="J413" i="9" l="1"/>
  <c r="B412" i="9"/>
  <c r="B412" i="8"/>
  <c r="J413" i="8"/>
  <c r="J413" i="6"/>
  <c r="B412" i="6"/>
  <c r="J414" i="9" l="1"/>
  <c r="B413" i="9"/>
  <c r="J414" i="8"/>
  <c r="B413" i="8"/>
  <c r="J414" i="6"/>
  <c r="B413" i="6"/>
  <c r="J415" i="9" l="1"/>
  <c r="B414" i="9"/>
  <c r="B414" i="8"/>
  <c r="J415" i="8"/>
  <c r="B414" i="6"/>
  <c r="J415" i="6"/>
  <c r="J416" i="9" l="1"/>
  <c r="B415" i="9"/>
  <c r="J416" i="8"/>
  <c r="B415" i="8"/>
  <c r="B415" i="6"/>
  <c r="J416" i="6"/>
  <c r="J417" i="9" l="1"/>
  <c r="B416" i="9"/>
  <c r="J417" i="8"/>
  <c r="B416" i="8"/>
  <c r="J417" i="6"/>
  <c r="B416" i="6"/>
  <c r="J418" i="9" l="1"/>
  <c r="B417" i="9"/>
  <c r="B417" i="8"/>
  <c r="J418" i="8"/>
  <c r="B417" i="6"/>
  <c r="J418" i="6"/>
  <c r="B418" i="9" l="1"/>
  <c r="J419" i="9"/>
  <c r="J419" i="8"/>
  <c r="B418" i="8"/>
  <c r="J419" i="6"/>
  <c r="B418" i="6"/>
  <c r="B419" i="9" l="1"/>
  <c r="J420" i="9"/>
  <c r="J420" i="8"/>
  <c r="B419" i="8"/>
  <c r="B419" i="6"/>
  <c r="J420" i="6"/>
  <c r="J421" i="9" l="1"/>
  <c r="B420" i="9"/>
  <c r="B420" i="8"/>
  <c r="J421" i="8"/>
  <c r="J421" i="6"/>
  <c r="B420" i="6"/>
  <c r="J422" i="9" l="1"/>
  <c r="B421" i="9"/>
  <c r="B421" i="8"/>
  <c r="J422" i="8"/>
  <c r="B421" i="6"/>
  <c r="J422" i="6"/>
  <c r="J423" i="9" l="1"/>
  <c r="B422" i="9"/>
  <c r="B422" i="8"/>
  <c r="J423" i="8"/>
  <c r="B422" i="6"/>
  <c r="J423" i="6"/>
  <c r="J424" i="9" l="1"/>
  <c r="B423" i="9"/>
  <c r="J424" i="8"/>
  <c r="B423" i="8"/>
  <c r="B423" i="6"/>
  <c r="J424" i="6"/>
  <c r="J425" i="9" l="1"/>
  <c r="B424" i="9"/>
  <c r="B424" i="8"/>
  <c r="J425" i="8"/>
  <c r="J425" i="6"/>
  <c r="B424" i="6"/>
  <c r="J426" i="9" l="1"/>
  <c r="B425" i="9"/>
  <c r="J426" i="8"/>
  <c r="B425" i="8"/>
  <c r="J426" i="6"/>
  <c r="B425" i="6"/>
  <c r="B426" i="9" l="1"/>
  <c r="J427" i="9"/>
  <c r="J427" i="8"/>
  <c r="B426" i="8"/>
  <c r="B426" i="6"/>
  <c r="J427" i="6"/>
  <c r="B427" i="9" l="1"/>
  <c r="J428" i="9"/>
  <c r="J428" i="8"/>
  <c r="B427" i="8"/>
  <c r="J428" i="6"/>
  <c r="B427" i="6"/>
  <c r="J429" i="9" l="1"/>
  <c r="B428" i="9"/>
  <c r="B428" i="8"/>
  <c r="K2" i="8"/>
  <c r="K3" i="8" s="1"/>
  <c r="K4" i="8" s="1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K141" i="8" s="1"/>
  <c r="K142" i="8" s="1"/>
  <c r="K143" i="8" s="1"/>
  <c r="K144" i="8" s="1"/>
  <c r="K145" i="8" s="1"/>
  <c r="K146" i="8" s="1"/>
  <c r="K147" i="8" s="1"/>
  <c r="K148" i="8" s="1"/>
  <c r="K149" i="8" s="1"/>
  <c r="K150" i="8" s="1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K171" i="8" s="1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190" i="8" s="1"/>
  <c r="K191" i="8" s="1"/>
  <c r="K192" i="8" s="1"/>
  <c r="K193" i="8" s="1"/>
  <c r="K194" i="8" s="1"/>
  <c r="K195" i="8" s="1"/>
  <c r="K196" i="8" s="1"/>
  <c r="K197" i="8" s="1"/>
  <c r="K198" i="8" s="1"/>
  <c r="K199" i="8" s="1"/>
  <c r="K200" i="8" s="1"/>
  <c r="K201" i="8" s="1"/>
  <c r="K202" i="8" s="1"/>
  <c r="K203" i="8" s="1"/>
  <c r="K204" i="8" s="1"/>
  <c r="K205" i="8" s="1"/>
  <c r="K206" i="8" s="1"/>
  <c r="K207" i="8" s="1"/>
  <c r="K208" i="8" s="1"/>
  <c r="K209" i="8" s="1"/>
  <c r="K210" i="8" s="1"/>
  <c r="K211" i="8" s="1"/>
  <c r="K212" i="8" s="1"/>
  <c r="K213" i="8" s="1"/>
  <c r="K214" i="8" s="1"/>
  <c r="K215" i="8" s="1"/>
  <c r="K216" i="8" s="1"/>
  <c r="K217" i="8" s="1"/>
  <c r="K218" i="8" s="1"/>
  <c r="K219" i="8" s="1"/>
  <c r="K220" i="8" s="1"/>
  <c r="K221" i="8" s="1"/>
  <c r="K222" i="8" s="1"/>
  <c r="K223" i="8" s="1"/>
  <c r="K224" i="8" s="1"/>
  <c r="K225" i="8" s="1"/>
  <c r="K226" i="8" s="1"/>
  <c r="K227" i="8" s="1"/>
  <c r="K228" i="8" s="1"/>
  <c r="K229" i="8" s="1"/>
  <c r="K230" i="8" s="1"/>
  <c r="K231" i="8" s="1"/>
  <c r="K232" i="8" s="1"/>
  <c r="K233" i="8" s="1"/>
  <c r="K234" i="8" s="1"/>
  <c r="K235" i="8" s="1"/>
  <c r="K236" i="8" s="1"/>
  <c r="K237" i="8" s="1"/>
  <c r="K238" i="8" s="1"/>
  <c r="K239" i="8" s="1"/>
  <c r="K240" i="8" s="1"/>
  <c r="K241" i="8" s="1"/>
  <c r="K242" i="8" s="1"/>
  <c r="K243" i="8" s="1"/>
  <c r="K244" i="8" s="1"/>
  <c r="K245" i="8" s="1"/>
  <c r="K246" i="8" s="1"/>
  <c r="K247" i="8" s="1"/>
  <c r="K248" i="8" s="1"/>
  <c r="K249" i="8" s="1"/>
  <c r="K250" i="8" s="1"/>
  <c r="K251" i="8" s="1"/>
  <c r="K252" i="8" s="1"/>
  <c r="K253" i="8" s="1"/>
  <c r="K254" i="8" s="1"/>
  <c r="K255" i="8" s="1"/>
  <c r="K256" i="8" s="1"/>
  <c r="K257" i="8" s="1"/>
  <c r="K258" i="8" s="1"/>
  <c r="K259" i="8" s="1"/>
  <c r="K260" i="8" s="1"/>
  <c r="K261" i="8" s="1"/>
  <c r="K262" i="8" s="1"/>
  <c r="K263" i="8" s="1"/>
  <c r="K264" i="8" s="1"/>
  <c r="K265" i="8" s="1"/>
  <c r="K266" i="8" s="1"/>
  <c r="K267" i="8" s="1"/>
  <c r="K268" i="8" s="1"/>
  <c r="K269" i="8" s="1"/>
  <c r="K270" i="8" s="1"/>
  <c r="K271" i="8" s="1"/>
  <c r="K272" i="8" s="1"/>
  <c r="K273" i="8" s="1"/>
  <c r="K274" i="8" s="1"/>
  <c r="K275" i="8" s="1"/>
  <c r="K276" i="8" s="1"/>
  <c r="K277" i="8" s="1"/>
  <c r="K278" i="8" s="1"/>
  <c r="K279" i="8" s="1"/>
  <c r="K280" i="8" s="1"/>
  <c r="K281" i="8" s="1"/>
  <c r="K282" i="8" s="1"/>
  <c r="K283" i="8" s="1"/>
  <c r="K284" i="8" s="1"/>
  <c r="K285" i="8" s="1"/>
  <c r="K286" i="8" s="1"/>
  <c r="K287" i="8" s="1"/>
  <c r="K288" i="8" s="1"/>
  <c r="K289" i="8" s="1"/>
  <c r="K290" i="8" s="1"/>
  <c r="K291" i="8" s="1"/>
  <c r="K292" i="8" s="1"/>
  <c r="K293" i="8" s="1"/>
  <c r="K294" i="8" s="1"/>
  <c r="K295" i="8" s="1"/>
  <c r="K296" i="8" s="1"/>
  <c r="K297" i="8" s="1"/>
  <c r="K298" i="8" s="1"/>
  <c r="K299" i="8" s="1"/>
  <c r="K300" i="8" s="1"/>
  <c r="K301" i="8" s="1"/>
  <c r="K302" i="8" s="1"/>
  <c r="K303" i="8" s="1"/>
  <c r="K304" i="8" s="1"/>
  <c r="K305" i="8" s="1"/>
  <c r="K306" i="8" s="1"/>
  <c r="K307" i="8" s="1"/>
  <c r="K308" i="8" s="1"/>
  <c r="K309" i="8" s="1"/>
  <c r="K310" i="8" s="1"/>
  <c r="K311" i="8" s="1"/>
  <c r="K312" i="8" s="1"/>
  <c r="K313" i="8" s="1"/>
  <c r="K314" i="8" s="1"/>
  <c r="K315" i="8" s="1"/>
  <c r="K316" i="8" s="1"/>
  <c r="K317" i="8" s="1"/>
  <c r="K318" i="8" s="1"/>
  <c r="K319" i="8" s="1"/>
  <c r="K320" i="8" s="1"/>
  <c r="K321" i="8" s="1"/>
  <c r="K322" i="8" s="1"/>
  <c r="K323" i="8" s="1"/>
  <c r="K324" i="8" s="1"/>
  <c r="K325" i="8" s="1"/>
  <c r="K326" i="8" s="1"/>
  <c r="K327" i="8" s="1"/>
  <c r="K328" i="8" s="1"/>
  <c r="K329" i="8" s="1"/>
  <c r="K330" i="8" s="1"/>
  <c r="K331" i="8" s="1"/>
  <c r="K332" i="8" s="1"/>
  <c r="K333" i="8" s="1"/>
  <c r="K334" i="8" s="1"/>
  <c r="K335" i="8" s="1"/>
  <c r="K336" i="8" s="1"/>
  <c r="K337" i="8" s="1"/>
  <c r="K338" i="8" s="1"/>
  <c r="K339" i="8" s="1"/>
  <c r="K340" i="8" s="1"/>
  <c r="K341" i="8" s="1"/>
  <c r="K342" i="8" s="1"/>
  <c r="K343" i="8" s="1"/>
  <c r="K344" i="8" s="1"/>
  <c r="K345" i="8" s="1"/>
  <c r="K346" i="8" s="1"/>
  <c r="K347" i="8" s="1"/>
  <c r="K348" i="8" s="1"/>
  <c r="K349" i="8" s="1"/>
  <c r="K350" i="8" s="1"/>
  <c r="K351" i="8" s="1"/>
  <c r="K352" i="8" s="1"/>
  <c r="K353" i="8" s="1"/>
  <c r="K354" i="8" s="1"/>
  <c r="K355" i="8" s="1"/>
  <c r="K356" i="8" s="1"/>
  <c r="K357" i="8" s="1"/>
  <c r="K358" i="8" s="1"/>
  <c r="K359" i="8" s="1"/>
  <c r="K360" i="8" s="1"/>
  <c r="K361" i="8" s="1"/>
  <c r="K362" i="8" s="1"/>
  <c r="K363" i="8" s="1"/>
  <c r="K364" i="8" s="1"/>
  <c r="K365" i="8" s="1"/>
  <c r="K366" i="8" s="1"/>
  <c r="K367" i="8" s="1"/>
  <c r="K368" i="8" s="1"/>
  <c r="K369" i="8" s="1"/>
  <c r="K370" i="8" s="1"/>
  <c r="K371" i="8" s="1"/>
  <c r="K372" i="8" s="1"/>
  <c r="K373" i="8" s="1"/>
  <c r="K374" i="8" s="1"/>
  <c r="K375" i="8" s="1"/>
  <c r="K376" i="8" s="1"/>
  <c r="K377" i="8" s="1"/>
  <c r="K378" i="8" s="1"/>
  <c r="K379" i="8" s="1"/>
  <c r="K380" i="8" s="1"/>
  <c r="K381" i="8" s="1"/>
  <c r="K382" i="8" s="1"/>
  <c r="K383" i="8" s="1"/>
  <c r="K384" i="8" s="1"/>
  <c r="K385" i="8" s="1"/>
  <c r="K386" i="8" s="1"/>
  <c r="K387" i="8" s="1"/>
  <c r="K388" i="8" s="1"/>
  <c r="K389" i="8" s="1"/>
  <c r="K390" i="8" s="1"/>
  <c r="K391" i="8" s="1"/>
  <c r="K392" i="8" s="1"/>
  <c r="K393" i="8" s="1"/>
  <c r="K394" i="8" s="1"/>
  <c r="K395" i="8" s="1"/>
  <c r="K396" i="8" s="1"/>
  <c r="K397" i="8" s="1"/>
  <c r="K398" i="8" s="1"/>
  <c r="K399" i="8" s="1"/>
  <c r="K400" i="8" s="1"/>
  <c r="K401" i="8" s="1"/>
  <c r="K402" i="8" s="1"/>
  <c r="K403" i="8" s="1"/>
  <c r="K404" i="8" s="1"/>
  <c r="K405" i="8" s="1"/>
  <c r="K406" i="8" s="1"/>
  <c r="K407" i="8" s="1"/>
  <c r="K408" i="8" s="1"/>
  <c r="K409" i="8" s="1"/>
  <c r="K410" i="8" s="1"/>
  <c r="K411" i="8" s="1"/>
  <c r="K412" i="8" s="1"/>
  <c r="K413" i="8" s="1"/>
  <c r="K414" i="8" s="1"/>
  <c r="K415" i="8" s="1"/>
  <c r="K416" i="8" s="1"/>
  <c r="K417" i="8" s="1"/>
  <c r="K418" i="8" s="1"/>
  <c r="K419" i="8" s="1"/>
  <c r="K420" i="8" s="1"/>
  <c r="K421" i="8" s="1"/>
  <c r="K422" i="8" s="1"/>
  <c r="K423" i="8" s="1"/>
  <c r="K424" i="8" s="1"/>
  <c r="K425" i="8" s="1"/>
  <c r="K426" i="8" s="1"/>
  <c r="K427" i="8" s="1"/>
  <c r="K428" i="8" s="1"/>
  <c r="J429" i="6"/>
  <c r="B428" i="6"/>
  <c r="J430" i="9" l="1"/>
  <c r="B429" i="9"/>
  <c r="B429" i="6"/>
  <c r="J430" i="6"/>
  <c r="J431" i="9" l="1"/>
  <c r="B430" i="9"/>
  <c r="B430" i="6"/>
  <c r="J431" i="6"/>
  <c r="J432" i="9" l="1"/>
  <c r="B431" i="9"/>
  <c r="J432" i="6"/>
  <c r="B431" i="6"/>
  <c r="J433" i="9" l="1"/>
  <c r="B432" i="9"/>
  <c r="J433" i="6"/>
  <c r="B432" i="6"/>
  <c r="J434" i="9" l="1"/>
  <c r="B433" i="9"/>
  <c r="B433" i="6"/>
  <c r="J434" i="6"/>
  <c r="B434" i="9" l="1"/>
  <c r="J435" i="9"/>
  <c r="J435" i="6"/>
  <c r="B434" i="6"/>
  <c r="B435" i="9" l="1"/>
  <c r="J436" i="9"/>
  <c r="B435" i="6"/>
  <c r="J436" i="6"/>
  <c r="J437" i="9" l="1"/>
  <c r="B436" i="9"/>
  <c r="J437" i="6"/>
  <c r="B436" i="6"/>
  <c r="J438" i="9" l="1"/>
  <c r="B437" i="9"/>
  <c r="B437" i="6"/>
  <c r="J438" i="6"/>
  <c r="J439" i="9" l="1"/>
  <c r="B438" i="9"/>
  <c r="J439" i="6"/>
  <c r="B438" i="6"/>
  <c r="J440" i="9" l="1"/>
  <c r="B439" i="9"/>
  <c r="B439" i="6"/>
  <c r="J440" i="6"/>
  <c r="J441" i="9" l="1"/>
  <c r="B440" i="9"/>
  <c r="J441" i="6"/>
  <c r="B440" i="6"/>
  <c r="J442" i="9" l="1"/>
  <c r="B441" i="9"/>
  <c r="J442" i="6"/>
  <c r="B441" i="6"/>
  <c r="B442" i="9" l="1"/>
  <c r="J443" i="9"/>
  <c r="B442" i="6"/>
  <c r="J443" i="6"/>
  <c r="B443" i="9" l="1"/>
  <c r="J444" i="9"/>
  <c r="J444" i="6"/>
  <c r="B443" i="6"/>
  <c r="J445" i="9" l="1"/>
  <c r="B444" i="9"/>
  <c r="J445" i="6"/>
  <c r="B444" i="6"/>
  <c r="J446" i="9" l="1"/>
  <c r="B445" i="9"/>
  <c r="J446" i="6"/>
  <c r="B445" i="6"/>
  <c r="O2" i="6" l="1"/>
  <c r="N2" i="6"/>
  <c r="J447" i="9"/>
  <c r="B446" i="9"/>
  <c r="M2" i="6"/>
  <c r="B446" i="6"/>
  <c r="J447" i="6"/>
  <c r="J448" i="9" l="1"/>
  <c r="B447" i="9"/>
  <c r="B447" i="6"/>
  <c r="J448" i="6"/>
  <c r="J449" i="9" l="1"/>
  <c r="B448" i="9"/>
  <c r="J449" i="6"/>
  <c r="B448" i="6"/>
  <c r="J450" i="9" l="1"/>
  <c r="B449" i="9"/>
  <c r="B449" i="6"/>
  <c r="J450" i="6"/>
  <c r="B450" i="9" l="1"/>
  <c r="J451" i="9"/>
  <c r="J451" i="6"/>
  <c r="B450" i="6"/>
  <c r="B451" i="9" l="1"/>
  <c r="J452" i="9"/>
  <c r="J452" i="6"/>
  <c r="B451" i="6"/>
  <c r="J453" i="9" l="1"/>
  <c r="B452" i="9"/>
  <c r="J453" i="6"/>
  <c r="B452" i="6"/>
  <c r="J454" i="9" l="1"/>
  <c r="B453" i="9"/>
  <c r="B453" i="6"/>
  <c r="J454" i="6"/>
  <c r="J455" i="9" l="1"/>
  <c r="B454" i="9"/>
  <c r="B454" i="6"/>
  <c r="J455" i="6"/>
  <c r="J456" i="9" l="1"/>
  <c r="B455" i="9"/>
  <c r="J456" i="6"/>
  <c r="B455" i="6"/>
  <c r="J457" i="9" l="1"/>
  <c r="B456" i="9"/>
  <c r="J457" i="6"/>
  <c r="B456" i="6"/>
  <c r="J458" i="9" l="1"/>
  <c r="B457" i="9"/>
  <c r="J458" i="6"/>
  <c r="B457" i="6"/>
  <c r="B458" i="9" l="1"/>
  <c r="J459" i="9"/>
  <c r="J459" i="6"/>
  <c r="B458" i="6"/>
  <c r="B459" i="9" l="1"/>
  <c r="J460" i="9"/>
  <c r="J460" i="6"/>
  <c r="B459" i="6"/>
  <c r="J461" i="9" l="1"/>
  <c r="B460" i="9"/>
  <c r="J461" i="6"/>
  <c r="B460" i="6"/>
  <c r="J462" i="9" l="1"/>
  <c r="B461" i="9"/>
  <c r="B461" i="6"/>
  <c r="J462" i="6"/>
  <c r="J463" i="9" l="1"/>
  <c r="B462" i="9"/>
  <c r="B462" i="6"/>
  <c r="J463" i="6"/>
  <c r="J464" i="9" l="1"/>
  <c r="B463" i="9"/>
  <c r="J464" i="6"/>
  <c r="B463" i="6"/>
  <c r="J465" i="9" l="1"/>
  <c r="B464" i="9"/>
  <c r="J465" i="6"/>
  <c r="B464" i="6"/>
  <c r="J466" i="9" l="1"/>
  <c r="B465" i="9"/>
  <c r="J466" i="6"/>
  <c r="B465" i="6"/>
  <c r="B466" i="9" l="1"/>
  <c r="J467" i="9"/>
  <c r="J467" i="6"/>
  <c r="B466" i="6"/>
  <c r="B467" i="9" l="1"/>
  <c r="J468" i="9"/>
  <c r="J468" i="6"/>
  <c r="B467" i="6"/>
  <c r="J469" i="9" l="1"/>
  <c r="B468" i="9"/>
  <c r="J469" i="6"/>
  <c r="B468" i="6"/>
  <c r="J470" i="9" l="1"/>
  <c r="B469" i="9"/>
  <c r="B469" i="6"/>
  <c r="J470" i="6"/>
  <c r="J471" i="9" l="1"/>
  <c r="B470" i="9"/>
  <c r="B470" i="6"/>
  <c r="J471" i="6"/>
  <c r="J472" i="9" l="1"/>
  <c r="B471" i="9"/>
  <c r="J472" i="6"/>
  <c r="B471" i="6"/>
  <c r="J473" i="9" l="1"/>
  <c r="B472" i="9"/>
  <c r="J473" i="6"/>
  <c r="B472" i="6"/>
  <c r="J474" i="9" l="1"/>
  <c r="B473" i="9"/>
  <c r="J474" i="6"/>
  <c r="B473" i="6"/>
  <c r="B474" i="9" l="1"/>
  <c r="J475" i="9"/>
  <c r="J475" i="6"/>
  <c r="B474" i="6"/>
  <c r="B475" i="9" l="1"/>
  <c r="J476" i="9"/>
  <c r="J476" i="6"/>
  <c r="B475" i="6"/>
  <c r="J477" i="9" l="1"/>
  <c r="B476" i="9"/>
  <c r="J477" i="6"/>
  <c r="B476" i="6"/>
  <c r="J478" i="9" l="1"/>
  <c r="B477" i="9"/>
  <c r="B477" i="6"/>
  <c r="J478" i="6"/>
  <c r="J479" i="9" l="1"/>
  <c r="B478" i="9"/>
  <c r="B478" i="6"/>
  <c r="J479" i="6"/>
  <c r="J480" i="9" l="1"/>
  <c r="B479" i="9"/>
  <c r="J480" i="6"/>
  <c r="B479" i="6"/>
  <c r="J481" i="9" l="1"/>
  <c r="B480" i="9"/>
  <c r="J481" i="6"/>
  <c r="B480" i="6"/>
  <c r="J482" i="9" l="1"/>
  <c r="B481" i="9"/>
  <c r="B481" i="6"/>
  <c r="J482" i="6"/>
  <c r="B482" i="9" l="1"/>
  <c r="J483" i="9"/>
  <c r="J483" i="6"/>
  <c r="B482" i="6"/>
  <c r="B483" i="9" l="1"/>
  <c r="J484" i="9"/>
  <c r="B483" i="6"/>
  <c r="J484" i="6"/>
  <c r="J485" i="9" l="1"/>
  <c r="B484" i="9"/>
  <c r="J485" i="6"/>
  <c r="B484" i="6"/>
  <c r="J486" i="9" l="1"/>
  <c r="B485" i="9"/>
  <c r="B485" i="6"/>
  <c r="J486" i="6"/>
  <c r="J487" i="9" l="1"/>
  <c r="B486" i="9"/>
  <c r="J487" i="6"/>
  <c r="B486" i="6"/>
  <c r="J488" i="9" l="1"/>
  <c r="B487" i="9"/>
  <c r="B487" i="6"/>
  <c r="J488" i="6"/>
  <c r="J489" i="9" l="1"/>
  <c r="B488" i="9"/>
  <c r="B488" i="6"/>
  <c r="J489" i="6"/>
  <c r="J490" i="9" l="1"/>
  <c r="B489" i="9"/>
  <c r="B489" i="6"/>
  <c r="J490" i="6"/>
  <c r="B490" i="9" l="1"/>
  <c r="J491" i="9"/>
  <c r="J491" i="6"/>
  <c r="B490" i="6"/>
  <c r="B491" i="9" l="1"/>
  <c r="J492" i="9"/>
  <c r="J492" i="6"/>
  <c r="B491" i="6"/>
  <c r="J493" i="9" l="1"/>
  <c r="B492" i="9"/>
  <c r="B492" i="6"/>
  <c r="J493" i="6"/>
  <c r="J494" i="9" l="1"/>
  <c r="B493" i="9"/>
  <c r="J494" i="6"/>
  <c r="B493" i="6"/>
  <c r="J495" i="9" l="1"/>
  <c r="B494" i="9"/>
  <c r="J495" i="6"/>
  <c r="B494" i="6"/>
  <c r="J496" i="9" l="1"/>
  <c r="B495" i="9"/>
  <c r="B495" i="6"/>
  <c r="J496" i="6"/>
  <c r="J497" i="9" l="1"/>
  <c r="B496" i="9"/>
  <c r="B496" i="6"/>
  <c r="J497" i="6"/>
  <c r="B497" i="9" l="1"/>
  <c r="K2" i="9"/>
  <c r="K3" i="9" s="1"/>
  <c r="K4" i="9" s="1"/>
  <c r="K5" i="9" s="1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K45" i="9" s="1"/>
  <c r="K46" i="9" s="1"/>
  <c r="K47" i="9" s="1"/>
  <c r="K48" i="9" s="1"/>
  <c r="K49" i="9" s="1"/>
  <c r="K50" i="9" s="1"/>
  <c r="K51" i="9" s="1"/>
  <c r="K52" i="9" s="1"/>
  <c r="K53" i="9" s="1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K85" i="9" s="1"/>
  <c r="K86" i="9" s="1"/>
  <c r="K87" i="9" s="1"/>
  <c r="K88" i="9" s="1"/>
  <c r="K89" i="9" s="1"/>
  <c r="K90" i="9" s="1"/>
  <c r="K91" i="9" s="1"/>
  <c r="K92" i="9" s="1"/>
  <c r="K93" i="9" s="1"/>
  <c r="K94" i="9" s="1"/>
  <c r="K95" i="9" s="1"/>
  <c r="K96" i="9" s="1"/>
  <c r="K97" i="9" s="1"/>
  <c r="K98" i="9" s="1"/>
  <c r="K99" i="9" s="1"/>
  <c r="K100" i="9" s="1"/>
  <c r="K101" i="9" s="1"/>
  <c r="K102" i="9" s="1"/>
  <c r="K103" i="9" s="1"/>
  <c r="K104" i="9" s="1"/>
  <c r="K105" i="9" s="1"/>
  <c r="K106" i="9" s="1"/>
  <c r="K107" i="9" s="1"/>
  <c r="K108" i="9" s="1"/>
  <c r="K109" i="9" s="1"/>
  <c r="K110" i="9" s="1"/>
  <c r="K111" i="9" s="1"/>
  <c r="K112" i="9" s="1"/>
  <c r="K113" i="9" s="1"/>
  <c r="K114" i="9" s="1"/>
  <c r="K115" i="9" s="1"/>
  <c r="K116" i="9" s="1"/>
  <c r="K117" i="9" s="1"/>
  <c r="K118" i="9" s="1"/>
  <c r="K119" i="9" s="1"/>
  <c r="K120" i="9" s="1"/>
  <c r="K121" i="9" s="1"/>
  <c r="K122" i="9" s="1"/>
  <c r="K123" i="9" s="1"/>
  <c r="K124" i="9" s="1"/>
  <c r="K125" i="9" s="1"/>
  <c r="K126" i="9" s="1"/>
  <c r="K127" i="9" s="1"/>
  <c r="K128" i="9" s="1"/>
  <c r="K129" i="9" s="1"/>
  <c r="K130" i="9" s="1"/>
  <c r="K131" i="9" s="1"/>
  <c r="K132" i="9" s="1"/>
  <c r="K133" i="9" s="1"/>
  <c r="K134" i="9" s="1"/>
  <c r="K135" i="9" s="1"/>
  <c r="K136" i="9" s="1"/>
  <c r="K137" i="9" s="1"/>
  <c r="K138" i="9" s="1"/>
  <c r="K139" i="9" s="1"/>
  <c r="K140" i="9" s="1"/>
  <c r="K141" i="9" s="1"/>
  <c r="K142" i="9" s="1"/>
  <c r="K143" i="9" s="1"/>
  <c r="K144" i="9" s="1"/>
  <c r="K145" i="9" s="1"/>
  <c r="K146" i="9" s="1"/>
  <c r="K147" i="9" s="1"/>
  <c r="K148" i="9" s="1"/>
  <c r="K149" i="9" s="1"/>
  <c r="K150" i="9" s="1"/>
  <c r="K151" i="9" s="1"/>
  <c r="K152" i="9" s="1"/>
  <c r="K153" i="9" s="1"/>
  <c r="K154" i="9" s="1"/>
  <c r="K155" i="9" s="1"/>
  <c r="K156" i="9" s="1"/>
  <c r="K157" i="9" s="1"/>
  <c r="K158" i="9" s="1"/>
  <c r="K159" i="9" s="1"/>
  <c r="K160" i="9" s="1"/>
  <c r="K161" i="9" s="1"/>
  <c r="K162" i="9" s="1"/>
  <c r="K163" i="9" s="1"/>
  <c r="K164" i="9" s="1"/>
  <c r="K165" i="9" s="1"/>
  <c r="K166" i="9" s="1"/>
  <c r="K167" i="9" s="1"/>
  <c r="K168" i="9" s="1"/>
  <c r="K169" i="9" s="1"/>
  <c r="K170" i="9" s="1"/>
  <c r="K171" i="9" s="1"/>
  <c r="K172" i="9" s="1"/>
  <c r="K173" i="9" s="1"/>
  <c r="K174" i="9" s="1"/>
  <c r="K175" i="9" s="1"/>
  <c r="K176" i="9" s="1"/>
  <c r="K177" i="9" s="1"/>
  <c r="K178" i="9" s="1"/>
  <c r="K179" i="9" s="1"/>
  <c r="K180" i="9" s="1"/>
  <c r="K181" i="9" s="1"/>
  <c r="K182" i="9" s="1"/>
  <c r="K183" i="9" s="1"/>
  <c r="K184" i="9" s="1"/>
  <c r="K185" i="9" s="1"/>
  <c r="K186" i="9" s="1"/>
  <c r="K187" i="9" s="1"/>
  <c r="K188" i="9" s="1"/>
  <c r="K189" i="9" s="1"/>
  <c r="K190" i="9" s="1"/>
  <c r="K191" i="9" s="1"/>
  <c r="K192" i="9" s="1"/>
  <c r="K193" i="9" s="1"/>
  <c r="K194" i="9" s="1"/>
  <c r="K195" i="9" s="1"/>
  <c r="K196" i="9" s="1"/>
  <c r="K197" i="9" s="1"/>
  <c r="K198" i="9" s="1"/>
  <c r="K199" i="9" s="1"/>
  <c r="K200" i="9" s="1"/>
  <c r="K201" i="9" s="1"/>
  <c r="K202" i="9" s="1"/>
  <c r="K203" i="9" s="1"/>
  <c r="K204" i="9" s="1"/>
  <c r="K205" i="9" s="1"/>
  <c r="K206" i="9" s="1"/>
  <c r="K207" i="9" s="1"/>
  <c r="K208" i="9" s="1"/>
  <c r="K209" i="9" s="1"/>
  <c r="K210" i="9" s="1"/>
  <c r="K211" i="9" s="1"/>
  <c r="K212" i="9" s="1"/>
  <c r="K213" i="9" s="1"/>
  <c r="K214" i="9" s="1"/>
  <c r="K215" i="9" s="1"/>
  <c r="K216" i="9" s="1"/>
  <c r="K217" i="9" s="1"/>
  <c r="K218" i="9" s="1"/>
  <c r="K219" i="9" s="1"/>
  <c r="K220" i="9" s="1"/>
  <c r="K221" i="9" s="1"/>
  <c r="K222" i="9" s="1"/>
  <c r="K223" i="9" s="1"/>
  <c r="K224" i="9" s="1"/>
  <c r="K225" i="9" s="1"/>
  <c r="K226" i="9" s="1"/>
  <c r="K227" i="9" s="1"/>
  <c r="K228" i="9" s="1"/>
  <c r="K229" i="9" s="1"/>
  <c r="K230" i="9" s="1"/>
  <c r="K231" i="9" s="1"/>
  <c r="K232" i="9" s="1"/>
  <c r="K233" i="9" s="1"/>
  <c r="K234" i="9" s="1"/>
  <c r="K235" i="9" s="1"/>
  <c r="K236" i="9" s="1"/>
  <c r="K237" i="9" s="1"/>
  <c r="K238" i="9" s="1"/>
  <c r="K239" i="9" s="1"/>
  <c r="K240" i="9" s="1"/>
  <c r="K241" i="9" s="1"/>
  <c r="K242" i="9" s="1"/>
  <c r="K243" i="9" s="1"/>
  <c r="K244" i="9" s="1"/>
  <c r="K245" i="9" s="1"/>
  <c r="K246" i="9" s="1"/>
  <c r="K247" i="9" s="1"/>
  <c r="K248" i="9" s="1"/>
  <c r="K249" i="9" s="1"/>
  <c r="K250" i="9" s="1"/>
  <c r="K251" i="9" s="1"/>
  <c r="K252" i="9" s="1"/>
  <c r="K253" i="9" s="1"/>
  <c r="K254" i="9" s="1"/>
  <c r="K255" i="9" s="1"/>
  <c r="K256" i="9" s="1"/>
  <c r="K257" i="9" s="1"/>
  <c r="K258" i="9" s="1"/>
  <c r="K259" i="9" s="1"/>
  <c r="K260" i="9" s="1"/>
  <c r="K261" i="9" s="1"/>
  <c r="K262" i="9" s="1"/>
  <c r="K263" i="9" s="1"/>
  <c r="K264" i="9" s="1"/>
  <c r="K265" i="9" s="1"/>
  <c r="K266" i="9" s="1"/>
  <c r="K267" i="9" s="1"/>
  <c r="K268" i="9" s="1"/>
  <c r="K269" i="9" s="1"/>
  <c r="K270" i="9" s="1"/>
  <c r="K271" i="9" s="1"/>
  <c r="K272" i="9" s="1"/>
  <c r="K273" i="9" s="1"/>
  <c r="K274" i="9" s="1"/>
  <c r="K275" i="9" s="1"/>
  <c r="K276" i="9" s="1"/>
  <c r="K277" i="9" s="1"/>
  <c r="K278" i="9" s="1"/>
  <c r="K279" i="9" s="1"/>
  <c r="K280" i="9" s="1"/>
  <c r="K281" i="9" s="1"/>
  <c r="K282" i="9" s="1"/>
  <c r="K283" i="9" s="1"/>
  <c r="K284" i="9" s="1"/>
  <c r="K285" i="9" s="1"/>
  <c r="K286" i="9" s="1"/>
  <c r="K287" i="9" s="1"/>
  <c r="K288" i="9" s="1"/>
  <c r="K289" i="9" s="1"/>
  <c r="K290" i="9" s="1"/>
  <c r="K291" i="9" s="1"/>
  <c r="K292" i="9" s="1"/>
  <c r="K293" i="9" s="1"/>
  <c r="K294" i="9" s="1"/>
  <c r="K295" i="9" s="1"/>
  <c r="K296" i="9" s="1"/>
  <c r="K297" i="9" s="1"/>
  <c r="K298" i="9" s="1"/>
  <c r="K299" i="9" s="1"/>
  <c r="K300" i="9" s="1"/>
  <c r="K301" i="9" s="1"/>
  <c r="K302" i="9" s="1"/>
  <c r="K303" i="9" s="1"/>
  <c r="K304" i="9" s="1"/>
  <c r="K305" i="9" s="1"/>
  <c r="K306" i="9" s="1"/>
  <c r="K307" i="9" s="1"/>
  <c r="K308" i="9" s="1"/>
  <c r="K309" i="9" s="1"/>
  <c r="K310" i="9" s="1"/>
  <c r="K311" i="9" s="1"/>
  <c r="K312" i="9" s="1"/>
  <c r="K313" i="9" s="1"/>
  <c r="K314" i="9" s="1"/>
  <c r="K315" i="9" s="1"/>
  <c r="K316" i="9" s="1"/>
  <c r="K317" i="9" s="1"/>
  <c r="K318" i="9" s="1"/>
  <c r="K319" i="9" s="1"/>
  <c r="K320" i="9" s="1"/>
  <c r="K321" i="9" s="1"/>
  <c r="K322" i="9" s="1"/>
  <c r="K323" i="9" s="1"/>
  <c r="K324" i="9" s="1"/>
  <c r="K325" i="9" s="1"/>
  <c r="K326" i="9" s="1"/>
  <c r="K327" i="9" s="1"/>
  <c r="K328" i="9" s="1"/>
  <c r="K329" i="9" s="1"/>
  <c r="K330" i="9" s="1"/>
  <c r="K331" i="9" s="1"/>
  <c r="K332" i="9" s="1"/>
  <c r="K333" i="9" s="1"/>
  <c r="K334" i="9" s="1"/>
  <c r="K335" i="9" s="1"/>
  <c r="K336" i="9" s="1"/>
  <c r="K337" i="9" s="1"/>
  <c r="K338" i="9" s="1"/>
  <c r="K339" i="9" s="1"/>
  <c r="K340" i="9" s="1"/>
  <c r="K341" i="9" s="1"/>
  <c r="K342" i="9" s="1"/>
  <c r="K343" i="9" s="1"/>
  <c r="K344" i="9" s="1"/>
  <c r="K345" i="9" s="1"/>
  <c r="K346" i="9" s="1"/>
  <c r="K347" i="9" s="1"/>
  <c r="K348" i="9" s="1"/>
  <c r="K349" i="9" s="1"/>
  <c r="K350" i="9" s="1"/>
  <c r="K351" i="9" s="1"/>
  <c r="K352" i="9" s="1"/>
  <c r="K353" i="9" s="1"/>
  <c r="K354" i="9" s="1"/>
  <c r="K355" i="9" s="1"/>
  <c r="K356" i="9" s="1"/>
  <c r="K357" i="9" s="1"/>
  <c r="K358" i="9" s="1"/>
  <c r="K359" i="9" s="1"/>
  <c r="K360" i="9" s="1"/>
  <c r="K361" i="9" s="1"/>
  <c r="K362" i="9" s="1"/>
  <c r="K363" i="9" s="1"/>
  <c r="K364" i="9" s="1"/>
  <c r="K365" i="9" s="1"/>
  <c r="K366" i="9" s="1"/>
  <c r="K367" i="9" s="1"/>
  <c r="K368" i="9" s="1"/>
  <c r="K369" i="9" s="1"/>
  <c r="K370" i="9" s="1"/>
  <c r="K371" i="9" s="1"/>
  <c r="K372" i="9" s="1"/>
  <c r="K373" i="9" s="1"/>
  <c r="K374" i="9" s="1"/>
  <c r="K375" i="9" s="1"/>
  <c r="K376" i="9" s="1"/>
  <c r="K377" i="9" s="1"/>
  <c r="K378" i="9" s="1"/>
  <c r="K379" i="9" s="1"/>
  <c r="K380" i="9" s="1"/>
  <c r="K381" i="9" s="1"/>
  <c r="K382" i="9" s="1"/>
  <c r="K383" i="9" s="1"/>
  <c r="K384" i="9" s="1"/>
  <c r="K385" i="9" s="1"/>
  <c r="K386" i="9" s="1"/>
  <c r="K387" i="9" s="1"/>
  <c r="K388" i="9" s="1"/>
  <c r="K389" i="9" s="1"/>
  <c r="K390" i="9" s="1"/>
  <c r="K391" i="9" s="1"/>
  <c r="K392" i="9" s="1"/>
  <c r="K393" i="9" s="1"/>
  <c r="K394" i="9" s="1"/>
  <c r="K395" i="9" s="1"/>
  <c r="K396" i="9" s="1"/>
  <c r="K397" i="9" s="1"/>
  <c r="K398" i="9" s="1"/>
  <c r="K399" i="9" s="1"/>
  <c r="K400" i="9" s="1"/>
  <c r="K401" i="9" s="1"/>
  <c r="K402" i="9" s="1"/>
  <c r="K403" i="9" s="1"/>
  <c r="K404" i="9" s="1"/>
  <c r="K405" i="9" s="1"/>
  <c r="K406" i="9" s="1"/>
  <c r="K407" i="9" s="1"/>
  <c r="K408" i="9" s="1"/>
  <c r="K409" i="9" s="1"/>
  <c r="K410" i="9" s="1"/>
  <c r="K411" i="9" s="1"/>
  <c r="K412" i="9" s="1"/>
  <c r="K413" i="9" s="1"/>
  <c r="K414" i="9" s="1"/>
  <c r="K415" i="9" s="1"/>
  <c r="K416" i="9" s="1"/>
  <c r="K417" i="9" s="1"/>
  <c r="K418" i="9" s="1"/>
  <c r="K419" i="9" s="1"/>
  <c r="K420" i="9" s="1"/>
  <c r="K421" i="9" s="1"/>
  <c r="K422" i="9" s="1"/>
  <c r="K423" i="9" s="1"/>
  <c r="K424" i="9" s="1"/>
  <c r="K425" i="9" s="1"/>
  <c r="K426" i="9" s="1"/>
  <c r="K427" i="9" s="1"/>
  <c r="K428" i="9" s="1"/>
  <c r="K429" i="9" s="1"/>
  <c r="K430" i="9" s="1"/>
  <c r="K431" i="9" s="1"/>
  <c r="K432" i="9" s="1"/>
  <c r="K433" i="9" s="1"/>
  <c r="K434" i="9" s="1"/>
  <c r="K435" i="9" s="1"/>
  <c r="K436" i="9" s="1"/>
  <c r="K437" i="9" s="1"/>
  <c r="K438" i="9" s="1"/>
  <c r="K439" i="9" s="1"/>
  <c r="K440" i="9" s="1"/>
  <c r="K441" i="9" s="1"/>
  <c r="K442" i="9" s="1"/>
  <c r="K443" i="9" s="1"/>
  <c r="K444" i="9" s="1"/>
  <c r="K445" i="9" s="1"/>
  <c r="K446" i="9" s="1"/>
  <c r="K447" i="9" s="1"/>
  <c r="K448" i="9" s="1"/>
  <c r="K449" i="9" s="1"/>
  <c r="K450" i="9" s="1"/>
  <c r="K451" i="9" s="1"/>
  <c r="K452" i="9" s="1"/>
  <c r="K453" i="9" s="1"/>
  <c r="K454" i="9" s="1"/>
  <c r="K455" i="9" s="1"/>
  <c r="K456" i="9" s="1"/>
  <c r="K457" i="9" s="1"/>
  <c r="K458" i="9" s="1"/>
  <c r="K459" i="9" s="1"/>
  <c r="K460" i="9" s="1"/>
  <c r="K461" i="9" s="1"/>
  <c r="K462" i="9" s="1"/>
  <c r="K463" i="9" s="1"/>
  <c r="K464" i="9" s="1"/>
  <c r="K465" i="9" s="1"/>
  <c r="K466" i="9" s="1"/>
  <c r="K467" i="9" s="1"/>
  <c r="K468" i="9" s="1"/>
  <c r="K469" i="9" s="1"/>
  <c r="K470" i="9" s="1"/>
  <c r="K471" i="9" s="1"/>
  <c r="K472" i="9" s="1"/>
  <c r="K473" i="9" s="1"/>
  <c r="K474" i="9" s="1"/>
  <c r="K475" i="9" s="1"/>
  <c r="K476" i="9" s="1"/>
  <c r="K477" i="9" s="1"/>
  <c r="K478" i="9" s="1"/>
  <c r="K479" i="9" s="1"/>
  <c r="K480" i="9" s="1"/>
  <c r="K481" i="9" s="1"/>
  <c r="K482" i="9" s="1"/>
  <c r="K483" i="9" s="1"/>
  <c r="K484" i="9" s="1"/>
  <c r="K485" i="9" s="1"/>
  <c r="K486" i="9" s="1"/>
  <c r="K487" i="9" s="1"/>
  <c r="K488" i="9" s="1"/>
  <c r="K489" i="9" s="1"/>
  <c r="K490" i="9" s="1"/>
  <c r="K491" i="9" s="1"/>
  <c r="K492" i="9" s="1"/>
  <c r="K493" i="9" s="1"/>
  <c r="K494" i="9" s="1"/>
  <c r="K495" i="9" s="1"/>
  <c r="K496" i="9" s="1"/>
  <c r="K497" i="9" s="1"/>
  <c r="J498" i="6"/>
  <c r="B497" i="6"/>
  <c r="J499" i="6" l="1"/>
  <c r="B498" i="6"/>
  <c r="B499" i="6" l="1"/>
  <c r="J500" i="6"/>
  <c r="J501" i="6" l="1"/>
  <c r="B500" i="6"/>
  <c r="B501" i="6" l="1"/>
  <c r="J502" i="6"/>
  <c r="J503" i="6" l="1"/>
  <c r="B502" i="6"/>
  <c r="B503" i="6" l="1"/>
  <c r="J504" i="6"/>
  <c r="J505" i="6" l="1"/>
  <c r="B504" i="6"/>
  <c r="B505" i="6" l="1"/>
  <c r="J506" i="6"/>
  <c r="J507" i="6" l="1"/>
  <c r="B506" i="6"/>
  <c r="J508" i="6" l="1"/>
  <c r="B507" i="6"/>
  <c r="B508" i="6" l="1"/>
  <c r="J509" i="6"/>
  <c r="J510" i="6" l="1"/>
  <c r="B509" i="6"/>
  <c r="J511" i="6" l="1"/>
  <c r="B510" i="6"/>
  <c r="J512" i="6" l="1"/>
  <c r="B511" i="6"/>
  <c r="B512" i="6" l="1"/>
  <c r="J513" i="6"/>
  <c r="J514" i="6" l="1"/>
  <c r="B513" i="6"/>
  <c r="J515" i="6" l="1"/>
  <c r="B514" i="6"/>
  <c r="B515" i="6" l="1"/>
  <c r="J516" i="6"/>
  <c r="J517" i="6" l="1"/>
  <c r="B516" i="6"/>
  <c r="B517" i="6" l="1"/>
  <c r="J518" i="6"/>
  <c r="J519" i="6" l="1"/>
  <c r="B518" i="6"/>
  <c r="B519" i="6" l="1"/>
  <c r="J520" i="6"/>
  <c r="J521" i="6" l="1"/>
  <c r="B520" i="6"/>
  <c r="B521" i="6" l="1"/>
  <c r="J522" i="6"/>
  <c r="J523" i="6" l="1"/>
  <c r="B522" i="6"/>
  <c r="J524" i="6" l="1"/>
  <c r="B523" i="6"/>
  <c r="B524" i="6" l="1"/>
  <c r="J525" i="6"/>
  <c r="J526" i="6" l="1"/>
  <c r="B525" i="6"/>
  <c r="J527" i="6" l="1"/>
  <c r="B526" i="6"/>
  <c r="J528" i="6" l="1"/>
  <c r="B527" i="6"/>
  <c r="B528" i="6" l="1"/>
  <c r="J529" i="6"/>
  <c r="J530" i="6" l="1"/>
  <c r="B529" i="6"/>
  <c r="J531" i="6" l="1"/>
  <c r="B530" i="6"/>
  <c r="B531" i="6" l="1"/>
  <c r="J532" i="6"/>
  <c r="J533" i="6" l="1"/>
  <c r="B532" i="6"/>
  <c r="B533" i="6" l="1"/>
  <c r="J534" i="6"/>
  <c r="J535" i="6" l="1"/>
  <c r="B534" i="6"/>
  <c r="B535" i="6" l="1"/>
  <c r="J536" i="6"/>
  <c r="J537" i="6" l="1"/>
  <c r="B536" i="6"/>
  <c r="B537" i="6" l="1"/>
  <c r="J538" i="6"/>
  <c r="J539" i="6" l="1"/>
  <c r="B538" i="6"/>
  <c r="J540" i="6" l="1"/>
  <c r="B539" i="6"/>
  <c r="B540" i="6" l="1"/>
  <c r="J541" i="6"/>
  <c r="J542" i="6" l="1"/>
  <c r="B541" i="6"/>
  <c r="J543" i="6" l="1"/>
  <c r="B542" i="6"/>
  <c r="J544" i="6" l="1"/>
  <c r="B543" i="6"/>
  <c r="B544" i="6" l="1"/>
  <c r="J545" i="6"/>
  <c r="B545" i="6" l="1"/>
  <c r="J546" i="6"/>
  <c r="J547" i="6" l="1"/>
  <c r="B546" i="6"/>
  <c r="B547" i="6" l="1"/>
  <c r="J548" i="6"/>
  <c r="J549" i="6" l="1"/>
  <c r="B548" i="6"/>
  <c r="B549" i="6" l="1"/>
  <c r="J550" i="6"/>
  <c r="J551" i="6" l="1"/>
  <c r="B550" i="6"/>
  <c r="B551" i="6" l="1"/>
  <c r="J552" i="6"/>
  <c r="B552" i="6" l="1"/>
  <c r="J553" i="6"/>
  <c r="B553" i="6" l="1"/>
  <c r="J554" i="6"/>
  <c r="J555" i="6" l="1"/>
  <c r="B554" i="6"/>
  <c r="J556" i="6" l="1"/>
  <c r="B555" i="6"/>
  <c r="B556" i="6" l="1"/>
  <c r="J557" i="6"/>
  <c r="J558" i="6" l="1"/>
  <c r="B557" i="6"/>
  <c r="J559" i="6" l="1"/>
  <c r="B558" i="6"/>
  <c r="B559" i="6" l="1"/>
  <c r="J560" i="6"/>
  <c r="B560" i="6" l="1"/>
  <c r="J561" i="6"/>
  <c r="J562" i="6" l="1"/>
  <c r="B561" i="6"/>
  <c r="J563" i="6" l="1"/>
  <c r="B562" i="6"/>
  <c r="B563" i="6" l="1"/>
  <c r="J564" i="6"/>
  <c r="B564" i="6" l="1"/>
  <c r="J565" i="6"/>
  <c r="J566" i="6" l="1"/>
  <c r="B565" i="6"/>
  <c r="J567" i="6" l="1"/>
  <c r="B566" i="6"/>
  <c r="J568" i="6" l="1"/>
  <c r="B567" i="6"/>
  <c r="B568" i="6" l="1"/>
  <c r="J569" i="6"/>
  <c r="J570" i="6" l="1"/>
  <c r="B569" i="6"/>
  <c r="B570" i="6" l="1"/>
  <c r="J571" i="6"/>
  <c r="J572" i="6" l="1"/>
  <c r="B571" i="6"/>
  <c r="B572" i="6" l="1"/>
  <c r="J573" i="6"/>
  <c r="J574" i="6" l="1"/>
  <c r="B573" i="6"/>
  <c r="B574" i="6" l="1"/>
  <c r="J575" i="6"/>
  <c r="J576" i="6" l="1"/>
  <c r="B575" i="6"/>
  <c r="J577" i="6" l="1"/>
  <c r="B576" i="6"/>
  <c r="B577" i="6" l="1"/>
  <c r="J578" i="6"/>
  <c r="J579" i="6" l="1"/>
  <c r="B578" i="6"/>
  <c r="J580" i="6" l="1"/>
  <c r="B579" i="6"/>
  <c r="J581" i="6" l="1"/>
  <c r="B580" i="6"/>
  <c r="B581" i="6" l="1"/>
  <c r="J582" i="6"/>
  <c r="B582" i="6" l="1"/>
  <c r="J583" i="6"/>
  <c r="J584" i="6" l="1"/>
  <c r="B583" i="6"/>
  <c r="B584" i="6" l="1"/>
  <c r="J585" i="6"/>
  <c r="J586" i="6" l="1"/>
  <c r="B585" i="6"/>
  <c r="B586" i="6" l="1"/>
  <c r="J587" i="6"/>
  <c r="J588" i="6" l="1"/>
  <c r="B587" i="6"/>
  <c r="B588" i="6" l="1"/>
  <c r="J589" i="6"/>
  <c r="B589" i="6" l="1"/>
  <c r="J590" i="6"/>
  <c r="B590" i="6" l="1"/>
  <c r="J591" i="6"/>
  <c r="J592" i="6" l="1"/>
  <c r="B591" i="6"/>
  <c r="J593" i="6" l="1"/>
  <c r="B592" i="6"/>
  <c r="B593" i="6" l="1"/>
  <c r="K2" i="6"/>
  <c r="K3" i="6" s="1"/>
  <c r="K4" i="6" s="1"/>
  <c r="K5" i="6" s="1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109" i="6" s="1"/>
  <c r="K110" i="6" s="1"/>
  <c r="K111" i="6" s="1"/>
  <c r="K112" i="6" s="1"/>
  <c r="K113" i="6" s="1"/>
  <c r="K114" i="6" s="1"/>
  <c r="K115" i="6" s="1"/>
  <c r="K116" i="6" s="1"/>
  <c r="K117" i="6" s="1"/>
  <c r="K118" i="6" s="1"/>
  <c r="K119" i="6" s="1"/>
  <c r="K120" i="6" s="1"/>
  <c r="K121" i="6" s="1"/>
  <c r="K122" i="6" s="1"/>
  <c r="K123" i="6" s="1"/>
  <c r="K124" i="6" s="1"/>
  <c r="K125" i="6" s="1"/>
  <c r="K126" i="6" s="1"/>
  <c r="K127" i="6" s="1"/>
  <c r="K128" i="6" s="1"/>
  <c r="K129" i="6" s="1"/>
  <c r="K130" i="6" s="1"/>
  <c r="K131" i="6" s="1"/>
  <c r="K132" i="6" s="1"/>
  <c r="K133" i="6" s="1"/>
  <c r="K134" i="6" s="1"/>
  <c r="K135" i="6" s="1"/>
  <c r="K136" i="6" s="1"/>
  <c r="K137" i="6" s="1"/>
  <c r="K138" i="6" s="1"/>
  <c r="K139" i="6" s="1"/>
  <c r="K140" i="6" s="1"/>
  <c r="K141" i="6" s="1"/>
  <c r="K142" i="6" s="1"/>
  <c r="K143" i="6" s="1"/>
  <c r="K144" i="6" s="1"/>
  <c r="K145" i="6" s="1"/>
  <c r="K146" i="6" s="1"/>
  <c r="K147" i="6" s="1"/>
  <c r="K148" i="6" s="1"/>
  <c r="K149" i="6" s="1"/>
  <c r="K150" i="6" s="1"/>
  <c r="K151" i="6" s="1"/>
  <c r="K152" i="6" s="1"/>
  <c r="K153" i="6" s="1"/>
  <c r="K154" i="6" s="1"/>
  <c r="K155" i="6" s="1"/>
  <c r="K156" i="6" s="1"/>
  <c r="K157" i="6" s="1"/>
  <c r="K158" i="6" s="1"/>
  <c r="K159" i="6" s="1"/>
  <c r="K160" i="6" s="1"/>
  <c r="K161" i="6" s="1"/>
  <c r="K162" i="6" s="1"/>
  <c r="K163" i="6" s="1"/>
  <c r="K164" i="6" s="1"/>
  <c r="K165" i="6" s="1"/>
  <c r="K166" i="6" s="1"/>
  <c r="K167" i="6" s="1"/>
  <c r="K168" i="6" s="1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93" i="6" s="1"/>
  <c r="K194" i="6" s="1"/>
  <c r="K195" i="6" s="1"/>
  <c r="K196" i="6" s="1"/>
  <c r="K197" i="6" s="1"/>
  <c r="K198" i="6" s="1"/>
  <c r="K199" i="6" s="1"/>
  <c r="K200" i="6" s="1"/>
  <c r="K201" i="6" s="1"/>
  <c r="K202" i="6" s="1"/>
  <c r="K203" i="6" s="1"/>
  <c r="K204" i="6" s="1"/>
  <c r="K205" i="6" s="1"/>
  <c r="K206" i="6" s="1"/>
  <c r="K207" i="6" s="1"/>
  <c r="K208" i="6" s="1"/>
  <c r="K209" i="6" s="1"/>
  <c r="K210" i="6" s="1"/>
  <c r="K211" i="6" s="1"/>
  <c r="K212" i="6" s="1"/>
  <c r="K213" i="6" s="1"/>
  <c r="K214" i="6" s="1"/>
  <c r="K215" i="6" s="1"/>
  <c r="K216" i="6" s="1"/>
  <c r="K217" i="6" s="1"/>
  <c r="K218" i="6" s="1"/>
  <c r="K219" i="6" s="1"/>
  <c r="K220" i="6" s="1"/>
  <c r="K221" i="6" s="1"/>
  <c r="K222" i="6" s="1"/>
  <c r="K223" i="6" s="1"/>
  <c r="K224" i="6" s="1"/>
  <c r="K225" i="6" s="1"/>
  <c r="K226" i="6" s="1"/>
  <c r="K227" i="6" s="1"/>
  <c r="K228" i="6" s="1"/>
  <c r="K229" i="6" s="1"/>
  <c r="K230" i="6" s="1"/>
  <c r="K231" i="6" s="1"/>
  <c r="K232" i="6" s="1"/>
  <c r="K233" i="6" s="1"/>
  <c r="K234" i="6" s="1"/>
  <c r="K235" i="6" s="1"/>
  <c r="K236" i="6" s="1"/>
  <c r="K237" i="6" s="1"/>
  <c r="K238" i="6" s="1"/>
  <c r="K239" i="6" s="1"/>
  <c r="K240" i="6" s="1"/>
  <c r="K241" i="6" s="1"/>
  <c r="K242" i="6" s="1"/>
  <c r="K243" i="6" s="1"/>
  <c r="K244" i="6" s="1"/>
  <c r="K245" i="6" s="1"/>
  <c r="K246" i="6" s="1"/>
  <c r="K247" i="6" s="1"/>
  <c r="K248" i="6" s="1"/>
  <c r="K249" i="6" s="1"/>
  <c r="K250" i="6" s="1"/>
  <c r="K251" i="6" s="1"/>
  <c r="K252" i="6" s="1"/>
  <c r="K253" i="6" s="1"/>
  <c r="K254" i="6" s="1"/>
  <c r="K255" i="6" s="1"/>
  <c r="K256" i="6" s="1"/>
  <c r="K257" i="6" s="1"/>
  <c r="K258" i="6" s="1"/>
  <c r="K259" i="6" s="1"/>
  <c r="K260" i="6" s="1"/>
  <c r="K261" i="6" s="1"/>
  <c r="K262" i="6" s="1"/>
  <c r="K263" i="6" s="1"/>
  <c r="K264" i="6" s="1"/>
  <c r="K265" i="6" s="1"/>
  <c r="K266" i="6" s="1"/>
  <c r="K267" i="6" s="1"/>
  <c r="K268" i="6" s="1"/>
  <c r="K269" i="6" s="1"/>
  <c r="K270" i="6" s="1"/>
  <c r="K271" i="6" s="1"/>
  <c r="K272" i="6" s="1"/>
  <c r="K273" i="6" s="1"/>
  <c r="K274" i="6" s="1"/>
  <c r="K275" i="6" s="1"/>
  <c r="K276" i="6" s="1"/>
  <c r="K277" i="6" s="1"/>
  <c r="K278" i="6" s="1"/>
  <c r="K279" i="6" s="1"/>
  <c r="K280" i="6" s="1"/>
  <c r="K281" i="6" s="1"/>
  <c r="K282" i="6" s="1"/>
  <c r="K283" i="6" s="1"/>
  <c r="K284" i="6" s="1"/>
  <c r="K285" i="6" s="1"/>
  <c r="K286" i="6" s="1"/>
  <c r="K287" i="6" s="1"/>
  <c r="K288" i="6" s="1"/>
  <c r="K289" i="6" s="1"/>
  <c r="K290" i="6" s="1"/>
  <c r="K291" i="6" s="1"/>
  <c r="K292" i="6" s="1"/>
  <c r="K293" i="6" s="1"/>
  <c r="K294" i="6" s="1"/>
  <c r="K295" i="6" s="1"/>
  <c r="K296" i="6" s="1"/>
  <c r="K297" i="6" s="1"/>
  <c r="K298" i="6" s="1"/>
  <c r="K299" i="6" s="1"/>
  <c r="K300" i="6" s="1"/>
  <c r="K301" i="6" s="1"/>
  <c r="K302" i="6" s="1"/>
  <c r="K303" i="6" s="1"/>
  <c r="K304" i="6" s="1"/>
  <c r="K305" i="6" s="1"/>
  <c r="K306" i="6" s="1"/>
  <c r="K307" i="6" s="1"/>
  <c r="K308" i="6" s="1"/>
  <c r="K309" i="6" s="1"/>
  <c r="K310" i="6" s="1"/>
  <c r="K311" i="6" s="1"/>
  <c r="K312" i="6" s="1"/>
  <c r="K313" i="6" s="1"/>
  <c r="K314" i="6" s="1"/>
  <c r="K315" i="6" s="1"/>
  <c r="K316" i="6" s="1"/>
  <c r="K317" i="6" s="1"/>
  <c r="K318" i="6" s="1"/>
  <c r="K319" i="6" s="1"/>
  <c r="K320" i="6" s="1"/>
  <c r="K321" i="6" s="1"/>
  <c r="K322" i="6" s="1"/>
  <c r="K323" i="6" s="1"/>
  <c r="K324" i="6" s="1"/>
  <c r="K325" i="6" s="1"/>
  <c r="K326" i="6" s="1"/>
  <c r="K327" i="6" s="1"/>
  <c r="K328" i="6" s="1"/>
  <c r="K329" i="6" s="1"/>
  <c r="K330" i="6" s="1"/>
  <c r="K331" i="6" s="1"/>
  <c r="K332" i="6" s="1"/>
  <c r="K333" i="6" s="1"/>
  <c r="K334" i="6" s="1"/>
  <c r="K335" i="6" s="1"/>
  <c r="K336" i="6" s="1"/>
  <c r="K337" i="6" s="1"/>
  <c r="K338" i="6" s="1"/>
  <c r="K339" i="6" s="1"/>
  <c r="K340" i="6" s="1"/>
  <c r="K341" i="6" s="1"/>
  <c r="K342" i="6" s="1"/>
  <c r="K343" i="6" s="1"/>
  <c r="K344" i="6" s="1"/>
  <c r="K345" i="6" s="1"/>
  <c r="K346" i="6" s="1"/>
  <c r="K347" i="6" s="1"/>
  <c r="K348" i="6" s="1"/>
  <c r="K349" i="6" s="1"/>
  <c r="K350" i="6" s="1"/>
  <c r="K351" i="6" s="1"/>
  <c r="K352" i="6" s="1"/>
  <c r="K353" i="6" s="1"/>
  <c r="K354" i="6" s="1"/>
  <c r="K355" i="6" s="1"/>
  <c r="K356" i="6" s="1"/>
  <c r="K357" i="6" s="1"/>
  <c r="K358" i="6" s="1"/>
  <c r="K359" i="6" s="1"/>
  <c r="K360" i="6" s="1"/>
  <c r="K361" i="6" s="1"/>
  <c r="K362" i="6" s="1"/>
  <c r="K363" i="6" s="1"/>
  <c r="K364" i="6" s="1"/>
  <c r="K365" i="6" s="1"/>
  <c r="K366" i="6" s="1"/>
  <c r="K367" i="6" s="1"/>
  <c r="K368" i="6" s="1"/>
  <c r="K369" i="6" s="1"/>
  <c r="K370" i="6" s="1"/>
  <c r="K371" i="6" s="1"/>
  <c r="K372" i="6" s="1"/>
  <c r="K373" i="6" s="1"/>
  <c r="K374" i="6" s="1"/>
  <c r="K375" i="6" s="1"/>
  <c r="K376" i="6" s="1"/>
  <c r="K377" i="6" s="1"/>
  <c r="K378" i="6" s="1"/>
  <c r="K379" i="6" s="1"/>
  <c r="K380" i="6" s="1"/>
  <c r="K381" i="6" s="1"/>
  <c r="K382" i="6" s="1"/>
  <c r="K383" i="6" s="1"/>
  <c r="K384" i="6" s="1"/>
  <c r="K385" i="6" s="1"/>
  <c r="K386" i="6" s="1"/>
  <c r="K387" i="6" s="1"/>
  <c r="K388" i="6" s="1"/>
  <c r="K389" i="6" s="1"/>
  <c r="K390" i="6" s="1"/>
  <c r="K391" i="6" s="1"/>
  <c r="K392" i="6" s="1"/>
  <c r="K393" i="6" s="1"/>
  <c r="K394" i="6" s="1"/>
  <c r="K395" i="6" s="1"/>
  <c r="K396" i="6" s="1"/>
  <c r="K397" i="6" s="1"/>
  <c r="K398" i="6" s="1"/>
  <c r="K399" i="6" s="1"/>
  <c r="K400" i="6" s="1"/>
  <c r="K401" i="6" s="1"/>
  <c r="K402" i="6" s="1"/>
  <c r="K403" i="6" s="1"/>
  <c r="K404" i="6" s="1"/>
  <c r="K405" i="6" s="1"/>
  <c r="K406" i="6" s="1"/>
  <c r="K407" i="6" s="1"/>
  <c r="K408" i="6" s="1"/>
  <c r="K409" i="6" s="1"/>
  <c r="K410" i="6" s="1"/>
  <c r="K411" i="6" s="1"/>
  <c r="K412" i="6" s="1"/>
  <c r="K413" i="6" s="1"/>
  <c r="K414" i="6" s="1"/>
  <c r="K415" i="6" s="1"/>
  <c r="K416" i="6" s="1"/>
  <c r="K417" i="6" s="1"/>
  <c r="K418" i="6" s="1"/>
  <c r="K419" i="6" s="1"/>
  <c r="K420" i="6" s="1"/>
  <c r="K421" i="6" s="1"/>
  <c r="K422" i="6" s="1"/>
  <c r="K423" i="6" s="1"/>
  <c r="K424" i="6" s="1"/>
  <c r="K425" i="6" s="1"/>
  <c r="K426" i="6" s="1"/>
  <c r="K427" i="6" s="1"/>
  <c r="K428" i="6" s="1"/>
  <c r="K429" i="6" s="1"/>
  <c r="K430" i="6" s="1"/>
  <c r="K431" i="6" s="1"/>
  <c r="K432" i="6" s="1"/>
  <c r="K433" i="6" s="1"/>
  <c r="K434" i="6" s="1"/>
  <c r="K435" i="6" s="1"/>
  <c r="K436" i="6" s="1"/>
  <c r="K437" i="6" s="1"/>
  <c r="K438" i="6" s="1"/>
  <c r="K439" i="6" s="1"/>
  <c r="K440" i="6" s="1"/>
  <c r="K441" i="6" s="1"/>
  <c r="K442" i="6" s="1"/>
  <c r="K443" i="6" s="1"/>
  <c r="K444" i="6" s="1"/>
  <c r="K445" i="6" s="1"/>
  <c r="K446" i="6" s="1"/>
  <c r="K447" i="6" s="1"/>
  <c r="K448" i="6" s="1"/>
  <c r="K449" i="6" s="1"/>
  <c r="K450" i="6" s="1"/>
  <c r="K451" i="6" s="1"/>
  <c r="K452" i="6" s="1"/>
  <c r="K453" i="6" s="1"/>
  <c r="K454" i="6" s="1"/>
  <c r="K455" i="6" s="1"/>
  <c r="K456" i="6" s="1"/>
  <c r="K457" i="6" s="1"/>
  <c r="K458" i="6" s="1"/>
  <c r="K459" i="6" s="1"/>
  <c r="K460" i="6" s="1"/>
  <c r="K461" i="6" s="1"/>
  <c r="K462" i="6" s="1"/>
  <c r="K463" i="6" s="1"/>
  <c r="K464" i="6" s="1"/>
  <c r="K465" i="6" s="1"/>
  <c r="K466" i="6" s="1"/>
  <c r="K467" i="6" s="1"/>
  <c r="K468" i="6" s="1"/>
  <c r="K469" i="6" s="1"/>
  <c r="K470" i="6" s="1"/>
  <c r="K471" i="6" s="1"/>
  <c r="K472" i="6" s="1"/>
  <c r="K473" i="6" s="1"/>
  <c r="K474" i="6" s="1"/>
  <c r="K475" i="6" s="1"/>
  <c r="K476" i="6" s="1"/>
  <c r="K477" i="6" s="1"/>
  <c r="K478" i="6" s="1"/>
  <c r="K479" i="6" s="1"/>
  <c r="K480" i="6" s="1"/>
  <c r="K481" i="6" s="1"/>
  <c r="K482" i="6" s="1"/>
  <c r="K483" i="6" s="1"/>
  <c r="K484" i="6" s="1"/>
  <c r="K485" i="6" s="1"/>
  <c r="K486" i="6" s="1"/>
  <c r="K487" i="6" s="1"/>
  <c r="K488" i="6" s="1"/>
  <c r="K489" i="6" s="1"/>
  <c r="K490" i="6" s="1"/>
  <c r="K491" i="6" s="1"/>
  <c r="K492" i="6" s="1"/>
  <c r="K493" i="6" s="1"/>
  <c r="K494" i="6" s="1"/>
  <c r="K495" i="6" s="1"/>
  <c r="K496" i="6" s="1"/>
  <c r="K497" i="6" s="1"/>
  <c r="K498" i="6" s="1"/>
  <c r="K499" i="6" s="1"/>
  <c r="K500" i="6" s="1"/>
  <c r="K501" i="6" s="1"/>
  <c r="K502" i="6" s="1"/>
  <c r="K503" i="6" s="1"/>
  <c r="K504" i="6" s="1"/>
  <c r="K505" i="6" s="1"/>
  <c r="K506" i="6" s="1"/>
  <c r="K507" i="6" s="1"/>
  <c r="K508" i="6" s="1"/>
  <c r="K509" i="6" s="1"/>
  <c r="K510" i="6" s="1"/>
  <c r="K511" i="6" s="1"/>
  <c r="K512" i="6" s="1"/>
  <c r="K513" i="6" s="1"/>
  <c r="K514" i="6" s="1"/>
  <c r="K515" i="6" s="1"/>
  <c r="K516" i="6" s="1"/>
  <c r="K517" i="6" s="1"/>
  <c r="K518" i="6" s="1"/>
  <c r="K519" i="6" s="1"/>
  <c r="K520" i="6" s="1"/>
  <c r="K521" i="6" s="1"/>
  <c r="K522" i="6" s="1"/>
  <c r="K523" i="6" s="1"/>
  <c r="K524" i="6" s="1"/>
  <c r="K525" i="6" s="1"/>
  <c r="K526" i="6" s="1"/>
  <c r="K527" i="6" s="1"/>
  <c r="K528" i="6" s="1"/>
  <c r="K529" i="6" s="1"/>
  <c r="K530" i="6" s="1"/>
  <c r="K531" i="6" s="1"/>
  <c r="K532" i="6" s="1"/>
  <c r="K533" i="6" s="1"/>
  <c r="K534" i="6" s="1"/>
  <c r="K535" i="6" s="1"/>
  <c r="K536" i="6" s="1"/>
  <c r="K537" i="6" s="1"/>
  <c r="K538" i="6" s="1"/>
  <c r="K539" i="6" s="1"/>
  <c r="K540" i="6" s="1"/>
  <c r="K541" i="6" s="1"/>
  <c r="K542" i="6" s="1"/>
  <c r="K543" i="6" s="1"/>
  <c r="K544" i="6" s="1"/>
  <c r="K545" i="6" s="1"/>
  <c r="K546" i="6" s="1"/>
  <c r="K547" i="6" s="1"/>
  <c r="K548" i="6" s="1"/>
  <c r="K549" i="6" s="1"/>
  <c r="K550" i="6" s="1"/>
  <c r="K551" i="6" s="1"/>
  <c r="K552" i="6" s="1"/>
  <c r="K553" i="6" s="1"/>
  <c r="K554" i="6" s="1"/>
  <c r="K555" i="6" s="1"/>
  <c r="K556" i="6" s="1"/>
  <c r="K557" i="6" s="1"/>
  <c r="K558" i="6" s="1"/>
  <c r="K559" i="6" s="1"/>
  <c r="K560" i="6" s="1"/>
  <c r="K561" i="6" s="1"/>
  <c r="K562" i="6" s="1"/>
  <c r="K563" i="6" s="1"/>
  <c r="K564" i="6" s="1"/>
  <c r="K565" i="6" s="1"/>
  <c r="K566" i="6" s="1"/>
  <c r="K567" i="6" s="1"/>
  <c r="K568" i="6" s="1"/>
  <c r="K569" i="6" s="1"/>
  <c r="K570" i="6" s="1"/>
  <c r="K571" i="6" s="1"/>
  <c r="K572" i="6" s="1"/>
  <c r="K573" i="6" s="1"/>
  <c r="K574" i="6" s="1"/>
  <c r="K575" i="6" s="1"/>
  <c r="K576" i="6" s="1"/>
  <c r="K577" i="6" s="1"/>
  <c r="K578" i="6" s="1"/>
  <c r="K579" i="6" s="1"/>
  <c r="K580" i="6" s="1"/>
  <c r="K581" i="6" s="1"/>
  <c r="K582" i="6" s="1"/>
  <c r="K583" i="6" s="1"/>
  <c r="K584" i="6" s="1"/>
  <c r="K585" i="6" s="1"/>
  <c r="K586" i="6" s="1"/>
  <c r="K587" i="6" s="1"/>
  <c r="K588" i="6" s="1"/>
  <c r="K589" i="6" s="1"/>
  <c r="K590" i="6" s="1"/>
  <c r="K591" i="6" s="1"/>
  <c r="K592" i="6" s="1"/>
  <c r="K59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44" authorId="0" shapeId="0" xr:uid="{33E41DAC-AF90-4E7A-B795-00F711F00EB8}">
      <text>
        <r>
          <rPr>
            <sz val="11"/>
            <color theme="1"/>
            <rFont val="Calibri"/>
            <scheme val="minor"/>
          </rPr>
          <t>======
ID#AAABsgzv_Ls
Allan Beutinger de Mattos    (2025-10-16 03:25:08)
ou 65.076,00</t>
        </r>
      </text>
    </comment>
    <comment ref="F159" authorId="0" shapeId="0" xr:uid="{7F0F4898-1BEB-47F5-9AAA-1C85223BEDBD}">
      <text>
        <r>
          <rPr>
            <sz val="11"/>
            <color theme="1"/>
            <rFont val="Calibri"/>
            <scheme val="minor"/>
          </rPr>
          <t>======
ID#AAABsgzv_L0
Allan Beutinger de Mattos    (2025-10-16 03:25:08)
ou 71.780,95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44" authorId="0" shapeId="0" xr:uid="{1B91DD33-9B8D-4380-8663-B4DBC3A9A0D8}">
      <text>
        <r>
          <rPr>
            <sz val="11"/>
            <color theme="1"/>
            <rFont val="Calibri"/>
            <scheme val="minor"/>
          </rPr>
          <t>======
ID#AAABsgzv_Ls
Allan Beutinger de Mattos    (2025-10-16 03:25:08)
ou 65.076,00</t>
        </r>
      </text>
    </comment>
    <comment ref="F159" authorId="0" shapeId="0" xr:uid="{32F595CD-38CC-47A9-BF5B-6C5900BEAAB1}">
      <text>
        <r>
          <rPr>
            <sz val="11"/>
            <color theme="1"/>
            <rFont val="Calibri"/>
            <scheme val="minor"/>
          </rPr>
          <t>======
ID#AAABsgzv_L0
Allan Beutinger de Mattos    (2025-10-16 03:25:08)
ou 71.780,95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23" authorId="0" shapeId="0" xr:uid="{7E72B321-4A7B-4024-AA30-743DBDA125C7}">
      <text>
        <r>
          <rPr>
            <sz val="11"/>
            <color theme="1"/>
            <rFont val="Calibri"/>
            <scheme val="minor"/>
          </rPr>
          <t>======
ID#AAABsgzv_Lc
Allan Beutinger de Mattos    (2025-10-16 03:25:08)
ou 59.253,07</t>
        </r>
      </text>
    </comment>
    <comment ref="F335" authorId="0" shapeId="0" xr:uid="{42B599FE-564F-4011-9CB0-B64969E17E72}">
      <text>
        <r>
          <rPr>
            <sz val="11"/>
            <color theme="1"/>
            <rFont val="Calibri"/>
            <scheme val="minor"/>
          </rPr>
          <t>======
ID#AAABsgzv_Lo
Allan Beutinger de Mattos    (2025-10-16 03:25:08)
ou 159.667,00</t>
        </r>
      </text>
    </comment>
    <comment ref="F415" authorId="0" shapeId="0" xr:uid="{56D151FC-BE32-4B5E-A5B4-07A63B1CC964}">
      <text>
        <r>
          <rPr>
            <sz val="11"/>
            <color theme="1"/>
            <rFont val="Calibri"/>
            <scheme val="minor"/>
          </rPr>
          <t>======
ID#AAABsgzv_Lw
Allan Beutinger de Mattos    (2025-10-16 03:25:08)
ou 195.832,93</t>
        </r>
      </text>
    </comment>
    <comment ref="F461" authorId="0" shapeId="0" xr:uid="{5844A3AC-2713-49D4-836C-7CD3DA1E07F6}">
      <text>
        <r>
          <rPr>
            <sz val="11"/>
            <color theme="1"/>
            <rFont val="Calibri"/>
            <scheme val="minor"/>
          </rPr>
          <t>======
ID#AAABsgzv_Lg
Allan Beutinger de Mattos    (2025-10-16 03:25:08)
ou 217.863,79</t>
        </r>
      </text>
    </comment>
    <comment ref="F514" authorId="0" shapeId="0" xr:uid="{DEBB6B4C-700A-46D2-AC5D-5AC291A51DF1}">
      <text>
        <r>
          <rPr>
            <sz val="11"/>
            <color theme="1"/>
            <rFont val="Calibri"/>
            <scheme val="minor"/>
          </rPr>
          <t>======
ID#AAABsgzv_Lk
Allan Beutinger de Mattos    (2025-10-16 03:25:08)
ou 240.838,73</t>
        </r>
      </text>
    </comment>
    <comment ref="F554" authorId="0" shapeId="0" xr:uid="{8D2530DB-88E0-47E3-8642-35E1D87C9554}">
      <text>
        <r>
          <rPr>
            <sz val="11"/>
            <color theme="1"/>
            <rFont val="Calibri"/>
            <scheme val="minor"/>
          </rPr>
          <t>======
ID#AAABsgzv_L4
Allan Beutinger de Mattos    (2025-10-16 03:25:08)
ou 259.620,07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23" authorId="0" shapeId="0" xr:uid="{8A20BA94-079A-4A01-95F3-512DE8D066F5}">
      <text>
        <r>
          <rPr>
            <sz val="11"/>
            <color theme="1"/>
            <rFont val="Calibri"/>
            <scheme val="minor"/>
          </rPr>
          <t>======
ID#AAABsgzv_Lc
Allan Beutinger de Mattos    (2025-10-16 03:25:08)
ou 59.253,07</t>
        </r>
      </text>
    </comment>
    <comment ref="F335" authorId="0" shapeId="0" xr:uid="{087E0067-584C-40D5-A2F2-E7AD0ECE5CBF}">
      <text>
        <r>
          <rPr>
            <sz val="11"/>
            <color theme="1"/>
            <rFont val="Calibri"/>
            <scheme val="minor"/>
          </rPr>
          <t>======
ID#AAABsgzv_Lo
Allan Beutinger de Mattos    (2025-10-16 03:25:08)
ou 159.667,00</t>
        </r>
      </text>
    </comment>
    <comment ref="F415" authorId="0" shapeId="0" xr:uid="{2FF4CEF5-D202-4075-85C4-4CBDE15AEB8A}">
      <text>
        <r>
          <rPr>
            <sz val="11"/>
            <color theme="1"/>
            <rFont val="Calibri"/>
            <scheme val="minor"/>
          </rPr>
          <t>======
ID#AAABsgzv_Lw
Allan Beutinger de Mattos    (2025-10-16 03:25:08)
ou 195.832,93</t>
        </r>
      </text>
    </comment>
    <comment ref="F461" authorId="0" shapeId="0" xr:uid="{47160AD1-ABA1-4CBC-ACF3-5EF439575361}">
      <text>
        <r>
          <rPr>
            <sz val="11"/>
            <color theme="1"/>
            <rFont val="Calibri"/>
            <scheme val="minor"/>
          </rPr>
          <t>======
ID#AAABsgzv_Lg
Allan Beutinger de Mattos    (2025-10-16 03:25:08)
ou 217.863,79</t>
        </r>
      </text>
    </comment>
    <comment ref="F514" authorId="0" shapeId="0" xr:uid="{F26F4299-D662-4A5F-857A-AF1DA6259B6F}">
      <text>
        <r>
          <rPr>
            <sz val="11"/>
            <color theme="1"/>
            <rFont val="Calibri"/>
            <scheme val="minor"/>
          </rPr>
          <t>======
ID#AAABsgzv_Lk
Allan Beutinger de Mattos    (2025-10-16 03:25:08)
ou 240.838,73</t>
        </r>
      </text>
    </comment>
    <comment ref="F554" authorId="0" shapeId="0" xr:uid="{9AABD57F-F286-4A27-AC84-B2F1FF346130}">
      <text>
        <r>
          <rPr>
            <sz val="11"/>
            <color theme="1"/>
            <rFont val="Calibri"/>
            <scheme val="minor"/>
          </rPr>
          <t>======
ID#AAABsgzv_L4
Allan Beutinger de Mattos    (2025-10-16 03:25:08)
ou 259.620,07</t>
        </r>
      </text>
    </comment>
  </commentList>
</comments>
</file>

<file path=xl/sharedStrings.xml><?xml version="1.0" encoding="utf-8"?>
<sst xmlns="http://schemas.openxmlformats.org/spreadsheetml/2006/main" count="37238" uniqueCount="1540">
  <si>
    <t>BAC</t>
  </si>
  <si>
    <t>Fases</t>
  </si>
  <si>
    <t>LT</t>
  </si>
  <si>
    <t>NVT</t>
  </si>
  <si>
    <t>TSN</t>
  </si>
  <si>
    <t>CONCESSÕES</t>
  </si>
  <si>
    <t>Descrição Instalação</t>
  </si>
  <si>
    <t>Descrição Localização</t>
  </si>
  <si>
    <t>REGRESSSIVA</t>
  </si>
  <si>
    <t>DESCRIÇÃO DE LOCALIZAÇÃO</t>
  </si>
  <si>
    <t>COMPRIMENTO DO VÃO VANTE</t>
  </si>
  <si>
    <t xml:space="preserve">DISTÂNCIA PROGRESSIVA </t>
  </si>
  <si>
    <t xml:space="preserve">DISTÂNCIA REGRESSIVA </t>
  </si>
  <si>
    <t>SERRA DA MESA-SERRA DA MESA II</t>
  </si>
  <si>
    <t>PÓRTICO SERRA DA MESA</t>
  </si>
  <si>
    <t>TORRE 001</t>
  </si>
  <si>
    <t>PÓRTICO SERRA DA MESA II</t>
  </si>
  <si>
    <t>TORRE 84</t>
  </si>
  <si>
    <t>TORRE 050</t>
  </si>
  <si>
    <t>TORRE 051</t>
  </si>
  <si>
    <t>TORRE 002</t>
  </si>
  <si>
    <t>TORRE 83</t>
  </si>
  <si>
    <t>SOBREALCANCE</t>
  </si>
  <si>
    <t>TORRE 003</t>
  </si>
  <si>
    <t>TORRE 82</t>
  </si>
  <si>
    <t>TORRE 004</t>
  </si>
  <si>
    <t>TORRE 81</t>
  </si>
  <si>
    <t>TORRE 005</t>
  </si>
  <si>
    <t>TORRE 80</t>
  </si>
  <si>
    <t>TORRE 006</t>
  </si>
  <si>
    <t>TORRE 79</t>
  </si>
  <si>
    <t>TORRE 007</t>
  </si>
  <si>
    <t>TORRE 78</t>
  </si>
  <si>
    <t>TORRE 008</t>
  </si>
  <si>
    <t>TORRE 77</t>
  </si>
  <si>
    <t>TORRE 009</t>
  </si>
  <si>
    <t>TORRE 76</t>
  </si>
  <si>
    <t>TORRE 010</t>
  </si>
  <si>
    <t>TORRE 75</t>
  </si>
  <si>
    <t>TORRE 011</t>
  </si>
  <si>
    <t>TORRE 74</t>
  </si>
  <si>
    <t>TORRE 012</t>
  </si>
  <si>
    <t>TORRE 73</t>
  </si>
  <si>
    <t>TORRE 013</t>
  </si>
  <si>
    <t>TORRE 72</t>
  </si>
  <si>
    <t>TORRE 014</t>
  </si>
  <si>
    <t>TORRE 71</t>
  </si>
  <si>
    <t>TORRE 015</t>
  </si>
  <si>
    <t>TORRE 70</t>
  </si>
  <si>
    <t>TORRE 016</t>
  </si>
  <si>
    <t>TORRE 69</t>
  </si>
  <si>
    <t>TORRE 017</t>
  </si>
  <si>
    <t>TORRE 68</t>
  </si>
  <si>
    <t>TORRE 018</t>
  </si>
  <si>
    <t>TORRE 67</t>
  </si>
  <si>
    <t>TORRE 019</t>
  </si>
  <si>
    <t>TORRE 66</t>
  </si>
  <si>
    <t>TORRE 020</t>
  </si>
  <si>
    <t>TORRE 65</t>
  </si>
  <si>
    <t>TORRE 021</t>
  </si>
  <si>
    <t>TORRE 64</t>
  </si>
  <si>
    <t>TORRE 022</t>
  </si>
  <si>
    <t>TORRE 63</t>
  </si>
  <si>
    <t>TORRE 023</t>
  </si>
  <si>
    <t>TORRE 62</t>
  </si>
  <si>
    <t>TORRE 024</t>
  </si>
  <si>
    <t>TORRE 61</t>
  </si>
  <si>
    <t>TORRE 025</t>
  </si>
  <si>
    <t>TORRE 60</t>
  </si>
  <si>
    <t>TORRE 026</t>
  </si>
  <si>
    <t>TORRE 59</t>
  </si>
  <si>
    <t>TORRE 027</t>
  </si>
  <si>
    <t>TORRE 58</t>
  </si>
  <si>
    <t>TORRE 028</t>
  </si>
  <si>
    <t>TORRE 57</t>
  </si>
  <si>
    <t>TORRE 029</t>
  </si>
  <si>
    <t>TORRE 56</t>
  </si>
  <si>
    <t>TORRE 030</t>
  </si>
  <si>
    <t>TORRE 55</t>
  </si>
  <si>
    <t>TORRE 031</t>
  </si>
  <si>
    <t>TORRE 54</t>
  </si>
  <si>
    <t>TORRE 032</t>
  </si>
  <si>
    <t>TORRE 53</t>
  </si>
  <si>
    <t>TORRE 033</t>
  </si>
  <si>
    <t>TORRE 52</t>
  </si>
  <si>
    <t>TORRE 034</t>
  </si>
  <si>
    <t>TORRE 51</t>
  </si>
  <si>
    <t>TORRE 035</t>
  </si>
  <si>
    <t>TORRE 50</t>
  </si>
  <si>
    <t>TORRE 036</t>
  </si>
  <si>
    <t>TORRE 49</t>
  </si>
  <si>
    <t>TORRE 037</t>
  </si>
  <si>
    <t>TORRE 48</t>
  </si>
  <si>
    <t>TORRE 038</t>
  </si>
  <si>
    <t>TORRE 47</t>
  </si>
  <si>
    <t>TORRE 039</t>
  </si>
  <si>
    <t>TORRE 46</t>
  </si>
  <si>
    <t>TORRE 040</t>
  </si>
  <si>
    <t>TORRE 45</t>
  </si>
  <si>
    <t>TORRE 041</t>
  </si>
  <si>
    <t>TORRE 44</t>
  </si>
  <si>
    <t>TORRE 042</t>
  </si>
  <si>
    <t>TORRE 43</t>
  </si>
  <si>
    <t>TORRE 043</t>
  </si>
  <si>
    <t>TORRE 42</t>
  </si>
  <si>
    <t>TORRE 044</t>
  </si>
  <si>
    <t>TORRE 41</t>
  </si>
  <si>
    <t>TORRE 045</t>
  </si>
  <si>
    <t>TORRE 40</t>
  </si>
  <si>
    <t>TORRE 046</t>
  </si>
  <si>
    <t>TORRE 39</t>
  </si>
  <si>
    <t>TORRE 047</t>
  </si>
  <si>
    <t>TORRE 38</t>
  </si>
  <si>
    <t>TORRE 048</t>
  </si>
  <si>
    <t>TORRE 37</t>
  </si>
  <si>
    <t>TORRE 049</t>
  </si>
  <si>
    <t>TORRE 36</t>
  </si>
  <si>
    <t>TORRE 35</t>
  </si>
  <si>
    <t>TORRE 34</t>
  </si>
  <si>
    <t>TORRE 052</t>
  </si>
  <si>
    <t>TORRE 33</t>
  </si>
  <si>
    <t>TORRE 053</t>
  </si>
  <si>
    <t>TORRE 32</t>
  </si>
  <si>
    <t>TORRE 054</t>
  </si>
  <si>
    <t>TORRE 31</t>
  </si>
  <si>
    <t>TORRE 055</t>
  </si>
  <si>
    <t>TORRE 30</t>
  </si>
  <si>
    <t>TORRE 056</t>
  </si>
  <si>
    <t>TORRE 29</t>
  </si>
  <si>
    <t>TORRE 057</t>
  </si>
  <si>
    <t>TORRE 28</t>
  </si>
  <si>
    <t>TORRE 058</t>
  </si>
  <si>
    <t>TORRE 27</t>
  </si>
  <si>
    <t>TORRE 059</t>
  </si>
  <si>
    <t>TORRE 26</t>
  </si>
  <si>
    <t>TORRE 060</t>
  </si>
  <si>
    <t>TORRE 25</t>
  </si>
  <si>
    <t>TORRE 061</t>
  </si>
  <si>
    <t>TORRE 24</t>
  </si>
  <si>
    <t>TORRE 062</t>
  </si>
  <si>
    <t>TORRE 23</t>
  </si>
  <si>
    <t>TORRE 063</t>
  </si>
  <si>
    <t>TORRE 22</t>
  </si>
  <si>
    <t>TORRE 064</t>
  </si>
  <si>
    <t>TORRE 21</t>
  </si>
  <si>
    <t>TORRE 065</t>
  </si>
  <si>
    <t>TORRE 20</t>
  </si>
  <si>
    <t>TORRE 066</t>
  </si>
  <si>
    <t>TORRE 19</t>
  </si>
  <si>
    <t>TORRE 067</t>
  </si>
  <si>
    <t>TORRE 18</t>
  </si>
  <si>
    <t>TORRE 068</t>
  </si>
  <si>
    <t>TORRE 17</t>
  </si>
  <si>
    <t>TORRE 069</t>
  </si>
  <si>
    <t>TORRE 16</t>
  </si>
  <si>
    <t>TORRE 070</t>
  </si>
  <si>
    <t>TORRE 15</t>
  </si>
  <si>
    <t>TORRE 071</t>
  </si>
  <si>
    <t>TORRE 14</t>
  </si>
  <si>
    <t>TORRE 072</t>
  </si>
  <si>
    <t>TORRE 13</t>
  </si>
  <si>
    <t>TORRE 073</t>
  </si>
  <si>
    <t>TORRE 12</t>
  </si>
  <si>
    <t>TORRE 074</t>
  </si>
  <si>
    <t>TORRE 11</t>
  </si>
  <si>
    <t>TORRE 075</t>
  </si>
  <si>
    <t>TORRE 10</t>
  </si>
  <si>
    <t>TORRE 076</t>
  </si>
  <si>
    <t>TORRE 9</t>
  </si>
  <si>
    <t>TORRE 077</t>
  </si>
  <si>
    <t>TORRE 8</t>
  </si>
  <si>
    <t>TORRE 078</t>
  </si>
  <si>
    <t>TORRE 7</t>
  </si>
  <si>
    <t>TORRE 079</t>
  </si>
  <si>
    <t>TORRE 6</t>
  </si>
  <si>
    <t>TORRE 080</t>
  </si>
  <si>
    <t>TORRE 5</t>
  </si>
  <si>
    <t>TORRE 081</t>
  </si>
  <si>
    <t>TORRE 4</t>
  </si>
  <si>
    <t>TORRE 082</t>
  </si>
  <si>
    <t>TORRE 3</t>
  </si>
  <si>
    <t>TORRE 083</t>
  </si>
  <si>
    <t>TORRE 2</t>
  </si>
  <si>
    <t>TORRE 084</t>
  </si>
  <si>
    <t>TORRE 1</t>
  </si>
  <si>
    <t>FASE</t>
  </si>
  <si>
    <t>SERRA DA MESA II-RIO DAS ÉGUAS</t>
  </si>
  <si>
    <t>PÓRTICO RIO DAS ÉGUAS</t>
  </si>
  <si>
    <t>TORRE 400</t>
  </si>
  <si>
    <t>TORRE 399</t>
  </si>
  <si>
    <t>TORRE 398</t>
  </si>
  <si>
    <t>TORRE 397</t>
  </si>
  <si>
    <t>TORRE 396</t>
  </si>
  <si>
    <t>TORRE 395</t>
  </si>
  <si>
    <t>TORRE 394</t>
  </si>
  <si>
    <t>TORRE 393</t>
  </si>
  <si>
    <t>TORRE 392</t>
  </si>
  <si>
    <t>TORRE 391</t>
  </si>
  <si>
    <t>TORRE 390</t>
  </si>
  <si>
    <t>TORRE 389</t>
  </si>
  <si>
    <t>TORRE 388</t>
  </si>
  <si>
    <t>TORRE 387</t>
  </si>
  <si>
    <t>TORRE 386</t>
  </si>
  <si>
    <t>TORRE 385</t>
  </si>
  <si>
    <t>TORRE 384</t>
  </si>
  <si>
    <t>TORRE 383</t>
  </si>
  <si>
    <t>TORRE 382</t>
  </si>
  <si>
    <t>TORRE 381</t>
  </si>
  <si>
    <t>TORRE 380</t>
  </si>
  <si>
    <t>TORRE 379</t>
  </si>
  <si>
    <t>TORRE 378</t>
  </si>
  <si>
    <t>TORRE 377</t>
  </si>
  <si>
    <t>TORRE 376</t>
  </si>
  <si>
    <t>TORRE 375</t>
  </si>
  <si>
    <t>TORRE 374</t>
  </si>
  <si>
    <t>TORRE 373</t>
  </si>
  <si>
    <t>TORRE 372</t>
  </si>
  <si>
    <t>TORRE 371</t>
  </si>
  <si>
    <t>TORRE 370</t>
  </si>
  <si>
    <t>TORRE 369</t>
  </si>
  <si>
    <t>TORRE 368</t>
  </si>
  <si>
    <t>TORRE 367</t>
  </si>
  <si>
    <t>TORRE 366</t>
  </si>
  <si>
    <t>TORRE 365</t>
  </si>
  <si>
    <t>TORRE 364</t>
  </si>
  <si>
    <t>TORRE 363</t>
  </si>
  <si>
    <t>TORRE 362</t>
  </si>
  <si>
    <t>TORRE 361</t>
  </si>
  <si>
    <t>TORRE 360</t>
  </si>
  <si>
    <t>TORRE 359</t>
  </si>
  <si>
    <t>TORRE 358</t>
  </si>
  <si>
    <t>TORRE 357</t>
  </si>
  <si>
    <t>TORRE 356</t>
  </si>
  <si>
    <t>TORRE 355</t>
  </si>
  <si>
    <t>TORRE 354</t>
  </si>
  <si>
    <t>TORRE 353</t>
  </si>
  <si>
    <t>TORRE 352</t>
  </si>
  <si>
    <t>TORRE 351</t>
  </si>
  <si>
    <t>TORRE 350</t>
  </si>
  <si>
    <t>TORRE 349</t>
  </si>
  <si>
    <t>TORRE 348</t>
  </si>
  <si>
    <t>TORRE 347</t>
  </si>
  <si>
    <t>TORRE 346</t>
  </si>
  <si>
    <t>TORRE 345</t>
  </si>
  <si>
    <t>TORRE 344</t>
  </si>
  <si>
    <t>TORRE 343</t>
  </si>
  <si>
    <t>TORRE 342</t>
  </si>
  <si>
    <t>TORRE 341</t>
  </si>
  <si>
    <t>TORRE 340</t>
  </si>
  <si>
    <t>TORRE 339</t>
  </si>
  <si>
    <t>TORRE 338</t>
  </si>
  <si>
    <t>TORRE 337</t>
  </si>
  <si>
    <t>TORRE 336</t>
  </si>
  <si>
    <t>TORRE 335</t>
  </si>
  <si>
    <t>TORRE 334</t>
  </si>
  <si>
    <t>TORRE 333</t>
  </si>
  <si>
    <t>TORRE 332</t>
  </si>
  <si>
    <t>TORRE 331</t>
  </si>
  <si>
    <t>TORRE 330</t>
  </si>
  <si>
    <t>TORRE 329</t>
  </si>
  <si>
    <t>TORRE 328</t>
  </si>
  <si>
    <t>TORRE 327</t>
  </si>
  <si>
    <t>TORRE 326</t>
  </si>
  <si>
    <t>TORRE 325</t>
  </si>
  <si>
    <t>TORRE 324</t>
  </si>
  <si>
    <t>TORRE 323</t>
  </si>
  <si>
    <t>TORRE 322</t>
  </si>
  <si>
    <t>TORRE 321</t>
  </si>
  <si>
    <t>TORRE 320</t>
  </si>
  <si>
    <t>TORRE 319</t>
  </si>
  <si>
    <t>TORRE 318</t>
  </si>
  <si>
    <t>TORRE 317</t>
  </si>
  <si>
    <t>TORRE 085</t>
  </si>
  <si>
    <t>TORRE 316</t>
  </si>
  <si>
    <t>TORRE 086</t>
  </si>
  <si>
    <t>TORRE 315</t>
  </si>
  <si>
    <t>TORRE 087</t>
  </si>
  <si>
    <t>TORRE 314</t>
  </si>
  <si>
    <t>TORRE 088</t>
  </si>
  <si>
    <t>TORRE 313</t>
  </si>
  <si>
    <t>TORRE 089</t>
  </si>
  <si>
    <t>TORRE 312</t>
  </si>
  <si>
    <t>TORRE 090</t>
  </si>
  <si>
    <t>TORRE 311</t>
  </si>
  <si>
    <t>TORRE 091</t>
  </si>
  <si>
    <t>TORRE 310</t>
  </si>
  <si>
    <t>TORRE 092</t>
  </si>
  <si>
    <t>TORRE 309</t>
  </si>
  <si>
    <t>TORRE 093</t>
  </si>
  <si>
    <t>TORRE 308</t>
  </si>
  <si>
    <t>TORRE 094</t>
  </si>
  <si>
    <t>TORRE 307</t>
  </si>
  <si>
    <t>TORRE 095</t>
  </si>
  <si>
    <t>TORRE 306</t>
  </si>
  <si>
    <t>TORRE 096</t>
  </si>
  <si>
    <t>TORRE 305</t>
  </si>
  <si>
    <t>TORRE 097</t>
  </si>
  <si>
    <t>TORRE 304</t>
  </si>
  <si>
    <t>TORRE 098</t>
  </si>
  <si>
    <t>TORRE 303</t>
  </si>
  <si>
    <t>TORRE 099</t>
  </si>
  <si>
    <t>TORRE 302</t>
  </si>
  <si>
    <t>TORRE 100</t>
  </si>
  <si>
    <t>TORRE 301</t>
  </si>
  <si>
    <t>TORRE 101</t>
  </si>
  <si>
    <t>TORRE 300</t>
  </si>
  <si>
    <t>TORRE 102</t>
  </si>
  <si>
    <t>TORRE 299</t>
  </si>
  <si>
    <t>TORRE 103</t>
  </si>
  <si>
    <t>TORRE 298</t>
  </si>
  <si>
    <t>TORRE 104</t>
  </si>
  <si>
    <t>TORRE 297</t>
  </si>
  <si>
    <t>TORRE 105</t>
  </si>
  <si>
    <t>TORRE 296</t>
  </si>
  <si>
    <t>TORRE 106</t>
  </si>
  <si>
    <t>TORRE 295</t>
  </si>
  <si>
    <t>TORRE 107</t>
  </si>
  <si>
    <t>TORRE 294</t>
  </si>
  <si>
    <t>TORRE 108</t>
  </si>
  <si>
    <t>TORRE 293</t>
  </si>
  <si>
    <t>TORRE 109</t>
  </si>
  <si>
    <t>TORRE 292</t>
  </si>
  <si>
    <t>TORRE 110</t>
  </si>
  <si>
    <t>TORRE 291</t>
  </si>
  <si>
    <t>TORRE 111</t>
  </si>
  <si>
    <t>TORRE 290</t>
  </si>
  <si>
    <t>TORRE 112</t>
  </si>
  <si>
    <t>TORRE 289</t>
  </si>
  <si>
    <t>TORRE 113</t>
  </si>
  <si>
    <t>TORRE 288</t>
  </si>
  <si>
    <t>TORRE 114</t>
  </si>
  <si>
    <t>TORRE 287</t>
  </si>
  <si>
    <t>TORRE 115</t>
  </si>
  <si>
    <t>TORRE 286</t>
  </si>
  <si>
    <t>TORRE 116</t>
  </si>
  <si>
    <t>TORRE 285</t>
  </si>
  <si>
    <t>TORRE 117</t>
  </si>
  <si>
    <t>TORRE 284</t>
  </si>
  <si>
    <t>TORRE 118</t>
  </si>
  <si>
    <t>TORRE 283</t>
  </si>
  <si>
    <t>TORRE 119</t>
  </si>
  <si>
    <t>TORRE 282</t>
  </si>
  <si>
    <t>TORRE 120</t>
  </si>
  <si>
    <t>TORRE 281</t>
  </si>
  <si>
    <t>TORRE 121</t>
  </si>
  <si>
    <t>TORRE 280</t>
  </si>
  <si>
    <t>TORRE 122</t>
  </si>
  <si>
    <t>TORRE 279</t>
  </si>
  <si>
    <t>TORRE 123</t>
  </si>
  <si>
    <t>TORRE 278</t>
  </si>
  <si>
    <t>TORRE 124</t>
  </si>
  <si>
    <t>TORRE 277</t>
  </si>
  <si>
    <t>TORRE 125</t>
  </si>
  <si>
    <t>TORRE 276</t>
  </si>
  <si>
    <t>TORRE 126</t>
  </si>
  <si>
    <t>TORRE 275</t>
  </si>
  <si>
    <t>TORRE 127</t>
  </si>
  <si>
    <t>TORRE 274</t>
  </si>
  <si>
    <t>TORRE 128</t>
  </si>
  <si>
    <t>TORRE 273</t>
  </si>
  <si>
    <t>TORRE 129</t>
  </si>
  <si>
    <t>TORRE 272</t>
  </si>
  <si>
    <t>TORRE 130</t>
  </si>
  <si>
    <t>TORRE 271</t>
  </si>
  <si>
    <t>TORRE 131</t>
  </si>
  <si>
    <t>TORRE 270</t>
  </si>
  <si>
    <t>TORRE 132</t>
  </si>
  <si>
    <t>TORRE 269</t>
  </si>
  <si>
    <t>TORRE 133</t>
  </si>
  <si>
    <t>TORRE 268</t>
  </si>
  <si>
    <t>TORRE 134</t>
  </si>
  <si>
    <t>TORRE 267</t>
  </si>
  <si>
    <t>TORRE 135</t>
  </si>
  <si>
    <t>TORRE 266</t>
  </si>
  <si>
    <t>TORRE 136</t>
  </si>
  <si>
    <t>TORRE 265</t>
  </si>
  <si>
    <t>TORRE 137</t>
  </si>
  <si>
    <t>TORRE 264</t>
  </si>
  <si>
    <t>TORRE 138</t>
  </si>
  <si>
    <t>TORRE 263</t>
  </si>
  <si>
    <t>TORRE 139</t>
  </si>
  <si>
    <t>TORRE 262</t>
  </si>
  <si>
    <t>TORRE 140</t>
  </si>
  <si>
    <t>TORRE 261</t>
  </si>
  <si>
    <t>TORRE 141</t>
  </si>
  <si>
    <t>TORRE 260</t>
  </si>
  <si>
    <t>TORRE 142</t>
  </si>
  <si>
    <t>TORRE 259</t>
  </si>
  <si>
    <t>TORRE 143</t>
  </si>
  <si>
    <t>TORRE 258</t>
  </si>
  <si>
    <t>TORRE 144</t>
  </si>
  <si>
    <t>TORRE 257</t>
  </si>
  <si>
    <t>TORRE 145</t>
  </si>
  <si>
    <t>TORRE 256</t>
  </si>
  <si>
    <t>TORRE 146</t>
  </si>
  <si>
    <t>TORRE 255</t>
  </si>
  <si>
    <t>TORRE 147</t>
  </si>
  <si>
    <t>TORRE 254</t>
  </si>
  <si>
    <t>TORRE 148</t>
  </si>
  <si>
    <t>TORRE 253</t>
  </si>
  <si>
    <t>TORRE 149</t>
  </si>
  <si>
    <t>TORRE 252</t>
  </si>
  <si>
    <t>TORRE 150</t>
  </si>
  <si>
    <t>TORRE 251</t>
  </si>
  <si>
    <t>TORRE 151</t>
  </si>
  <si>
    <t>TORRE 250</t>
  </si>
  <si>
    <t>TORRE 152</t>
  </si>
  <si>
    <t>TORRE 249</t>
  </si>
  <si>
    <t>TORRE 153</t>
  </si>
  <si>
    <t>TORRE 248</t>
  </si>
  <si>
    <t>TORRE 154</t>
  </si>
  <si>
    <t>TORRE 247</t>
  </si>
  <si>
    <t>TORRE 155</t>
  </si>
  <si>
    <t>TORRE 246</t>
  </si>
  <si>
    <t>TORRE 156</t>
  </si>
  <si>
    <t>TORRE 245</t>
  </si>
  <si>
    <t>TORRE 157</t>
  </si>
  <si>
    <t>TORRE 244</t>
  </si>
  <si>
    <t>TORRE 158</t>
  </si>
  <si>
    <t>TORRE 243</t>
  </si>
  <si>
    <t>TORRE 159</t>
  </si>
  <si>
    <t>TORRE 242</t>
  </si>
  <si>
    <t>TORRE 160</t>
  </si>
  <si>
    <t>TORRE 241</t>
  </si>
  <si>
    <t>TORRE 161</t>
  </si>
  <si>
    <t>TORRE 240</t>
  </si>
  <si>
    <t>TORRE 162</t>
  </si>
  <si>
    <t>TORRE 239</t>
  </si>
  <si>
    <t>TORRE 163</t>
  </si>
  <si>
    <t>TORRE 238</t>
  </si>
  <si>
    <t>TORRE 164</t>
  </si>
  <si>
    <t>TORRE 237</t>
  </si>
  <si>
    <t>TORRE 165</t>
  </si>
  <si>
    <t>TORRE 236</t>
  </si>
  <si>
    <t>TORRE 166</t>
  </si>
  <si>
    <t>TORRE 235</t>
  </si>
  <si>
    <t>TORRE 167</t>
  </si>
  <si>
    <t>TORRE 234</t>
  </si>
  <si>
    <t>TORRE 168</t>
  </si>
  <si>
    <t>TORRE 233</t>
  </si>
  <si>
    <t>TORRE 169</t>
  </si>
  <si>
    <t>TORRE 232</t>
  </si>
  <si>
    <t>TORRE 170</t>
  </si>
  <si>
    <t>TORRE 231</t>
  </si>
  <si>
    <t>TORRE 171</t>
  </si>
  <si>
    <t>TORRE 230</t>
  </si>
  <si>
    <t>TORRE 172</t>
  </si>
  <si>
    <t>TORRE 229</t>
  </si>
  <si>
    <t>TORRE 173</t>
  </si>
  <si>
    <t>TORRE 228</t>
  </si>
  <si>
    <t>TORRE 174</t>
  </si>
  <si>
    <t>TORRE 227</t>
  </si>
  <si>
    <t>TORRE 175</t>
  </si>
  <si>
    <t>TORRE 226</t>
  </si>
  <si>
    <t>TORRE 176</t>
  </si>
  <si>
    <t>TORRE 225</t>
  </si>
  <si>
    <t>TORRE 177</t>
  </si>
  <si>
    <t>TORRE 224</t>
  </si>
  <si>
    <t>TORRE 178</t>
  </si>
  <si>
    <t>TORRE 223</t>
  </si>
  <si>
    <t>TORRE 179</t>
  </si>
  <si>
    <t>TORRE 222</t>
  </si>
  <si>
    <t>TORRE 180</t>
  </si>
  <si>
    <t>TORRE 221</t>
  </si>
  <si>
    <t>TORRE 181</t>
  </si>
  <si>
    <t>TORRE 220</t>
  </si>
  <si>
    <t>TORRE 182</t>
  </si>
  <si>
    <t>TORRE 219</t>
  </si>
  <si>
    <t>TORRE 183</t>
  </si>
  <si>
    <t>TORRE 218</t>
  </si>
  <si>
    <t>TORRE 184</t>
  </si>
  <si>
    <t>TORRE 217</t>
  </si>
  <si>
    <t>TORRE 185</t>
  </si>
  <si>
    <t>TORRE 216</t>
  </si>
  <si>
    <t>TORRE 186</t>
  </si>
  <si>
    <t>TORRE 215</t>
  </si>
  <si>
    <t>TORRE 187</t>
  </si>
  <si>
    <t>TORRE 214</t>
  </si>
  <si>
    <t>TORRE 188</t>
  </si>
  <si>
    <t>TORRE 213</t>
  </si>
  <si>
    <t>TORRE 189</t>
  </si>
  <si>
    <t>TORRE 212</t>
  </si>
  <si>
    <t>TORRE 190</t>
  </si>
  <si>
    <t>TORRE 211</t>
  </si>
  <si>
    <t>TORRE 191</t>
  </si>
  <si>
    <t>TORRE 210</t>
  </si>
  <si>
    <t>TORRE 192</t>
  </si>
  <si>
    <t>TORRE 209</t>
  </si>
  <si>
    <t>TORRE 193</t>
  </si>
  <si>
    <t>TORRE 208</t>
  </si>
  <si>
    <t>TORRE 194</t>
  </si>
  <si>
    <t>TORRE 207</t>
  </si>
  <si>
    <t>TORRE 195</t>
  </si>
  <si>
    <t>TORRE 206</t>
  </si>
  <si>
    <t>TORRE 196</t>
  </si>
  <si>
    <t>TORRE 205</t>
  </si>
  <si>
    <t>TORRE 197</t>
  </si>
  <si>
    <t>TORRE 204</t>
  </si>
  <si>
    <t>TORRE 198</t>
  </si>
  <si>
    <t>TORRE 203</t>
  </si>
  <si>
    <t>TORRE 199</t>
  </si>
  <si>
    <t>TORRE 202</t>
  </si>
  <si>
    <t>TORRE 200</t>
  </si>
  <si>
    <t>TORRE 201</t>
  </si>
  <si>
    <t>REGRESSIVA</t>
  </si>
  <si>
    <t>RIO DAS ÉGUAS-BOM JESUS DA LAPA II</t>
  </si>
  <si>
    <t>PÓRTICO BOM JESUS DA LAPA II</t>
  </si>
  <si>
    <t>TORRE 590</t>
  </si>
  <si>
    <t>TORRE 589</t>
  </si>
  <si>
    <t>TORRE 588</t>
  </si>
  <si>
    <t>TORRE 587</t>
  </si>
  <si>
    <t>TORRE 586</t>
  </si>
  <si>
    <t>TORRE 585</t>
  </si>
  <si>
    <t>TORRE 584</t>
  </si>
  <si>
    <t>TORRE 583</t>
  </si>
  <si>
    <t>TORRE 582</t>
  </si>
  <si>
    <t>TORRE 581</t>
  </si>
  <si>
    <t>TORRE 580</t>
  </si>
  <si>
    <t>TORRE 579</t>
  </si>
  <si>
    <t>TORRE 578</t>
  </si>
  <si>
    <t>TORRE 577</t>
  </si>
  <si>
    <t>TORRE 576</t>
  </si>
  <si>
    <t>TORRE 575</t>
  </si>
  <si>
    <t>TORRE 574</t>
  </si>
  <si>
    <t>TORRE 573</t>
  </si>
  <si>
    <t>TORRE 572</t>
  </si>
  <si>
    <t>TORRE 571</t>
  </si>
  <si>
    <t>TORRE 570</t>
  </si>
  <si>
    <t>TORRE 569</t>
  </si>
  <si>
    <t>TORRE 568</t>
  </si>
  <si>
    <t>TORRE 567</t>
  </si>
  <si>
    <t>TORRE 566</t>
  </si>
  <si>
    <t>TORRE 565</t>
  </si>
  <si>
    <t>TORRE 564</t>
  </si>
  <si>
    <t>TORRE 563</t>
  </si>
  <si>
    <t>TORRE 562</t>
  </si>
  <si>
    <t>TORRE 561</t>
  </si>
  <si>
    <t>TORRE 560</t>
  </si>
  <si>
    <t>TORRE 559</t>
  </si>
  <si>
    <t>TORRE 558</t>
  </si>
  <si>
    <t>TORRE 557</t>
  </si>
  <si>
    <t>TORRE 556</t>
  </si>
  <si>
    <t>TORRE 555</t>
  </si>
  <si>
    <t>TORRE 554</t>
  </si>
  <si>
    <t>TORRE 553</t>
  </si>
  <si>
    <t>TORRE 552</t>
  </si>
  <si>
    <t>TORRE 551</t>
  </si>
  <si>
    <t>TORRE 550</t>
  </si>
  <si>
    <t>TORRE 549</t>
  </si>
  <si>
    <t>TORRE 548</t>
  </si>
  <si>
    <t>TORRE 547</t>
  </si>
  <si>
    <t>TORRE 546</t>
  </si>
  <si>
    <t>TORRE 545</t>
  </si>
  <si>
    <t>TORRE 544</t>
  </si>
  <si>
    <t>TORRE 543</t>
  </si>
  <si>
    <t>TORRE 542</t>
  </si>
  <si>
    <t>TORRE 541</t>
  </si>
  <si>
    <t>TORRE 540</t>
  </si>
  <si>
    <t>TORRE 539</t>
  </si>
  <si>
    <t>TORRE 538</t>
  </si>
  <si>
    <t>TORRE 537</t>
  </si>
  <si>
    <t>TORRE 536</t>
  </si>
  <si>
    <t>TORRE 535</t>
  </si>
  <si>
    <t>TORRE 534</t>
  </si>
  <si>
    <t>TORRE 533</t>
  </si>
  <si>
    <t>TORRE 532</t>
  </si>
  <si>
    <t>TORRE 531</t>
  </si>
  <si>
    <t>TORRE 530</t>
  </si>
  <si>
    <t>TORRE 529</t>
  </si>
  <si>
    <t>TORRE 528</t>
  </si>
  <si>
    <t>TORRE 527</t>
  </si>
  <si>
    <t>TORRE 526</t>
  </si>
  <si>
    <t>TORRE 525</t>
  </si>
  <si>
    <t>TORRE 524</t>
  </si>
  <si>
    <t>TORRE 523</t>
  </si>
  <si>
    <t>TORRE 522</t>
  </si>
  <si>
    <t>TORRE 521</t>
  </si>
  <si>
    <t>TORRE 520</t>
  </si>
  <si>
    <t>TORRE 519</t>
  </si>
  <si>
    <t>TORRE 518</t>
  </si>
  <si>
    <t>TORRE 517</t>
  </si>
  <si>
    <t>TORRE 516</t>
  </si>
  <si>
    <t>TORRE 515</t>
  </si>
  <si>
    <t>TORRE 514</t>
  </si>
  <si>
    <t>TORRE 513</t>
  </si>
  <si>
    <t>TORRE 512</t>
  </si>
  <si>
    <t>TORRE 511</t>
  </si>
  <si>
    <t>TORRE 510</t>
  </si>
  <si>
    <t>TORRE 509</t>
  </si>
  <si>
    <t>TORRE 508</t>
  </si>
  <si>
    <t>TORRE 507</t>
  </si>
  <si>
    <t>TORRE 506</t>
  </si>
  <si>
    <t>TORRE 505</t>
  </si>
  <si>
    <t>TORRE 504</t>
  </si>
  <si>
    <t>TORRE 503</t>
  </si>
  <si>
    <t>TORRE 502</t>
  </si>
  <si>
    <t>TORRE 501</t>
  </si>
  <si>
    <t>TORRE 500</t>
  </si>
  <si>
    <t>TORRE 499</t>
  </si>
  <si>
    <t>TORRE 498</t>
  </si>
  <si>
    <t>TORRE 497</t>
  </si>
  <si>
    <t>TORRE 496</t>
  </si>
  <si>
    <t>TORRE 495</t>
  </si>
  <si>
    <t>TORRE 494</t>
  </si>
  <si>
    <t>TORRE 493</t>
  </si>
  <si>
    <t>TORRE 492</t>
  </si>
  <si>
    <t>TORRE 491</t>
  </si>
  <si>
    <t>TORRE 490</t>
  </si>
  <si>
    <t>TORRE 489</t>
  </si>
  <si>
    <t>TORRE 488</t>
  </si>
  <si>
    <t>TORRE 487</t>
  </si>
  <si>
    <t>TORRE 486</t>
  </si>
  <si>
    <t>TORRE 485</t>
  </si>
  <si>
    <t>TORRE 484</t>
  </si>
  <si>
    <t>TORRE 483</t>
  </si>
  <si>
    <t>TORRE 482</t>
  </si>
  <si>
    <t>TORRE 481</t>
  </si>
  <si>
    <t>TORRE 480</t>
  </si>
  <si>
    <t>TORRE 479</t>
  </si>
  <si>
    <t>TORRE 478</t>
  </si>
  <si>
    <t>TORRE 477</t>
  </si>
  <si>
    <t>TORRE 476</t>
  </si>
  <si>
    <t>TORRE 475</t>
  </si>
  <si>
    <t>TORRE 474</t>
  </si>
  <si>
    <t>TORRE 473</t>
  </si>
  <si>
    <t>TORRE 472</t>
  </si>
  <si>
    <t>TORRE 471</t>
  </si>
  <si>
    <t>TORRE 470</t>
  </si>
  <si>
    <t>TORRE 469</t>
  </si>
  <si>
    <t>TORRE 468</t>
  </si>
  <si>
    <t>TORRE 467</t>
  </si>
  <si>
    <t>TORRE 466</t>
  </si>
  <si>
    <t>TORRE 465</t>
  </si>
  <si>
    <t>TORRE 464</t>
  </si>
  <si>
    <t>TORRE 463</t>
  </si>
  <si>
    <t>TORRE 462</t>
  </si>
  <si>
    <t>TORRE 461</t>
  </si>
  <si>
    <t>TORRE 460</t>
  </si>
  <si>
    <t>TORRE 459</t>
  </si>
  <si>
    <t>TORRE 458</t>
  </si>
  <si>
    <t>TORRE 457</t>
  </si>
  <si>
    <t>TORRE 456</t>
  </si>
  <si>
    <t>TORRE 455</t>
  </si>
  <si>
    <t>TORRE 454</t>
  </si>
  <si>
    <t>TORRE 453</t>
  </si>
  <si>
    <t>TORRE 452</t>
  </si>
  <si>
    <t>TORRE 451</t>
  </si>
  <si>
    <t>TORRE 450</t>
  </si>
  <si>
    <t>TORRE 449</t>
  </si>
  <si>
    <t>TORRE 448</t>
  </si>
  <si>
    <t>TORRE 447</t>
  </si>
  <si>
    <t>TORRE 446</t>
  </si>
  <si>
    <t>TORRE 445</t>
  </si>
  <si>
    <t>TORRE 444</t>
  </si>
  <si>
    <t>TORRE 443</t>
  </si>
  <si>
    <t>TORRE 442</t>
  </si>
  <si>
    <t>TORRE 441</t>
  </si>
  <si>
    <t>TORRE 440</t>
  </si>
  <si>
    <t>TORRE 439</t>
  </si>
  <si>
    <t>TORRE 438</t>
  </si>
  <si>
    <t>TORRE 437</t>
  </si>
  <si>
    <t>TORRE 436</t>
  </si>
  <si>
    <t>TORRE 435</t>
  </si>
  <si>
    <t>TORRE 434</t>
  </si>
  <si>
    <t>TORRE 433</t>
  </si>
  <si>
    <t>TORRE 432</t>
  </si>
  <si>
    <t>TORRE 431</t>
  </si>
  <si>
    <t>TORRE 430</t>
  </si>
  <si>
    <t>TORRE 429</t>
  </si>
  <si>
    <t>TORRE 428</t>
  </si>
  <si>
    <t>TORRE 427</t>
  </si>
  <si>
    <t>TORRE 426</t>
  </si>
  <si>
    <t>TORRE 425</t>
  </si>
  <si>
    <t>TORRE 424</t>
  </si>
  <si>
    <t>TORRE 423</t>
  </si>
  <si>
    <t>TORRE 422</t>
  </si>
  <si>
    <t>TORRE 421</t>
  </si>
  <si>
    <t>TORRE 420</t>
  </si>
  <si>
    <t>TORRE 419</t>
  </si>
  <si>
    <t>TORRE 418</t>
  </si>
  <si>
    <t>TORRE 417</t>
  </si>
  <si>
    <t>TORRE 416</t>
  </si>
  <si>
    <t>TORRE 415</t>
  </si>
  <si>
    <t>TORRE 414</t>
  </si>
  <si>
    <t>TORRE 413</t>
  </si>
  <si>
    <t>TORRE 412</t>
  </si>
  <si>
    <t>TORRE 411</t>
  </si>
  <si>
    <t>TORRE 410</t>
  </si>
  <si>
    <t>TORRE 409</t>
  </si>
  <si>
    <t>TORRE 408</t>
  </si>
  <si>
    <t>TORRE 407</t>
  </si>
  <si>
    <t>TORRE 406</t>
  </si>
  <si>
    <t>TORRE 405</t>
  </si>
  <si>
    <t>TORRE 404</t>
  </si>
  <si>
    <t>TORRE 403</t>
  </si>
  <si>
    <t>TORRE 402</t>
  </si>
  <si>
    <t>TORRE 401</t>
  </si>
  <si>
    <t>BOM JESUS DA LAPA II-BOM JESUS DA LAPA</t>
  </si>
  <si>
    <t>PÓRTICO BOM JESUS DA LAPA</t>
  </si>
  <si>
    <t/>
  </si>
  <si>
    <t>BOM JESUS DA LAPA II-IBICOARA</t>
  </si>
  <si>
    <t>PÓRTICO IBICOARA</t>
  </si>
  <si>
    <t>IBICOARA-SAPEAÇÚ</t>
  </si>
  <si>
    <t>PÓRTICO SAPEAÇÚ</t>
  </si>
  <si>
    <t>CAMAÇARI II-SAPEAÇÚ</t>
  </si>
  <si>
    <t>PÓRTICO CAMAÇARI II</t>
  </si>
  <si>
    <t>IMPERATRIZ-COLINAS C2</t>
  </si>
  <si>
    <t>PÓRTICO IMPERATRIZ</t>
  </si>
  <si>
    <t>PÓRTICO COLINAS</t>
  </si>
  <si>
    <t>TORRE 699</t>
  </si>
  <si>
    <t>TORRE 698</t>
  </si>
  <si>
    <t>TORRE 697</t>
  </si>
  <si>
    <t>TORRE 696</t>
  </si>
  <si>
    <t>TORRE 695</t>
  </si>
  <si>
    <t>TORRE 694</t>
  </si>
  <si>
    <t>TORRE 693</t>
  </si>
  <si>
    <t>TORRE 692</t>
  </si>
  <si>
    <t>TORRE 691</t>
  </si>
  <si>
    <t>TORRE 690</t>
  </si>
  <si>
    <t>TORRE 689</t>
  </si>
  <si>
    <t>TORRE 688</t>
  </si>
  <si>
    <t>TORRE 687</t>
  </si>
  <si>
    <t>TORRE 686</t>
  </si>
  <si>
    <t>TORRE 685</t>
  </si>
  <si>
    <t>TORRE 684</t>
  </si>
  <si>
    <t>TORRE 683</t>
  </si>
  <si>
    <t>TORRE 682</t>
  </si>
  <si>
    <t>TORRE 681</t>
  </si>
  <si>
    <t>TORRE 680</t>
  </si>
  <si>
    <t>TORRE 679</t>
  </si>
  <si>
    <t>TORRE 678</t>
  </si>
  <si>
    <t>TORRE 677</t>
  </si>
  <si>
    <t>TORRE 676</t>
  </si>
  <si>
    <t>TORRE 675</t>
  </si>
  <si>
    <t>TORRE 674</t>
  </si>
  <si>
    <t>TORRE 673</t>
  </si>
  <si>
    <t>TORRE 672</t>
  </si>
  <si>
    <t>TORRE 671</t>
  </si>
  <si>
    <t>TORRE 670</t>
  </si>
  <si>
    <t>TORRE 669</t>
  </si>
  <si>
    <t>TORRE 668</t>
  </si>
  <si>
    <t>TORRE 667</t>
  </si>
  <si>
    <t>TORRE 666</t>
  </si>
  <si>
    <t>TORRE 665</t>
  </si>
  <si>
    <t>TORRE 664</t>
  </si>
  <si>
    <t>TORRE 663</t>
  </si>
  <si>
    <t>TORRE 662</t>
  </si>
  <si>
    <t>TORRE 661</t>
  </si>
  <si>
    <t>TORRE 660</t>
  </si>
  <si>
    <t>TORRE 659</t>
  </si>
  <si>
    <t>TORRE 658</t>
  </si>
  <si>
    <t>TORRE 657</t>
  </si>
  <si>
    <t>TORRE 656</t>
  </si>
  <si>
    <t>TORRE 655</t>
  </si>
  <si>
    <t>TORRE 654</t>
  </si>
  <si>
    <t>TORRE 653</t>
  </si>
  <si>
    <t>TORRE 652</t>
  </si>
  <si>
    <t>TORRE 651</t>
  </si>
  <si>
    <t>TORRE 650</t>
  </si>
  <si>
    <t>TORRE 649</t>
  </si>
  <si>
    <t>TORRE 648</t>
  </si>
  <si>
    <t>TORRE 647</t>
  </si>
  <si>
    <t>TORRE 646</t>
  </si>
  <si>
    <t>TORRE 645</t>
  </si>
  <si>
    <t>TORRE 644</t>
  </si>
  <si>
    <t>TORRE 643</t>
  </si>
  <si>
    <t>TORRE 642</t>
  </si>
  <si>
    <t>TORRE 641</t>
  </si>
  <si>
    <t>TORRE 640</t>
  </si>
  <si>
    <t>TORRE 639</t>
  </si>
  <si>
    <t>TORRE 638</t>
  </si>
  <si>
    <t>TORRE 637</t>
  </si>
  <si>
    <t>TORRE 636</t>
  </si>
  <si>
    <t>TORRE 635</t>
  </si>
  <si>
    <t>TORRE 634</t>
  </si>
  <si>
    <t>TORRE 633</t>
  </si>
  <si>
    <t>TORRE 632</t>
  </si>
  <si>
    <t>TORRE 631</t>
  </si>
  <si>
    <t>TORRE 630</t>
  </si>
  <si>
    <t>TORRE 629</t>
  </si>
  <si>
    <t>TORRE 628</t>
  </si>
  <si>
    <t>TORRE 627</t>
  </si>
  <si>
    <t>TORRE 626</t>
  </si>
  <si>
    <t>TORRE 625</t>
  </si>
  <si>
    <t>TORRE 624</t>
  </si>
  <si>
    <t>TORRE 623</t>
  </si>
  <si>
    <t>TORRE 622</t>
  </si>
  <si>
    <t>TORRE 621</t>
  </si>
  <si>
    <t>TORRE 620</t>
  </si>
  <si>
    <t>TORRE 619</t>
  </si>
  <si>
    <t>TORRE 618</t>
  </si>
  <si>
    <t>TORRE 617</t>
  </si>
  <si>
    <t>TORRE 616</t>
  </si>
  <si>
    <t>TORRE 615</t>
  </si>
  <si>
    <t>TORRE 614</t>
  </si>
  <si>
    <t>TORRE 613</t>
  </si>
  <si>
    <t>TORRE 612</t>
  </si>
  <si>
    <t>TORRE 611</t>
  </si>
  <si>
    <t>TORRE 610</t>
  </si>
  <si>
    <t>TORRE 609</t>
  </si>
  <si>
    <t>TORRE 608</t>
  </si>
  <si>
    <t>TORRE 607</t>
  </si>
  <si>
    <t>TORRE 606</t>
  </si>
  <si>
    <t>TORRE 605</t>
  </si>
  <si>
    <t>TORRE 604</t>
  </si>
  <si>
    <t>TORRE 603</t>
  </si>
  <si>
    <t>TORRE 602</t>
  </si>
  <si>
    <t>TORRE 601</t>
  </si>
  <si>
    <t>TORRE 600</t>
  </si>
  <si>
    <t>TORRE 599</t>
  </si>
  <si>
    <t>TORRE 598</t>
  </si>
  <si>
    <t>TORRE 597</t>
  </si>
  <si>
    <t>TORRE 596</t>
  </si>
  <si>
    <t>TORRE 595</t>
  </si>
  <si>
    <t>TORRE 594</t>
  </si>
  <si>
    <t>TORRE 593</t>
  </si>
  <si>
    <t>TORRE 592</t>
  </si>
  <si>
    <t>TORRE 591</t>
  </si>
  <si>
    <t>COLINAS-MIRACEMA C2</t>
  </si>
  <si>
    <t>PÓRTICO MIRACEMA</t>
  </si>
  <si>
    <t>MIRACEMA-GURUPI C2</t>
  </si>
  <si>
    <t>PÓRTICO GURUPI</t>
  </si>
  <si>
    <t>GURUPI-SERRA DA MESA C2</t>
  </si>
  <si>
    <t>SERRA DA MESA-SAMAMBAIA C3</t>
  </si>
  <si>
    <t>PÓRTICO SAMAMBAIA</t>
  </si>
  <si>
    <t>FASES</t>
  </si>
  <si>
    <t>CBA</t>
  </si>
  <si>
    <t>BCA</t>
  </si>
  <si>
    <t>ABC</t>
  </si>
  <si>
    <t>ACB</t>
  </si>
  <si>
    <t>CAB</t>
  </si>
  <si>
    <t xml:space="preserve"> </t>
  </si>
  <si>
    <t>PÓRTICO SE CO</t>
  </si>
  <si>
    <t>PÓRTICO SE IZ</t>
  </si>
  <si>
    <t>PÓRTICO SE GU</t>
  </si>
  <si>
    <t>PÓRTICO SE SM</t>
  </si>
  <si>
    <t>PÓRTICO SE SB</t>
  </si>
  <si>
    <t>PÓRTICO SE CMD</t>
  </si>
  <si>
    <t>PÓRTICO SE SPU</t>
  </si>
  <si>
    <t>PÓRTICO SE ICA</t>
  </si>
  <si>
    <t>PÓRTICO SE BJD</t>
  </si>
  <si>
    <t>PÓRTICO SE BJS</t>
  </si>
  <si>
    <t>PÓRTICO SE RDE</t>
  </si>
  <si>
    <t>PÓRTICO SD</t>
  </si>
  <si>
    <t>PÓRTICO SE SD</t>
  </si>
  <si>
    <t>LT COMC2</t>
  </si>
  <si>
    <t>LT IZCO2</t>
  </si>
  <si>
    <t>LT GUMI2</t>
  </si>
  <si>
    <t>LT SMGU2</t>
  </si>
  <si>
    <t>LT SMSB3</t>
  </si>
  <si>
    <t>LT SMSD</t>
  </si>
  <si>
    <t>LT SDRDE</t>
  </si>
  <si>
    <t>LT RDEBJD</t>
  </si>
  <si>
    <t>LT BJDBJS</t>
  </si>
  <si>
    <t>LT BJDICA</t>
  </si>
  <si>
    <t>LT ICASPU</t>
  </si>
  <si>
    <t>LT CMDSPU</t>
  </si>
  <si>
    <t>PÓRTICO SE MC</t>
  </si>
  <si>
    <t>SE SERRA DA MESA</t>
  </si>
  <si>
    <t>SE SERRA DA MESA 2</t>
  </si>
  <si>
    <t>SE RIO DAS ÉGUAS</t>
  </si>
  <si>
    <t>SE BOM JESUS DA LAPA</t>
  </si>
  <si>
    <t>SE BOM JESUS DA LAPA 2</t>
  </si>
  <si>
    <t>SE IBICOARA</t>
  </si>
  <si>
    <t>SE SAPEAÇU</t>
  </si>
  <si>
    <t>SE IMPERATRIZ</t>
  </si>
  <si>
    <t>SE COLINAS</t>
  </si>
  <si>
    <t>SE MIRACEMA</t>
  </si>
  <si>
    <t>SE GURUPI</t>
  </si>
  <si>
    <t>SE CAMAÇARI 2</t>
  </si>
  <si>
    <t>SE SAMAMBAIA</t>
  </si>
  <si>
    <t>ETEO</t>
  </si>
  <si>
    <t>GTESA</t>
  </si>
  <si>
    <t>PATESA</t>
  </si>
  <si>
    <t>ETE-TAQASS</t>
  </si>
  <si>
    <t>GTE-GNNMRD</t>
  </si>
  <si>
    <t>PAT-PRSACD</t>
  </si>
  <si>
    <t>ETE-ASSSUR</t>
  </si>
  <si>
    <t>km</t>
  </si>
  <si>
    <t>LT JUJB C1</t>
  </si>
  <si>
    <t>LT JUJB C2</t>
  </si>
  <si>
    <t>LT SPUGVM (C2 e 3)</t>
  </si>
  <si>
    <t>LT SPUGVM C1</t>
  </si>
  <si>
    <t>LT SPUFNL C1</t>
  </si>
  <si>
    <t>LT SPUFNL C2</t>
  </si>
  <si>
    <t>LT SPUSTJ</t>
  </si>
  <si>
    <t>LT TAQASS</t>
  </si>
  <si>
    <t>LT ASSSUM</t>
  </si>
  <si>
    <t>LT LONASS</t>
  </si>
  <si>
    <t>LT ASSSTAR</t>
  </si>
  <si>
    <t>LT UTURMBR</t>
  </si>
  <si>
    <t>LT MBRSTA</t>
  </si>
  <si>
    <t>Terminal A</t>
  </si>
  <si>
    <t>Terminal B</t>
  </si>
  <si>
    <t>Imperatriz</t>
  </si>
  <si>
    <t>Colinas</t>
  </si>
  <si>
    <t>Miracema</t>
  </si>
  <si>
    <t>Gurupi</t>
  </si>
  <si>
    <t>Serra da Mesa</t>
  </si>
  <si>
    <t>Samambaia</t>
  </si>
  <si>
    <t>BRASNORTE</t>
  </si>
  <si>
    <t>JUBA-JAURU C1</t>
  </si>
  <si>
    <t>JUBA-JAURU C2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</si>
  <si>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</si>
  <si>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</si>
  <si>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</si>
  <si>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</si>
  <si>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</si>
  <si>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</si>
  <si>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</si>
  <si>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</si>
  <si>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</si>
  <si>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</si>
  <si>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</si>
  <si>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</si>
  <si>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</si>
  <si>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</si>
  <si>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</si>
  <si>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</si>
  <si>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</si>
  <si>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</si>
  <si>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</si>
  <si>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</si>
  <si>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</si>
  <si>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</si>
  <si>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</si>
  <si>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</si>
  <si>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</si>
  <si>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</si>
  <si>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</si>
  <si>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</si>
  <si>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</si>
  <si>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</si>
  <si>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</si>
  <si>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</si>
  <si>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</si>
  <si>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</si>
  <si>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</si>
  <si>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</si>
  <si>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</si>
  <si>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</si>
  <si>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</si>
  <si>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</si>
  <si>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</si>
  <si>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</si>
  <si>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</si>
  <si>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</si>
  <si>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</si>
  <si>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</si>
  <si>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</si>
  <si>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</si>
  <si>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</si>
  <si>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</si>
  <si>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</si>
  <si>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</si>
  <si>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</si>
  <si>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</si>
  <si>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</si>
  <si>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</si>
  <si>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</si>
  <si>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</si>
  <si>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</si>
  <si>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</si>
  <si>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</si>
  <si>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</si>
  <si>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</si>
  <si>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</si>
  <si>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</si>
  <si>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</si>
  <si>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</si>
  <si>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</si>
  <si>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</si>
  <si>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</si>
  <si>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</si>
  <si>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</si>
  <si>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</si>
  <si>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</si>
  <si>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</si>
  <si>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</si>
  <si>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</si>
  <si>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</si>
  <si>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</si>
  <si>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</si>
  <si>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</si>
  <si>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</si>
  <si>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</si>
  <si>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</si>
  <si>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</si>
  <si>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</si>
  <si>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</si>
  <si>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</si>
  <si>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</si>
  <si>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</si>
  <si>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</si>
  <si>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</si>
  <si>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</si>
  <si>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</si>
  <si>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</si>
  <si>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</si>
  <si>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</si>
  <si>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</si>
  <si>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</si>
  <si>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</si>
  <si>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</si>
  <si>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</si>
  <si>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</si>
  <si>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</si>
  <si>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</si>
  <si>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</si>
  <si>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</si>
  <si>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</si>
  <si>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</si>
  <si>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</si>
  <si>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</si>
  <si>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</si>
  <si>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</si>
  <si>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</si>
  <si>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</si>
  <si>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</si>
  <si>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</si>
  <si>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</si>
  <si>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</si>
  <si>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</si>
  <si>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</si>
  <si>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</si>
  <si>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</si>
  <si>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</si>
  <si>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</si>
  <si>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</si>
  <si>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</si>
  <si>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</si>
  <si>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</si>
  <si>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</si>
  <si>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</si>
  <si>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</si>
  <si>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</si>
  <si>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</si>
  <si>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</si>
  <si>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</si>
  <si>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</si>
  <si>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</si>
  <si>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</si>
  <si>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</si>
  <si>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</si>
  <si>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</si>
  <si>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</si>
  <si>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</si>
  <si>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</si>
  <si>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</si>
  <si>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</si>
  <si>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</si>
  <si>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</si>
  <si>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</si>
  <si>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</si>
  <si>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</si>
  <si>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</si>
  <si>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</si>
  <si>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</si>
  <si>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</si>
  <si>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</si>
  <si>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</si>
  <si>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</si>
  <si>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</si>
  <si>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</si>
  <si>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</si>
  <si>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</si>
  <si>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</si>
  <si>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</si>
  <si>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</si>
  <si>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</si>
  <si>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</si>
  <si>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</si>
  <si>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</si>
  <si>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</si>
  <si>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</si>
  <si>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</si>
  <si>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</si>
  <si>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</si>
  <si>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</si>
  <si>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</si>
  <si>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</si>
  <si>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</si>
  <si>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</si>
  <si>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</si>
  <si>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</si>
  <si>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</si>
  <si>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</si>
  <si>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</si>
  <si>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</si>
  <si>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</si>
  <si>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</si>
  <si>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</si>
  <si>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</si>
  <si>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</si>
  <si>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</si>
  <si>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</si>
  <si>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</si>
  <si>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</si>
  <si>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</si>
  <si>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</si>
  <si>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</si>
  <si>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</si>
  <si>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</si>
  <si>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</si>
  <si>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</si>
  <si>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</si>
  <si>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</si>
  <si>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</si>
  <si>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</si>
  <si>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</si>
  <si>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</si>
  <si>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</si>
  <si>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</si>
  <si>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</si>
  <si>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</si>
  <si>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</si>
  <si>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</si>
  <si>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</si>
  <si>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</si>
  <si>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</si>
  <si>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</si>
  <si>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</si>
  <si>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</si>
  <si>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</si>
  <si>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</si>
  <si>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</si>
  <si>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</si>
  <si>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</si>
  <si>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</si>
  <si>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</si>
  <si>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</si>
  <si>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</si>
  <si>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</si>
  <si>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</si>
  <si>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</si>
  <si>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</si>
  <si>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</si>
  <si>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</si>
  <si>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</si>
  <si>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</si>
  <si>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</si>
  <si>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</si>
  <si>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</si>
  <si>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</si>
  <si>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</si>
  <si>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</si>
  <si>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</si>
  <si>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</si>
  <si>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</si>
  <si>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</si>
  <si>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</si>
  <si>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</si>
  <si>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</si>
  <si>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</si>
  <si>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</si>
  <si>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</si>
  <si>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</si>
  <si>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</si>
  <si>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</si>
  <si>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</si>
  <si>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</si>
  <si>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</si>
  <si>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</si>
  <si>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</si>
  <si>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</si>
  <si>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</si>
  <si>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</si>
  <si>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</si>
  <si>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</si>
  <si>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</si>
  <si>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</si>
  <si>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</si>
  <si>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</si>
  <si>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C1A</t>
  </si>
  <si>
    <t>C1B</t>
  </si>
  <si>
    <t>C1C</t>
  </si>
  <si>
    <t>C1D</t>
  </si>
  <si>
    <t>C1E</t>
  </si>
  <si>
    <t>C1F</t>
  </si>
  <si>
    <t>C1G</t>
  </si>
  <si>
    <t>JJF60</t>
  </si>
  <si>
    <t>JJS3</t>
  </si>
  <si>
    <t>JJE2</t>
  </si>
  <si>
    <t>JJS6</t>
  </si>
  <si>
    <t>JJA30</t>
  </si>
  <si>
    <t>JJAT</t>
  </si>
  <si>
    <t>Tipo</t>
  </si>
  <si>
    <t>Progressivo (m)</t>
  </si>
  <si>
    <t>Circ.</t>
  </si>
  <si>
    <t>Fase</t>
  </si>
  <si>
    <t>Nº Operação</t>
  </si>
  <si>
    <t>Nº Construção</t>
  </si>
  <si>
    <t>T1 à T47</t>
  </si>
  <si>
    <t>0/1 à 19/3</t>
  </si>
  <si>
    <t>20/1</t>
  </si>
  <si>
    <t>T49 à T134</t>
  </si>
  <si>
    <t>20/2 à 59/3</t>
  </si>
  <si>
    <t>60/1</t>
  </si>
  <si>
    <t>T136 à T220</t>
  </si>
  <si>
    <t>60/2 à 99/1</t>
  </si>
  <si>
    <t>99/2</t>
  </si>
  <si>
    <t>T222 à T270</t>
  </si>
  <si>
    <t>100/1 à 121/3</t>
  </si>
  <si>
    <t>C2A</t>
  </si>
  <si>
    <t>C2B</t>
  </si>
  <si>
    <t>C2C</t>
  </si>
  <si>
    <t>C2D</t>
  </si>
  <si>
    <t>C2E</t>
  </si>
  <si>
    <t>C2F</t>
  </si>
  <si>
    <t>C2G</t>
  </si>
  <si>
    <t>Caminho</t>
  </si>
  <si>
    <t>LT BNNM C1</t>
  </si>
  <si>
    <t>LT BNNM C2</t>
  </si>
  <si>
    <t>Serra da Mesa II</t>
  </si>
  <si>
    <t>Rio das Éguas</t>
  </si>
  <si>
    <t>Bom Jesus da Lapa</t>
  </si>
  <si>
    <t>Juba</t>
  </si>
  <si>
    <t>Bransnorte</t>
  </si>
  <si>
    <t>Jauru</t>
  </si>
  <si>
    <t>Nova Mutum</t>
  </si>
  <si>
    <t>Pórtico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</si>
  <si>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</si>
  <si>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</si>
  <si>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</si>
  <si>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</si>
  <si>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</si>
  <si>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</si>
  <si>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</si>
  <si>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</si>
  <si>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</si>
  <si>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</si>
  <si>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</si>
  <si>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</si>
  <si>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</si>
  <si>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</si>
  <si>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</si>
  <si>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</si>
  <si>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</si>
  <si>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</si>
  <si>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</si>
  <si>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</si>
  <si>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</si>
  <si>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</si>
  <si>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</si>
  <si>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</si>
  <si>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</si>
  <si>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</si>
  <si>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</si>
  <si>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</si>
  <si>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</si>
  <si>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</si>
  <si>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</si>
  <si>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</si>
  <si>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</si>
  <si>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</si>
  <si>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</si>
  <si>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</si>
  <si>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</si>
  <si>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</si>
  <si>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</si>
  <si>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</si>
  <si>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</si>
  <si>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</si>
  <si>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</si>
  <si>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</si>
  <si>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</si>
  <si>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</si>
  <si>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</si>
  <si>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</si>
  <si>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</si>
  <si>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</si>
  <si>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</si>
  <si>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</si>
  <si>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</si>
  <si>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</si>
  <si>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</si>
  <si>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</si>
  <si>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</si>
  <si>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</si>
  <si>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</si>
  <si>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</si>
  <si>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</si>
  <si>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</si>
  <si>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</si>
  <si>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</si>
  <si>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</si>
  <si>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</si>
  <si>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</si>
  <si>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</si>
  <si>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</si>
  <si>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</si>
  <si>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</si>
  <si>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</si>
  <si>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</si>
  <si>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</si>
  <si>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</si>
  <si>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</si>
  <si>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</si>
  <si>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</si>
  <si>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</si>
  <si>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</si>
  <si>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</si>
  <si>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</si>
  <si>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</si>
  <si>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</si>
  <si>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</si>
  <si>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</si>
  <si>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</si>
  <si>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</si>
  <si>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</si>
  <si>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</si>
  <si>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</si>
  <si>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</si>
  <si>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</si>
  <si>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</si>
  <si>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</si>
  <si>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</si>
  <si>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</si>
  <si>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</si>
  <si>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</si>
  <si>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</si>
  <si>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</si>
  <si>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</si>
  <si>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</si>
  <si>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</si>
  <si>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</si>
  <si>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</si>
  <si>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</si>
  <si>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</si>
  <si>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</si>
  <si>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</si>
  <si>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</si>
  <si>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</si>
  <si>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</si>
  <si>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</si>
  <si>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</si>
  <si>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</si>
  <si>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</si>
  <si>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</si>
  <si>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</si>
  <si>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</si>
  <si>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</si>
  <si>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</si>
  <si>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</si>
  <si>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</si>
  <si>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</si>
  <si>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</si>
  <si>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</si>
  <si>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</si>
  <si>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</si>
  <si>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</si>
  <si>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</si>
  <si>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</si>
  <si>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</si>
  <si>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</si>
  <si>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</si>
  <si>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</si>
  <si>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</si>
  <si>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</si>
  <si>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</si>
  <si>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</si>
  <si>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</si>
  <si>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</si>
  <si>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</si>
  <si>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</si>
  <si>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</si>
  <si>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</si>
  <si>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</si>
  <si>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</si>
  <si>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</si>
  <si>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</si>
  <si>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</si>
  <si>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</si>
  <si>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</si>
  <si>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</si>
  <si>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</si>
  <si>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</si>
  <si>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</si>
  <si>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</si>
  <si>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</si>
  <si>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</si>
  <si>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</si>
  <si>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</si>
  <si>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</si>
  <si>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</si>
  <si>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</si>
  <si>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</si>
  <si>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</si>
  <si>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</si>
  <si>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</si>
  <si>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</si>
  <si>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</si>
  <si>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</si>
  <si>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</si>
  <si>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</si>
  <si>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</si>
  <si>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</si>
  <si>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</si>
  <si>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</si>
  <si>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</si>
  <si>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</si>
  <si>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</si>
  <si>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</si>
  <si>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</si>
  <si>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</si>
  <si>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</si>
  <si>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</si>
  <si>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</si>
  <si>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</si>
  <si>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</si>
  <si>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</si>
  <si>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</si>
  <si>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</si>
  <si>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</si>
  <si>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</si>
  <si>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</si>
  <si>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</si>
  <si>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</si>
  <si>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</si>
  <si>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</si>
  <si>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</si>
  <si>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</si>
  <si>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</si>
  <si>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</si>
  <si>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</si>
  <si>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</si>
  <si>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</si>
  <si>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</si>
  <si>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</si>
  <si>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</si>
  <si>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</si>
  <si>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</si>
  <si>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</si>
  <si>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</si>
  <si>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</si>
  <si>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</si>
  <si>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</si>
  <si>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</si>
  <si>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</si>
  <si>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</si>
  <si>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</si>
  <si>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</si>
  <si>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</si>
  <si>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</si>
  <si>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</si>
  <si>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</si>
  <si>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</si>
  <si>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</si>
  <si>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</si>
  <si>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</si>
  <si>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</si>
  <si>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</si>
  <si>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</si>
  <si>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</si>
  <si>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</si>
  <si>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</si>
  <si>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</si>
  <si>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</si>
  <si>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</si>
  <si>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</si>
  <si>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</si>
  <si>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</si>
  <si>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</si>
  <si>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</si>
  <si>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</si>
  <si>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</si>
  <si>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</si>
  <si>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</si>
  <si>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</si>
  <si>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</si>
  <si>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</si>
  <si>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</si>
  <si>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</si>
  <si>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</si>
  <si>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</si>
  <si>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</si>
  <si>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</si>
  <si>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</si>
  <si>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</si>
  <si>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</si>
  <si>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</si>
  <si>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</si>
  <si>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</si>
  <si>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</si>
  <si>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</si>
  <si>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</si>
  <si>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</si>
  <si>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</si>
  <si>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</si>
  <si>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</si>
  <si>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</si>
  <si>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</si>
  <si>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</si>
  <si>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</si>
  <si>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</si>
  <si>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</si>
  <si>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</si>
  <si>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</si>
  <si>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</si>
  <si>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</si>
  <si>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</si>
  <si>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</si>
  <si>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</si>
  <si>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</si>
  <si>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</si>
  <si>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</si>
  <si>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</si>
  <si>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</si>
  <si>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</si>
  <si>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</si>
  <si>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</si>
  <si>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BN-NM C1</t>
  </si>
  <si>
    <t>BN-NM C2</t>
  </si>
  <si>
    <t>BNF60</t>
  </si>
  <si>
    <t>BNE2</t>
  </si>
  <si>
    <t>BNA30</t>
  </si>
  <si>
    <t>BNS6</t>
  </si>
  <si>
    <t>BNS3</t>
  </si>
  <si>
    <t>BNAT</t>
  </si>
  <si>
    <t>img/C1A.png</t>
  </si>
  <si>
    <t>img/C1B.png</t>
  </si>
  <si>
    <t>img/C1C.png</t>
  </si>
  <si>
    <t>img/C1D.png</t>
  </si>
  <si>
    <t>img/C1E.png</t>
  </si>
  <si>
    <t>img/C1F.png</t>
  </si>
  <si>
    <t>img/C1G.png</t>
  </si>
  <si>
    <t>img/C2A.png</t>
  </si>
  <si>
    <t>img/C2B.png</t>
  </si>
  <si>
    <t>img/C2C.png</t>
  </si>
  <si>
    <t>img/C2D.png</t>
  </si>
  <si>
    <t>img/C2E.png</t>
  </si>
  <si>
    <t>img/C2F.png</t>
  </si>
  <si>
    <t>img/C2G.png</t>
  </si>
  <si>
    <t>IBICOARA</t>
  </si>
  <si>
    <t xml:space="preserve">LT SOBSJI </t>
  </si>
  <si>
    <t>Ibicoara</t>
  </si>
  <si>
    <t>Camaçari II</t>
  </si>
  <si>
    <t>Bom Jesus da Lapa II</t>
  </si>
  <si>
    <t>Sapeaçú</t>
  </si>
  <si>
    <t>LT GUMC2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</si>
</sst>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#,##0.000"/>
    <numFmt numFmtId="167" formatCode="0.00000"/>
    <numFmt numFmtId="168" formatCode="#,##0.00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</cellStyleXfs>
  <cellXfs count="93">
    <xf numFmtId="0" fontId="0" fillId="0" borderId="0" xfId="0"/>
    <xf numFmtId="0" fontId="1" fillId="0" borderId="0" xfId="1"/>
    <xf numFmtId="0" fontId="1" fillId="5" borderId="0" xfId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2" fontId="0" fillId="0" borderId="1" xfId="0" applyNumberFormat="1" applyBorder="1"/>
    <xf numFmtId="166" fontId="4" fillId="6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/>
    </xf>
    <xf numFmtId="166" fontId="4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" fontId="1" fillId="6" borderId="1" xfId="0" applyNumberFormat="1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 vertical="center"/>
    </xf>
    <xf numFmtId="4" fontId="1" fillId="6" borderId="1" xfId="0" applyNumberFormat="1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4" fontId="4" fillId="6" borderId="0" xfId="0" applyNumberFormat="1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" fontId="4" fillId="6" borderId="2" xfId="0" applyNumberFormat="1" applyFont="1" applyFill="1" applyBorder="1" applyAlignment="1">
      <alignment horizontal="center"/>
    </xf>
    <xf numFmtId="2" fontId="0" fillId="0" borderId="1" xfId="2" applyNumberFormat="1" applyFont="1" applyBorder="1"/>
    <xf numFmtId="0" fontId="0" fillId="0" borderId="1" xfId="0" applyBorder="1"/>
    <xf numFmtId="0" fontId="2" fillId="3" borderId="1" xfId="0" applyFont="1" applyFill="1" applyBorder="1" applyAlignment="1">
      <alignment vertical="center"/>
    </xf>
    <xf numFmtId="4" fontId="4" fillId="6" borderId="4" xfId="0" applyNumberFormat="1" applyFont="1" applyFill="1" applyBorder="1" applyAlignment="1">
      <alignment horizontal="center"/>
    </xf>
    <xf numFmtId="4" fontId="1" fillId="6" borderId="2" xfId="0" applyNumberFormat="1" applyFont="1" applyFill="1" applyBorder="1" applyAlignment="1">
      <alignment horizontal="center"/>
    </xf>
    <xf numFmtId="0" fontId="1" fillId="4" borderId="1" xfId="1" applyFill="1" applyBorder="1"/>
    <xf numFmtId="168" fontId="4" fillId="6" borderId="1" xfId="0" applyNumberFormat="1" applyFont="1" applyFill="1" applyBorder="1" applyAlignment="1">
      <alignment horizontal="center"/>
    </xf>
    <xf numFmtId="168" fontId="1" fillId="6" borderId="1" xfId="0" applyNumberFormat="1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quotePrefix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2" fontId="1" fillId="0" borderId="1" xfId="2" applyNumberFormat="1" applyFont="1" applyFill="1" applyBorder="1"/>
    <xf numFmtId="0" fontId="1" fillId="0" borderId="1" xfId="1" applyBorder="1"/>
    <xf numFmtId="0" fontId="4" fillId="0" borderId="1" xfId="1" applyFont="1" applyBorder="1" applyAlignment="1">
      <alignment horizontal="center"/>
    </xf>
    <xf numFmtId="167" fontId="4" fillId="0" borderId="1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1" fillId="0" borderId="1" xfId="1" applyBorder="1" applyAlignment="1">
      <alignment horizontal="left"/>
    </xf>
    <xf numFmtId="2" fontId="3" fillId="0" borderId="1" xfId="1" applyNumberFormat="1" applyFont="1" applyBorder="1" applyAlignment="1">
      <alignment horizontal="center" vertical="center"/>
    </xf>
    <xf numFmtId="4" fontId="4" fillId="0" borderId="1" xfId="1" applyNumberFormat="1" applyFont="1" applyBorder="1" applyAlignment="1">
      <alignment horizontal="center" vertical="center"/>
    </xf>
    <xf numFmtId="4" fontId="4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vertical="center"/>
    </xf>
    <xf numFmtId="0" fontId="1" fillId="0" borderId="4" xfId="1" applyBorder="1" applyAlignment="1">
      <alignment horizontal="center"/>
    </xf>
    <xf numFmtId="0" fontId="5" fillId="0" borderId="0" xfId="0" applyFont="1"/>
    <xf numFmtId="0" fontId="4" fillId="0" borderId="1" xfId="1" applyFont="1" applyBorder="1" applyAlignment="1">
      <alignment horizontal="center" vertical="center"/>
    </xf>
    <xf numFmtId="167" fontId="1" fillId="0" borderId="0" xfId="1" applyNumberFormat="1"/>
    <xf numFmtId="0" fontId="0" fillId="0" borderId="0" xfId="0" applyAlignment="1">
      <alignment horizontal="center"/>
    </xf>
    <xf numFmtId="165" fontId="1" fillId="0" borderId="0" xfId="1" applyNumberFormat="1"/>
    <xf numFmtId="4" fontId="1" fillId="0" borderId="0" xfId="1" applyNumberFormat="1"/>
    <xf numFmtId="167" fontId="0" fillId="0" borderId="0" xfId="0" applyNumberFormat="1"/>
    <xf numFmtId="0" fontId="1" fillId="5" borderId="2" xfId="1" applyFill="1" applyBorder="1"/>
    <xf numFmtId="168" fontId="4" fillId="2" borderId="1" xfId="0" applyNumberFormat="1" applyFont="1" applyFill="1" applyBorder="1" applyAlignment="1">
      <alignment horizontal="center"/>
    </xf>
    <xf numFmtId="0" fontId="0" fillId="0" borderId="5" xfId="0" applyBorder="1"/>
    <xf numFmtId="2" fontId="0" fillId="0" borderId="5" xfId="0" applyNumberFormat="1" applyBorder="1"/>
    <xf numFmtId="0" fontId="0" fillId="2" borderId="5" xfId="0" applyFill="1" applyBorder="1"/>
    <xf numFmtId="0" fontId="0" fillId="0" borderId="6" xfId="0" applyBorder="1"/>
    <xf numFmtId="2" fontId="0" fillId="0" borderId="6" xfId="0" applyNumberFormat="1" applyBorder="1"/>
    <xf numFmtId="168" fontId="0" fillId="0" borderId="0" xfId="0" applyNumberFormat="1"/>
    <xf numFmtId="0" fontId="6" fillId="6" borderId="1" xfId="0" applyFont="1" applyFill="1" applyBorder="1" applyAlignment="1">
      <alignment horizontal="center"/>
    </xf>
    <xf numFmtId="168" fontId="6" fillId="6" borderId="1" xfId="0" applyNumberFormat="1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8" fillId="2" borderId="0" xfId="0" applyFont="1" applyFill="1"/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" fontId="9" fillId="7" borderId="0" xfId="0" applyNumberFormat="1" applyFont="1" applyFill="1" applyAlignment="1">
      <alignment wrapText="1"/>
    </xf>
    <xf numFmtId="0" fontId="10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7" xfId="0" applyFont="1" applyBorder="1"/>
    <xf numFmtId="16" fontId="9" fillId="0" borderId="7" xfId="0" quotePrefix="1" applyNumberFormat="1" applyFont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2" borderId="0" xfId="3" applyFont="1" applyFill="1" applyAlignment="1">
      <alignment horizontal="center" vertical="center"/>
    </xf>
    <xf numFmtId="4" fontId="9" fillId="7" borderId="0" xfId="0" applyNumberFormat="1" applyFont="1" applyFill="1"/>
    <xf numFmtId="0" fontId="0" fillId="2" borderId="6" xfId="0" applyFill="1" applyBorder="1"/>
    <xf numFmtId="0" fontId="0" fillId="2" borderId="1" xfId="0" applyFill="1" applyBorder="1"/>
  </cellXfs>
  <cellStyles count="4">
    <cellStyle name="Normal" xfId="0" builtinId="0"/>
    <cellStyle name="Normal 2" xfId="1" xr:uid="{00000000-0005-0000-0000-000001000000}"/>
    <cellStyle name="Normal 3" xfId="3" xr:uid="{0D156353-1D4B-4D61-925F-274D461A2D3F}"/>
    <cellStyle name="Vírgula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291465</xdr:colOff>
      <xdr:row>4</xdr:row>
      <xdr:rowOff>53340</xdr:rowOff>
    </xdr:from>
    <xdr:ext cx="923925" cy="752475"/>
    <xdr:pic>
      <xdr:nvPicPr>
        <xdr:cNvPr id="2" name="image4.png">
          <a:extLst>
            <a:ext uri="{FF2B5EF4-FFF2-40B4-BE49-F238E27FC236}">
              <a16:creationId xmlns:a16="http://schemas.microsoft.com/office/drawing/2014/main" id="{CA8E37F7-ACE1-472A-8F48-2A85D0300F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21205" y="3714750"/>
          <a:ext cx="9239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495747</xdr:colOff>
      <xdr:row>1</xdr:row>
      <xdr:rowOff>127972</xdr:rowOff>
    </xdr:from>
    <xdr:ext cx="990600" cy="847725"/>
    <xdr:pic>
      <xdr:nvPicPr>
        <xdr:cNvPr id="3" name="image12.png">
          <a:extLst>
            <a:ext uri="{FF2B5EF4-FFF2-40B4-BE49-F238E27FC236}">
              <a16:creationId xmlns:a16="http://schemas.microsoft.com/office/drawing/2014/main" id="{FC97BB7C-D244-476F-98ED-95098F9E780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0865" y="307266"/>
          <a:ext cx="9906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378983</xdr:colOff>
      <xdr:row>2</xdr:row>
      <xdr:rowOff>86846</xdr:rowOff>
    </xdr:from>
    <xdr:ext cx="1019175" cy="781050"/>
    <xdr:pic>
      <xdr:nvPicPr>
        <xdr:cNvPr id="4" name="image9.png">
          <a:extLst>
            <a:ext uri="{FF2B5EF4-FFF2-40B4-BE49-F238E27FC236}">
              <a16:creationId xmlns:a16="http://schemas.microsoft.com/office/drawing/2014/main" id="{E20F747F-128C-4536-9958-4EC0467946C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84101" y="1341905"/>
          <a:ext cx="1019175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3</xdr:row>
      <xdr:rowOff>85725</xdr:rowOff>
    </xdr:from>
    <xdr:ext cx="990600" cy="847725"/>
    <xdr:pic>
      <xdr:nvPicPr>
        <xdr:cNvPr id="5" name="image10.png">
          <a:extLst>
            <a:ext uri="{FF2B5EF4-FFF2-40B4-BE49-F238E27FC236}">
              <a16:creationId xmlns:a16="http://schemas.microsoft.com/office/drawing/2014/main" id="{EFD5B18B-1CFE-42DC-9D75-D5CB8DEBF49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53590" y="2735580"/>
          <a:ext cx="9906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5</xdr:row>
      <xdr:rowOff>57150</xdr:rowOff>
    </xdr:from>
    <xdr:ext cx="990600" cy="847725"/>
    <xdr:pic>
      <xdr:nvPicPr>
        <xdr:cNvPr id="6" name="image6.png">
          <a:extLst>
            <a:ext uri="{FF2B5EF4-FFF2-40B4-BE49-F238E27FC236}">
              <a16:creationId xmlns:a16="http://schemas.microsoft.com/office/drawing/2014/main" id="{0F19AB61-2E01-4C81-8694-3B4B7C6572C6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015490" y="4672965"/>
          <a:ext cx="9906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6</xdr:row>
      <xdr:rowOff>85725</xdr:rowOff>
    </xdr:from>
    <xdr:ext cx="1019175" cy="800100"/>
    <xdr:pic>
      <xdr:nvPicPr>
        <xdr:cNvPr id="7" name="image13.png">
          <a:extLst>
            <a:ext uri="{FF2B5EF4-FFF2-40B4-BE49-F238E27FC236}">
              <a16:creationId xmlns:a16="http://schemas.microsoft.com/office/drawing/2014/main" id="{428E9B2C-EBBD-444D-BC6D-EE8807F2CB44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73580" y="5707380"/>
          <a:ext cx="1019175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338210</xdr:colOff>
      <xdr:row>7</xdr:row>
      <xdr:rowOff>53340</xdr:rowOff>
    </xdr:from>
    <xdr:ext cx="990600" cy="847725"/>
    <xdr:pic>
      <xdr:nvPicPr>
        <xdr:cNvPr id="8" name="image12.png">
          <a:extLst>
            <a:ext uri="{FF2B5EF4-FFF2-40B4-BE49-F238E27FC236}">
              <a16:creationId xmlns:a16="http://schemas.microsoft.com/office/drawing/2014/main" id="{190F921A-FB31-4C30-BF58-3D95BF60833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6345" y="6698859"/>
          <a:ext cx="9906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</xdr:row>
      <xdr:rowOff>76200</xdr:rowOff>
    </xdr:from>
    <xdr:ext cx="1000125" cy="847725"/>
    <xdr:pic>
      <xdr:nvPicPr>
        <xdr:cNvPr id="9" name="image11.png">
          <a:extLst>
            <a:ext uri="{FF2B5EF4-FFF2-40B4-BE49-F238E27FC236}">
              <a16:creationId xmlns:a16="http://schemas.microsoft.com/office/drawing/2014/main" id="{F5BB7839-81EA-425B-A2EA-F0F944FFF96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026920" y="7810500"/>
          <a:ext cx="10001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9</xdr:row>
      <xdr:rowOff>76200</xdr:rowOff>
    </xdr:from>
    <xdr:ext cx="990600" cy="847725"/>
    <xdr:pic>
      <xdr:nvPicPr>
        <xdr:cNvPr id="10" name="image8.png">
          <a:extLst>
            <a:ext uri="{FF2B5EF4-FFF2-40B4-BE49-F238E27FC236}">
              <a16:creationId xmlns:a16="http://schemas.microsoft.com/office/drawing/2014/main" id="{E7343AC6-66B4-4A51-8167-19030830AF61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000250" y="8839200"/>
          <a:ext cx="9906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10</xdr:row>
      <xdr:rowOff>66675</xdr:rowOff>
    </xdr:from>
    <xdr:ext cx="936000" cy="720000"/>
    <xdr:pic>
      <xdr:nvPicPr>
        <xdr:cNvPr id="11" name="image5.png">
          <a:extLst>
            <a:ext uri="{FF2B5EF4-FFF2-40B4-BE49-F238E27FC236}">
              <a16:creationId xmlns:a16="http://schemas.microsoft.com/office/drawing/2014/main" id="{DD2420B3-186B-441F-B849-6383584823B9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015490" y="9827895"/>
          <a:ext cx="936000" cy="720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211455</xdr:colOff>
      <xdr:row>11</xdr:row>
      <xdr:rowOff>76200</xdr:rowOff>
    </xdr:from>
    <xdr:ext cx="1019175" cy="720000"/>
    <xdr:pic>
      <xdr:nvPicPr>
        <xdr:cNvPr id="12" name="image15.png">
          <a:extLst>
            <a:ext uri="{FF2B5EF4-FFF2-40B4-BE49-F238E27FC236}">
              <a16:creationId xmlns:a16="http://schemas.microsoft.com/office/drawing/2014/main" id="{D17D3738-ED3A-48D6-A434-EBB841B5ED2A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941195" y="10744200"/>
          <a:ext cx="1019175" cy="720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12</xdr:row>
      <xdr:rowOff>47625</xdr:rowOff>
    </xdr:from>
    <xdr:ext cx="990600" cy="720000"/>
    <xdr:pic>
      <xdr:nvPicPr>
        <xdr:cNvPr id="13" name="image7.png">
          <a:extLst>
            <a:ext uri="{FF2B5EF4-FFF2-40B4-BE49-F238E27FC236}">
              <a16:creationId xmlns:a16="http://schemas.microsoft.com/office/drawing/2014/main" id="{55B6875F-ED0E-495F-BD81-096834AB7C9B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988820" y="11650980"/>
          <a:ext cx="990600" cy="720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13</xdr:row>
      <xdr:rowOff>66675</xdr:rowOff>
    </xdr:from>
    <xdr:ext cx="1019175" cy="828675"/>
    <xdr:pic>
      <xdr:nvPicPr>
        <xdr:cNvPr id="14" name="image14.png">
          <a:extLst>
            <a:ext uri="{FF2B5EF4-FFF2-40B4-BE49-F238E27FC236}">
              <a16:creationId xmlns:a16="http://schemas.microsoft.com/office/drawing/2014/main" id="{EF568340-5DE6-400E-969C-7B05153E422B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62150" y="12704445"/>
          <a:ext cx="1019175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14</xdr:row>
      <xdr:rowOff>161925</xdr:rowOff>
    </xdr:from>
    <xdr:ext cx="1000125" cy="847725"/>
    <xdr:pic>
      <xdr:nvPicPr>
        <xdr:cNvPr id="15" name="image11.png">
          <a:extLst>
            <a:ext uri="{FF2B5EF4-FFF2-40B4-BE49-F238E27FC236}">
              <a16:creationId xmlns:a16="http://schemas.microsoft.com/office/drawing/2014/main" id="{686AF70F-8248-4E48-A5FF-0777744CBAE3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015490" y="13794105"/>
          <a:ext cx="100012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3"/>
  <dimension ref="A1:B21"/>
  <sheetViews>
    <sheetView tabSelected="1" workbookViewId="0">
      <selection activeCell="C29" sqref="C29"/>
    </sheetView>
  </sheetViews>
  <sheetFormatPr defaultRowHeight="15" x14ac:dyDescent="0.25"/>
  <cols>
    <col min="1" max="1" width="14.28515625" bestFit="1" customWidth="1"/>
    <col min="2" max="2" width="18" customWidth="1"/>
  </cols>
  <sheetData>
    <row r="1" spans="1:2" x14ac:dyDescent="0.25">
      <c r="A1" s="2" t="s">
        <v>5</v>
      </c>
      <c r="B1" s="67" t="s">
        <v>2</v>
      </c>
    </row>
    <row r="2" spans="1:2" x14ac:dyDescent="0.25">
      <c r="A2" s="49" t="s">
        <v>3</v>
      </c>
      <c r="B2" s="49" t="s">
        <v>845</v>
      </c>
    </row>
    <row r="3" spans="1:2" x14ac:dyDescent="0.25">
      <c r="A3" s="49" t="s">
        <v>3</v>
      </c>
      <c r="B3" s="49" t="s">
        <v>846</v>
      </c>
    </row>
    <row r="4" spans="1:2" x14ac:dyDescent="0.25">
      <c r="A4" s="49" t="s">
        <v>3</v>
      </c>
      <c r="B4" s="49" t="s">
        <v>847</v>
      </c>
    </row>
    <row r="5" spans="1:2" x14ac:dyDescent="0.25">
      <c r="A5" s="49" t="s">
        <v>3</v>
      </c>
      <c r="B5" s="49" t="s">
        <v>848</v>
      </c>
    </row>
    <row r="6" spans="1:2" x14ac:dyDescent="0.25">
      <c r="A6" s="49" t="s">
        <v>3</v>
      </c>
      <c r="B6" s="49" t="s">
        <v>849</v>
      </c>
    </row>
    <row r="7" spans="1:2" x14ac:dyDescent="0.25">
      <c r="A7" s="49" t="s">
        <v>4</v>
      </c>
      <c r="B7" s="49" t="s">
        <v>850</v>
      </c>
    </row>
    <row r="8" spans="1:2" x14ac:dyDescent="0.25">
      <c r="A8" s="49" t="s">
        <v>4</v>
      </c>
      <c r="B8" s="49" t="s">
        <v>851</v>
      </c>
    </row>
    <row r="9" spans="1:2" x14ac:dyDescent="0.25">
      <c r="A9" s="49" t="s">
        <v>4</v>
      </c>
      <c r="B9" s="49" t="s">
        <v>852</v>
      </c>
    </row>
    <row r="10" spans="1:2" x14ac:dyDescent="0.25">
      <c r="A10" s="49" t="s">
        <v>4</v>
      </c>
      <c r="B10" s="49" t="s">
        <v>853</v>
      </c>
    </row>
    <row r="11" spans="1:2" x14ac:dyDescent="0.25">
      <c r="A11" s="49" t="s">
        <v>4</v>
      </c>
      <c r="B11" s="49" t="s">
        <v>854</v>
      </c>
    </row>
    <row r="12" spans="1:2" x14ac:dyDescent="0.25">
      <c r="A12" s="49" t="s">
        <v>4</v>
      </c>
      <c r="B12" s="49" t="s">
        <v>855</v>
      </c>
    </row>
    <row r="13" spans="1:2" x14ac:dyDescent="0.25">
      <c r="A13" s="49" t="s">
        <v>4</v>
      </c>
      <c r="B13" s="49" t="s">
        <v>856</v>
      </c>
    </row>
    <row r="14" spans="1:2" x14ac:dyDescent="0.25">
      <c r="A14" s="37" t="s">
        <v>871</v>
      </c>
      <c r="B14" s="37" t="s">
        <v>874</v>
      </c>
    </row>
    <row r="15" spans="1:2" x14ac:dyDescent="0.25">
      <c r="A15" s="37" t="s">
        <v>871</v>
      </c>
      <c r="B15" s="37" t="s">
        <v>877</v>
      </c>
    </row>
    <row r="16" spans="1:2" x14ac:dyDescent="0.25">
      <c r="A16" s="37" t="s">
        <v>872</v>
      </c>
      <c r="B16" s="37" t="s">
        <v>875</v>
      </c>
    </row>
    <row r="17" spans="1:2" x14ac:dyDescent="0.25">
      <c r="A17" s="37" t="s">
        <v>873</v>
      </c>
      <c r="B17" s="37" t="s">
        <v>876</v>
      </c>
    </row>
    <row r="18" spans="1:2" x14ac:dyDescent="0.25">
      <c r="A18" s="37" t="s">
        <v>900</v>
      </c>
      <c r="B18" s="37" t="s">
        <v>879</v>
      </c>
    </row>
    <row r="19" spans="1:2" x14ac:dyDescent="0.25">
      <c r="A19" s="37" t="s">
        <v>900</v>
      </c>
      <c r="B19" s="37" t="s">
        <v>880</v>
      </c>
    </row>
    <row r="20" spans="1:2" x14ac:dyDescent="0.25">
      <c r="A20" s="37" t="s">
        <v>900</v>
      </c>
      <c r="B20" s="37" t="s">
        <v>1211</v>
      </c>
    </row>
    <row r="21" spans="1:2" x14ac:dyDescent="0.25">
      <c r="A21" s="37" t="s">
        <v>900</v>
      </c>
      <c r="B21" s="37" t="s">
        <v>1212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E84-95D0-4DF1-B064-5FC10F040047}">
  <dimension ref="A1:D29"/>
  <sheetViews>
    <sheetView workbookViewId="0">
      <selection activeCell="B33" sqref="B33"/>
    </sheetView>
  </sheetViews>
  <sheetFormatPr defaultRowHeight="15" x14ac:dyDescent="0.25"/>
  <cols>
    <col min="1" max="1" width="22.7109375" customWidth="1"/>
    <col min="2" max="2" width="14.28515625" bestFit="1" customWidth="1"/>
    <col min="3" max="3" width="39.85546875" customWidth="1"/>
    <col min="4" max="4" width="25.85546875" customWidth="1"/>
  </cols>
  <sheetData>
    <row r="1" spans="1:4" x14ac:dyDescent="0.25">
      <c r="A1" t="s">
        <v>2</v>
      </c>
      <c r="B1" t="s">
        <v>878</v>
      </c>
      <c r="C1" t="s">
        <v>892</v>
      </c>
      <c r="D1" t="s">
        <v>893</v>
      </c>
    </row>
    <row r="2" spans="1:4" x14ac:dyDescent="0.25">
      <c r="A2" s="71" t="s">
        <v>846</v>
      </c>
      <c r="B2" s="70">
        <v>343.51</v>
      </c>
      <c r="C2" t="s">
        <v>894</v>
      </c>
      <c r="D2" t="s">
        <v>895</v>
      </c>
    </row>
    <row r="3" spans="1:4" x14ac:dyDescent="0.25">
      <c r="A3" s="71" t="s">
        <v>845</v>
      </c>
      <c r="B3" s="70">
        <v>174.03</v>
      </c>
      <c r="C3" t="s">
        <v>895</v>
      </c>
      <c r="D3" t="s">
        <v>896</v>
      </c>
    </row>
    <row r="4" spans="1:4" x14ac:dyDescent="0.25">
      <c r="A4" s="71" t="s">
        <v>1539</v>
      </c>
      <c r="B4" s="70">
        <v>254.89</v>
      </c>
      <c r="C4" t="s">
        <v>896</v>
      </c>
      <c r="D4" t="s">
        <v>897</v>
      </c>
    </row>
    <row r="5" spans="1:4" x14ac:dyDescent="0.25">
      <c r="A5" s="71" t="s">
        <v>848</v>
      </c>
      <c r="B5" s="70">
        <v>257.3</v>
      </c>
      <c r="C5" t="s">
        <v>897</v>
      </c>
      <c r="D5" t="s">
        <v>898</v>
      </c>
    </row>
    <row r="6" spans="1:4" x14ac:dyDescent="0.25">
      <c r="A6" s="71" t="s">
        <v>849</v>
      </c>
      <c r="B6" s="70">
        <v>248.56</v>
      </c>
      <c r="C6" t="s">
        <v>898</v>
      </c>
      <c r="D6" t="s">
        <v>899</v>
      </c>
    </row>
    <row r="7" spans="1:4" x14ac:dyDescent="0.25">
      <c r="A7" s="71" t="s">
        <v>850</v>
      </c>
      <c r="B7" s="70">
        <v>42.68</v>
      </c>
      <c r="C7" t="s">
        <v>898</v>
      </c>
      <c r="D7" t="s">
        <v>1213</v>
      </c>
    </row>
    <row r="8" spans="1:4" x14ac:dyDescent="0.25">
      <c r="A8" s="71" t="s">
        <v>851</v>
      </c>
      <c r="B8" s="70">
        <v>208.67</v>
      </c>
      <c r="C8" t="s">
        <v>1213</v>
      </c>
      <c r="D8" t="s">
        <v>1214</v>
      </c>
    </row>
    <row r="9" spans="1:4" x14ac:dyDescent="0.25">
      <c r="A9" s="71" t="s">
        <v>852</v>
      </c>
      <c r="B9" s="70">
        <v>321.70999999999998</v>
      </c>
      <c r="C9" t="s">
        <v>1214</v>
      </c>
      <c r="D9" t="s">
        <v>1215</v>
      </c>
    </row>
    <row r="10" spans="1:4" x14ac:dyDescent="0.25">
      <c r="A10" s="71" t="s">
        <v>854</v>
      </c>
      <c r="B10" s="70">
        <v>232.5</v>
      </c>
      <c r="C10" t="s">
        <v>1215</v>
      </c>
      <c r="D10" t="s">
        <v>1533</v>
      </c>
    </row>
    <row r="11" spans="1:4" x14ac:dyDescent="0.25">
      <c r="A11" s="71" t="s">
        <v>855</v>
      </c>
      <c r="B11" s="70">
        <v>256.88</v>
      </c>
      <c r="C11" t="s">
        <v>1535</v>
      </c>
      <c r="D11" t="s">
        <v>1538</v>
      </c>
    </row>
    <row r="12" spans="1:4" x14ac:dyDescent="0.25">
      <c r="A12" s="71" t="s">
        <v>856</v>
      </c>
      <c r="B12" s="70">
        <v>104.4</v>
      </c>
      <c r="C12" t="s">
        <v>1536</v>
      </c>
      <c r="D12" t="s">
        <v>1538</v>
      </c>
    </row>
    <row r="13" spans="1:4" x14ac:dyDescent="0.25">
      <c r="A13" s="71" t="s">
        <v>853</v>
      </c>
      <c r="B13" s="70">
        <v>2</v>
      </c>
      <c r="C13" t="s">
        <v>1537</v>
      </c>
      <c r="D13" t="s">
        <v>1215</v>
      </c>
    </row>
    <row r="14" spans="1:4" x14ac:dyDescent="0.25">
      <c r="A14" s="69" t="s">
        <v>881</v>
      </c>
      <c r="B14" s="70">
        <v>22</v>
      </c>
    </row>
    <row r="15" spans="1:4" x14ac:dyDescent="0.25">
      <c r="A15" s="69" t="s">
        <v>882</v>
      </c>
      <c r="B15" s="70">
        <v>22</v>
      </c>
    </row>
    <row r="16" spans="1:4" x14ac:dyDescent="0.25">
      <c r="A16" s="69" t="s">
        <v>883</v>
      </c>
      <c r="B16" s="70">
        <v>193.2</v>
      </c>
    </row>
    <row r="17" spans="1:4" x14ac:dyDescent="0.25">
      <c r="A17" s="69" t="s">
        <v>884</v>
      </c>
      <c r="B17" s="70">
        <v>191.5</v>
      </c>
    </row>
    <row r="18" spans="1:4" x14ac:dyDescent="0.25">
      <c r="A18" s="69" t="s">
        <v>885</v>
      </c>
      <c r="B18" s="70">
        <v>35</v>
      </c>
    </row>
    <row r="19" spans="1:4" x14ac:dyDescent="0.25">
      <c r="A19" s="69" t="s">
        <v>886</v>
      </c>
      <c r="B19" s="70">
        <v>177.36</v>
      </c>
    </row>
    <row r="20" spans="1:4" x14ac:dyDescent="0.25">
      <c r="A20" s="69" t="s">
        <v>887</v>
      </c>
      <c r="B20" s="70">
        <v>321.19</v>
      </c>
    </row>
    <row r="21" spans="1:4" x14ac:dyDescent="0.25">
      <c r="A21" s="69" t="s">
        <v>888</v>
      </c>
      <c r="B21" s="70">
        <v>121.07</v>
      </c>
    </row>
    <row r="22" spans="1:4" x14ac:dyDescent="0.25">
      <c r="A22" s="69" t="s">
        <v>889</v>
      </c>
      <c r="B22" s="70">
        <v>243.12</v>
      </c>
    </row>
    <row r="23" spans="1:4" x14ac:dyDescent="0.25">
      <c r="A23" s="69" t="s">
        <v>890</v>
      </c>
      <c r="B23" s="70">
        <v>113.88</v>
      </c>
    </row>
    <row r="24" spans="1:4" x14ac:dyDescent="0.25">
      <c r="A24" s="69" t="s">
        <v>891</v>
      </c>
      <c r="B24" s="70">
        <v>203.07</v>
      </c>
    </row>
    <row r="25" spans="1:4" x14ac:dyDescent="0.25">
      <c r="A25" s="72" t="s">
        <v>1534</v>
      </c>
      <c r="B25" s="73">
        <v>212.4</v>
      </c>
    </row>
    <row r="26" spans="1:4" x14ac:dyDescent="0.25">
      <c r="A26" s="91" t="s">
        <v>879</v>
      </c>
      <c r="B26" s="73">
        <v>120.4</v>
      </c>
      <c r="C26" t="s">
        <v>1216</v>
      </c>
      <c r="D26" t="s">
        <v>1218</v>
      </c>
    </row>
    <row r="27" spans="1:4" x14ac:dyDescent="0.25">
      <c r="A27" s="91" t="s">
        <v>880</v>
      </c>
      <c r="B27" s="73">
        <v>120.4</v>
      </c>
      <c r="C27" t="s">
        <v>1216</v>
      </c>
      <c r="D27" t="s">
        <v>1218</v>
      </c>
    </row>
    <row r="28" spans="1:4" x14ac:dyDescent="0.25">
      <c r="A28" s="92" t="s">
        <v>1211</v>
      </c>
      <c r="B28" s="73">
        <v>264.3</v>
      </c>
      <c r="C28" t="s">
        <v>1217</v>
      </c>
      <c r="D28" t="s">
        <v>1219</v>
      </c>
    </row>
    <row r="29" spans="1:4" x14ac:dyDescent="0.25">
      <c r="A29" s="92" t="s">
        <v>1212</v>
      </c>
      <c r="B29" s="73">
        <v>264.3</v>
      </c>
      <c r="C29" t="s">
        <v>1217</v>
      </c>
      <c r="D29" t="s">
        <v>1219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O88"/>
  <sheetViews>
    <sheetView workbookViewId="0">
      <selection activeCell="N17" sqref="N17"/>
    </sheetView>
  </sheetViews>
  <sheetFormatPr defaultColWidth="9.140625" defaultRowHeight="15" x14ac:dyDescent="0.25"/>
  <cols>
    <col min="1" max="1" width="35" bestFit="1" customWidth="1"/>
    <col min="2" max="2" width="14.7109375" style="66" bestFit="1" customWidth="1"/>
    <col min="3" max="3" width="27.28515625" bestFit="1" customWidth="1"/>
    <col min="4" max="4" width="27.28515625" hidden="1" customWidth="1"/>
    <col min="5" max="5" width="5.85546875" style="63" bestFit="1" customWidth="1"/>
    <col min="6" max="6" width="14.42578125" hidden="1" customWidth="1"/>
    <col min="7" max="7" width="27.28515625" hidden="1" customWidth="1"/>
    <col min="8" max="8" width="29.140625" hidden="1" customWidth="1"/>
    <col min="9" max="9" width="30.28515625" hidden="1" customWidth="1"/>
    <col min="10" max="10" width="26.28515625" hidden="1" customWidth="1"/>
    <col min="11" max="11" width="24.5703125" hidden="1" customWidth="1"/>
    <col min="12" max="12" width="5" bestFit="1" customWidth="1"/>
    <col min="13" max="13" width="20" bestFit="1" customWidth="1"/>
    <col min="14" max="14" width="21.7109375" bestFit="1" customWidth="1"/>
  </cols>
  <sheetData>
    <row r="1" spans="1:15" x14ac:dyDescent="0.25">
      <c r="A1" s="44" t="s">
        <v>6</v>
      </c>
      <c r="B1" s="3" t="s">
        <v>878</v>
      </c>
      <c r="C1" s="44" t="s">
        <v>7</v>
      </c>
      <c r="D1" s="44" t="s">
        <v>7</v>
      </c>
      <c r="E1" s="45" t="s">
        <v>1</v>
      </c>
      <c r="F1" s="44" t="s">
        <v>8</v>
      </c>
      <c r="G1" s="44" t="s">
        <v>7</v>
      </c>
      <c r="H1" s="46" t="s">
        <v>9</v>
      </c>
      <c r="I1" s="47" t="s">
        <v>10</v>
      </c>
      <c r="J1" s="44" t="s">
        <v>11</v>
      </c>
      <c r="K1" s="44" t="s">
        <v>12</v>
      </c>
      <c r="L1" s="44"/>
      <c r="M1" s="48">
        <v>42.03</v>
      </c>
      <c r="N1" s="49"/>
      <c r="O1" s="41" t="s">
        <v>185</v>
      </c>
    </row>
    <row r="2" spans="1:15" x14ac:dyDescent="0.25">
      <c r="A2" s="50" t="s">
        <v>13</v>
      </c>
      <c r="B2" s="51">
        <v>0</v>
      </c>
      <c r="C2" s="52" t="s">
        <v>835</v>
      </c>
      <c r="D2" s="52" t="s">
        <v>15</v>
      </c>
      <c r="E2" s="45" t="s">
        <v>826</v>
      </c>
      <c r="F2" s="53">
        <v>0</v>
      </c>
      <c r="G2" s="52" t="s">
        <v>16</v>
      </c>
      <c r="H2" s="54" t="s">
        <v>17</v>
      </c>
      <c r="I2" s="55">
        <v>57.87</v>
      </c>
      <c r="J2" s="56">
        <v>0</v>
      </c>
      <c r="K2" s="57">
        <v>42659.630000000019</v>
      </c>
      <c r="L2" s="58"/>
      <c r="M2" s="49" t="str">
        <f>VLOOKUP($M1,$B2:$D87,2)</f>
        <v>TORRE 083</v>
      </c>
      <c r="N2" s="49" t="str">
        <f>VLOOKUP($M1,$B2:$D87,3)</f>
        <v>TORRE 084</v>
      </c>
      <c r="O2" s="37" t="str">
        <f>VLOOKUP($M1,$B2:$K87,4)</f>
        <v>BAC</v>
      </c>
    </row>
    <row r="3" spans="1:15" x14ac:dyDescent="0.25">
      <c r="A3" s="50" t="s">
        <v>13</v>
      </c>
      <c r="B3" s="51">
        <v>5.7869999999999998E-2</v>
      </c>
      <c r="C3" s="52" t="s">
        <v>15</v>
      </c>
      <c r="D3" s="52" t="s">
        <v>20</v>
      </c>
      <c r="E3" s="45" t="s">
        <v>826</v>
      </c>
      <c r="F3" s="53">
        <v>0.15014000000002165</v>
      </c>
      <c r="G3" s="54" t="s">
        <v>17</v>
      </c>
      <c r="H3" s="54" t="s">
        <v>21</v>
      </c>
      <c r="I3" s="55">
        <v>247.63</v>
      </c>
      <c r="J3" s="56">
        <v>57.87</v>
      </c>
      <c r="K3" s="57">
        <v>42601.760000000017</v>
      </c>
      <c r="L3" s="49"/>
      <c r="M3" s="59" t="s">
        <v>858</v>
      </c>
      <c r="N3" s="59" t="s">
        <v>859</v>
      </c>
    </row>
    <row r="4" spans="1:15" x14ac:dyDescent="0.25">
      <c r="A4" s="50" t="s">
        <v>13</v>
      </c>
      <c r="B4" s="51">
        <v>0.30549999999999999</v>
      </c>
      <c r="C4" s="52" t="s">
        <v>20</v>
      </c>
      <c r="D4" s="52" t="s">
        <v>23</v>
      </c>
      <c r="E4" s="45" t="s">
        <v>826</v>
      </c>
      <c r="F4" s="53">
        <v>0.63119000000002168</v>
      </c>
      <c r="G4" s="54" t="s">
        <v>21</v>
      </c>
      <c r="H4" s="54" t="s">
        <v>24</v>
      </c>
      <c r="I4" s="55">
        <v>169.25</v>
      </c>
      <c r="J4" s="56">
        <v>305.5</v>
      </c>
      <c r="K4" s="57">
        <v>42354.130000000019</v>
      </c>
      <c r="L4" s="1"/>
      <c r="M4" s="49" t="s">
        <v>858</v>
      </c>
      <c r="N4" s="1"/>
    </row>
    <row r="5" spans="1:15" x14ac:dyDescent="0.25">
      <c r="A5" s="50" t="s">
        <v>13</v>
      </c>
      <c r="B5" s="51">
        <v>0.47475000000000001</v>
      </c>
      <c r="C5" s="52" t="s">
        <v>23</v>
      </c>
      <c r="D5" s="52" t="s">
        <v>25</v>
      </c>
      <c r="E5" s="45" t="s">
        <v>826</v>
      </c>
      <c r="F5" s="53">
        <v>1.2247200000000216</v>
      </c>
      <c r="G5" s="54" t="s">
        <v>24</v>
      </c>
      <c r="H5" s="54" t="s">
        <v>26</v>
      </c>
      <c r="I5" s="55">
        <v>256.87</v>
      </c>
      <c r="J5" s="56">
        <v>474.75</v>
      </c>
      <c r="K5" s="57">
        <v>42184.880000000019</v>
      </c>
      <c r="L5" s="1"/>
      <c r="M5" s="1"/>
      <c r="N5" s="1"/>
    </row>
    <row r="6" spans="1:15" x14ac:dyDescent="0.25">
      <c r="A6" s="50" t="s">
        <v>13</v>
      </c>
      <c r="B6" s="51">
        <v>0.73162000000000005</v>
      </c>
      <c r="C6" s="52" t="s">
        <v>25</v>
      </c>
      <c r="D6" s="52" t="s">
        <v>27</v>
      </c>
      <c r="E6" s="45" t="s">
        <v>826</v>
      </c>
      <c r="F6" s="53">
        <v>1.5436300000000218</v>
      </c>
      <c r="G6" s="54" t="s">
        <v>26</v>
      </c>
      <c r="H6" s="54" t="s">
        <v>28</v>
      </c>
      <c r="I6" s="55">
        <v>352.44</v>
      </c>
      <c r="J6" s="56">
        <v>731.62</v>
      </c>
      <c r="K6" s="57">
        <v>41928.010000000017</v>
      </c>
      <c r="L6" s="1"/>
      <c r="M6" s="1"/>
      <c r="N6" s="1"/>
    </row>
    <row r="7" spans="1:15" x14ac:dyDescent="0.25">
      <c r="A7" s="50" t="s">
        <v>13</v>
      </c>
      <c r="B7" s="51">
        <v>1.08406</v>
      </c>
      <c r="C7" s="52" t="s">
        <v>27</v>
      </c>
      <c r="D7" s="52" t="s">
        <v>29</v>
      </c>
      <c r="E7" s="45" t="s">
        <v>826</v>
      </c>
      <c r="F7" s="53">
        <v>1.9043400000000217</v>
      </c>
      <c r="G7" s="54" t="s">
        <v>28</v>
      </c>
      <c r="H7" s="54" t="s">
        <v>30</v>
      </c>
      <c r="I7" s="55">
        <v>327.22000000000003</v>
      </c>
      <c r="J7" s="56">
        <v>1084.06</v>
      </c>
      <c r="K7" s="57">
        <v>41575.570000000014</v>
      </c>
      <c r="L7" s="1"/>
      <c r="M7" s="1"/>
      <c r="N7" s="1"/>
    </row>
    <row r="8" spans="1:15" x14ac:dyDescent="0.25">
      <c r="A8" s="50" t="s">
        <v>13</v>
      </c>
      <c r="B8" s="51">
        <v>1.4112799999999999</v>
      </c>
      <c r="C8" s="52" t="s">
        <v>29</v>
      </c>
      <c r="D8" s="52" t="s">
        <v>31</v>
      </c>
      <c r="E8" s="45" t="s">
        <v>826</v>
      </c>
      <c r="F8" s="53">
        <v>2.5466400000000218</v>
      </c>
      <c r="G8" s="54" t="s">
        <v>30</v>
      </c>
      <c r="H8" s="54" t="s">
        <v>32</v>
      </c>
      <c r="I8" s="55">
        <v>713.42</v>
      </c>
      <c r="J8" s="56">
        <v>1411.28</v>
      </c>
      <c r="K8" s="57">
        <v>41248.350000000013</v>
      </c>
      <c r="L8" s="1"/>
      <c r="M8" s="1"/>
      <c r="N8" s="1"/>
    </row>
    <row r="9" spans="1:15" x14ac:dyDescent="0.25">
      <c r="A9" s="50" t="s">
        <v>13</v>
      </c>
      <c r="B9" s="51">
        <v>2.1246999999999998</v>
      </c>
      <c r="C9" s="52" t="s">
        <v>31</v>
      </c>
      <c r="D9" s="52" t="s">
        <v>33</v>
      </c>
      <c r="E9" s="45" t="s">
        <v>826</v>
      </c>
      <c r="F9" s="53">
        <v>3.3887100000000219</v>
      </c>
      <c r="G9" s="54" t="s">
        <v>32</v>
      </c>
      <c r="H9" s="54" t="s">
        <v>34</v>
      </c>
      <c r="I9" s="55">
        <v>213.98</v>
      </c>
      <c r="J9" s="56">
        <v>2124.6999999999998</v>
      </c>
      <c r="K9" s="57">
        <v>40534.930000000015</v>
      </c>
      <c r="L9" s="1"/>
      <c r="M9" s="1"/>
      <c r="N9" s="1"/>
    </row>
    <row r="10" spans="1:15" x14ac:dyDescent="0.25">
      <c r="A10" s="50" t="s">
        <v>13</v>
      </c>
      <c r="B10" s="51">
        <v>2.3386799999999996</v>
      </c>
      <c r="C10" s="52" t="s">
        <v>33</v>
      </c>
      <c r="D10" s="52" t="s">
        <v>35</v>
      </c>
      <c r="E10" s="45" t="s">
        <v>826</v>
      </c>
      <c r="F10" s="53">
        <v>4.1274900000000212</v>
      </c>
      <c r="G10" s="54" t="s">
        <v>34</v>
      </c>
      <c r="H10" s="54" t="s">
        <v>36</v>
      </c>
      <c r="I10" s="55">
        <v>731.88</v>
      </c>
      <c r="J10" s="56">
        <v>2338.6799999999998</v>
      </c>
      <c r="K10" s="57">
        <v>40320.950000000012</v>
      </c>
      <c r="L10" s="1"/>
      <c r="M10" s="1"/>
      <c r="N10" s="1"/>
    </row>
    <row r="11" spans="1:15" x14ac:dyDescent="0.25">
      <c r="A11" s="50" t="s">
        <v>13</v>
      </c>
      <c r="B11" s="51">
        <v>3.07056</v>
      </c>
      <c r="C11" s="52" t="s">
        <v>35</v>
      </c>
      <c r="D11" s="52" t="s">
        <v>37</v>
      </c>
      <c r="E11" s="45" t="s">
        <v>826</v>
      </c>
      <c r="F11" s="53">
        <v>5.010210000000022</v>
      </c>
      <c r="G11" s="54" t="s">
        <v>36</v>
      </c>
      <c r="H11" s="54" t="s">
        <v>38</v>
      </c>
      <c r="I11" s="55">
        <v>432.11</v>
      </c>
      <c r="J11" s="56">
        <v>3070.56</v>
      </c>
      <c r="K11" s="57">
        <v>39589.070000000014</v>
      </c>
      <c r="L11" s="1"/>
      <c r="M11" s="1"/>
      <c r="N11" s="1"/>
    </row>
    <row r="12" spans="1:15" x14ac:dyDescent="0.25">
      <c r="A12" s="50" t="s">
        <v>13</v>
      </c>
      <c r="B12" s="51">
        <v>3.5026700000000002</v>
      </c>
      <c r="C12" s="52" t="s">
        <v>37</v>
      </c>
      <c r="D12" s="52" t="s">
        <v>39</v>
      </c>
      <c r="E12" s="45" t="s">
        <v>826</v>
      </c>
      <c r="F12" s="53">
        <v>5.3784000000000214</v>
      </c>
      <c r="G12" s="54" t="s">
        <v>38</v>
      </c>
      <c r="H12" s="54" t="s">
        <v>40</v>
      </c>
      <c r="I12" s="55">
        <v>575.76</v>
      </c>
      <c r="J12" s="56">
        <v>3502.67</v>
      </c>
      <c r="K12" s="57">
        <v>39156.960000000014</v>
      </c>
      <c r="L12" s="1"/>
      <c r="M12" s="1"/>
      <c r="N12" s="1"/>
    </row>
    <row r="13" spans="1:15" x14ac:dyDescent="0.25">
      <c r="A13" s="50" t="s">
        <v>13</v>
      </c>
      <c r="B13" s="51">
        <v>4.07843</v>
      </c>
      <c r="C13" s="52" t="s">
        <v>39</v>
      </c>
      <c r="D13" s="52" t="s">
        <v>41</v>
      </c>
      <c r="E13" s="45" t="s">
        <v>826</v>
      </c>
      <c r="F13" s="53">
        <v>6.1113300000000219</v>
      </c>
      <c r="G13" s="54" t="s">
        <v>40</v>
      </c>
      <c r="H13" s="54" t="s">
        <v>42</v>
      </c>
      <c r="I13" s="55">
        <v>464.43</v>
      </c>
      <c r="J13" s="56">
        <v>4078.4300000000003</v>
      </c>
      <c r="K13" s="57">
        <v>38581.200000000012</v>
      </c>
      <c r="L13" s="1"/>
      <c r="M13" s="1"/>
      <c r="N13" s="1"/>
    </row>
    <row r="14" spans="1:15" x14ac:dyDescent="0.25">
      <c r="A14" s="50" t="s">
        <v>13</v>
      </c>
      <c r="B14" s="51">
        <v>4.542860000000001</v>
      </c>
      <c r="C14" s="52" t="s">
        <v>41</v>
      </c>
      <c r="D14" s="52" t="s">
        <v>43</v>
      </c>
      <c r="E14" s="45" t="s">
        <v>826</v>
      </c>
      <c r="F14" s="53">
        <v>6.5583800000000219</v>
      </c>
      <c r="G14" s="54" t="s">
        <v>42</v>
      </c>
      <c r="H14" s="54" t="s">
        <v>44</v>
      </c>
      <c r="I14" s="55">
        <v>350.83</v>
      </c>
      <c r="J14" s="56">
        <v>4542.8600000000006</v>
      </c>
      <c r="K14" s="57">
        <v>38116.770000000011</v>
      </c>
      <c r="L14" s="1"/>
      <c r="M14" s="1"/>
      <c r="N14" s="1"/>
    </row>
    <row r="15" spans="1:15" x14ac:dyDescent="0.25">
      <c r="A15" s="50" t="s">
        <v>13</v>
      </c>
      <c r="B15" s="51">
        <v>4.8936900000000003</v>
      </c>
      <c r="C15" s="52" t="s">
        <v>43</v>
      </c>
      <c r="D15" s="52" t="s">
        <v>45</v>
      </c>
      <c r="E15" s="45" t="s">
        <v>826</v>
      </c>
      <c r="F15" s="53">
        <v>7.0677400000000219</v>
      </c>
      <c r="G15" s="54" t="s">
        <v>44</v>
      </c>
      <c r="H15" s="54" t="s">
        <v>46</v>
      </c>
      <c r="I15" s="55">
        <v>399.95</v>
      </c>
      <c r="J15" s="56">
        <v>4893.6900000000005</v>
      </c>
      <c r="K15" s="57">
        <v>37765.94000000001</v>
      </c>
      <c r="L15" s="1"/>
      <c r="M15" s="1"/>
      <c r="N15" s="1"/>
    </row>
    <row r="16" spans="1:15" x14ac:dyDescent="0.25">
      <c r="A16" s="50" t="s">
        <v>13</v>
      </c>
      <c r="B16" s="51">
        <v>5.2936399999999999</v>
      </c>
      <c r="C16" s="52" t="s">
        <v>45</v>
      </c>
      <c r="D16" s="52" t="s">
        <v>47</v>
      </c>
      <c r="E16" s="45" t="s">
        <v>826</v>
      </c>
      <c r="F16" s="53">
        <v>7.6178100000000217</v>
      </c>
      <c r="G16" s="54" t="s">
        <v>46</v>
      </c>
      <c r="H16" s="54" t="s">
        <v>48</v>
      </c>
      <c r="I16" s="55">
        <v>515.75</v>
      </c>
      <c r="J16" s="56">
        <v>5293.64</v>
      </c>
      <c r="K16" s="57">
        <v>37365.990000000013</v>
      </c>
      <c r="L16" s="1"/>
      <c r="M16" s="1"/>
      <c r="N16" s="1"/>
    </row>
    <row r="17" spans="1:13" x14ac:dyDescent="0.25">
      <c r="A17" s="50" t="s">
        <v>13</v>
      </c>
      <c r="B17" s="51">
        <v>5.8093900000000005</v>
      </c>
      <c r="C17" s="52" t="s">
        <v>47</v>
      </c>
      <c r="D17" s="52" t="s">
        <v>49</v>
      </c>
      <c r="E17" s="45" t="s">
        <v>826</v>
      </c>
      <c r="F17" s="53">
        <v>8.2522200000000208</v>
      </c>
      <c r="G17" s="54" t="s">
        <v>48</v>
      </c>
      <c r="H17" s="54" t="s">
        <v>50</v>
      </c>
      <c r="I17" s="55">
        <v>589.91</v>
      </c>
      <c r="J17" s="56">
        <v>5809.39</v>
      </c>
      <c r="K17" s="57">
        <v>36850.240000000013</v>
      </c>
    </row>
    <row r="18" spans="1:13" x14ac:dyDescent="0.25">
      <c r="A18" s="50" t="s">
        <v>13</v>
      </c>
      <c r="B18" s="51">
        <v>6.3993000000000002</v>
      </c>
      <c r="C18" s="52" t="s">
        <v>49</v>
      </c>
      <c r="D18" s="52" t="s">
        <v>51</v>
      </c>
      <c r="E18" s="45" t="s">
        <v>826</v>
      </c>
      <c r="F18" s="53">
        <v>8.7905900000000212</v>
      </c>
      <c r="G18" s="54" t="s">
        <v>50</v>
      </c>
      <c r="H18" s="54" t="s">
        <v>52</v>
      </c>
      <c r="I18" s="55">
        <v>440.02</v>
      </c>
      <c r="J18" s="56">
        <v>6399.3</v>
      </c>
      <c r="K18" s="57">
        <v>36260.330000000009</v>
      </c>
    </row>
    <row r="19" spans="1:13" x14ac:dyDescent="0.25">
      <c r="A19" s="50" t="s">
        <v>13</v>
      </c>
      <c r="B19" s="51">
        <v>6.8393199999999998</v>
      </c>
      <c r="C19" s="52" t="s">
        <v>51</v>
      </c>
      <c r="D19" s="52" t="s">
        <v>53</v>
      </c>
      <c r="E19" s="45" t="s">
        <v>826</v>
      </c>
      <c r="F19" s="53">
        <v>9.1781100000000215</v>
      </c>
      <c r="G19" s="54" t="s">
        <v>52</v>
      </c>
      <c r="H19" s="54" t="s">
        <v>54</v>
      </c>
      <c r="I19" s="55">
        <v>447.7</v>
      </c>
      <c r="J19" s="56">
        <v>6839.32</v>
      </c>
      <c r="K19" s="57">
        <v>35820.310000000012</v>
      </c>
      <c r="M19" s="60"/>
    </row>
    <row r="20" spans="1:13" x14ac:dyDescent="0.25">
      <c r="A20" s="50" t="s">
        <v>13</v>
      </c>
      <c r="B20" s="51">
        <v>7.2870199999999992</v>
      </c>
      <c r="C20" s="52" t="s">
        <v>53</v>
      </c>
      <c r="D20" s="52" t="s">
        <v>55</v>
      </c>
      <c r="E20" s="45" t="s">
        <v>826</v>
      </c>
      <c r="F20" s="53">
        <v>9.6976600000000222</v>
      </c>
      <c r="G20" s="54" t="s">
        <v>54</v>
      </c>
      <c r="H20" s="54" t="s">
        <v>56</v>
      </c>
      <c r="I20" s="55">
        <v>379.78</v>
      </c>
      <c r="J20" s="56">
        <v>7287.0199999999995</v>
      </c>
      <c r="K20" s="57">
        <v>35372.610000000015</v>
      </c>
    </row>
    <row r="21" spans="1:13" x14ac:dyDescent="0.25">
      <c r="A21" s="50" t="s">
        <v>13</v>
      </c>
      <c r="B21" s="51">
        <v>7.6667999999999994</v>
      </c>
      <c r="C21" s="52" t="s">
        <v>55</v>
      </c>
      <c r="D21" s="52" t="s">
        <v>57</v>
      </c>
      <c r="E21" s="45" t="s">
        <v>826</v>
      </c>
      <c r="F21" s="53">
        <v>10.060960000000021</v>
      </c>
      <c r="G21" s="54" t="s">
        <v>56</v>
      </c>
      <c r="H21" s="54" t="s">
        <v>58</v>
      </c>
      <c r="I21" s="55">
        <v>230.86</v>
      </c>
      <c r="J21" s="56">
        <v>7666.7999999999993</v>
      </c>
      <c r="K21" s="57">
        <v>34992.830000000016</v>
      </c>
    </row>
    <row r="22" spans="1:13" x14ac:dyDescent="0.25">
      <c r="A22" s="50" t="s">
        <v>13</v>
      </c>
      <c r="B22" s="51">
        <v>7.8976599999999992</v>
      </c>
      <c r="C22" s="52" t="s">
        <v>57</v>
      </c>
      <c r="D22" s="52" t="s">
        <v>59</v>
      </c>
      <c r="E22" s="45" t="s">
        <v>826</v>
      </c>
      <c r="F22" s="53">
        <v>10.582980000000022</v>
      </c>
      <c r="G22" s="54" t="s">
        <v>58</v>
      </c>
      <c r="H22" s="54" t="s">
        <v>60</v>
      </c>
      <c r="I22" s="55">
        <v>386.67</v>
      </c>
      <c r="J22" s="56">
        <v>7897.6599999999989</v>
      </c>
      <c r="K22" s="57">
        <v>34761.970000000016</v>
      </c>
    </row>
    <row r="23" spans="1:13" x14ac:dyDescent="0.25">
      <c r="A23" s="50" t="s">
        <v>13</v>
      </c>
      <c r="B23" s="51">
        <v>8.2843299999999989</v>
      </c>
      <c r="C23" s="52" t="s">
        <v>59</v>
      </c>
      <c r="D23" s="52" t="s">
        <v>61</v>
      </c>
      <c r="E23" s="45" t="s">
        <v>826</v>
      </c>
      <c r="F23" s="53">
        <v>11.099020000000023</v>
      </c>
      <c r="G23" s="54" t="s">
        <v>60</v>
      </c>
      <c r="H23" s="54" t="s">
        <v>62</v>
      </c>
      <c r="I23" s="55">
        <v>419.87</v>
      </c>
      <c r="J23" s="56">
        <v>8284.3299999999981</v>
      </c>
      <c r="K23" s="57">
        <v>34375.300000000017</v>
      </c>
    </row>
    <row r="24" spans="1:13" x14ac:dyDescent="0.25">
      <c r="A24" s="50" t="s">
        <v>13</v>
      </c>
      <c r="B24" s="51">
        <v>8.7041999999999984</v>
      </c>
      <c r="C24" s="52" t="s">
        <v>61</v>
      </c>
      <c r="D24" s="52" t="s">
        <v>63</v>
      </c>
      <c r="E24" s="45" t="s">
        <v>826</v>
      </c>
      <c r="F24" s="53">
        <v>11.760350000000022</v>
      </c>
      <c r="G24" s="54" t="s">
        <v>62</v>
      </c>
      <c r="H24" s="54" t="s">
        <v>64</v>
      </c>
      <c r="I24" s="55">
        <v>409.7</v>
      </c>
      <c r="J24" s="56">
        <v>8704.1999999999989</v>
      </c>
      <c r="K24" s="57">
        <v>33955.430000000015</v>
      </c>
    </row>
    <row r="25" spans="1:13" x14ac:dyDescent="0.25">
      <c r="A25" s="50" t="s">
        <v>13</v>
      </c>
      <c r="B25" s="51">
        <v>9.1138999999999992</v>
      </c>
      <c r="C25" s="52" t="s">
        <v>63</v>
      </c>
      <c r="D25" s="52" t="s">
        <v>65</v>
      </c>
      <c r="E25" s="45" t="s">
        <v>826</v>
      </c>
      <c r="F25" s="53">
        <v>12.348180000000022</v>
      </c>
      <c r="G25" s="54" t="s">
        <v>64</v>
      </c>
      <c r="H25" s="54" t="s">
        <v>66</v>
      </c>
      <c r="I25" s="55">
        <v>534.22</v>
      </c>
      <c r="J25" s="56">
        <v>9113.9</v>
      </c>
      <c r="K25" s="57">
        <v>33545.730000000018</v>
      </c>
    </row>
    <row r="26" spans="1:13" x14ac:dyDescent="0.25">
      <c r="A26" s="50" t="s">
        <v>13</v>
      </c>
      <c r="B26" s="51">
        <v>9.6481199999999987</v>
      </c>
      <c r="C26" s="52" t="s">
        <v>65</v>
      </c>
      <c r="D26" s="52" t="s">
        <v>67</v>
      </c>
      <c r="E26" s="45" t="s">
        <v>826</v>
      </c>
      <c r="F26" s="53">
        <v>12.603140000000021</v>
      </c>
      <c r="G26" s="54" t="s">
        <v>66</v>
      </c>
      <c r="H26" s="54" t="s">
        <v>68</v>
      </c>
      <c r="I26" s="55">
        <v>572.59</v>
      </c>
      <c r="J26" s="56">
        <v>9648.119999999999</v>
      </c>
      <c r="K26" s="57">
        <v>33011.510000000017</v>
      </c>
    </row>
    <row r="27" spans="1:13" x14ac:dyDescent="0.25">
      <c r="A27" s="50" t="s">
        <v>13</v>
      </c>
      <c r="B27" s="51">
        <v>10.220709999999999</v>
      </c>
      <c r="C27" s="52" t="s">
        <v>67</v>
      </c>
      <c r="D27" s="52" t="s">
        <v>69</v>
      </c>
      <c r="E27" s="45" t="s">
        <v>826</v>
      </c>
      <c r="F27" s="53">
        <v>13.485890000000021</v>
      </c>
      <c r="G27" s="54" t="s">
        <v>68</v>
      </c>
      <c r="H27" s="54" t="s">
        <v>70</v>
      </c>
      <c r="I27" s="55">
        <v>664.58</v>
      </c>
      <c r="J27" s="56">
        <v>10220.709999999999</v>
      </c>
      <c r="K27" s="57">
        <v>32438.920000000016</v>
      </c>
    </row>
    <row r="28" spans="1:13" x14ac:dyDescent="0.25">
      <c r="A28" s="50" t="s">
        <v>13</v>
      </c>
      <c r="B28" s="51">
        <v>10.885289999999999</v>
      </c>
      <c r="C28" s="52" t="s">
        <v>69</v>
      </c>
      <c r="D28" s="52" t="s">
        <v>71</v>
      </c>
      <c r="E28" s="45" t="s">
        <v>826</v>
      </c>
      <c r="F28" s="53">
        <v>13.92885000000002</v>
      </c>
      <c r="G28" s="54" t="s">
        <v>70</v>
      </c>
      <c r="H28" s="54" t="s">
        <v>72</v>
      </c>
      <c r="I28" s="55">
        <v>535.34</v>
      </c>
      <c r="J28" s="56">
        <v>10885.289999999999</v>
      </c>
      <c r="K28" s="57">
        <v>31774.340000000015</v>
      </c>
    </row>
    <row r="29" spans="1:13" x14ac:dyDescent="0.25">
      <c r="A29" s="50" t="s">
        <v>13</v>
      </c>
      <c r="B29" s="51">
        <v>11.420629999999999</v>
      </c>
      <c r="C29" s="52" t="s">
        <v>71</v>
      </c>
      <c r="D29" s="52" t="s">
        <v>73</v>
      </c>
      <c r="E29" s="45" t="s">
        <v>826</v>
      </c>
      <c r="F29" s="53">
        <v>14.487240000000019</v>
      </c>
      <c r="G29" s="54" t="s">
        <v>72</v>
      </c>
      <c r="H29" s="54" t="s">
        <v>74</v>
      </c>
      <c r="I29" s="55">
        <v>317.76</v>
      </c>
      <c r="J29" s="56">
        <v>11420.63</v>
      </c>
      <c r="K29" s="57">
        <v>31239.000000000015</v>
      </c>
    </row>
    <row r="30" spans="1:13" x14ac:dyDescent="0.25">
      <c r="A30" s="50" t="s">
        <v>13</v>
      </c>
      <c r="B30" s="51">
        <v>11.738389999999999</v>
      </c>
      <c r="C30" s="52" t="s">
        <v>73</v>
      </c>
      <c r="D30" s="52" t="s">
        <v>75</v>
      </c>
      <c r="E30" s="45" t="s">
        <v>826</v>
      </c>
      <c r="F30" s="53">
        <v>14.77604000000002</v>
      </c>
      <c r="G30" s="54" t="s">
        <v>74</v>
      </c>
      <c r="H30" s="54" t="s">
        <v>76</v>
      </c>
      <c r="I30" s="55">
        <v>542.24</v>
      </c>
      <c r="J30" s="56">
        <v>11738.39</v>
      </c>
      <c r="K30" s="57">
        <v>30921.240000000016</v>
      </c>
    </row>
    <row r="31" spans="1:13" x14ac:dyDescent="0.25">
      <c r="A31" s="50" t="s">
        <v>13</v>
      </c>
      <c r="B31" s="51">
        <v>12.280629999999999</v>
      </c>
      <c r="C31" s="52" t="s">
        <v>75</v>
      </c>
      <c r="D31" s="52" t="s">
        <v>77</v>
      </c>
      <c r="E31" s="45" t="s">
        <v>826</v>
      </c>
      <c r="F31" s="53">
        <v>15.725780000000018</v>
      </c>
      <c r="G31" s="54" t="s">
        <v>76</v>
      </c>
      <c r="H31" s="54" t="s">
        <v>78</v>
      </c>
      <c r="I31" s="55">
        <v>596.66999999999996</v>
      </c>
      <c r="J31" s="56">
        <v>12280.63</v>
      </c>
      <c r="K31" s="57">
        <v>30379.000000000015</v>
      </c>
    </row>
    <row r="32" spans="1:13" x14ac:dyDescent="0.25">
      <c r="A32" s="50" t="s">
        <v>13</v>
      </c>
      <c r="B32" s="51">
        <v>12.8773</v>
      </c>
      <c r="C32" s="52" t="s">
        <v>77</v>
      </c>
      <c r="D32" s="52" t="s">
        <v>79</v>
      </c>
      <c r="E32" s="45" t="s">
        <v>826</v>
      </c>
      <c r="F32" s="53">
        <v>16.324470000000019</v>
      </c>
      <c r="G32" s="54" t="s">
        <v>78</v>
      </c>
      <c r="H32" s="54" t="s">
        <v>80</v>
      </c>
      <c r="I32" s="55">
        <v>588.91999999999996</v>
      </c>
      <c r="J32" s="56">
        <v>12877.3</v>
      </c>
      <c r="K32" s="57">
        <v>29782.330000000016</v>
      </c>
    </row>
    <row r="33" spans="1:11" x14ac:dyDescent="0.25">
      <c r="A33" s="50" t="s">
        <v>13</v>
      </c>
      <c r="B33" s="51">
        <v>13.46622</v>
      </c>
      <c r="C33" s="52" t="s">
        <v>79</v>
      </c>
      <c r="D33" s="52" t="s">
        <v>81</v>
      </c>
      <c r="E33" s="45" t="s">
        <v>826</v>
      </c>
      <c r="F33" s="53">
        <v>16.996700000000018</v>
      </c>
      <c r="G33" s="54" t="s">
        <v>80</v>
      </c>
      <c r="H33" s="54" t="s">
        <v>82</v>
      </c>
      <c r="I33" s="55">
        <v>664.25</v>
      </c>
      <c r="J33" s="56">
        <v>13466.22</v>
      </c>
      <c r="K33" s="57">
        <v>29193.410000000018</v>
      </c>
    </row>
    <row r="34" spans="1:11" x14ac:dyDescent="0.25">
      <c r="A34" s="50" t="s">
        <v>13</v>
      </c>
      <c r="B34" s="51">
        <v>14.130469999999999</v>
      </c>
      <c r="C34" s="52" t="s">
        <v>81</v>
      </c>
      <c r="D34" s="52" t="s">
        <v>83</v>
      </c>
      <c r="E34" s="45" t="s">
        <v>826</v>
      </c>
      <c r="F34" s="53">
        <v>17.304400000000019</v>
      </c>
      <c r="G34" s="54" t="s">
        <v>82</v>
      </c>
      <c r="H34" s="54" t="s">
        <v>84</v>
      </c>
      <c r="I34" s="55">
        <v>409.76</v>
      </c>
      <c r="J34" s="56">
        <v>14130.47</v>
      </c>
      <c r="K34" s="57">
        <v>28529.160000000018</v>
      </c>
    </row>
    <row r="35" spans="1:11" x14ac:dyDescent="0.25">
      <c r="A35" s="50" t="s">
        <v>13</v>
      </c>
      <c r="B35" s="51">
        <v>14.540229999999999</v>
      </c>
      <c r="C35" s="52" t="s">
        <v>83</v>
      </c>
      <c r="D35" s="52" t="s">
        <v>85</v>
      </c>
      <c r="E35" s="45" t="s">
        <v>826</v>
      </c>
      <c r="F35" s="53">
        <v>18.042660000000019</v>
      </c>
      <c r="G35" s="54" t="s">
        <v>84</v>
      </c>
      <c r="H35" s="54" t="s">
        <v>86</v>
      </c>
      <c r="I35" s="55">
        <v>646.13</v>
      </c>
      <c r="J35" s="56">
        <v>14540.23</v>
      </c>
      <c r="K35" s="57">
        <v>28119.40000000002</v>
      </c>
    </row>
    <row r="36" spans="1:11" x14ac:dyDescent="0.25">
      <c r="A36" s="50" t="s">
        <v>13</v>
      </c>
      <c r="B36" s="51">
        <v>15.186359999999999</v>
      </c>
      <c r="C36" s="52" t="s">
        <v>85</v>
      </c>
      <c r="D36" s="52" t="s">
        <v>87</v>
      </c>
      <c r="E36" s="45" t="s">
        <v>826</v>
      </c>
      <c r="F36" s="53">
        <v>18.543840000000017</v>
      </c>
      <c r="G36" s="54" t="s">
        <v>86</v>
      </c>
      <c r="H36" s="54" t="s">
        <v>88</v>
      </c>
      <c r="I36" s="55">
        <v>495.52</v>
      </c>
      <c r="J36" s="56">
        <v>15186.359999999999</v>
      </c>
      <c r="K36" s="57">
        <v>27473.270000000019</v>
      </c>
    </row>
    <row r="37" spans="1:11" x14ac:dyDescent="0.25">
      <c r="A37" s="50" t="s">
        <v>13</v>
      </c>
      <c r="B37" s="51">
        <v>15.68188</v>
      </c>
      <c r="C37" s="52" t="s">
        <v>87</v>
      </c>
      <c r="D37" s="52" t="s">
        <v>89</v>
      </c>
      <c r="E37" s="45" t="s">
        <v>826</v>
      </c>
      <c r="F37" s="53">
        <v>19.300830000000019</v>
      </c>
      <c r="G37" s="54" t="s">
        <v>88</v>
      </c>
      <c r="H37" s="54" t="s">
        <v>90</v>
      </c>
      <c r="I37" s="55">
        <v>444.89</v>
      </c>
      <c r="J37" s="56">
        <v>15681.88</v>
      </c>
      <c r="K37" s="57">
        <v>26977.750000000018</v>
      </c>
    </row>
    <row r="38" spans="1:11" x14ac:dyDescent="0.25">
      <c r="A38" s="50" t="s">
        <v>13</v>
      </c>
      <c r="B38" s="51">
        <v>16.126769999999997</v>
      </c>
      <c r="C38" s="52" t="s">
        <v>89</v>
      </c>
      <c r="D38" s="52" t="s">
        <v>91</v>
      </c>
      <c r="E38" s="45" t="s">
        <v>826</v>
      </c>
      <c r="F38" s="53">
        <v>19.689390000000021</v>
      </c>
      <c r="G38" s="54" t="s">
        <v>90</v>
      </c>
      <c r="H38" s="54" t="s">
        <v>92</v>
      </c>
      <c r="I38" s="55">
        <v>400.37</v>
      </c>
      <c r="J38" s="56">
        <v>16126.769999999999</v>
      </c>
      <c r="K38" s="57">
        <v>26532.860000000019</v>
      </c>
    </row>
    <row r="39" spans="1:11" x14ac:dyDescent="0.25">
      <c r="A39" s="50" t="s">
        <v>13</v>
      </c>
      <c r="B39" s="51">
        <v>16.527139999999999</v>
      </c>
      <c r="C39" s="52" t="s">
        <v>91</v>
      </c>
      <c r="D39" s="52" t="s">
        <v>93</v>
      </c>
      <c r="E39" s="45" t="s">
        <v>826</v>
      </c>
      <c r="F39" s="53">
        <v>20.184110000000022</v>
      </c>
      <c r="G39" s="54" t="s">
        <v>92</v>
      </c>
      <c r="H39" s="54" t="s">
        <v>94</v>
      </c>
      <c r="I39" s="55">
        <v>352.42</v>
      </c>
      <c r="J39" s="56">
        <v>16527.14</v>
      </c>
      <c r="K39" s="57">
        <v>26132.49000000002</v>
      </c>
    </row>
    <row r="40" spans="1:11" x14ac:dyDescent="0.25">
      <c r="A40" s="50" t="s">
        <v>13</v>
      </c>
      <c r="B40" s="51">
        <v>16.879559999999998</v>
      </c>
      <c r="C40" s="52" t="s">
        <v>93</v>
      </c>
      <c r="D40" s="52" t="s">
        <v>95</v>
      </c>
      <c r="E40" s="45" t="s">
        <v>826</v>
      </c>
      <c r="F40" s="53">
        <v>20.632890000000021</v>
      </c>
      <c r="G40" s="54" t="s">
        <v>94</v>
      </c>
      <c r="H40" s="54" t="s">
        <v>96</v>
      </c>
      <c r="I40" s="55">
        <v>1061.1600000000001</v>
      </c>
      <c r="J40" s="56">
        <v>16879.559999999998</v>
      </c>
      <c r="K40" s="57">
        <v>25780.070000000022</v>
      </c>
    </row>
    <row r="41" spans="1:11" x14ac:dyDescent="0.25">
      <c r="A41" s="50" t="s">
        <v>13</v>
      </c>
      <c r="B41" s="51">
        <v>17.940719999999999</v>
      </c>
      <c r="C41" s="52" t="s">
        <v>95</v>
      </c>
      <c r="D41" s="52" t="s">
        <v>97</v>
      </c>
      <c r="E41" s="45" t="s">
        <v>826</v>
      </c>
      <c r="F41" s="53">
        <v>21.062380000000022</v>
      </c>
      <c r="G41" s="54" t="s">
        <v>96</v>
      </c>
      <c r="H41" s="54" t="s">
        <v>98</v>
      </c>
      <c r="I41" s="55">
        <v>586.11</v>
      </c>
      <c r="J41" s="56">
        <v>17940.719999999998</v>
      </c>
      <c r="K41" s="57">
        <v>24718.910000000022</v>
      </c>
    </row>
    <row r="42" spans="1:11" x14ac:dyDescent="0.25">
      <c r="A42" s="50" t="s">
        <v>13</v>
      </c>
      <c r="B42" s="51">
        <v>18.526829999999997</v>
      </c>
      <c r="C42" s="52" t="s">
        <v>97</v>
      </c>
      <c r="D42" s="52" t="s">
        <v>99</v>
      </c>
      <c r="E42" s="45" t="s">
        <v>826</v>
      </c>
      <c r="F42" s="53">
        <v>21.472140000000021</v>
      </c>
      <c r="G42" s="54" t="s">
        <v>98</v>
      </c>
      <c r="H42" s="54" t="s">
        <v>100</v>
      </c>
      <c r="I42" s="55">
        <v>547.91</v>
      </c>
      <c r="J42" s="56">
        <v>18526.829999999998</v>
      </c>
      <c r="K42" s="57">
        <v>24132.800000000021</v>
      </c>
    </row>
    <row r="43" spans="1:11" x14ac:dyDescent="0.25">
      <c r="A43" s="50" t="s">
        <v>13</v>
      </c>
      <c r="B43" s="51">
        <v>19.074739999999998</v>
      </c>
      <c r="C43" s="52" t="s">
        <v>99</v>
      </c>
      <c r="D43" s="52" t="s">
        <v>101</v>
      </c>
      <c r="E43" s="45" t="s">
        <v>826</v>
      </c>
      <c r="F43" s="53">
        <v>21.923100000000019</v>
      </c>
      <c r="G43" s="54" t="s">
        <v>100</v>
      </c>
      <c r="H43" s="54" t="s">
        <v>102</v>
      </c>
      <c r="I43" s="55">
        <v>534.70000000000005</v>
      </c>
      <c r="J43" s="56">
        <v>19074.739999999998</v>
      </c>
      <c r="K43" s="57">
        <v>23584.890000000021</v>
      </c>
    </row>
    <row r="44" spans="1:11" x14ac:dyDescent="0.25">
      <c r="A44" s="50" t="s">
        <v>13</v>
      </c>
      <c r="B44" s="51">
        <v>19.609439999999999</v>
      </c>
      <c r="C44" s="52" t="s">
        <v>101</v>
      </c>
      <c r="D44" s="52" t="s">
        <v>103</v>
      </c>
      <c r="E44" s="45" t="s">
        <v>826</v>
      </c>
      <c r="F44" s="53">
        <v>22.340430000000023</v>
      </c>
      <c r="G44" s="54" t="s">
        <v>102</v>
      </c>
      <c r="H44" s="54" t="s">
        <v>104</v>
      </c>
      <c r="I44" s="55">
        <v>709.76</v>
      </c>
      <c r="J44" s="56">
        <v>19609.439999999999</v>
      </c>
      <c r="K44" s="57">
        <v>23050.190000000021</v>
      </c>
    </row>
    <row r="45" spans="1:11" x14ac:dyDescent="0.25">
      <c r="A45" s="50" t="s">
        <v>13</v>
      </c>
      <c r="B45" s="51">
        <v>20.319199999999999</v>
      </c>
      <c r="C45" s="52" t="s">
        <v>103</v>
      </c>
      <c r="D45" s="52" t="s">
        <v>105</v>
      </c>
      <c r="E45" s="45" t="s">
        <v>826</v>
      </c>
      <c r="F45" s="53">
        <v>23.050190000000022</v>
      </c>
      <c r="G45" s="54" t="s">
        <v>104</v>
      </c>
      <c r="H45" s="54" t="s">
        <v>106</v>
      </c>
      <c r="I45" s="55">
        <v>417.33</v>
      </c>
      <c r="J45" s="56">
        <v>20319.199999999997</v>
      </c>
      <c r="K45" s="57">
        <v>22340.430000000022</v>
      </c>
    </row>
    <row r="46" spans="1:11" x14ac:dyDescent="0.25">
      <c r="A46" s="50" t="s">
        <v>13</v>
      </c>
      <c r="B46" s="51">
        <v>20.736529999999998</v>
      </c>
      <c r="C46" s="52" t="s">
        <v>105</v>
      </c>
      <c r="D46" s="52" t="s">
        <v>107</v>
      </c>
      <c r="E46" s="45" t="s">
        <v>826</v>
      </c>
      <c r="F46" s="53">
        <v>23.584890000000023</v>
      </c>
      <c r="G46" s="54" t="s">
        <v>106</v>
      </c>
      <c r="H46" s="54" t="s">
        <v>108</v>
      </c>
      <c r="I46" s="55">
        <v>450.96</v>
      </c>
      <c r="J46" s="56">
        <v>20736.53</v>
      </c>
      <c r="K46" s="57">
        <v>21923.10000000002</v>
      </c>
    </row>
    <row r="47" spans="1:11" x14ac:dyDescent="0.25">
      <c r="A47" s="50" t="s">
        <v>13</v>
      </c>
      <c r="B47" s="51">
        <v>21.187489999999997</v>
      </c>
      <c r="C47" s="52" t="s">
        <v>107</v>
      </c>
      <c r="D47" s="52" t="s">
        <v>109</v>
      </c>
      <c r="E47" s="45" t="s">
        <v>826</v>
      </c>
      <c r="F47" s="53">
        <v>24.132800000000021</v>
      </c>
      <c r="G47" s="54" t="s">
        <v>108</v>
      </c>
      <c r="H47" s="54" t="s">
        <v>110</v>
      </c>
      <c r="I47" s="55">
        <v>409.76</v>
      </c>
      <c r="J47" s="56">
        <v>21187.489999999998</v>
      </c>
      <c r="K47" s="57">
        <v>21472.140000000021</v>
      </c>
    </row>
    <row r="48" spans="1:11" x14ac:dyDescent="0.25">
      <c r="A48" s="50" t="s">
        <v>13</v>
      </c>
      <c r="B48" s="51">
        <v>21.597249999999995</v>
      </c>
      <c r="C48" s="52" t="s">
        <v>109</v>
      </c>
      <c r="D48" s="52" t="s">
        <v>111</v>
      </c>
      <c r="E48" s="45" t="s">
        <v>826</v>
      </c>
      <c r="F48" s="53">
        <v>24.718910000000022</v>
      </c>
      <c r="G48" s="54" t="s">
        <v>110</v>
      </c>
      <c r="H48" s="54" t="s">
        <v>112</v>
      </c>
      <c r="I48" s="55">
        <v>429.49</v>
      </c>
      <c r="J48" s="56">
        <v>21597.249999999996</v>
      </c>
      <c r="K48" s="57">
        <v>21062.380000000023</v>
      </c>
    </row>
    <row r="49" spans="1:11" x14ac:dyDescent="0.25">
      <c r="A49" s="50" t="s">
        <v>13</v>
      </c>
      <c r="B49" s="51">
        <v>22.026739999999997</v>
      </c>
      <c r="C49" s="52" t="s">
        <v>111</v>
      </c>
      <c r="D49" s="52" t="s">
        <v>113</v>
      </c>
      <c r="E49" s="45" t="s">
        <v>826</v>
      </c>
      <c r="F49" s="53">
        <v>25.78007000000002</v>
      </c>
      <c r="G49" s="54" t="s">
        <v>112</v>
      </c>
      <c r="H49" s="54" t="s">
        <v>114</v>
      </c>
      <c r="I49" s="55">
        <v>448.78</v>
      </c>
      <c r="J49" s="56">
        <v>22026.739999999998</v>
      </c>
      <c r="K49" s="57">
        <v>20632.890000000021</v>
      </c>
    </row>
    <row r="50" spans="1:11" x14ac:dyDescent="0.25">
      <c r="A50" s="50" t="s">
        <v>13</v>
      </c>
      <c r="B50" s="51">
        <v>22.475519999999996</v>
      </c>
      <c r="C50" s="52" t="s">
        <v>113</v>
      </c>
      <c r="D50" s="52" t="s">
        <v>115</v>
      </c>
      <c r="E50" s="45" t="s">
        <v>826</v>
      </c>
      <c r="F50" s="53">
        <v>26.132490000000018</v>
      </c>
      <c r="G50" s="54" t="s">
        <v>114</v>
      </c>
      <c r="H50" s="54" t="s">
        <v>116</v>
      </c>
      <c r="I50" s="55">
        <v>494.72</v>
      </c>
      <c r="J50" s="56">
        <v>22475.519999999997</v>
      </c>
      <c r="K50" s="57">
        <v>20184.110000000022</v>
      </c>
    </row>
    <row r="51" spans="1:11" x14ac:dyDescent="0.25">
      <c r="A51" s="50" t="s">
        <v>13</v>
      </c>
      <c r="B51" s="51">
        <v>22.970239999999997</v>
      </c>
      <c r="C51" s="52" t="s">
        <v>115</v>
      </c>
      <c r="D51" s="52" t="s">
        <v>18</v>
      </c>
      <c r="E51" s="45" t="s">
        <v>826</v>
      </c>
      <c r="F51" s="53">
        <v>26.532860000000017</v>
      </c>
      <c r="G51" s="54" t="s">
        <v>116</v>
      </c>
      <c r="H51" s="54" t="s">
        <v>117</v>
      </c>
      <c r="I51" s="55">
        <v>388.56</v>
      </c>
      <c r="J51" s="56">
        <v>22970.239999999998</v>
      </c>
      <c r="K51" s="57">
        <v>19689.390000000021</v>
      </c>
    </row>
    <row r="52" spans="1:11" x14ac:dyDescent="0.25">
      <c r="A52" s="50" t="s">
        <v>13</v>
      </c>
      <c r="B52" s="51">
        <v>23.358799999999999</v>
      </c>
      <c r="C52" s="52" t="s">
        <v>18</v>
      </c>
      <c r="D52" s="52" t="s">
        <v>19</v>
      </c>
      <c r="E52" s="45" t="s">
        <v>826</v>
      </c>
      <c r="F52" s="53">
        <v>26.977750000000018</v>
      </c>
      <c r="G52" s="54" t="s">
        <v>117</v>
      </c>
      <c r="H52" s="54" t="s">
        <v>118</v>
      </c>
      <c r="I52" s="55">
        <v>756.99</v>
      </c>
      <c r="J52" s="56">
        <v>23358.799999999999</v>
      </c>
      <c r="K52" s="57">
        <v>19300.83000000002</v>
      </c>
    </row>
    <row r="53" spans="1:11" x14ac:dyDescent="0.25">
      <c r="A53" s="50" t="s">
        <v>13</v>
      </c>
      <c r="B53" s="51">
        <v>24.115790000000001</v>
      </c>
      <c r="C53" s="52" t="s">
        <v>19</v>
      </c>
      <c r="D53" s="52" t="s">
        <v>119</v>
      </c>
      <c r="E53" s="45" t="s">
        <v>826</v>
      </c>
      <c r="F53" s="53">
        <v>27.473270000000017</v>
      </c>
      <c r="G53" s="54" t="s">
        <v>118</v>
      </c>
      <c r="H53" s="54" t="s">
        <v>120</v>
      </c>
      <c r="I53" s="55">
        <v>501.18</v>
      </c>
      <c r="J53" s="56">
        <v>24115.79</v>
      </c>
      <c r="K53" s="57">
        <v>18543.840000000018</v>
      </c>
    </row>
    <row r="54" spans="1:11" x14ac:dyDescent="0.25">
      <c r="A54" s="50" t="s">
        <v>13</v>
      </c>
      <c r="B54" s="51">
        <v>24.616970000000002</v>
      </c>
      <c r="C54" s="52" t="s">
        <v>119</v>
      </c>
      <c r="D54" s="52" t="s">
        <v>121</v>
      </c>
      <c r="E54" s="45" t="s">
        <v>826</v>
      </c>
      <c r="F54" s="53">
        <v>28.11940000000002</v>
      </c>
      <c r="G54" s="54" t="s">
        <v>120</v>
      </c>
      <c r="H54" s="54" t="s">
        <v>122</v>
      </c>
      <c r="I54" s="55">
        <v>738.26</v>
      </c>
      <c r="J54" s="56">
        <v>24616.97</v>
      </c>
      <c r="K54" s="57">
        <v>18042.660000000018</v>
      </c>
    </row>
    <row r="55" spans="1:11" x14ac:dyDescent="0.25">
      <c r="A55" s="50" t="s">
        <v>13</v>
      </c>
      <c r="B55" s="51">
        <v>25.355229999999999</v>
      </c>
      <c r="C55" s="52" t="s">
        <v>121</v>
      </c>
      <c r="D55" s="52" t="s">
        <v>123</v>
      </c>
      <c r="E55" s="45" t="s">
        <v>826</v>
      </c>
      <c r="F55" s="53">
        <v>28.529160000000019</v>
      </c>
      <c r="G55" s="54" t="s">
        <v>122</v>
      </c>
      <c r="H55" s="54" t="s">
        <v>124</v>
      </c>
      <c r="I55" s="55">
        <v>307.7</v>
      </c>
      <c r="J55" s="56">
        <v>25355.23</v>
      </c>
      <c r="K55" s="57">
        <v>17304.40000000002</v>
      </c>
    </row>
    <row r="56" spans="1:11" x14ac:dyDescent="0.25">
      <c r="A56" s="50" t="s">
        <v>13</v>
      </c>
      <c r="B56" s="51">
        <v>25.662929999999999</v>
      </c>
      <c r="C56" s="52" t="s">
        <v>123</v>
      </c>
      <c r="D56" s="52" t="s">
        <v>125</v>
      </c>
      <c r="E56" s="45" t="s">
        <v>826</v>
      </c>
      <c r="F56" s="53">
        <v>29.193410000000018</v>
      </c>
      <c r="G56" s="54" t="s">
        <v>124</v>
      </c>
      <c r="H56" s="54" t="s">
        <v>126</v>
      </c>
      <c r="I56" s="55">
        <v>672.23</v>
      </c>
      <c r="J56" s="56">
        <v>25662.93</v>
      </c>
      <c r="K56" s="57">
        <v>16996.700000000019</v>
      </c>
    </row>
    <row r="57" spans="1:11" x14ac:dyDescent="0.25">
      <c r="A57" s="50" t="s">
        <v>13</v>
      </c>
      <c r="B57" s="51">
        <v>26.335159999999998</v>
      </c>
      <c r="C57" s="52" t="s">
        <v>125</v>
      </c>
      <c r="D57" s="52" t="s">
        <v>127</v>
      </c>
      <c r="E57" s="45" t="s">
        <v>826</v>
      </c>
      <c r="F57" s="53">
        <v>29.782330000000016</v>
      </c>
      <c r="G57" s="54" t="s">
        <v>126</v>
      </c>
      <c r="H57" s="54" t="s">
        <v>128</v>
      </c>
      <c r="I57" s="55">
        <v>598.69000000000005</v>
      </c>
      <c r="J57" s="56">
        <v>26335.16</v>
      </c>
      <c r="K57" s="57">
        <v>16324.470000000019</v>
      </c>
    </row>
    <row r="58" spans="1:11" x14ac:dyDescent="0.25">
      <c r="A58" s="50" t="s">
        <v>13</v>
      </c>
      <c r="B58" s="51">
        <v>26.93385</v>
      </c>
      <c r="C58" s="52" t="s">
        <v>127</v>
      </c>
      <c r="D58" s="52" t="s">
        <v>129</v>
      </c>
      <c r="E58" s="45" t="s">
        <v>826</v>
      </c>
      <c r="F58" s="53">
        <v>30.379000000000016</v>
      </c>
      <c r="G58" s="54" t="s">
        <v>128</v>
      </c>
      <c r="H58" s="54" t="s">
        <v>130</v>
      </c>
      <c r="I58" s="55">
        <v>949.74</v>
      </c>
      <c r="J58" s="56">
        <v>26933.85</v>
      </c>
      <c r="K58" s="57">
        <v>15725.780000000019</v>
      </c>
    </row>
    <row r="59" spans="1:11" x14ac:dyDescent="0.25">
      <c r="A59" s="50" t="s">
        <v>13</v>
      </c>
      <c r="B59" s="51">
        <v>27.883590000000002</v>
      </c>
      <c r="C59" s="52" t="s">
        <v>129</v>
      </c>
      <c r="D59" s="52" t="s">
        <v>131</v>
      </c>
      <c r="E59" s="45" t="s">
        <v>826</v>
      </c>
      <c r="F59" s="53">
        <v>30.921240000000015</v>
      </c>
      <c r="G59" s="54" t="s">
        <v>130</v>
      </c>
      <c r="H59" s="54" t="s">
        <v>132</v>
      </c>
      <c r="I59" s="55">
        <v>288.8</v>
      </c>
      <c r="J59" s="56">
        <v>27883.59</v>
      </c>
      <c r="K59" s="57">
        <v>14776.040000000019</v>
      </c>
    </row>
    <row r="60" spans="1:11" x14ac:dyDescent="0.25">
      <c r="A60" s="50" t="s">
        <v>13</v>
      </c>
      <c r="B60" s="51">
        <v>28.17239</v>
      </c>
      <c r="C60" s="52" t="s">
        <v>131</v>
      </c>
      <c r="D60" s="52" t="s">
        <v>133</v>
      </c>
      <c r="E60" s="45" t="s">
        <v>826</v>
      </c>
      <c r="F60" s="53">
        <v>31.239000000000015</v>
      </c>
      <c r="G60" s="54" t="s">
        <v>132</v>
      </c>
      <c r="H60" s="54" t="s">
        <v>134</v>
      </c>
      <c r="I60" s="55">
        <v>558.39</v>
      </c>
      <c r="J60" s="56">
        <v>28172.39</v>
      </c>
      <c r="K60" s="57">
        <v>14487.24000000002</v>
      </c>
    </row>
    <row r="61" spans="1:11" x14ac:dyDescent="0.25">
      <c r="A61" s="50" t="s">
        <v>13</v>
      </c>
      <c r="B61" s="51">
        <v>28.730779999999999</v>
      </c>
      <c r="C61" s="52" t="s">
        <v>133</v>
      </c>
      <c r="D61" s="52" t="s">
        <v>135</v>
      </c>
      <c r="E61" s="45" t="s">
        <v>826</v>
      </c>
      <c r="F61" s="53">
        <v>31.774340000000016</v>
      </c>
      <c r="G61" s="54" t="s">
        <v>134</v>
      </c>
      <c r="H61" s="54" t="s">
        <v>136</v>
      </c>
      <c r="I61" s="55">
        <v>442.96</v>
      </c>
      <c r="J61" s="56">
        <v>28730.78</v>
      </c>
      <c r="K61" s="57">
        <v>13928.85000000002</v>
      </c>
    </row>
    <row r="62" spans="1:11" x14ac:dyDescent="0.25">
      <c r="A62" s="50" t="s">
        <v>13</v>
      </c>
      <c r="B62" s="51">
        <v>29.173739999999999</v>
      </c>
      <c r="C62" s="52" t="s">
        <v>135</v>
      </c>
      <c r="D62" s="52" t="s">
        <v>137</v>
      </c>
      <c r="E62" s="45" t="s">
        <v>826</v>
      </c>
      <c r="F62" s="53">
        <v>32.438920000000017</v>
      </c>
      <c r="G62" s="54" t="s">
        <v>136</v>
      </c>
      <c r="H62" s="54" t="s">
        <v>138</v>
      </c>
      <c r="I62" s="55">
        <v>882.75</v>
      </c>
      <c r="J62" s="56">
        <v>29173.739999999998</v>
      </c>
      <c r="K62" s="57">
        <v>13485.890000000021</v>
      </c>
    </row>
    <row r="63" spans="1:11" x14ac:dyDescent="0.25">
      <c r="A63" s="50" t="s">
        <v>13</v>
      </c>
      <c r="B63" s="51">
        <v>30.056489999999997</v>
      </c>
      <c r="C63" s="52" t="s">
        <v>137</v>
      </c>
      <c r="D63" s="52" t="s">
        <v>139</v>
      </c>
      <c r="E63" s="45" t="s">
        <v>826</v>
      </c>
      <c r="F63" s="53">
        <v>33.011510000000015</v>
      </c>
      <c r="G63" s="54" t="s">
        <v>138</v>
      </c>
      <c r="H63" s="54" t="s">
        <v>140</v>
      </c>
      <c r="I63" s="55">
        <v>254.96</v>
      </c>
      <c r="J63" s="56">
        <v>30056.489999999998</v>
      </c>
      <c r="K63" s="57">
        <v>12603.140000000021</v>
      </c>
    </row>
    <row r="64" spans="1:11" x14ac:dyDescent="0.25">
      <c r="A64" s="50" t="s">
        <v>13</v>
      </c>
      <c r="B64" s="51">
        <v>30.311449999999997</v>
      </c>
      <c r="C64" s="52" t="s">
        <v>139</v>
      </c>
      <c r="D64" s="52" t="s">
        <v>141</v>
      </c>
      <c r="E64" s="45" t="s">
        <v>826</v>
      </c>
      <c r="F64" s="53">
        <v>33.54573000000002</v>
      </c>
      <c r="G64" s="54" t="s">
        <v>140</v>
      </c>
      <c r="H64" s="54" t="s">
        <v>142</v>
      </c>
      <c r="I64" s="55">
        <v>587.83000000000004</v>
      </c>
      <c r="J64" s="56">
        <v>30311.449999999997</v>
      </c>
      <c r="K64" s="57">
        <v>12348.180000000022</v>
      </c>
    </row>
    <row r="65" spans="1:11" x14ac:dyDescent="0.25">
      <c r="A65" s="50" t="s">
        <v>13</v>
      </c>
      <c r="B65" s="51">
        <v>30.899279999999997</v>
      </c>
      <c r="C65" s="52" t="s">
        <v>141</v>
      </c>
      <c r="D65" s="52" t="s">
        <v>143</v>
      </c>
      <c r="E65" s="45" t="s">
        <v>826</v>
      </c>
      <c r="F65" s="53">
        <v>33.955430000000014</v>
      </c>
      <c r="G65" s="54" t="s">
        <v>142</v>
      </c>
      <c r="H65" s="54" t="s">
        <v>144</v>
      </c>
      <c r="I65" s="55">
        <v>661.33</v>
      </c>
      <c r="J65" s="56">
        <v>30899.279999999999</v>
      </c>
      <c r="K65" s="57">
        <v>11760.350000000022</v>
      </c>
    </row>
    <row r="66" spans="1:11" x14ac:dyDescent="0.25">
      <c r="A66" s="50" t="s">
        <v>13</v>
      </c>
      <c r="B66" s="51">
        <v>31.56061</v>
      </c>
      <c r="C66" s="52" t="s">
        <v>143</v>
      </c>
      <c r="D66" s="52" t="s">
        <v>145</v>
      </c>
      <c r="E66" s="45" t="s">
        <v>826</v>
      </c>
      <c r="F66" s="53">
        <v>34.375300000000017</v>
      </c>
      <c r="G66" s="54" t="s">
        <v>144</v>
      </c>
      <c r="H66" s="54" t="s">
        <v>146</v>
      </c>
      <c r="I66" s="55">
        <v>516.04</v>
      </c>
      <c r="J66" s="56">
        <v>31560.61</v>
      </c>
      <c r="K66" s="57">
        <v>11099.020000000022</v>
      </c>
    </row>
    <row r="67" spans="1:11" x14ac:dyDescent="0.25">
      <c r="A67" s="50" t="s">
        <v>13</v>
      </c>
      <c r="B67" s="51">
        <v>32.076650000000001</v>
      </c>
      <c r="C67" s="52" t="s">
        <v>145</v>
      </c>
      <c r="D67" s="52" t="s">
        <v>147</v>
      </c>
      <c r="E67" s="45" t="s">
        <v>826</v>
      </c>
      <c r="F67" s="53">
        <v>34.761970000000012</v>
      </c>
      <c r="G67" s="54" t="s">
        <v>146</v>
      </c>
      <c r="H67" s="54" t="s">
        <v>148</v>
      </c>
      <c r="I67" s="55">
        <v>522.02</v>
      </c>
      <c r="J67" s="56">
        <v>32076.65</v>
      </c>
      <c r="K67" s="57">
        <v>10582.980000000021</v>
      </c>
    </row>
    <row r="68" spans="1:11" x14ac:dyDescent="0.25">
      <c r="A68" s="50" t="s">
        <v>13</v>
      </c>
      <c r="B68" s="51">
        <v>32.598669999999998</v>
      </c>
      <c r="C68" s="52" t="s">
        <v>147</v>
      </c>
      <c r="D68" s="52" t="s">
        <v>149</v>
      </c>
      <c r="E68" s="45" t="s">
        <v>826</v>
      </c>
      <c r="F68" s="53">
        <v>34.992830000000019</v>
      </c>
      <c r="G68" s="54" t="s">
        <v>148</v>
      </c>
      <c r="H68" s="54" t="s">
        <v>150</v>
      </c>
      <c r="I68" s="55">
        <v>363.3</v>
      </c>
      <c r="J68" s="56">
        <v>32598.670000000002</v>
      </c>
      <c r="K68" s="57">
        <v>10060.960000000021</v>
      </c>
    </row>
    <row r="69" spans="1:11" x14ac:dyDescent="0.25">
      <c r="A69" s="50" t="s">
        <v>13</v>
      </c>
      <c r="B69" s="51">
        <v>32.961970000000001</v>
      </c>
      <c r="C69" s="52" t="s">
        <v>149</v>
      </c>
      <c r="D69" s="52" t="s">
        <v>151</v>
      </c>
      <c r="E69" s="45" t="s">
        <v>826</v>
      </c>
      <c r="F69" s="53">
        <v>35.372610000000016</v>
      </c>
      <c r="G69" s="54" t="s">
        <v>150</v>
      </c>
      <c r="H69" s="54" t="s">
        <v>152</v>
      </c>
      <c r="I69" s="55">
        <v>519.54999999999995</v>
      </c>
      <c r="J69" s="56">
        <v>32961.97</v>
      </c>
      <c r="K69" s="57">
        <v>9697.6600000000217</v>
      </c>
    </row>
    <row r="70" spans="1:11" x14ac:dyDescent="0.25">
      <c r="A70" s="50" t="s">
        <v>13</v>
      </c>
      <c r="B70" s="51">
        <v>33.481520000000003</v>
      </c>
      <c r="C70" s="52" t="s">
        <v>151</v>
      </c>
      <c r="D70" s="52" t="s">
        <v>153</v>
      </c>
      <c r="E70" s="45" t="s">
        <v>826</v>
      </c>
      <c r="F70" s="53">
        <v>35.820310000000013</v>
      </c>
      <c r="G70" s="54" t="s">
        <v>152</v>
      </c>
      <c r="H70" s="54" t="s">
        <v>154</v>
      </c>
      <c r="I70" s="55">
        <v>387.52</v>
      </c>
      <c r="J70" s="56">
        <v>33481.520000000004</v>
      </c>
      <c r="K70" s="57">
        <v>9178.1100000000224</v>
      </c>
    </row>
    <row r="71" spans="1:11" x14ac:dyDescent="0.25">
      <c r="A71" s="50" t="s">
        <v>13</v>
      </c>
      <c r="B71" s="51">
        <v>33.869039999999998</v>
      </c>
      <c r="C71" s="52" t="s">
        <v>153</v>
      </c>
      <c r="D71" s="52" t="s">
        <v>155</v>
      </c>
      <c r="E71" s="45" t="s">
        <v>826</v>
      </c>
      <c r="F71" s="53">
        <v>36.26033000000001</v>
      </c>
      <c r="G71" s="54" t="s">
        <v>154</v>
      </c>
      <c r="H71" s="54" t="s">
        <v>156</v>
      </c>
      <c r="I71" s="55">
        <v>538.37</v>
      </c>
      <c r="J71" s="56">
        <v>33869.040000000001</v>
      </c>
      <c r="K71" s="57">
        <v>8790.590000000022</v>
      </c>
    </row>
    <row r="72" spans="1:11" x14ac:dyDescent="0.25">
      <c r="A72" s="50" t="s">
        <v>13</v>
      </c>
      <c r="B72" s="51">
        <v>34.407410000000006</v>
      </c>
      <c r="C72" s="52" t="s">
        <v>155</v>
      </c>
      <c r="D72" s="52" t="s">
        <v>157</v>
      </c>
      <c r="E72" s="45" t="s">
        <v>826</v>
      </c>
      <c r="F72" s="53">
        <v>36.850240000000014</v>
      </c>
      <c r="G72" s="54" t="s">
        <v>156</v>
      </c>
      <c r="H72" s="54" t="s">
        <v>158</v>
      </c>
      <c r="I72" s="55">
        <v>634.41</v>
      </c>
      <c r="J72" s="56">
        <v>34407.410000000003</v>
      </c>
      <c r="K72" s="57">
        <v>8252.2200000000212</v>
      </c>
    </row>
    <row r="73" spans="1:11" x14ac:dyDescent="0.25">
      <c r="A73" s="50" t="s">
        <v>13</v>
      </c>
      <c r="B73" s="51">
        <v>35.041820000000008</v>
      </c>
      <c r="C73" s="52" t="s">
        <v>157</v>
      </c>
      <c r="D73" s="52" t="s">
        <v>159</v>
      </c>
      <c r="E73" s="45" t="s">
        <v>826</v>
      </c>
      <c r="F73" s="53">
        <v>37.365990000000011</v>
      </c>
      <c r="G73" s="54" t="s">
        <v>158</v>
      </c>
      <c r="H73" s="54" t="s">
        <v>160</v>
      </c>
      <c r="I73" s="55">
        <v>550.07000000000005</v>
      </c>
      <c r="J73" s="56">
        <v>35041.820000000007</v>
      </c>
      <c r="K73" s="57">
        <v>7617.8100000000213</v>
      </c>
    </row>
    <row r="74" spans="1:11" x14ac:dyDescent="0.25">
      <c r="A74" s="50" t="s">
        <v>13</v>
      </c>
      <c r="B74" s="51">
        <v>35.591890000000006</v>
      </c>
      <c r="C74" s="52" t="s">
        <v>159</v>
      </c>
      <c r="D74" s="52" t="s">
        <v>161</v>
      </c>
      <c r="E74" s="45" t="s">
        <v>826</v>
      </c>
      <c r="F74" s="53">
        <v>37.765940000000008</v>
      </c>
      <c r="G74" s="54" t="s">
        <v>160</v>
      </c>
      <c r="H74" s="54" t="s">
        <v>162</v>
      </c>
      <c r="I74" s="55">
        <v>509.36</v>
      </c>
      <c r="J74" s="56">
        <v>35591.890000000007</v>
      </c>
      <c r="K74" s="57">
        <v>7067.7400000000216</v>
      </c>
    </row>
    <row r="75" spans="1:11" x14ac:dyDescent="0.25">
      <c r="A75" s="50" t="s">
        <v>13</v>
      </c>
      <c r="B75" s="51">
        <v>36.101250000000007</v>
      </c>
      <c r="C75" s="52" t="s">
        <v>161</v>
      </c>
      <c r="D75" s="52" t="s">
        <v>163</v>
      </c>
      <c r="E75" s="45" t="s">
        <v>826</v>
      </c>
      <c r="F75" s="53">
        <v>38.11677000000001</v>
      </c>
      <c r="G75" s="54" t="s">
        <v>162</v>
      </c>
      <c r="H75" s="54" t="s">
        <v>164</v>
      </c>
      <c r="I75" s="55">
        <v>447.05</v>
      </c>
      <c r="J75" s="56">
        <v>36101.250000000007</v>
      </c>
      <c r="K75" s="57">
        <v>6558.3800000000219</v>
      </c>
    </row>
    <row r="76" spans="1:11" x14ac:dyDescent="0.25">
      <c r="A76" s="50" t="s">
        <v>13</v>
      </c>
      <c r="B76" s="51">
        <v>36.548300000000012</v>
      </c>
      <c r="C76" s="52" t="s">
        <v>163</v>
      </c>
      <c r="D76" s="52" t="s">
        <v>165</v>
      </c>
      <c r="E76" s="45" t="s">
        <v>826</v>
      </c>
      <c r="F76" s="53">
        <v>38.58120000000001</v>
      </c>
      <c r="G76" s="54" t="s">
        <v>164</v>
      </c>
      <c r="H76" s="54" t="s">
        <v>166</v>
      </c>
      <c r="I76" s="55">
        <v>732.93</v>
      </c>
      <c r="J76" s="56">
        <v>36548.30000000001</v>
      </c>
      <c r="K76" s="57">
        <v>6111.3300000000218</v>
      </c>
    </row>
    <row r="77" spans="1:11" x14ac:dyDescent="0.25">
      <c r="A77" s="50" t="s">
        <v>13</v>
      </c>
      <c r="B77" s="51">
        <v>37.281230000000008</v>
      </c>
      <c r="C77" s="52" t="s">
        <v>165</v>
      </c>
      <c r="D77" s="52" t="s">
        <v>167</v>
      </c>
      <c r="E77" s="45" t="s">
        <v>826</v>
      </c>
      <c r="F77" s="53">
        <v>39.156960000000012</v>
      </c>
      <c r="G77" s="54" t="s">
        <v>166</v>
      </c>
      <c r="H77" s="54" t="s">
        <v>168</v>
      </c>
      <c r="I77" s="55">
        <v>368.19</v>
      </c>
      <c r="J77" s="56">
        <v>37281.23000000001</v>
      </c>
      <c r="K77" s="57">
        <v>5378.4000000000215</v>
      </c>
    </row>
    <row r="78" spans="1:11" x14ac:dyDescent="0.25">
      <c r="A78" s="50" t="s">
        <v>13</v>
      </c>
      <c r="B78" s="51">
        <v>37.649420000000013</v>
      </c>
      <c r="C78" s="52" t="s">
        <v>167</v>
      </c>
      <c r="D78" s="52" t="s">
        <v>169</v>
      </c>
      <c r="E78" s="45" t="s">
        <v>826</v>
      </c>
      <c r="F78" s="53">
        <v>39.589070000000014</v>
      </c>
      <c r="G78" s="54" t="s">
        <v>168</v>
      </c>
      <c r="H78" s="54" t="s">
        <v>170</v>
      </c>
      <c r="I78" s="55">
        <v>882.72</v>
      </c>
      <c r="J78" s="56">
        <v>37649.420000000013</v>
      </c>
      <c r="K78" s="57">
        <v>5010.2100000000219</v>
      </c>
    </row>
    <row r="79" spans="1:11" x14ac:dyDescent="0.25">
      <c r="A79" s="50" t="s">
        <v>13</v>
      </c>
      <c r="B79" s="51">
        <v>38.532140000000012</v>
      </c>
      <c r="C79" s="52" t="s">
        <v>169</v>
      </c>
      <c r="D79" s="52" t="s">
        <v>171</v>
      </c>
      <c r="E79" s="45" t="s">
        <v>826</v>
      </c>
      <c r="F79" s="53">
        <v>40.320950000000011</v>
      </c>
      <c r="G79" s="54" t="s">
        <v>170</v>
      </c>
      <c r="H79" s="54" t="s">
        <v>172</v>
      </c>
      <c r="I79" s="55">
        <v>738.78</v>
      </c>
      <c r="J79" s="56">
        <v>38532.140000000014</v>
      </c>
      <c r="K79" s="57">
        <v>4127.4900000000216</v>
      </c>
    </row>
    <row r="80" spans="1:11" x14ac:dyDescent="0.25">
      <c r="A80" s="50" t="s">
        <v>13</v>
      </c>
      <c r="B80" s="51">
        <v>39.270920000000011</v>
      </c>
      <c r="C80" s="52" t="s">
        <v>171</v>
      </c>
      <c r="D80" s="52" t="s">
        <v>173</v>
      </c>
      <c r="E80" s="45" t="s">
        <v>826</v>
      </c>
      <c r="F80" s="53">
        <v>40.534930000000017</v>
      </c>
      <c r="G80" s="54" t="s">
        <v>172</v>
      </c>
      <c r="H80" s="54" t="s">
        <v>174</v>
      </c>
      <c r="I80" s="55">
        <v>842.07</v>
      </c>
      <c r="J80" s="56">
        <v>39270.920000000013</v>
      </c>
      <c r="K80" s="57">
        <v>3388.7100000000219</v>
      </c>
    </row>
    <row r="81" spans="1:11" x14ac:dyDescent="0.25">
      <c r="A81" s="50" t="s">
        <v>13</v>
      </c>
      <c r="B81" s="51">
        <v>40.112990000000011</v>
      </c>
      <c r="C81" s="52" t="s">
        <v>173</v>
      </c>
      <c r="D81" s="52" t="s">
        <v>175</v>
      </c>
      <c r="E81" s="45" t="s">
        <v>826</v>
      </c>
      <c r="F81" s="53">
        <v>41.248350000000016</v>
      </c>
      <c r="G81" s="54" t="s">
        <v>174</v>
      </c>
      <c r="H81" s="54" t="s">
        <v>176</v>
      </c>
      <c r="I81" s="55">
        <v>642.29999999999995</v>
      </c>
      <c r="J81" s="56">
        <v>40112.990000000013</v>
      </c>
      <c r="K81" s="57">
        <v>2546.6400000000217</v>
      </c>
    </row>
    <row r="82" spans="1:11" x14ac:dyDescent="0.25">
      <c r="A82" s="50" t="s">
        <v>13</v>
      </c>
      <c r="B82" s="51">
        <v>40.755290000000016</v>
      </c>
      <c r="C82" s="52" t="s">
        <v>175</v>
      </c>
      <c r="D82" s="52" t="s">
        <v>177</v>
      </c>
      <c r="E82" s="45" t="s">
        <v>826</v>
      </c>
      <c r="F82" s="53">
        <v>41.575570000000013</v>
      </c>
      <c r="G82" s="54" t="s">
        <v>176</v>
      </c>
      <c r="H82" s="54" t="s">
        <v>178</v>
      </c>
      <c r="I82" s="55">
        <v>360.71</v>
      </c>
      <c r="J82" s="56">
        <v>40755.290000000015</v>
      </c>
      <c r="K82" s="57">
        <v>1904.3400000000217</v>
      </c>
    </row>
    <row r="83" spans="1:11" x14ac:dyDescent="0.25">
      <c r="A83" s="50" t="s">
        <v>13</v>
      </c>
      <c r="B83" s="51">
        <v>41.116000000000014</v>
      </c>
      <c r="C83" s="52" t="s">
        <v>177</v>
      </c>
      <c r="D83" s="52" t="s">
        <v>179</v>
      </c>
      <c r="E83" s="45" t="s">
        <v>827</v>
      </c>
      <c r="F83" s="53">
        <v>41.928010000000015</v>
      </c>
      <c r="G83" s="54" t="s">
        <v>178</v>
      </c>
      <c r="H83" s="54" t="s">
        <v>180</v>
      </c>
      <c r="I83" s="55">
        <v>318.91000000000003</v>
      </c>
      <c r="J83" s="56">
        <v>41116.000000000015</v>
      </c>
      <c r="K83" s="57">
        <v>1543.6300000000217</v>
      </c>
    </row>
    <row r="84" spans="1:11" x14ac:dyDescent="0.25">
      <c r="A84" s="50" t="s">
        <v>13</v>
      </c>
      <c r="B84" s="51">
        <v>41.434910000000016</v>
      </c>
      <c r="C84" s="52" t="s">
        <v>179</v>
      </c>
      <c r="D84" s="52" t="s">
        <v>181</v>
      </c>
      <c r="E84" s="45" t="s">
        <v>0</v>
      </c>
      <c r="F84" s="53">
        <v>42.184880000000021</v>
      </c>
      <c r="G84" s="54" t="s">
        <v>180</v>
      </c>
      <c r="H84" s="54" t="s">
        <v>182</v>
      </c>
      <c r="I84" s="55">
        <v>593.53</v>
      </c>
      <c r="J84" s="56">
        <v>41434.910000000018</v>
      </c>
      <c r="K84" s="57">
        <v>1224.7200000000216</v>
      </c>
    </row>
    <row r="85" spans="1:11" x14ac:dyDescent="0.25">
      <c r="A85" s="50" t="s">
        <v>13</v>
      </c>
      <c r="B85" s="51">
        <v>42.028440000000018</v>
      </c>
      <c r="C85" s="52" t="s">
        <v>181</v>
      </c>
      <c r="D85" s="52" t="s">
        <v>183</v>
      </c>
      <c r="E85" s="45" t="s">
        <v>0</v>
      </c>
      <c r="F85" s="53">
        <v>42.354130000000019</v>
      </c>
      <c r="G85" s="54" t="s">
        <v>182</v>
      </c>
      <c r="H85" s="49" t="s">
        <v>184</v>
      </c>
      <c r="I85" s="55">
        <v>481.05</v>
      </c>
      <c r="J85" s="56">
        <v>42028.440000000017</v>
      </c>
      <c r="K85" s="57">
        <v>631.19000000002166</v>
      </c>
    </row>
    <row r="86" spans="1:11" x14ac:dyDescent="0.25">
      <c r="A86" s="50" t="s">
        <v>13</v>
      </c>
      <c r="B86" s="51">
        <v>42.509490000000021</v>
      </c>
      <c r="C86" s="52" t="s">
        <v>183</v>
      </c>
      <c r="D86" s="52" t="s">
        <v>16</v>
      </c>
      <c r="E86" s="45" t="s">
        <v>826</v>
      </c>
      <c r="F86" s="53">
        <v>42.60176000000002</v>
      </c>
      <c r="G86" s="49" t="s">
        <v>184</v>
      </c>
      <c r="H86" s="52" t="s">
        <v>16</v>
      </c>
      <c r="I86" s="55">
        <v>150.13999999999999</v>
      </c>
      <c r="J86" s="56">
        <v>42509.49000000002</v>
      </c>
      <c r="K86" s="57">
        <v>150.14000000002164</v>
      </c>
    </row>
    <row r="87" spans="1:11" x14ac:dyDescent="0.25">
      <c r="A87" s="50" t="s">
        <v>13</v>
      </c>
      <c r="B87" s="51">
        <v>42.659630000000021</v>
      </c>
      <c r="C87" s="52" t="s">
        <v>843</v>
      </c>
      <c r="D87" s="52" t="s">
        <v>22</v>
      </c>
      <c r="E87" s="45" t="s">
        <v>826</v>
      </c>
      <c r="F87" s="53">
        <v>42.659630000000021</v>
      </c>
      <c r="G87" s="52" t="s">
        <v>14</v>
      </c>
      <c r="H87" s="52" t="s">
        <v>22</v>
      </c>
      <c r="I87" s="61"/>
      <c r="J87" s="56">
        <v>42659.630000000019</v>
      </c>
      <c r="K87" s="57">
        <v>2.1657342585967854E-11</v>
      </c>
    </row>
    <row r="88" spans="1:11" x14ac:dyDescent="0.25">
      <c r="A88" s="1"/>
      <c r="B88" s="62"/>
      <c r="C88" s="1"/>
      <c r="D88" s="1"/>
      <c r="F88" s="1"/>
      <c r="G88" s="1"/>
      <c r="H88" s="1"/>
      <c r="I88" s="64">
        <v>42.659630000000021</v>
      </c>
      <c r="J88" s="1">
        <v>84</v>
      </c>
      <c r="K88" s="65"/>
    </row>
  </sheetData>
  <dataValidations count="1">
    <dataValidation type="textLength" allowBlank="1" showInputMessage="1" showErrorMessage="1" sqref="B1" xr:uid="{B5832FD6-BB07-4335-BD3B-892AFE37A42D}">
      <formula1>0</formula1>
      <formula2>60</formula2>
    </dataValidation>
  </dataValidation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1"/>
  <dimension ref="A1:O405"/>
  <sheetViews>
    <sheetView workbookViewId="0">
      <selection activeCell="B1" sqref="B1"/>
    </sheetView>
  </sheetViews>
  <sheetFormatPr defaultRowHeight="15" x14ac:dyDescent="0.25"/>
  <cols>
    <col min="1" max="1" width="34.140625" style="5" bestFit="1" customWidth="1"/>
    <col min="2" max="2" width="10.5703125" style="5" bestFit="1" customWidth="1"/>
    <col min="3" max="3" width="27.28515625" style="7" bestFit="1" customWidth="1"/>
    <col min="4" max="4" width="24.85546875" style="7" hidden="1" customWidth="1"/>
    <col min="5" max="5" width="6.140625" style="7" bestFit="1" customWidth="1"/>
    <col min="6" max="6" width="13.140625" style="7" hidden="1" customWidth="1"/>
    <col min="7" max="8" width="27.28515625" style="7" hidden="1" customWidth="1"/>
    <col min="9" max="9" width="30.28515625" style="12" hidden="1" customWidth="1"/>
    <col min="10" max="10" width="26.28515625" style="5" hidden="1" customWidth="1"/>
    <col min="11" max="11" width="5.42578125" style="5" hidden="1" customWidth="1"/>
    <col min="12" max="12" width="12.140625" style="30" customWidth="1"/>
    <col min="13" max="13" width="25.28515625" bestFit="1" customWidth="1"/>
    <col min="14" max="14" width="23.140625" bestFit="1" customWidth="1"/>
    <col min="257" max="257" width="8" customWidth="1"/>
    <col min="258" max="258" width="14" customWidth="1"/>
    <col min="259" max="259" width="20" customWidth="1"/>
    <col min="260" max="260" width="18.85546875" customWidth="1"/>
    <col min="261" max="261" width="14.7109375" customWidth="1"/>
    <col min="262" max="262" width="26.7109375" bestFit="1" customWidth="1"/>
    <col min="263" max="263" width="18.42578125" customWidth="1"/>
    <col min="264" max="264" width="27" customWidth="1"/>
    <col min="265" max="265" width="32" bestFit="1" customWidth="1"/>
    <col min="266" max="266" width="30" bestFit="1" customWidth="1"/>
    <col min="268" max="268" width="32" customWidth="1"/>
    <col min="269" max="269" width="24.85546875" bestFit="1" customWidth="1"/>
    <col min="513" max="513" width="8" customWidth="1"/>
    <col min="514" max="514" width="14" customWidth="1"/>
    <col min="515" max="515" width="20" customWidth="1"/>
    <col min="516" max="516" width="18.85546875" customWidth="1"/>
    <col min="517" max="517" width="14.7109375" customWidth="1"/>
    <col min="518" max="518" width="26.7109375" bestFit="1" customWidth="1"/>
    <col min="519" max="519" width="18.42578125" customWidth="1"/>
    <col min="520" max="520" width="27" customWidth="1"/>
    <col min="521" max="521" width="32" bestFit="1" customWidth="1"/>
    <col min="522" max="522" width="30" bestFit="1" customWidth="1"/>
    <col min="524" max="524" width="32" customWidth="1"/>
    <col min="525" max="525" width="24.85546875" bestFit="1" customWidth="1"/>
    <col min="769" max="769" width="8" customWidth="1"/>
    <col min="770" max="770" width="14" customWidth="1"/>
    <col min="771" max="771" width="20" customWidth="1"/>
    <col min="772" max="772" width="18.85546875" customWidth="1"/>
    <col min="773" max="773" width="14.7109375" customWidth="1"/>
    <col min="774" max="774" width="26.7109375" bestFit="1" customWidth="1"/>
    <col min="775" max="775" width="18.42578125" customWidth="1"/>
    <col min="776" max="776" width="27" customWidth="1"/>
    <col min="777" max="777" width="32" bestFit="1" customWidth="1"/>
    <col min="778" max="778" width="30" bestFit="1" customWidth="1"/>
    <col min="780" max="780" width="32" customWidth="1"/>
    <col min="781" max="781" width="24.85546875" bestFit="1" customWidth="1"/>
    <col min="1025" max="1025" width="8" customWidth="1"/>
    <col min="1026" max="1026" width="14" customWidth="1"/>
    <col min="1027" max="1027" width="20" customWidth="1"/>
    <col min="1028" max="1028" width="18.85546875" customWidth="1"/>
    <col min="1029" max="1029" width="14.7109375" customWidth="1"/>
    <col min="1030" max="1030" width="26.7109375" bestFit="1" customWidth="1"/>
    <col min="1031" max="1031" width="18.42578125" customWidth="1"/>
    <col min="1032" max="1032" width="27" customWidth="1"/>
    <col min="1033" max="1033" width="32" bestFit="1" customWidth="1"/>
    <col min="1034" max="1034" width="30" bestFit="1" customWidth="1"/>
    <col min="1036" max="1036" width="32" customWidth="1"/>
    <col min="1037" max="1037" width="24.85546875" bestFit="1" customWidth="1"/>
    <col min="1281" max="1281" width="8" customWidth="1"/>
    <col min="1282" max="1282" width="14" customWidth="1"/>
    <col min="1283" max="1283" width="20" customWidth="1"/>
    <col min="1284" max="1284" width="18.85546875" customWidth="1"/>
    <col min="1285" max="1285" width="14.7109375" customWidth="1"/>
    <col min="1286" max="1286" width="26.7109375" bestFit="1" customWidth="1"/>
    <col min="1287" max="1287" width="18.42578125" customWidth="1"/>
    <col min="1288" max="1288" width="27" customWidth="1"/>
    <col min="1289" max="1289" width="32" bestFit="1" customWidth="1"/>
    <col min="1290" max="1290" width="30" bestFit="1" customWidth="1"/>
    <col min="1292" max="1292" width="32" customWidth="1"/>
    <col min="1293" max="1293" width="24.85546875" bestFit="1" customWidth="1"/>
    <col min="1537" max="1537" width="8" customWidth="1"/>
    <col min="1538" max="1538" width="14" customWidth="1"/>
    <col min="1539" max="1539" width="20" customWidth="1"/>
    <col min="1540" max="1540" width="18.85546875" customWidth="1"/>
    <col min="1541" max="1541" width="14.7109375" customWidth="1"/>
    <col min="1542" max="1542" width="26.7109375" bestFit="1" customWidth="1"/>
    <col min="1543" max="1543" width="18.42578125" customWidth="1"/>
    <col min="1544" max="1544" width="27" customWidth="1"/>
    <col min="1545" max="1545" width="32" bestFit="1" customWidth="1"/>
    <col min="1546" max="1546" width="30" bestFit="1" customWidth="1"/>
    <col min="1548" max="1548" width="32" customWidth="1"/>
    <col min="1549" max="1549" width="24.85546875" bestFit="1" customWidth="1"/>
    <col min="1793" max="1793" width="8" customWidth="1"/>
    <col min="1794" max="1794" width="14" customWidth="1"/>
    <col min="1795" max="1795" width="20" customWidth="1"/>
    <col min="1796" max="1796" width="18.85546875" customWidth="1"/>
    <col min="1797" max="1797" width="14.7109375" customWidth="1"/>
    <col min="1798" max="1798" width="26.7109375" bestFit="1" customWidth="1"/>
    <col min="1799" max="1799" width="18.42578125" customWidth="1"/>
    <col min="1800" max="1800" width="27" customWidth="1"/>
    <col min="1801" max="1801" width="32" bestFit="1" customWidth="1"/>
    <col min="1802" max="1802" width="30" bestFit="1" customWidth="1"/>
    <col min="1804" max="1804" width="32" customWidth="1"/>
    <col min="1805" max="1805" width="24.85546875" bestFit="1" customWidth="1"/>
    <col min="2049" max="2049" width="8" customWidth="1"/>
    <col min="2050" max="2050" width="14" customWidth="1"/>
    <col min="2051" max="2051" width="20" customWidth="1"/>
    <col min="2052" max="2052" width="18.85546875" customWidth="1"/>
    <col min="2053" max="2053" width="14.7109375" customWidth="1"/>
    <col min="2054" max="2054" width="26.7109375" bestFit="1" customWidth="1"/>
    <col min="2055" max="2055" width="18.42578125" customWidth="1"/>
    <col min="2056" max="2056" width="27" customWidth="1"/>
    <col min="2057" max="2057" width="32" bestFit="1" customWidth="1"/>
    <col min="2058" max="2058" width="30" bestFit="1" customWidth="1"/>
    <col min="2060" max="2060" width="32" customWidth="1"/>
    <col min="2061" max="2061" width="24.85546875" bestFit="1" customWidth="1"/>
    <col min="2305" max="2305" width="8" customWidth="1"/>
    <col min="2306" max="2306" width="14" customWidth="1"/>
    <col min="2307" max="2307" width="20" customWidth="1"/>
    <col min="2308" max="2308" width="18.85546875" customWidth="1"/>
    <col min="2309" max="2309" width="14.7109375" customWidth="1"/>
    <col min="2310" max="2310" width="26.7109375" bestFit="1" customWidth="1"/>
    <col min="2311" max="2311" width="18.42578125" customWidth="1"/>
    <col min="2312" max="2312" width="27" customWidth="1"/>
    <col min="2313" max="2313" width="32" bestFit="1" customWidth="1"/>
    <col min="2314" max="2314" width="30" bestFit="1" customWidth="1"/>
    <col min="2316" max="2316" width="32" customWidth="1"/>
    <col min="2317" max="2317" width="24.85546875" bestFit="1" customWidth="1"/>
    <col min="2561" max="2561" width="8" customWidth="1"/>
    <col min="2562" max="2562" width="14" customWidth="1"/>
    <col min="2563" max="2563" width="20" customWidth="1"/>
    <col min="2564" max="2564" width="18.85546875" customWidth="1"/>
    <col min="2565" max="2565" width="14.7109375" customWidth="1"/>
    <col min="2566" max="2566" width="26.7109375" bestFit="1" customWidth="1"/>
    <col min="2567" max="2567" width="18.42578125" customWidth="1"/>
    <col min="2568" max="2568" width="27" customWidth="1"/>
    <col min="2569" max="2569" width="32" bestFit="1" customWidth="1"/>
    <col min="2570" max="2570" width="30" bestFit="1" customWidth="1"/>
    <col min="2572" max="2572" width="32" customWidth="1"/>
    <col min="2573" max="2573" width="24.85546875" bestFit="1" customWidth="1"/>
    <col min="2817" max="2817" width="8" customWidth="1"/>
    <col min="2818" max="2818" width="14" customWidth="1"/>
    <col min="2819" max="2819" width="20" customWidth="1"/>
    <col min="2820" max="2820" width="18.85546875" customWidth="1"/>
    <col min="2821" max="2821" width="14.7109375" customWidth="1"/>
    <col min="2822" max="2822" width="26.7109375" bestFit="1" customWidth="1"/>
    <col min="2823" max="2823" width="18.42578125" customWidth="1"/>
    <col min="2824" max="2824" width="27" customWidth="1"/>
    <col min="2825" max="2825" width="32" bestFit="1" customWidth="1"/>
    <col min="2826" max="2826" width="30" bestFit="1" customWidth="1"/>
    <col min="2828" max="2828" width="32" customWidth="1"/>
    <col min="2829" max="2829" width="24.85546875" bestFit="1" customWidth="1"/>
    <col min="3073" max="3073" width="8" customWidth="1"/>
    <col min="3074" max="3074" width="14" customWidth="1"/>
    <col min="3075" max="3075" width="20" customWidth="1"/>
    <col min="3076" max="3076" width="18.85546875" customWidth="1"/>
    <col min="3077" max="3077" width="14.7109375" customWidth="1"/>
    <col min="3078" max="3078" width="26.7109375" bestFit="1" customWidth="1"/>
    <col min="3079" max="3079" width="18.42578125" customWidth="1"/>
    <col min="3080" max="3080" width="27" customWidth="1"/>
    <col min="3081" max="3081" width="32" bestFit="1" customWidth="1"/>
    <col min="3082" max="3082" width="30" bestFit="1" customWidth="1"/>
    <col min="3084" max="3084" width="32" customWidth="1"/>
    <col min="3085" max="3085" width="24.85546875" bestFit="1" customWidth="1"/>
    <col min="3329" max="3329" width="8" customWidth="1"/>
    <col min="3330" max="3330" width="14" customWidth="1"/>
    <col min="3331" max="3331" width="20" customWidth="1"/>
    <col min="3332" max="3332" width="18.85546875" customWidth="1"/>
    <col min="3333" max="3333" width="14.7109375" customWidth="1"/>
    <col min="3334" max="3334" width="26.7109375" bestFit="1" customWidth="1"/>
    <col min="3335" max="3335" width="18.42578125" customWidth="1"/>
    <col min="3336" max="3336" width="27" customWidth="1"/>
    <col min="3337" max="3337" width="32" bestFit="1" customWidth="1"/>
    <col min="3338" max="3338" width="30" bestFit="1" customWidth="1"/>
    <col min="3340" max="3340" width="32" customWidth="1"/>
    <col min="3341" max="3341" width="24.85546875" bestFit="1" customWidth="1"/>
    <col min="3585" max="3585" width="8" customWidth="1"/>
    <col min="3586" max="3586" width="14" customWidth="1"/>
    <col min="3587" max="3587" width="20" customWidth="1"/>
    <col min="3588" max="3588" width="18.85546875" customWidth="1"/>
    <col min="3589" max="3589" width="14.7109375" customWidth="1"/>
    <col min="3590" max="3590" width="26.7109375" bestFit="1" customWidth="1"/>
    <col min="3591" max="3591" width="18.42578125" customWidth="1"/>
    <col min="3592" max="3592" width="27" customWidth="1"/>
    <col min="3593" max="3593" width="32" bestFit="1" customWidth="1"/>
    <col min="3594" max="3594" width="30" bestFit="1" customWidth="1"/>
    <col min="3596" max="3596" width="32" customWidth="1"/>
    <col min="3597" max="3597" width="24.85546875" bestFit="1" customWidth="1"/>
    <col min="3841" max="3841" width="8" customWidth="1"/>
    <col min="3842" max="3842" width="14" customWidth="1"/>
    <col min="3843" max="3843" width="20" customWidth="1"/>
    <col min="3844" max="3844" width="18.85546875" customWidth="1"/>
    <col min="3845" max="3845" width="14.7109375" customWidth="1"/>
    <col min="3846" max="3846" width="26.7109375" bestFit="1" customWidth="1"/>
    <col min="3847" max="3847" width="18.42578125" customWidth="1"/>
    <col min="3848" max="3848" width="27" customWidth="1"/>
    <col min="3849" max="3849" width="32" bestFit="1" customWidth="1"/>
    <col min="3850" max="3850" width="30" bestFit="1" customWidth="1"/>
    <col min="3852" max="3852" width="32" customWidth="1"/>
    <col min="3853" max="3853" width="24.85546875" bestFit="1" customWidth="1"/>
    <col min="4097" max="4097" width="8" customWidth="1"/>
    <col min="4098" max="4098" width="14" customWidth="1"/>
    <col min="4099" max="4099" width="20" customWidth="1"/>
    <col min="4100" max="4100" width="18.85546875" customWidth="1"/>
    <col min="4101" max="4101" width="14.7109375" customWidth="1"/>
    <col min="4102" max="4102" width="26.7109375" bestFit="1" customWidth="1"/>
    <col min="4103" max="4103" width="18.42578125" customWidth="1"/>
    <col min="4104" max="4104" width="27" customWidth="1"/>
    <col min="4105" max="4105" width="32" bestFit="1" customWidth="1"/>
    <col min="4106" max="4106" width="30" bestFit="1" customWidth="1"/>
    <col min="4108" max="4108" width="32" customWidth="1"/>
    <col min="4109" max="4109" width="24.85546875" bestFit="1" customWidth="1"/>
    <col min="4353" max="4353" width="8" customWidth="1"/>
    <col min="4354" max="4354" width="14" customWidth="1"/>
    <col min="4355" max="4355" width="20" customWidth="1"/>
    <col min="4356" max="4356" width="18.85546875" customWidth="1"/>
    <col min="4357" max="4357" width="14.7109375" customWidth="1"/>
    <col min="4358" max="4358" width="26.7109375" bestFit="1" customWidth="1"/>
    <col min="4359" max="4359" width="18.42578125" customWidth="1"/>
    <col min="4360" max="4360" width="27" customWidth="1"/>
    <col min="4361" max="4361" width="32" bestFit="1" customWidth="1"/>
    <col min="4362" max="4362" width="30" bestFit="1" customWidth="1"/>
    <col min="4364" max="4364" width="32" customWidth="1"/>
    <col min="4365" max="4365" width="24.85546875" bestFit="1" customWidth="1"/>
    <col min="4609" max="4609" width="8" customWidth="1"/>
    <col min="4610" max="4610" width="14" customWidth="1"/>
    <col min="4611" max="4611" width="20" customWidth="1"/>
    <col min="4612" max="4612" width="18.85546875" customWidth="1"/>
    <col min="4613" max="4613" width="14.7109375" customWidth="1"/>
    <col min="4614" max="4614" width="26.7109375" bestFit="1" customWidth="1"/>
    <col min="4615" max="4615" width="18.42578125" customWidth="1"/>
    <col min="4616" max="4616" width="27" customWidth="1"/>
    <col min="4617" max="4617" width="32" bestFit="1" customWidth="1"/>
    <col min="4618" max="4618" width="30" bestFit="1" customWidth="1"/>
    <col min="4620" max="4620" width="32" customWidth="1"/>
    <col min="4621" max="4621" width="24.85546875" bestFit="1" customWidth="1"/>
    <col min="4865" max="4865" width="8" customWidth="1"/>
    <col min="4866" max="4866" width="14" customWidth="1"/>
    <col min="4867" max="4867" width="20" customWidth="1"/>
    <col min="4868" max="4868" width="18.85546875" customWidth="1"/>
    <col min="4869" max="4869" width="14.7109375" customWidth="1"/>
    <col min="4870" max="4870" width="26.7109375" bestFit="1" customWidth="1"/>
    <col min="4871" max="4871" width="18.42578125" customWidth="1"/>
    <col min="4872" max="4872" width="27" customWidth="1"/>
    <col min="4873" max="4873" width="32" bestFit="1" customWidth="1"/>
    <col min="4874" max="4874" width="30" bestFit="1" customWidth="1"/>
    <col min="4876" max="4876" width="32" customWidth="1"/>
    <col min="4877" max="4877" width="24.85546875" bestFit="1" customWidth="1"/>
    <col min="5121" max="5121" width="8" customWidth="1"/>
    <col min="5122" max="5122" width="14" customWidth="1"/>
    <col min="5123" max="5123" width="20" customWidth="1"/>
    <col min="5124" max="5124" width="18.85546875" customWidth="1"/>
    <col min="5125" max="5125" width="14.7109375" customWidth="1"/>
    <col min="5126" max="5126" width="26.7109375" bestFit="1" customWidth="1"/>
    <col min="5127" max="5127" width="18.42578125" customWidth="1"/>
    <col min="5128" max="5128" width="27" customWidth="1"/>
    <col min="5129" max="5129" width="32" bestFit="1" customWidth="1"/>
    <col min="5130" max="5130" width="30" bestFit="1" customWidth="1"/>
    <col min="5132" max="5132" width="32" customWidth="1"/>
    <col min="5133" max="5133" width="24.85546875" bestFit="1" customWidth="1"/>
    <col min="5377" max="5377" width="8" customWidth="1"/>
    <col min="5378" max="5378" width="14" customWidth="1"/>
    <col min="5379" max="5379" width="20" customWidth="1"/>
    <col min="5380" max="5380" width="18.85546875" customWidth="1"/>
    <col min="5381" max="5381" width="14.7109375" customWidth="1"/>
    <col min="5382" max="5382" width="26.7109375" bestFit="1" customWidth="1"/>
    <col min="5383" max="5383" width="18.42578125" customWidth="1"/>
    <col min="5384" max="5384" width="27" customWidth="1"/>
    <col min="5385" max="5385" width="32" bestFit="1" customWidth="1"/>
    <col min="5386" max="5386" width="30" bestFit="1" customWidth="1"/>
    <col min="5388" max="5388" width="32" customWidth="1"/>
    <col min="5389" max="5389" width="24.85546875" bestFit="1" customWidth="1"/>
    <col min="5633" max="5633" width="8" customWidth="1"/>
    <col min="5634" max="5634" width="14" customWidth="1"/>
    <col min="5635" max="5635" width="20" customWidth="1"/>
    <col min="5636" max="5636" width="18.85546875" customWidth="1"/>
    <col min="5637" max="5637" width="14.7109375" customWidth="1"/>
    <col min="5638" max="5638" width="26.7109375" bestFit="1" customWidth="1"/>
    <col min="5639" max="5639" width="18.42578125" customWidth="1"/>
    <col min="5640" max="5640" width="27" customWidth="1"/>
    <col min="5641" max="5641" width="32" bestFit="1" customWidth="1"/>
    <col min="5642" max="5642" width="30" bestFit="1" customWidth="1"/>
    <col min="5644" max="5644" width="32" customWidth="1"/>
    <col min="5645" max="5645" width="24.85546875" bestFit="1" customWidth="1"/>
    <col min="5889" max="5889" width="8" customWidth="1"/>
    <col min="5890" max="5890" width="14" customWidth="1"/>
    <col min="5891" max="5891" width="20" customWidth="1"/>
    <col min="5892" max="5892" width="18.85546875" customWidth="1"/>
    <col min="5893" max="5893" width="14.7109375" customWidth="1"/>
    <col min="5894" max="5894" width="26.7109375" bestFit="1" customWidth="1"/>
    <col min="5895" max="5895" width="18.42578125" customWidth="1"/>
    <col min="5896" max="5896" width="27" customWidth="1"/>
    <col min="5897" max="5897" width="32" bestFit="1" customWidth="1"/>
    <col min="5898" max="5898" width="30" bestFit="1" customWidth="1"/>
    <col min="5900" max="5900" width="32" customWidth="1"/>
    <col min="5901" max="5901" width="24.85546875" bestFit="1" customWidth="1"/>
    <col min="6145" max="6145" width="8" customWidth="1"/>
    <col min="6146" max="6146" width="14" customWidth="1"/>
    <col min="6147" max="6147" width="20" customWidth="1"/>
    <col min="6148" max="6148" width="18.85546875" customWidth="1"/>
    <col min="6149" max="6149" width="14.7109375" customWidth="1"/>
    <col min="6150" max="6150" width="26.7109375" bestFit="1" customWidth="1"/>
    <col min="6151" max="6151" width="18.42578125" customWidth="1"/>
    <col min="6152" max="6152" width="27" customWidth="1"/>
    <col min="6153" max="6153" width="32" bestFit="1" customWidth="1"/>
    <col min="6154" max="6154" width="30" bestFit="1" customWidth="1"/>
    <col min="6156" max="6156" width="32" customWidth="1"/>
    <col min="6157" max="6157" width="24.85546875" bestFit="1" customWidth="1"/>
    <col min="6401" max="6401" width="8" customWidth="1"/>
    <col min="6402" max="6402" width="14" customWidth="1"/>
    <col min="6403" max="6403" width="20" customWidth="1"/>
    <col min="6404" max="6404" width="18.85546875" customWidth="1"/>
    <col min="6405" max="6405" width="14.7109375" customWidth="1"/>
    <col min="6406" max="6406" width="26.7109375" bestFit="1" customWidth="1"/>
    <col min="6407" max="6407" width="18.42578125" customWidth="1"/>
    <col min="6408" max="6408" width="27" customWidth="1"/>
    <col min="6409" max="6409" width="32" bestFit="1" customWidth="1"/>
    <col min="6410" max="6410" width="30" bestFit="1" customWidth="1"/>
    <col min="6412" max="6412" width="32" customWidth="1"/>
    <col min="6413" max="6413" width="24.85546875" bestFit="1" customWidth="1"/>
    <col min="6657" max="6657" width="8" customWidth="1"/>
    <col min="6658" max="6658" width="14" customWidth="1"/>
    <col min="6659" max="6659" width="20" customWidth="1"/>
    <col min="6660" max="6660" width="18.85546875" customWidth="1"/>
    <col min="6661" max="6661" width="14.7109375" customWidth="1"/>
    <col min="6662" max="6662" width="26.7109375" bestFit="1" customWidth="1"/>
    <col min="6663" max="6663" width="18.42578125" customWidth="1"/>
    <col min="6664" max="6664" width="27" customWidth="1"/>
    <col min="6665" max="6665" width="32" bestFit="1" customWidth="1"/>
    <col min="6666" max="6666" width="30" bestFit="1" customWidth="1"/>
    <col min="6668" max="6668" width="32" customWidth="1"/>
    <col min="6669" max="6669" width="24.85546875" bestFit="1" customWidth="1"/>
    <col min="6913" max="6913" width="8" customWidth="1"/>
    <col min="6914" max="6914" width="14" customWidth="1"/>
    <col min="6915" max="6915" width="20" customWidth="1"/>
    <col min="6916" max="6916" width="18.85546875" customWidth="1"/>
    <col min="6917" max="6917" width="14.7109375" customWidth="1"/>
    <col min="6918" max="6918" width="26.7109375" bestFit="1" customWidth="1"/>
    <col min="6919" max="6919" width="18.42578125" customWidth="1"/>
    <col min="6920" max="6920" width="27" customWidth="1"/>
    <col min="6921" max="6921" width="32" bestFit="1" customWidth="1"/>
    <col min="6922" max="6922" width="30" bestFit="1" customWidth="1"/>
    <col min="6924" max="6924" width="32" customWidth="1"/>
    <col min="6925" max="6925" width="24.85546875" bestFit="1" customWidth="1"/>
    <col min="7169" max="7169" width="8" customWidth="1"/>
    <col min="7170" max="7170" width="14" customWidth="1"/>
    <col min="7171" max="7171" width="20" customWidth="1"/>
    <col min="7172" max="7172" width="18.85546875" customWidth="1"/>
    <col min="7173" max="7173" width="14.7109375" customWidth="1"/>
    <col min="7174" max="7174" width="26.7109375" bestFit="1" customWidth="1"/>
    <col min="7175" max="7175" width="18.42578125" customWidth="1"/>
    <col min="7176" max="7176" width="27" customWidth="1"/>
    <col min="7177" max="7177" width="32" bestFit="1" customWidth="1"/>
    <col min="7178" max="7178" width="30" bestFit="1" customWidth="1"/>
    <col min="7180" max="7180" width="32" customWidth="1"/>
    <col min="7181" max="7181" width="24.85546875" bestFit="1" customWidth="1"/>
    <col min="7425" max="7425" width="8" customWidth="1"/>
    <col min="7426" max="7426" width="14" customWidth="1"/>
    <col min="7427" max="7427" width="20" customWidth="1"/>
    <col min="7428" max="7428" width="18.85546875" customWidth="1"/>
    <col min="7429" max="7429" width="14.7109375" customWidth="1"/>
    <col min="7430" max="7430" width="26.7109375" bestFit="1" customWidth="1"/>
    <col min="7431" max="7431" width="18.42578125" customWidth="1"/>
    <col min="7432" max="7432" width="27" customWidth="1"/>
    <col min="7433" max="7433" width="32" bestFit="1" customWidth="1"/>
    <col min="7434" max="7434" width="30" bestFit="1" customWidth="1"/>
    <col min="7436" max="7436" width="32" customWidth="1"/>
    <col min="7437" max="7437" width="24.85546875" bestFit="1" customWidth="1"/>
    <col min="7681" max="7681" width="8" customWidth="1"/>
    <col min="7682" max="7682" width="14" customWidth="1"/>
    <col min="7683" max="7683" width="20" customWidth="1"/>
    <col min="7684" max="7684" width="18.85546875" customWidth="1"/>
    <col min="7685" max="7685" width="14.7109375" customWidth="1"/>
    <col min="7686" max="7686" width="26.7109375" bestFit="1" customWidth="1"/>
    <col min="7687" max="7687" width="18.42578125" customWidth="1"/>
    <col min="7688" max="7688" width="27" customWidth="1"/>
    <col min="7689" max="7689" width="32" bestFit="1" customWidth="1"/>
    <col min="7690" max="7690" width="30" bestFit="1" customWidth="1"/>
    <col min="7692" max="7692" width="32" customWidth="1"/>
    <col min="7693" max="7693" width="24.85546875" bestFit="1" customWidth="1"/>
    <col min="7937" max="7937" width="8" customWidth="1"/>
    <col min="7938" max="7938" width="14" customWidth="1"/>
    <col min="7939" max="7939" width="20" customWidth="1"/>
    <col min="7940" max="7940" width="18.85546875" customWidth="1"/>
    <col min="7941" max="7941" width="14.7109375" customWidth="1"/>
    <col min="7942" max="7942" width="26.7109375" bestFit="1" customWidth="1"/>
    <col min="7943" max="7943" width="18.42578125" customWidth="1"/>
    <col min="7944" max="7944" width="27" customWidth="1"/>
    <col min="7945" max="7945" width="32" bestFit="1" customWidth="1"/>
    <col min="7946" max="7946" width="30" bestFit="1" customWidth="1"/>
    <col min="7948" max="7948" width="32" customWidth="1"/>
    <col min="7949" max="7949" width="24.85546875" bestFit="1" customWidth="1"/>
    <col min="8193" max="8193" width="8" customWidth="1"/>
    <col min="8194" max="8194" width="14" customWidth="1"/>
    <col min="8195" max="8195" width="20" customWidth="1"/>
    <col min="8196" max="8196" width="18.85546875" customWidth="1"/>
    <col min="8197" max="8197" width="14.7109375" customWidth="1"/>
    <col min="8198" max="8198" width="26.7109375" bestFit="1" customWidth="1"/>
    <col min="8199" max="8199" width="18.42578125" customWidth="1"/>
    <col min="8200" max="8200" width="27" customWidth="1"/>
    <col min="8201" max="8201" width="32" bestFit="1" customWidth="1"/>
    <col min="8202" max="8202" width="30" bestFit="1" customWidth="1"/>
    <col min="8204" max="8204" width="32" customWidth="1"/>
    <col min="8205" max="8205" width="24.85546875" bestFit="1" customWidth="1"/>
    <col min="8449" max="8449" width="8" customWidth="1"/>
    <col min="8450" max="8450" width="14" customWidth="1"/>
    <col min="8451" max="8451" width="20" customWidth="1"/>
    <col min="8452" max="8452" width="18.85546875" customWidth="1"/>
    <col min="8453" max="8453" width="14.7109375" customWidth="1"/>
    <col min="8454" max="8454" width="26.7109375" bestFit="1" customWidth="1"/>
    <col min="8455" max="8455" width="18.42578125" customWidth="1"/>
    <col min="8456" max="8456" width="27" customWidth="1"/>
    <col min="8457" max="8457" width="32" bestFit="1" customWidth="1"/>
    <col min="8458" max="8458" width="30" bestFit="1" customWidth="1"/>
    <col min="8460" max="8460" width="32" customWidth="1"/>
    <col min="8461" max="8461" width="24.85546875" bestFit="1" customWidth="1"/>
    <col min="8705" max="8705" width="8" customWidth="1"/>
    <col min="8706" max="8706" width="14" customWidth="1"/>
    <col min="8707" max="8707" width="20" customWidth="1"/>
    <col min="8708" max="8708" width="18.85546875" customWidth="1"/>
    <col min="8709" max="8709" width="14.7109375" customWidth="1"/>
    <col min="8710" max="8710" width="26.7109375" bestFit="1" customWidth="1"/>
    <col min="8711" max="8711" width="18.42578125" customWidth="1"/>
    <col min="8712" max="8712" width="27" customWidth="1"/>
    <col min="8713" max="8713" width="32" bestFit="1" customWidth="1"/>
    <col min="8714" max="8714" width="30" bestFit="1" customWidth="1"/>
    <col min="8716" max="8716" width="32" customWidth="1"/>
    <col min="8717" max="8717" width="24.85546875" bestFit="1" customWidth="1"/>
    <col min="8961" max="8961" width="8" customWidth="1"/>
    <col min="8962" max="8962" width="14" customWidth="1"/>
    <col min="8963" max="8963" width="20" customWidth="1"/>
    <col min="8964" max="8964" width="18.85546875" customWidth="1"/>
    <col min="8965" max="8965" width="14.7109375" customWidth="1"/>
    <col min="8966" max="8966" width="26.7109375" bestFit="1" customWidth="1"/>
    <col min="8967" max="8967" width="18.42578125" customWidth="1"/>
    <col min="8968" max="8968" width="27" customWidth="1"/>
    <col min="8969" max="8969" width="32" bestFit="1" customWidth="1"/>
    <col min="8970" max="8970" width="30" bestFit="1" customWidth="1"/>
    <col min="8972" max="8972" width="32" customWidth="1"/>
    <col min="8973" max="8973" width="24.85546875" bestFit="1" customWidth="1"/>
    <col min="9217" max="9217" width="8" customWidth="1"/>
    <col min="9218" max="9218" width="14" customWidth="1"/>
    <col min="9219" max="9219" width="20" customWidth="1"/>
    <col min="9220" max="9220" width="18.85546875" customWidth="1"/>
    <col min="9221" max="9221" width="14.7109375" customWidth="1"/>
    <col min="9222" max="9222" width="26.7109375" bestFit="1" customWidth="1"/>
    <col min="9223" max="9223" width="18.42578125" customWidth="1"/>
    <col min="9224" max="9224" width="27" customWidth="1"/>
    <col min="9225" max="9225" width="32" bestFit="1" customWidth="1"/>
    <col min="9226" max="9226" width="30" bestFit="1" customWidth="1"/>
    <col min="9228" max="9228" width="32" customWidth="1"/>
    <col min="9229" max="9229" width="24.85546875" bestFit="1" customWidth="1"/>
    <col min="9473" max="9473" width="8" customWidth="1"/>
    <col min="9474" max="9474" width="14" customWidth="1"/>
    <col min="9475" max="9475" width="20" customWidth="1"/>
    <col min="9476" max="9476" width="18.85546875" customWidth="1"/>
    <col min="9477" max="9477" width="14.7109375" customWidth="1"/>
    <col min="9478" max="9478" width="26.7109375" bestFit="1" customWidth="1"/>
    <col min="9479" max="9479" width="18.42578125" customWidth="1"/>
    <col min="9480" max="9480" width="27" customWidth="1"/>
    <col min="9481" max="9481" width="32" bestFit="1" customWidth="1"/>
    <col min="9482" max="9482" width="30" bestFit="1" customWidth="1"/>
    <col min="9484" max="9484" width="32" customWidth="1"/>
    <col min="9485" max="9485" width="24.85546875" bestFit="1" customWidth="1"/>
    <col min="9729" max="9729" width="8" customWidth="1"/>
    <col min="9730" max="9730" width="14" customWidth="1"/>
    <col min="9731" max="9731" width="20" customWidth="1"/>
    <col min="9732" max="9732" width="18.85546875" customWidth="1"/>
    <col min="9733" max="9733" width="14.7109375" customWidth="1"/>
    <col min="9734" max="9734" width="26.7109375" bestFit="1" customWidth="1"/>
    <col min="9735" max="9735" width="18.42578125" customWidth="1"/>
    <col min="9736" max="9736" width="27" customWidth="1"/>
    <col min="9737" max="9737" width="32" bestFit="1" customWidth="1"/>
    <col min="9738" max="9738" width="30" bestFit="1" customWidth="1"/>
    <col min="9740" max="9740" width="32" customWidth="1"/>
    <col min="9741" max="9741" width="24.85546875" bestFit="1" customWidth="1"/>
    <col min="9985" max="9985" width="8" customWidth="1"/>
    <col min="9986" max="9986" width="14" customWidth="1"/>
    <col min="9987" max="9987" width="20" customWidth="1"/>
    <col min="9988" max="9988" width="18.85546875" customWidth="1"/>
    <col min="9989" max="9989" width="14.7109375" customWidth="1"/>
    <col min="9990" max="9990" width="26.7109375" bestFit="1" customWidth="1"/>
    <col min="9991" max="9991" width="18.42578125" customWidth="1"/>
    <col min="9992" max="9992" width="27" customWidth="1"/>
    <col min="9993" max="9993" width="32" bestFit="1" customWidth="1"/>
    <col min="9994" max="9994" width="30" bestFit="1" customWidth="1"/>
    <col min="9996" max="9996" width="32" customWidth="1"/>
    <col min="9997" max="9997" width="24.85546875" bestFit="1" customWidth="1"/>
    <col min="10241" max="10241" width="8" customWidth="1"/>
    <col min="10242" max="10242" width="14" customWidth="1"/>
    <col min="10243" max="10243" width="20" customWidth="1"/>
    <col min="10244" max="10244" width="18.85546875" customWidth="1"/>
    <col min="10245" max="10245" width="14.7109375" customWidth="1"/>
    <col min="10246" max="10246" width="26.7109375" bestFit="1" customWidth="1"/>
    <col min="10247" max="10247" width="18.42578125" customWidth="1"/>
    <col min="10248" max="10248" width="27" customWidth="1"/>
    <col min="10249" max="10249" width="32" bestFit="1" customWidth="1"/>
    <col min="10250" max="10250" width="30" bestFit="1" customWidth="1"/>
    <col min="10252" max="10252" width="32" customWidth="1"/>
    <col min="10253" max="10253" width="24.85546875" bestFit="1" customWidth="1"/>
    <col min="10497" max="10497" width="8" customWidth="1"/>
    <col min="10498" max="10498" width="14" customWidth="1"/>
    <col min="10499" max="10499" width="20" customWidth="1"/>
    <col min="10500" max="10500" width="18.85546875" customWidth="1"/>
    <col min="10501" max="10501" width="14.7109375" customWidth="1"/>
    <col min="10502" max="10502" width="26.7109375" bestFit="1" customWidth="1"/>
    <col min="10503" max="10503" width="18.42578125" customWidth="1"/>
    <col min="10504" max="10504" width="27" customWidth="1"/>
    <col min="10505" max="10505" width="32" bestFit="1" customWidth="1"/>
    <col min="10506" max="10506" width="30" bestFit="1" customWidth="1"/>
    <col min="10508" max="10508" width="32" customWidth="1"/>
    <col min="10509" max="10509" width="24.85546875" bestFit="1" customWidth="1"/>
    <col min="10753" max="10753" width="8" customWidth="1"/>
    <col min="10754" max="10754" width="14" customWidth="1"/>
    <col min="10755" max="10755" width="20" customWidth="1"/>
    <col min="10756" max="10756" width="18.85546875" customWidth="1"/>
    <col min="10757" max="10757" width="14.7109375" customWidth="1"/>
    <col min="10758" max="10758" width="26.7109375" bestFit="1" customWidth="1"/>
    <col min="10759" max="10759" width="18.42578125" customWidth="1"/>
    <col min="10760" max="10760" width="27" customWidth="1"/>
    <col min="10761" max="10761" width="32" bestFit="1" customWidth="1"/>
    <col min="10762" max="10762" width="30" bestFit="1" customWidth="1"/>
    <col min="10764" max="10764" width="32" customWidth="1"/>
    <col min="10765" max="10765" width="24.85546875" bestFit="1" customWidth="1"/>
    <col min="11009" max="11009" width="8" customWidth="1"/>
    <col min="11010" max="11010" width="14" customWidth="1"/>
    <col min="11011" max="11011" width="20" customWidth="1"/>
    <col min="11012" max="11012" width="18.85546875" customWidth="1"/>
    <col min="11013" max="11013" width="14.7109375" customWidth="1"/>
    <col min="11014" max="11014" width="26.7109375" bestFit="1" customWidth="1"/>
    <col min="11015" max="11015" width="18.42578125" customWidth="1"/>
    <col min="11016" max="11016" width="27" customWidth="1"/>
    <col min="11017" max="11017" width="32" bestFit="1" customWidth="1"/>
    <col min="11018" max="11018" width="30" bestFit="1" customWidth="1"/>
    <col min="11020" max="11020" width="32" customWidth="1"/>
    <col min="11021" max="11021" width="24.85546875" bestFit="1" customWidth="1"/>
    <col min="11265" max="11265" width="8" customWidth="1"/>
    <col min="11266" max="11266" width="14" customWidth="1"/>
    <col min="11267" max="11267" width="20" customWidth="1"/>
    <col min="11268" max="11268" width="18.85546875" customWidth="1"/>
    <col min="11269" max="11269" width="14.7109375" customWidth="1"/>
    <col min="11270" max="11270" width="26.7109375" bestFit="1" customWidth="1"/>
    <col min="11271" max="11271" width="18.42578125" customWidth="1"/>
    <col min="11272" max="11272" width="27" customWidth="1"/>
    <col min="11273" max="11273" width="32" bestFit="1" customWidth="1"/>
    <col min="11274" max="11274" width="30" bestFit="1" customWidth="1"/>
    <col min="11276" max="11276" width="32" customWidth="1"/>
    <col min="11277" max="11277" width="24.85546875" bestFit="1" customWidth="1"/>
    <col min="11521" max="11521" width="8" customWidth="1"/>
    <col min="11522" max="11522" width="14" customWidth="1"/>
    <col min="11523" max="11523" width="20" customWidth="1"/>
    <col min="11524" max="11524" width="18.85546875" customWidth="1"/>
    <col min="11525" max="11525" width="14.7109375" customWidth="1"/>
    <col min="11526" max="11526" width="26.7109375" bestFit="1" customWidth="1"/>
    <col min="11527" max="11527" width="18.42578125" customWidth="1"/>
    <col min="11528" max="11528" width="27" customWidth="1"/>
    <col min="11529" max="11529" width="32" bestFit="1" customWidth="1"/>
    <col min="11530" max="11530" width="30" bestFit="1" customWidth="1"/>
    <col min="11532" max="11532" width="32" customWidth="1"/>
    <col min="11533" max="11533" width="24.85546875" bestFit="1" customWidth="1"/>
    <col min="11777" max="11777" width="8" customWidth="1"/>
    <col min="11778" max="11778" width="14" customWidth="1"/>
    <col min="11779" max="11779" width="20" customWidth="1"/>
    <col min="11780" max="11780" width="18.85546875" customWidth="1"/>
    <col min="11781" max="11781" width="14.7109375" customWidth="1"/>
    <col min="11782" max="11782" width="26.7109375" bestFit="1" customWidth="1"/>
    <col min="11783" max="11783" width="18.42578125" customWidth="1"/>
    <col min="11784" max="11784" width="27" customWidth="1"/>
    <col min="11785" max="11785" width="32" bestFit="1" customWidth="1"/>
    <col min="11786" max="11786" width="30" bestFit="1" customWidth="1"/>
    <col min="11788" max="11788" width="32" customWidth="1"/>
    <col min="11789" max="11789" width="24.85546875" bestFit="1" customWidth="1"/>
    <col min="12033" max="12033" width="8" customWidth="1"/>
    <col min="12034" max="12034" width="14" customWidth="1"/>
    <col min="12035" max="12035" width="20" customWidth="1"/>
    <col min="12036" max="12036" width="18.85546875" customWidth="1"/>
    <col min="12037" max="12037" width="14.7109375" customWidth="1"/>
    <col min="12038" max="12038" width="26.7109375" bestFit="1" customWidth="1"/>
    <col min="12039" max="12039" width="18.42578125" customWidth="1"/>
    <col min="12040" max="12040" width="27" customWidth="1"/>
    <col min="12041" max="12041" width="32" bestFit="1" customWidth="1"/>
    <col min="12042" max="12042" width="30" bestFit="1" customWidth="1"/>
    <col min="12044" max="12044" width="32" customWidth="1"/>
    <col min="12045" max="12045" width="24.85546875" bestFit="1" customWidth="1"/>
    <col min="12289" max="12289" width="8" customWidth="1"/>
    <col min="12290" max="12290" width="14" customWidth="1"/>
    <col min="12291" max="12291" width="20" customWidth="1"/>
    <col min="12292" max="12292" width="18.85546875" customWidth="1"/>
    <col min="12293" max="12293" width="14.7109375" customWidth="1"/>
    <col min="12294" max="12294" width="26.7109375" bestFit="1" customWidth="1"/>
    <col min="12295" max="12295" width="18.42578125" customWidth="1"/>
    <col min="12296" max="12296" width="27" customWidth="1"/>
    <col min="12297" max="12297" width="32" bestFit="1" customWidth="1"/>
    <col min="12298" max="12298" width="30" bestFit="1" customWidth="1"/>
    <col min="12300" max="12300" width="32" customWidth="1"/>
    <col min="12301" max="12301" width="24.85546875" bestFit="1" customWidth="1"/>
    <col min="12545" max="12545" width="8" customWidth="1"/>
    <col min="12546" max="12546" width="14" customWidth="1"/>
    <col min="12547" max="12547" width="20" customWidth="1"/>
    <col min="12548" max="12548" width="18.85546875" customWidth="1"/>
    <col min="12549" max="12549" width="14.7109375" customWidth="1"/>
    <col min="12550" max="12550" width="26.7109375" bestFit="1" customWidth="1"/>
    <col min="12551" max="12551" width="18.42578125" customWidth="1"/>
    <col min="12552" max="12552" width="27" customWidth="1"/>
    <col min="12553" max="12553" width="32" bestFit="1" customWidth="1"/>
    <col min="12554" max="12554" width="30" bestFit="1" customWidth="1"/>
    <col min="12556" max="12556" width="32" customWidth="1"/>
    <col min="12557" max="12557" width="24.85546875" bestFit="1" customWidth="1"/>
    <col min="12801" max="12801" width="8" customWidth="1"/>
    <col min="12802" max="12802" width="14" customWidth="1"/>
    <col min="12803" max="12803" width="20" customWidth="1"/>
    <col min="12804" max="12804" width="18.85546875" customWidth="1"/>
    <col min="12805" max="12805" width="14.7109375" customWidth="1"/>
    <col min="12806" max="12806" width="26.7109375" bestFit="1" customWidth="1"/>
    <col min="12807" max="12807" width="18.42578125" customWidth="1"/>
    <col min="12808" max="12808" width="27" customWidth="1"/>
    <col min="12809" max="12809" width="32" bestFit="1" customWidth="1"/>
    <col min="12810" max="12810" width="30" bestFit="1" customWidth="1"/>
    <col min="12812" max="12812" width="32" customWidth="1"/>
    <col min="12813" max="12813" width="24.85546875" bestFit="1" customWidth="1"/>
    <col min="13057" max="13057" width="8" customWidth="1"/>
    <col min="13058" max="13058" width="14" customWidth="1"/>
    <col min="13059" max="13059" width="20" customWidth="1"/>
    <col min="13060" max="13060" width="18.85546875" customWidth="1"/>
    <col min="13061" max="13061" width="14.7109375" customWidth="1"/>
    <col min="13062" max="13062" width="26.7109375" bestFit="1" customWidth="1"/>
    <col min="13063" max="13063" width="18.42578125" customWidth="1"/>
    <col min="13064" max="13064" width="27" customWidth="1"/>
    <col min="13065" max="13065" width="32" bestFit="1" customWidth="1"/>
    <col min="13066" max="13066" width="30" bestFit="1" customWidth="1"/>
    <col min="13068" max="13068" width="32" customWidth="1"/>
    <col min="13069" max="13069" width="24.85546875" bestFit="1" customWidth="1"/>
    <col min="13313" max="13313" width="8" customWidth="1"/>
    <col min="13314" max="13314" width="14" customWidth="1"/>
    <col min="13315" max="13315" width="20" customWidth="1"/>
    <col min="13316" max="13316" width="18.85546875" customWidth="1"/>
    <col min="13317" max="13317" width="14.7109375" customWidth="1"/>
    <col min="13318" max="13318" width="26.7109375" bestFit="1" customWidth="1"/>
    <col min="13319" max="13319" width="18.42578125" customWidth="1"/>
    <col min="13320" max="13320" width="27" customWidth="1"/>
    <col min="13321" max="13321" width="32" bestFit="1" customWidth="1"/>
    <col min="13322" max="13322" width="30" bestFit="1" customWidth="1"/>
    <col min="13324" max="13324" width="32" customWidth="1"/>
    <col min="13325" max="13325" width="24.85546875" bestFit="1" customWidth="1"/>
    <col min="13569" max="13569" width="8" customWidth="1"/>
    <col min="13570" max="13570" width="14" customWidth="1"/>
    <col min="13571" max="13571" width="20" customWidth="1"/>
    <col min="13572" max="13572" width="18.85546875" customWidth="1"/>
    <col min="13573" max="13573" width="14.7109375" customWidth="1"/>
    <col min="13574" max="13574" width="26.7109375" bestFit="1" customWidth="1"/>
    <col min="13575" max="13575" width="18.42578125" customWidth="1"/>
    <col min="13576" max="13576" width="27" customWidth="1"/>
    <col min="13577" max="13577" width="32" bestFit="1" customWidth="1"/>
    <col min="13578" max="13578" width="30" bestFit="1" customWidth="1"/>
    <col min="13580" max="13580" width="32" customWidth="1"/>
    <col min="13581" max="13581" width="24.85546875" bestFit="1" customWidth="1"/>
    <col min="13825" max="13825" width="8" customWidth="1"/>
    <col min="13826" max="13826" width="14" customWidth="1"/>
    <col min="13827" max="13827" width="20" customWidth="1"/>
    <col min="13828" max="13828" width="18.85546875" customWidth="1"/>
    <col min="13829" max="13829" width="14.7109375" customWidth="1"/>
    <col min="13830" max="13830" width="26.7109375" bestFit="1" customWidth="1"/>
    <col min="13831" max="13831" width="18.42578125" customWidth="1"/>
    <col min="13832" max="13832" width="27" customWidth="1"/>
    <col min="13833" max="13833" width="32" bestFit="1" customWidth="1"/>
    <col min="13834" max="13834" width="30" bestFit="1" customWidth="1"/>
    <col min="13836" max="13836" width="32" customWidth="1"/>
    <col min="13837" max="13837" width="24.85546875" bestFit="1" customWidth="1"/>
    <col min="14081" max="14081" width="8" customWidth="1"/>
    <col min="14082" max="14082" width="14" customWidth="1"/>
    <col min="14083" max="14083" width="20" customWidth="1"/>
    <col min="14084" max="14084" width="18.85546875" customWidth="1"/>
    <col min="14085" max="14085" width="14.7109375" customWidth="1"/>
    <col min="14086" max="14086" width="26.7109375" bestFit="1" customWidth="1"/>
    <col min="14087" max="14087" width="18.42578125" customWidth="1"/>
    <col min="14088" max="14088" width="27" customWidth="1"/>
    <col min="14089" max="14089" width="32" bestFit="1" customWidth="1"/>
    <col min="14090" max="14090" width="30" bestFit="1" customWidth="1"/>
    <col min="14092" max="14092" width="32" customWidth="1"/>
    <col min="14093" max="14093" width="24.85546875" bestFit="1" customWidth="1"/>
    <col min="14337" max="14337" width="8" customWidth="1"/>
    <col min="14338" max="14338" width="14" customWidth="1"/>
    <col min="14339" max="14339" width="20" customWidth="1"/>
    <col min="14340" max="14340" width="18.85546875" customWidth="1"/>
    <col min="14341" max="14341" width="14.7109375" customWidth="1"/>
    <col min="14342" max="14342" width="26.7109375" bestFit="1" customWidth="1"/>
    <col min="14343" max="14343" width="18.42578125" customWidth="1"/>
    <col min="14344" max="14344" width="27" customWidth="1"/>
    <col min="14345" max="14345" width="32" bestFit="1" customWidth="1"/>
    <col min="14346" max="14346" width="30" bestFit="1" customWidth="1"/>
    <col min="14348" max="14348" width="32" customWidth="1"/>
    <col min="14349" max="14349" width="24.85546875" bestFit="1" customWidth="1"/>
    <col min="14593" max="14593" width="8" customWidth="1"/>
    <col min="14594" max="14594" width="14" customWidth="1"/>
    <col min="14595" max="14595" width="20" customWidth="1"/>
    <col min="14596" max="14596" width="18.85546875" customWidth="1"/>
    <col min="14597" max="14597" width="14.7109375" customWidth="1"/>
    <col min="14598" max="14598" width="26.7109375" bestFit="1" customWidth="1"/>
    <col min="14599" max="14599" width="18.42578125" customWidth="1"/>
    <col min="14600" max="14600" width="27" customWidth="1"/>
    <col min="14601" max="14601" width="32" bestFit="1" customWidth="1"/>
    <col min="14602" max="14602" width="30" bestFit="1" customWidth="1"/>
    <col min="14604" max="14604" width="32" customWidth="1"/>
    <col min="14605" max="14605" width="24.85546875" bestFit="1" customWidth="1"/>
    <col min="14849" max="14849" width="8" customWidth="1"/>
    <col min="14850" max="14850" width="14" customWidth="1"/>
    <col min="14851" max="14851" width="20" customWidth="1"/>
    <col min="14852" max="14852" width="18.85546875" customWidth="1"/>
    <col min="14853" max="14853" width="14.7109375" customWidth="1"/>
    <col min="14854" max="14854" width="26.7109375" bestFit="1" customWidth="1"/>
    <col min="14855" max="14855" width="18.42578125" customWidth="1"/>
    <col min="14856" max="14856" width="27" customWidth="1"/>
    <col min="14857" max="14857" width="32" bestFit="1" customWidth="1"/>
    <col min="14858" max="14858" width="30" bestFit="1" customWidth="1"/>
    <col min="14860" max="14860" width="32" customWidth="1"/>
    <col min="14861" max="14861" width="24.85546875" bestFit="1" customWidth="1"/>
    <col min="15105" max="15105" width="8" customWidth="1"/>
    <col min="15106" max="15106" width="14" customWidth="1"/>
    <col min="15107" max="15107" width="20" customWidth="1"/>
    <col min="15108" max="15108" width="18.85546875" customWidth="1"/>
    <col min="15109" max="15109" width="14.7109375" customWidth="1"/>
    <col min="15110" max="15110" width="26.7109375" bestFit="1" customWidth="1"/>
    <col min="15111" max="15111" width="18.42578125" customWidth="1"/>
    <col min="15112" max="15112" width="27" customWidth="1"/>
    <col min="15113" max="15113" width="32" bestFit="1" customWidth="1"/>
    <col min="15114" max="15114" width="30" bestFit="1" customWidth="1"/>
    <col min="15116" max="15116" width="32" customWidth="1"/>
    <col min="15117" max="15117" width="24.85546875" bestFit="1" customWidth="1"/>
    <col min="15361" max="15361" width="8" customWidth="1"/>
    <col min="15362" max="15362" width="14" customWidth="1"/>
    <col min="15363" max="15363" width="20" customWidth="1"/>
    <col min="15364" max="15364" width="18.85546875" customWidth="1"/>
    <col min="15365" max="15365" width="14.7109375" customWidth="1"/>
    <col min="15366" max="15366" width="26.7109375" bestFit="1" customWidth="1"/>
    <col min="15367" max="15367" width="18.42578125" customWidth="1"/>
    <col min="15368" max="15368" width="27" customWidth="1"/>
    <col min="15369" max="15369" width="32" bestFit="1" customWidth="1"/>
    <col min="15370" max="15370" width="30" bestFit="1" customWidth="1"/>
    <col min="15372" max="15372" width="32" customWidth="1"/>
    <col min="15373" max="15373" width="24.85546875" bestFit="1" customWidth="1"/>
    <col min="15617" max="15617" width="8" customWidth="1"/>
    <col min="15618" max="15618" width="14" customWidth="1"/>
    <col min="15619" max="15619" width="20" customWidth="1"/>
    <col min="15620" max="15620" width="18.85546875" customWidth="1"/>
    <col min="15621" max="15621" width="14.7109375" customWidth="1"/>
    <col min="15622" max="15622" width="26.7109375" bestFit="1" customWidth="1"/>
    <col min="15623" max="15623" width="18.42578125" customWidth="1"/>
    <col min="15624" max="15624" width="27" customWidth="1"/>
    <col min="15625" max="15625" width="32" bestFit="1" customWidth="1"/>
    <col min="15626" max="15626" width="30" bestFit="1" customWidth="1"/>
    <col min="15628" max="15628" width="32" customWidth="1"/>
    <col min="15629" max="15629" width="24.85546875" bestFit="1" customWidth="1"/>
    <col min="15873" max="15873" width="8" customWidth="1"/>
    <col min="15874" max="15874" width="14" customWidth="1"/>
    <col min="15875" max="15875" width="20" customWidth="1"/>
    <col min="15876" max="15876" width="18.85546875" customWidth="1"/>
    <col min="15877" max="15877" width="14.7109375" customWidth="1"/>
    <col min="15878" max="15878" width="26.7109375" bestFit="1" customWidth="1"/>
    <col min="15879" max="15879" width="18.42578125" customWidth="1"/>
    <col min="15880" max="15880" width="27" customWidth="1"/>
    <col min="15881" max="15881" width="32" bestFit="1" customWidth="1"/>
    <col min="15882" max="15882" width="30" bestFit="1" customWidth="1"/>
    <col min="15884" max="15884" width="32" customWidth="1"/>
    <col min="15885" max="15885" width="24.85546875" bestFit="1" customWidth="1"/>
    <col min="16129" max="16129" width="8" customWidth="1"/>
    <col min="16130" max="16130" width="14" customWidth="1"/>
    <col min="16131" max="16131" width="20" customWidth="1"/>
    <col min="16132" max="16132" width="18.85546875" customWidth="1"/>
    <col min="16133" max="16133" width="14.7109375" customWidth="1"/>
    <col min="16134" max="16134" width="26.7109375" bestFit="1" customWidth="1"/>
    <col min="16135" max="16135" width="18.42578125" customWidth="1"/>
    <col min="16136" max="16136" width="27" customWidth="1"/>
    <col min="16137" max="16137" width="32" bestFit="1" customWidth="1"/>
    <col min="16138" max="16138" width="30" bestFit="1" customWidth="1"/>
    <col min="16140" max="16140" width="32" customWidth="1"/>
    <col min="16141" max="16141" width="24.85546875" bestFit="1" customWidth="1"/>
  </cols>
  <sheetData>
    <row r="1" spans="1:15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1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145.51</v>
      </c>
      <c r="N1" s="3">
        <v>10</v>
      </c>
      <c r="O1" s="41" t="s">
        <v>185</v>
      </c>
    </row>
    <row r="2" spans="1:15" x14ac:dyDescent="0.25">
      <c r="A2" s="5" t="s">
        <v>186</v>
      </c>
      <c r="B2" s="42">
        <f>J2/1000</f>
        <v>0</v>
      </c>
      <c r="C2" s="7" t="s">
        <v>844</v>
      </c>
      <c r="D2" s="7" t="s">
        <v>15</v>
      </c>
      <c r="E2" s="7" t="s">
        <v>826</v>
      </c>
      <c r="F2" s="8">
        <v>0</v>
      </c>
      <c r="G2" s="7" t="s">
        <v>187</v>
      </c>
      <c r="H2" s="7" t="s">
        <v>188</v>
      </c>
      <c r="I2" s="9">
        <v>149.75</v>
      </c>
      <c r="J2" s="10">
        <v>0</v>
      </c>
      <c r="K2" s="35">
        <f>J403</f>
        <v>208676.84999999995</v>
      </c>
      <c r="L2" s="37"/>
      <c r="M2" s="37" t="str">
        <f>VLOOKUP($M1,B2:C403,2)</f>
        <v>TORRE 280</v>
      </c>
      <c r="N2" s="37" t="str">
        <f>VLOOKUP($M1,B2:D403,3)</f>
        <v>TORRE 281</v>
      </c>
      <c r="O2" s="37" t="str">
        <f>VLOOKUP($M1,$B2:$K403,4)</f>
        <v>ACB</v>
      </c>
    </row>
    <row r="3" spans="1:15" x14ac:dyDescent="0.25">
      <c r="A3" s="5" t="s">
        <v>186</v>
      </c>
      <c r="B3" s="42">
        <f t="shared" ref="B3:B66" si="0">J3/1000</f>
        <v>0.14974999999999999</v>
      </c>
      <c r="C3" s="7" t="s">
        <v>15</v>
      </c>
      <c r="D3" s="7" t="s">
        <v>20</v>
      </c>
      <c r="E3" s="7" t="s">
        <v>826</v>
      </c>
      <c r="F3" s="8">
        <v>9.9999999999860104E-2</v>
      </c>
      <c r="G3" s="7" t="s">
        <v>188</v>
      </c>
      <c r="H3" s="7" t="s">
        <v>189</v>
      </c>
      <c r="I3" s="9">
        <v>649.77</v>
      </c>
      <c r="J3" s="10">
        <f>I2</f>
        <v>149.75</v>
      </c>
      <c r="K3" s="35">
        <f>K2-I2</f>
        <v>208527.09999999995</v>
      </c>
      <c r="L3" s="37"/>
      <c r="M3" s="37" t="s">
        <v>859</v>
      </c>
      <c r="N3" s="11" t="s">
        <v>860</v>
      </c>
    </row>
    <row r="4" spans="1:15" x14ac:dyDescent="0.25">
      <c r="A4" s="5" t="s">
        <v>186</v>
      </c>
      <c r="B4" s="42">
        <f t="shared" si="0"/>
        <v>0.79952000000000001</v>
      </c>
      <c r="C4" s="7" t="s">
        <v>20</v>
      </c>
      <c r="D4" s="7" t="s">
        <v>23</v>
      </c>
      <c r="E4" s="7" t="s">
        <v>826</v>
      </c>
      <c r="F4" s="8">
        <v>0.39519999999986011</v>
      </c>
      <c r="G4" s="7" t="s">
        <v>189</v>
      </c>
      <c r="H4" s="7" t="s">
        <v>190</v>
      </c>
      <c r="I4" s="9">
        <v>598.9</v>
      </c>
      <c r="J4" s="10">
        <f t="shared" ref="J4:J67" si="1">J3+I3</f>
        <v>799.52</v>
      </c>
      <c r="K4" s="6">
        <f t="shared" ref="K4:K67" si="2">K3-I3</f>
        <v>207877.32999999996</v>
      </c>
      <c r="L4" s="31"/>
      <c r="M4" s="37" t="s">
        <v>859</v>
      </c>
    </row>
    <row r="5" spans="1:15" x14ac:dyDescent="0.25">
      <c r="A5" s="5" t="s">
        <v>186</v>
      </c>
      <c r="B5" s="42">
        <f t="shared" si="0"/>
        <v>1.39842</v>
      </c>
      <c r="C5" s="7" t="s">
        <v>23</v>
      </c>
      <c r="D5" s="7" t="s">
        <v>25</v>
      </c>
      <c r="E5" s="7" t="s">
        <v>826</v>
      </c>
      <c r="F5" s="8">
        <v>0.92882999999986005</v>
      </c>
      <c r="G5" s="7" t="s">
        <v>190</v>
      </c>
      <c r="H5" s="7" t="s">
        <v>191</v>
      </c>
      <c r="I5" s="9">
        <v>447.78</v>
      </c>
      <c r="J5" s="10">
        <f t="shared" si="1"/>
        <v>1398.42</v>
      </c>
      <c r="K5" s="6">
        <f t="shared" si="2"/>
        <v>207278.42999999996</v>
      </c>
      <c r="L5" s="31"/>
    </row>
    <row r="6" spans="1:15" x14ac:dyDescent="0.25">
      <c r="A6" s="5" t="s">
        <v>186</v>
      </c>
      <c r="B6" s="42">
        <f t="shared" si="0"/>
        <v>1.8462000000000001</v>
      </c>
      <c r="C6" s="7" t="s">
        <v>25</v>
      </c>
      <c r="D6" s="7" t="s">
        <v>27</v>
      </c>
      <c r="E6" s="7" t="s">
        <v>826</v>
      </c>
      <c r="F6" s="8">
        <v>1.4243899999998599</v>
      </c>
      <c r="G6" s="7" t="s">
        <v>191</v>
      </c>
      <c r="H6" s="7" t="s">
        <v>192</v>
      </c>
      <c r="I6" s="9">
        <v>634.1</v>
      </c>
      <c r="J6" s="10">
        <f t="shared" si="1"/>
        <v>1846.2</v>
      </c>
      <c r="K6" s="6">
        <f t="shared" si="2"/>
        <v>206830.64999999997</v>
      </c>
      <c r="L6" s="31"/>
    </row>
    <row r="7" spans="1:15" x14ac:dyDescent="0.25">
      <c r="A7" s="5" t="s">
        <v>186</v>
      </c>
      <c r="B7" s="42">
        <f t="shared" si="0"/>
        <v>2.4803000000000002</v>
      </c>
      <c r="C7" s="7" t="s">
        <v>27</v>
      </c>
      <c r="D7" s="7" t="s">
        <v>29</v>
      </c>
      <c r="E7" s="7" t="s">
        <v>826</v>
      </c>
      <c r="F7" s="8">
        <v>1.92216999999986</v>
      </c>
      <c r="G7" s="7" t="s">
        <v>192</v>
      </c>
      <c r="H7" s="7" t="s">
        <v>193</v>
      </c>
      <c r="I7" s="9">
        <v>659.28</v>
      </c>
      <c r="J7" s="10">
        <f t="shared" si="1"/>
        <v>2480.3000000000002</v>
      </c>
      <c r="K7" s="6">
        <f t="shared" si="2"/>
        <v>206196.54999999996</v>
      </c>
      <c r="L7" s="31"/>
    </row>
    <row r="8" spans="1:15" x14ac:dyDescent="0.25">
      <c r="A8" s="5" t="s">
        <v>186</v>
      </c>
      <c r="B8" s="42">
        <f t="shared" si="0"/>
        <v>3.13958</v>
      </c>
      <c r="C8" s="7" t="s">
        <v>29</v>
      </c>
      <c r="D8" s="7" t="s">
        <v>31</v>
      </c>
      <c r="E8" s="7" t="s">
        <v>826</v>
      </c>
      <c r="F8" s="8">
        <v>2.45618999999986</v>
      </c>
      <c r="G8" s="7" t="s">
        <v>193</v>
      </c>
      <c r="H8" s="7" t="s">
        <v>194</v>
      </c>
      <c r="I8" s="9">
        <v>503.4</v>
      </c>
      <c r="J8" s="10">
        <f t="shared" si="1"/>
        <v>3139.58</v>
      </c>
      <c r="K8" s="6">
        <f t="shared" si="2"/>
        <v>205537.26999999996</v>
      </c>
      <c r="L8" s="31"/>
    </row>
    <row r="9" spans="1:15" x14ac:dyDescent="0.25">
      <c r="A9" s="5" t="s">
        <v>186</v>
      </c>
      <c r="B9" s="42">
        <f t="shared" si="0"/>
        <v>3.6429800000000001</v>
      </c>
      <c r="C9" s="7" t="s">
        <v>31</v>
      </c>
      <c r="D9" s="7" t="s">
        <v>33</v>
      </c>
      <c r="E9" s="7" t="s">
        <v>826</v>
      </c>
      <c r="F9" s="8">
        <v>3.0285399999998601</v>
      </c>
      <c r="G9" s="7" t="s">
        <v>194</v>
      </c>
      <c r="H9" s="7" t="s">
        <v>195</v>
      </c>
      <c r="I9" s="9">
        <v>540.95000000000005</v>
      </c>
      <c r="J9" s="10">
        <f t="shared" si="1"/>
        <v>3642.98</v>
      </c>
      <c r="K9" s="6">
        <f t="shared" si="2"/>
        <v>205033.86999999997</v>
      </c>
      <c r="L9" s="31"/>
    </row>
    <row r="10" spans="1:15" x14ac:dyDescent="0.25">
      <c r="A10" s="5" t="s">
        <v>186</v>
      </c>
      <c r="B10" s="42">
        <f t="shared" si="0"/>
        <v>4.1839300000000001</v>
      </c>
      <c r="C10" s="7" t="s">
        <v>33</v>
      </c>
      <c r="D10" s="7" t="s">
        <v>35</v>
      </c>
      <c r="E10" s="7" t="s">
        <v>826</v>
      </c>
      <c r="F10" s="8">
        <v>3.5992499999998597</v>
      </c>
      <c r="G10" s="7" t="s">
        <v>195</v>
      </c>
      <c r="H10" s="7" t="s">
        <v>196</v>
      </c>
      <c r="I10" s="9">
        <v>789.96</v>
      </c>
      <c r="J10" s="10">
        <f t="shared" si="1"/>
        <v>4183.93</v>
      </c>
      <c r="K10" s="6">
        <f t="shared" si="2"/>
        <v>204492.91999999995</v>
      </c>
      <c r="L10" s="31"/>
    </row>
    <row r="11" spans="1:15" x14ac:dyDescent="0.25">
      <c r="A11" s="5" t="s">
        <v>186</v>
      </c>
      <c r="B11" s="42">
        <f t="shared" si="0"/>
        <v>4.9738899999999999</v>
      </c>
      <c r="C11" s="7" t="s">
        <v>35</v>
      </c>
      <c r="D11" s="7" t="s">
        <v>37</v>
      </c>
      <c r="E11" s="7" t="s">
        <v>826</v>
      </c>
      <c r="F11" s="8">
        <v>4.1688299999998595</v>
      </c>
      <c r="G11" s="7" t="s">
        <v>196</v>
      </c>
      <c r="H11" s="7" t="s">
        <v>197</v>
      </c>
      <c r="I11" s="9">
        <v>303.95</v>
      </c>
      <c r="J11" s="10">
        <f t="shared" si="1"/>
        <v>4973.8900000000003</v>
      </c>
      <c r="K11" s="6">
        <f t="shared" si="2"/>
        <v>203702.95999999996</v>
      </c>
      <c r="L11" s="31"/>
    </row>
    <row r="12" spans="1:15" x14ac:dyDescent="0.25">
      <c r="A12" s="5" t="s">
        <v>186</v>
      </c>
      <c r="B12" s="42">
        <f t="shared" si="0"/>
        <v>5.2778400000000003</v>
      </c>
      <c r="C12" s="7" t="s">
        <v>37</v>
      </c>
      <c r="D12" s="7" t="s">
        <v>39</v>
      </c>
      <c r="E12" s="7" t="s">
        <v>826</v>
      </c>
      <c r="F12" s="8">
        <v>4.740139999999859</v>
      </c>
      <c r="G12" s="7" t="s">
        <v>197</v>
      </c>
      <c r="H12" s="7" t="s">
        <v>198</v>
      </c>
      <c r="I12" s="9">
        <v>632.76</v>
      </c>
      <c r="J12" s="10">
        <f t="shared" si="1"/>
        <v>5277.84</v>
      </c>
      <c r="K12" s="6">
        <f t="shared" si="2"/>
        <v>203399.00999999995</v>
      </c>
      <c r="L12" s="31"/>
    </row>
    <row r="13" spans="1:15" x14ac:dyDescent="0.25">
      <c r="A13" s="5" t="s">
        <v>186</v>
      </c>
      <c r="B13" s="42">
        <f t="shared" si="0"/>
        <v>5.9106000000000005</v>
      </c>
      <c r="C13" s="7" t="s">
        <v>39</v>
      </c>
      <c r="D13" s="7" t="s">
        <v>41</v>
      </c>
      <c r="E13" s="7" t="s">
        <v>826</v>
      </c>
      <c r="F13" s="8">
        <v>5.29932999999986</v>
      </c>
      <c r="G13" s="7" t="s">
        <v>198</v>
      </c>
      <c r="H13" s="7" t="s">
        <v>199</v>
      </c>
      <c r="I13" s="9">
        <v>577.13</v>
      </c>
      <c r="J13" s="10">
        <f t="shared" si="1"/>
        <v>5910.6</v>
      </c>
      <c r="K13" s="6">
        <f t="shared" si="2"/>
        <v>202766.24999999994</v>
      </c>
      <c r="L13" s="31"/>
    </row>
    <row r="14" spans="1:15" x14ac:dyDescent="0.25">
      <c r="A14" s="5" t="s">
        <v>186</v>
      </c>
      <c r="B14" s="42">
        <f t="shared" si="0"/>
        <v>6.4877300000000009</v>
      </c>
      <c r="C14" s="7" t="s">
        <v>41</v>
      </c>
      <c r="D14" s="7" t="s">
        <v>43</v>
      </c>
      <c r="E14" s="7" t="s">
        <v>826</v>
      </c>
      <c r="F14" s="8">
        <v>5.8458899999998595</v>
      </c>
      <c r="G14" s="7" t="s">
        <v>199</v>
      </c>
      <c r="H14" s="7" t="s">
        <v>200</v>
      </c>
      <c r="I14" s="9">
        <v>508.19</v>
      </c>
      <c r="J14" s="10">
        <f t="shared" si="1"/>
        <v>6487.7300000000005</v>
      </c>
      <c r="K14" s="6">
        <f t="shared" si="2"/>
        <v>202189.11999999994</v>
      </c>
      <c r="L14" s="31"/>
    </row>
    <row r="15" spans="1:15" x14ac:dyDescent="0.25">
      <c r="A15" s="5" t="s">
        <v>186</v>
      </c>
      <c r="B15" s="42">
        <f t="shared" si="0"/>
        <v>6.9959199999999999</v>
      </c>
      <c r="C15" s="7" t="s">
        <v>43</v>
      </c>
      <c r="D15" s="7" t="s">
        <v>45</v>
      </c>
      <c r="E15" s="7" t="s">
        <v>826</v>
      </c>
      <c r="F15" s="8">
        <v>6.4016399999998592</v>
      </c>
      <c r="G15" s="7" t="s">
        <v>200</v>
      </c>
      <c r="H15" s="7" t="s">
        <v>201</v>
      </c>
      <c r="I15" s="9">
        <v>561.63</v>
      </c>
      <c r="J15" s="10">
        <f t="shared" si="1"/>
        <v>6995.92</v>
      </c>
      <c r="K15" s="6">
        <f t="shared" si="2"/>
        <v>201680.92999999993</v>
      </c>
      <c r="L15" s="31"/>
    </row>
    <row r="16" spans="1:15" x14ac:dyDescent="0.25">
      <c r="A16" s="5" t="s">
        <v>186</v>
      </c>
      <c r="B16" s="42">
        <f t="shared" si="0"/>
        <v>7.55755</v>
      </c>
      <c r="C16" s="7" t="s">
        <v>45</v>
      </c>
      <c r="D16" s="7" t="s">
        <v>47</v>
      </c>
      <c r="E16" s="7" t="s">
        <v>826</v>
      </c>
      <c r="F16" s="8">
        <v>6.9345799999998601</v>
      </c>
      <c r="G16" s="7" t="s">
        <v>201</v>
      </c>
      <c r="H16" s="7" t="s">
        <v>202</v>
      </c>
      <c r="I16" s="9">
        <v>484.07</v>
      </c>
      <c r="J16" s="10">
        <f t="shared" si="1"/>
        <v>7557.55</v>
      </c>
      <c r="K16" s="6">
        <f t="shared" si="2"/>
        <v>201119.29999999993</v>
      </c>
      <c r="L16" s="31"/>
    </row>
    <row r="17" spans="1:12" x14ac:dyDescent="0.25">
      <c r="A17" s="5" t="s">
        <v>186</v>
      </c>
      <c r="B17" s="42">
        <f t="shared" si="0"/>
        <v>8.04162</v>
      </c>
      <c r="C17" s="7" t="s">
        <v>47</v>
      </c>
      <c r="D17" s="7" t="s">
        <v>49</v>
      </c>
      <c r="E17" s="7" t="s">
        <v>826</v>
      </c>
      <c r="F17" s="8">
        <v>7.2780799999998598</v>
      </c>
      <c r="G17" s="7" t="s">
        <v>202</v>
      </c>
      <c r="H17" s="7" t="s">
        <v>203</v>
      </c>
      <c r="I17" s="9">
        <v>480.04</v>
      </c>
      <c r="J17" s="10">
        <f t="shared" si="1"/>
        <v>8041.62</v>
      </c>
      <c r="K17" s="6">
        <f t="shared" si="2"/>
        <v>200635.22999999992</v>
      </c>
      <c r="L17" s="31"/>
    </row>
    <row r="18" spans="1:12" x14ac:dyDescent="0.25">
      <c r="A18" s="5" t="s">
        <v>186</v>
      </c>
      <c r="B18" s="42">
        <f>J18/1000</f>
        <v>8.5216600000000007</v>
      </c>
      <c r="C18" s="7" t="s">
        <v>49</v>
      </c>
      <c r="D18" s="7" t="s">
        <v>51</v>
      </c>
      <c r="E18" s="7" t="s">
        <v>826</v>
      </c>
      <c r="F18" s="8">
        <v>7.8116799999998605</v>
      </c>
      <c r="G18" s="7" t="s">
        <v>203</v>
      </c>
      <c r="H18" s="7" t="s">
        <v>204</v>
      </c>
      <c r="I18" s="9">
        <v>417.02</v>
      </c>
      <c r="J18" s="10">
        <f t="shared" si="1"/>
        <v>8521.66</v>
      </c>
      <c r="K18" s="6">
        <f t="shared" si="2"/>
        <v>200155.18999999992</v>
      </c>
      <c r="L18" s="31"/>
    </row>
    <row r="19" spans="1:12" x14ac:dyDescent="0.25">
      <c r="A19" s="5" t="s">
        <v>186</v>
      </c>
      <c r="B19" s="42">
        <f t="shared" si="0"/>
        <v>8.9386799999999997</v>
      </c>
      <c r="C19" s="7" t="s">
        <v>51</v>
      </c>
      <c r="D19" s="7" t="s">
        <v>53</v>
      </c>
      <c r="E19" s="7" t="s">
        <v>826</v>
      </c>
      <c r="F19" s="8">
        <v>8.3983599999998599</v>
      </c>
      <c r="G19" s="7" t="s">
        <v>204</v>
      </c>
      <c r="H19" s="7" t="s">
        <v>205</v>
      </c>
      <c r="I19" s="9">
        <v>569.82000000000005</v>
      </c>
      <c r="J19" s="10">
        <f t="shared" si="1"/>
        <v>8938.68</v>
      </c>
      <c r="K19" s="6">
        <f t="shared" si="2"/>
        <v>199738.16999999993</v>
      </c>
      <c r="L19" s="31"/>
    </row>
    <row r="20" spans="1:12" x14ac:dyDescent="0.25">
      <c r="A20" s="5" t="s">
        <v>186</v>
      </c>
      <c r="B20" s="42">
        <f t="shared" si="0"/>
        <v>9.5084999999999997</v>
      </c>
      <c r="C20" s="7" t="s">
        <v>53</v>
      </c>
      <c r="D20" s="7" t="s">
        <v>55</v>
      </c>
      <c r="E20" s="7" t="s">
        <v>826</v>
      </c>
      <c r="F20" s="8">
        <v>8.9044699999998613</v>
      </c>
      <c r="G20" s="7" t="s">
        <v>205</v>
      </c>
      <c r="H20" s="7" t="s">
        <v>206</v>
      </c>
      <c r="I20" s="9">
        <v>490.85</v>
      </c>
      <c r="J20" s="10">
        <f t="shared" si="1"/>
        <v>9508.5</v>
      </c>
      <c r="K20" s="6">
        <f t="shared" si="2"/>
        <v>199168.34999999992</v>
      </c>
      <c r="L20" s="31"/>
    </row>
    <row r="21" spans="1:12" x14ac:dyDescent="0.25">
      <c r="A21" s="5" t="s">
        <v>186</v>
      </c>
      <c r="B21" s="42">
        <f t="shared" si="0"/>
        <v>9.9993499999999997</v>
      </c>
      <c r="C21" s="7" t="s">
        <v>55</v>
      </c>
      <c r="D21" s="7" t="s">
        <v>57</v>
      </c>
      <c r="E21" s="7" t="s">
        <v>826</v>
      </c>
      <c r="F21" s="8">
        <v>9.4257199999998615</v>
      </c>
      <c r="G21" s="7" t="s">
        <v>206</v>
      </c>
      <c r="H21" s="7" t="s">
        <v>207</v>
      </c>
      <c r="I21" s="9">
        <v>535.65</v>
      </c>
      <c r="J21" s="10">
        <f t="shared" si="1"/>
        <v>9999.35</v>
      </c>
      <c r="K21" s="6">
        <f t="shared" si="2"/>
        <v>198677.49999999991</v>
      </c>
      <c r="L21" s="31"/>
    </row>
    <row r="22" spans="1:12" x14ac:dyDescent="0.25">
      <c r="A22" s="5" t="s">
        <v>186</v>
      </c>
      <c r="B22" s="42">
        <f t="shared" si="0"/>
        <v>10.535</v>
      </c>
      <c r="C22" s="7" t="s">
        <v>57</v>
      </c>
      <c r="D22" s="7" t="s">
        <v>59</v>
      </c>
      <c r="E22" s="7" t="s">
        <v>826</v>
      </c>
      <c r="F22" s="8">
        <v>9.8924599999998613</v>
      </c>
      <c r="G22" s="7" t="s">
        <v>207</v>
      </c>
      <c r="H22" s="7" t="s">
        <v>208</v>
      </c>
      <c r="I22" s="9">
        <v>468.17</v>
      </c>
      <c r="J22" s="10">
        <f t="shared" si="1"/>
        <v>10535</v>
      </c>
      <c r="K22" s="6">
        <f t="shared" si="2"/>
        <v>198141.84999999992</v>
      </c>
      <c r="L22" s="31"/>
    </row>
    <row r="23" spans="1:12" x14ac:dyDescent="0.25">
      <c r="A23" s="5" t="s">
        <v>186</v>
      </c>
      <c r="B23" s="42">
        <f t="shared" si="0"/>
        <v>11.003170000000001</v>
      </c>
      <c r="C23" s="7" t="s">
        <v>59</v>
      </c>
      <c r="D23" s="7" t="s">
        <v>61</v>
      </c>
      <c r="E23" s="7" t="s">
        <v>826</v>
      </c>
      <c r="F23" s="8">
        <v>10.392709999999861</v>
      </c>
      <c r="G23" s="7" t="s">
        <v>208</v>
      </c>
      <c r="H23" s="7" t="s">
        <v>209</v>
      </c>
      <c r="I23" s="9">
        <v>579.41999999999996</v>
      </c>
      <c r="J23" s="10">
        <f t="shared" si="1"/>
        <v>11003.17</v>
      </c>
      <c r="K23" s="6">
        <f t="shared" si="2"/>
        <v>197673.67999999991</v>
      </c>
      <c r="L23" s="31"/>
    </row>
    <row r="24" spans="1:12" x14ac:dyDescent="0.25">
      <c r="A24" s="5" t="s">
        <v>186</v>
      </c>
      <c r="B24" s="42">
        <f t="shared" si="0"/>
        <v>11.58259</v>
      </c>
      <c r="C24" s="7" t="s">
        <v>61</v>
      </c>
      <c r="D24" s="7" t="s">
        <v>63</v>
      </c>
      <c r="E24" s="7" t="s">
        <v>826</v>
      </c>
      <c r="F24" s="8">
        <v>10.952059999999861</v>
      </c>
      <c r="G24" s="7" t="s">
        <v>209</v>
      </c>
      <c r="H24" s="7" t="s">
        <v>210</v>
      </c>
      <c r="I24" s="9">
        <v>576.91</v>
      </c>
      <c r="J24" s="10">
        <f t="shared" si="1"/>
        <v>11582.59</v>
      </c>
      <c r="K24" s="6">
        <f t="shared" si="2"/>
        <v>197094.25999999989</v>
      </c>
      <c r="L24" s="31"/>
    </row>
    <row r="25" spans="1:12" x14ac:dyDescent="0.25">
      <c r="A25" s="5" t="s">
        <v>186</v>
      </c>
      <c r="B25" s="42">
        <f t="shared" si="0"/>
        <v>12.1595</v>
      </c>
      <c r="C25" s="7" t="s">
        <v>63</v>
      </c>
      <c r="D25" s="7" t="s">
        <v>65</v>
      </c>
      <c r="E25" s="7" t="s">
        <v>826</v>
      </c>
      <c r="F25" s="8">
        <v>11.501369999999861</v>
      </c>
      <c r="G25" s="7" t="s">
        <v>210</v>
      </c>
      <c r="H25" s="7" t="s">
        <v>211</v>
      </c>
      <c r="I25" s="9">
        <v>553.41999999999996</v>
      </c>
      <c r="J25" s="10">
        <f t="shared" si="1"/>
        <v>12159.5</v>
      </c>
      <c r="K25" s="6">
        <f t="shared" si="2"/>
        <v>196517.34999999989</v>
      </c>
      <c r="L25" s="31"/>
    </row>
    <row r="26" spans="1:12" x14ac:dyDescent="0.25">
      <c r="A26" s="5" t="s">
        <v>186</v>
      </c>
      <c r="B26" s="42">
        <f t="shared" si="0"/>
        <v>12.71292</v>
      </c>
      <c r="C26" s="7" t="s">
        <v>65</v>
      </c>
      <c r="D26" s="7" t="s">
        <v>67</v>
      </c>
      <c r="E26" s="7" t="s">
        <v>826</v>
      </c>
      <c r="F26" s="8">
        <v>11.995209999999862</v>
      </c>
      <c r="G26" s="7" t="s">
        <v>211</v>
      </c>
      <c r="H26" s="7" t="s">
        <v>212</v>
      </c>
      <c r="I26" s="9">
        <v>383.7</v>
      </c>
      <c r="J26" s="10">
        <f t="shared" si="1"/>
        <v>12712.92</v>
      </c>
      <c r="K26" s="6">
        <f t="shared" si="2"/>
        <v>195963.92999999988</v>
      </c>
      <c r="L26" s="31"/>
    </row>
    <row r="27" spans="1:12" x14ac:dyDescent="0.25">
      <c r="A27" s="5" t="s">
        <v>186</v>
      </c>
      <c r="B27" s="42">
        <f t="shared" si="0"/>
        <v>13.096620000000001</v>
      </c>
      <c r="C27" s="7" t="s">
        <v>67</v>
      </c>
      <c r="D27" s="7" t="s">
        <v>69</v>
      </c>
      <c r="E27" s="7" t="s">
        <v>826</v>
      </c>
      <c r="F27" s="8">
        <v>12.526239999999861</v>
      </c>
      <c r="G27" s="7" t="s">
        <v>212</v>
      </c>
      <c r="H27" s="7" t="s">
        <v>213</v>
      </c>
      <c r="I27" s="9">
        <v>354.16</v>
      </c>
      <c r="J27" s="10">
        <f t="shared" si="1"/>
        <v>13096.62</v>
      </c>
      <c r="K27" s="6">
        <f t="shared" si="2"/>
        <v>195580.22999999986</v>
      </c>
      <c r="L27" s="31"/>
    </row>
    <row r="28" spans="1:12" x14ac:dyDescent="0.25">
      <c r="A28" s="5" t="s">
        <v>186</v>
      </c>
      <c r="B28" s="42">
        <f t="shared" si="0"/>
        <v>13.45078</v>
      </c>
      <c r="C28" s="7" t="s">
        <v>69</v>
      </c>
      <c r="D28" s="7" t="s">
        <v>71</v>
      </c>
      <c r="E28" s="7" t="s">
        <v>826</v>
      </c>
      <c r="F28" s="8">
        <v>13.089379999999862</v>
      </c>
      <c r="G28" s="7" t="s">
        <v>213</v>
      </c>
      <c r="H28" s="7" t="s">
        <v>214</v>
      </c>
      <c r="I28" s="9">
        <v>463.13</v>
      </c>
      <c r="J28" s="10">
        <f t="shared" si="1"/>
        <v>13450.78</v>
      </c>
      <c r="K28" s="6">
        <f t="shared" si="2"/>
        <v>195226.06999999986</v>
      </c>
      <c r="L28" s="31"/>
    </row>
    <row r="29" spans="1:12" x14ac:dyDescent="0.25">
      <c r="A29" s="5" t="s">
        <v>186</v>
      </c>
      <c r="B29" s="42">
        <f t="shared" si="0"/>
        <v>13.91391</v>
      </c>
      <c r="C29" s="7" t="s">
        <v>71</v>
      </c>
      <c r="D29" s="7" t="s">
        <v>73</v>
      </c>
      <c r="E29" s="7" t="s">
        <v>826</v>
      </c>
      <c r="F29" s="8">
        <v>13.68467999999986</v>
      </c>
      <c r="G29" s="7" t="s">
        <v>214</v>
      </c>
      <c r="H29" s="7" t="s">
        <v>215</v>
      </c>
      <c r="I29" s="9">
        <v>642.79999999999995</v>
      </c>
      <c r="J29" s="10">
        <f t="shared" si="1"/>
        <v>13913.91</v>
      </c>
      <c r="K29" s="6">
        <f t="shared" si="2"/>
        <v>194762.93999999986</v>
      </c>
      <c r="L29" s="31"/>
    </row>
    <row r="30" spans="1:12" x14ac:dyDescent="0.25">
      <c r="A30" s="5" t="s">
        <v>186</v>
      </c>
      <c r="B30" s="42">
        <f t="shared" si="0"/>
        <v>14.556709999999999</v>
      </c>
      <c r="C30" s="7" t="s">
        <v>73</v>
      </c>
      <c r="D30" s="7" t="s">
        <v>75</v>
      </c>
      <c r="E30" s="7" t="s">
        <v>826</v>
      </c>
      <c r="F30" s="8">
        <v>14.26025999999986</v>
      </c>
      <c r="G30" s="7" t="s">
        <v>215</v>
      </c>
      <c r="H30" s="7" t="s">
        <v>216</v>
      </c>
      <c r="I30" s="9">
        <v>459.26</v>
      </c>
      <c r="J30" s="10">
        <f t="shared" si="1"/>
        <v>14556.71</v>
      </c>
      <c r="K30" s="6">
        <f t="shared" si="2"/>
        <v>194120.13999999987</v>
      </c>
      <c r="L30" s="31"/>
    </row>
    <row r="31" spans="1:12" x14ac:dyDescent="0.25">
      <c r="A31" s="5" t="s">
        <v>186</v>
      </c>
      <c r="B31" s="42">
        <f t="shared" si="0"/>
        <v>15.015969999999999</v>
      </c>
      <c r="C31" s="7" t="s">
        <v>75</v>
      </c>
      <c r="D31" s="7" t="s">
        <v>77</v>
      </c>
      <c r="E31" s="7" t="s">
        <v>826</v>
      </c>
      <c r="F31" s="8">
        <v>14.75242999999986</v>
      </c>
      <c r="G31" s="7" t="s">
        <v>216</v>
      </c>
      <c r="H31" s="7" t="s">
        <v>217</v>
      </c>
      <c r="I31" s="9">
        <v>486.16</v>
      </c>
      <c r="J31" s="10">
        <f t="shared" si="1"/>
        <v>15015.97</v>
      </c>
      <c r="K31" s="6">
        <f t="shared" si="2"/>
        <v>193660.87999999986</v>
      </c>
      <c r="L31" s="31"/>
    </row>
    <row r="32" spans="1:12" x14ac:dyDescent="0.25">
      <c r="A32" s="5" t="s">
        <v>186</v>
      </c>
      <c r="B32" s="42">
        <f t="shared" si="0"/>
        <v>15.502129999999999</v>
      </c>
      <c r="C32" s="7" t="s">
        <v>77</v>
      </c>
      <c r="D32" s="7" t="s">
        <v>79</v>
      </c>
      <c r="E32" s="7" t="s">
        <v>826</v>
      </c>
      <c r="F32" s="8">
        <v>15.20432999999986</v>
      </c>
      <c r="G32" s="7" t="s">
        <v>217</v>
      </c>
      <c r="H32" s="7" t="s">
        <v>218</v>
      </c>
      <c r="I32" s="9">
        <v>544.79</v>
      </c>
      <c r="J32" s="10">
        <f t="shared" si="1"/>
        <v>15502.13</v>
      </c>
      <c r="K32" s="6">
        <f t="shared" si="2"/>
        <v>193174.71999999986</v>
      </c>
      <c r="L32" s="31"/>
    </row>
    <row r="33" spans="1:12" x14ac:dyDescent="0.25">
      <c r="A33" s="5" t="s">
        <v>186</v>
      </c>
      <c r="B33" s="42">
        <f t="shared" si="0"/>
        <v>16.046919999999997</v>
      </c>
      <c r="C33" s="7" t="s">
        <v>79</v>
      </c>
      <c r="D33" s="7" t="s">
        <v>81</v>
      </c>
      <c r="E33" s="7" t="s">
        <v>826</v>
      </c>
      <c r="F33" s="8">
        <v>15.70372999999986</v>
      </c>
      <c r="G33" s="7" t="s">
        <v>218</v>
      </c>
      <c r="H33" s="7" t="s">
        <v>219</v>
      </c>
      <c r="I33" s="9">
        <v>556.62</v>
      </c>
      <c r="J33" s="10">
        <f t="shared" si="1"/>
        <v>16046.919999999998</v>
      </c>
      <c r="K33" s="6">
        <f t="shared" si="2"/>
        <v>192629.92999999985</v>
      </c>
      <c r="L33" s="31"/>
    </row>
    <row r="34" spans="1:12" x14ac:dyDescent="0.25">
      <c r="A34" s="5" t="s">
        <v>186</v>
      </c>
      <c r="B34" s="42">
        <f t="shared" si="0"/>
        <v>16.603539999999999</v>
      </c>
      <c r="C34" s="7" t="s">
        <v>81</v>
      </c>
      <c r="D34" s="7" t="s">
        <v>83</v>
      </c>
      <c r="E34" s="7" t="s">
        <v>826</v>
      </c>
      <c r="F34" s="8">
        <v>16.162829999999861</v>
      </c>
      <c r="G34" s="7" t="s">
        <v>219</v>
      </c>
      <c r="H34" s="7" t="s">
        <v>220</v>
      </c>
      <c r="I34" s="9">
        <v>528.91</v>
      </c>
      <c r="J34" s="10">
        <f t="shared" si="1"/>
        <v>16603.539999999997</v>
      </c>
      <c r="K34" s="6">
        <f t="shared" si="2"/>
        <v>192073.30999999985</v>
      </c>
      <c r="L34" s="31"/>
    </row>
    <row r="35" spans="1:12" x14ac:dyDescent="0.25">
      <c r="A35" s="5" t="s">
        <v>186</v>
      </c>
      <c r="B35" s="42">
        <f t="shared" si="0"/>
        <v>17.132449999999999</v>
      </c>
      <c r="C35" s="7" t="s">
        <v>83</v>
      </c>
      <c r="D35" s="7" t="s">
        <v>85</v>
      </c>
      <c r="E35" s="7" t="s">
        <v>826</v>
      </c>
      <c r="F35" s="8">
        <v>16.682399999999859</v>
      </c>
      <c r="G35" s="7" t="s">
        <v>220</v>
      </c>
      <c r="H35" s="7" t="s">
        <v>221</v>
      </c>
      <c r="I35" s="9">
        <v>456.39</v>
      </c>
      <c r="J35" s="10">
        <f t="shared" si="1"/>
        <v>17132.449999999997</v>
      </c>
      <c r="K35" s="6">
        <f t="shared" si="2"/>
        <v>191544.39999999985</v>
      </c>
      <c r="L35" s="31"/>
    </row>
    <row r="36" spans="1:12" x14ac:dyDescent="0.25">
      <c r="A36" s="5" t="s">
        <v>186</v>
      </c>
      <c r="B36" s="42">
        <f t="shared" si="0"/>
        <v>17.588839999999998</v>
      </c>
      <c r="C36" s="7" t="s">
        <v>85</v>
      </c>
      <c r="D36" s="7" t="s">
        <v>87</v>
      </c>
      <c r="E36" s="7" t="s">
        <v>826</v>
      </c>
      <c r="F36" s="8">
        <v>17.260029999999862</v>
      </c>
      <c r="G36" s="7" t="s">
        <v>221</v>
      </c>
      <c r="H36" s="7" t="s">
        <v>222</v>
      </c>
      <c r="I36" s="9">
        <v>583.82000000000005</v>
      </c>
      <c r="J36" s="10">
        <f t="shared" si="1"/>
        <v>17588.839999999997</v>
      </c>
      <c r="K36" s="6">
        <f t="shared" si="2"/>
        <v>191088.00999999983</v>
      </c>
      <c r="L36" s="31"/>
    </row>
    <row r="37" spans="1:12" x14ac:dyDescent="0.25">
      <c r="A37" s="5" t="s">
        <v>186</v>
      </c>
      <c r="B37" s="42">
        <f t="shared" si="0"/>
        <v>18.172659999999997</v>
      </c>
      <c r="C37" s="7" t="s">
        <v>87</v>
      </c>
      <c r="D37" s="7" t="s">
        <v>89</v>
      </c>
      <c r="E37" s="7" t="s">
        <v>826</v>
      </c>
      <c r="F37" s="8">
        <v>17.851319999999863</v>
      </c>
      <c r="G37" s="7" t="s">
        <v>222</v>
      </c>
      <c r="H37" s="7" t="s">
        <v>223</v>
      </c>
      <c r="I37" s="9">
        <v>581.70000000000005</v>
      </c>
      <c r="J37" s="10">
        <f t="shared" si="1"/>
        <v>18172.659999999996</v>
      </c>
      <c r="K37" s="6">
        <f t="shared" si="2"/>
        <v>190504.18999999983</v>
      </c>
      <c r="L37" s="31"/>
    </row>
    <row r="38" spans="1:12" x14ac:dyDescent="0.25">
      <c r="A38" s="5" t="s">
        <v>186</v>
      </c>
      <c r="B38" s="42">
        <f t="shared" si="0"/>
        <v>18.754359999999998</v>
      </c>
      <c r="C38" s="7" t="s">
        <v>89</v>
      </c>
      <c r="D38" s="7" t="s">
        <v>91</v>
      </c>
      <c r="E38" s="7" t="s">
        <v>826</v>
      </c>
      <c r="F38" s="8">
        <v>18.399269999999863</v>
      </c>
      <c r="G38" s="7" t="s">
        <v>223</v>
      </c>
      <c r="H38" s="7" t="s">
        <v>224</v>
      </c>
      <c r="I38" s="9">
        <v>462.25</v>
      </c>
      <c r="J38" s="10">
        <f t="shared" si="1"/>
        <v>18754.359999999997</v>
      </c>
      <c r="K38" s="6">
        <f t="shared" si="2"/>
        <v>189922.48999999982</v>
      </c>
      <c r="L38" s="31"/>
    </row>
    <row r="39" spans="1:12" x14ac:dyDescent="0.25">
      <c r="A39" s="5" t="s">
        <v>186</v>
      </c>
      <c r="B39" s="42">
        <f t="shared" si="0"/>
        <v>19.216609999999996</v>
      </c>
      <c r="C39" s="7" t="s">
        <v>91</v>
      </c>
      <c r="D39" s="7" t="s">
        <v>93</v>
      </c>
      <c r="E39" s="7" t="s">
        <v>826</v>
      </c>
      <c r="F39" s="8">
        <v>18.949109999999862</v>
      </c>
      <c r="G39" s="7" t="s">
        <v>224</v>
      </c>
      <c r="H39" s="7" t="s">
        <v>225</v>
      </c>
      <c r="I39" s="9">
        <v>353.22</v>
      </c>
      <c r="J39" s="10">
        <f t="shared" si="1"/>
        <v>19216.609999999997</v>
      </c>
      <c r="K39" s="6">
        <f t="shared" si="2"/>
        <v>189460.23999999982</v>
      </c>
      <c r="L39" s="31"/>
    </row>
    <row r="40" spans="1:12" x14ac:dyDescent="0.25">
      <c r="A40" s="5" t="s">
        <v>186</v>
      </c>
      <c r="B40" s="42">
        <f t="shared" si="0"/>
        <v>19.56983</v>
      </c>
      <c r="C40" s="7" t="s">
        <v>93</v>
      </c>
      <c r="D40" s="7" t="s">
        <v>95</v>
      </c>
      <c r="E40" s="7" t="s">
        <v>826</v>
      </c>
      <c r="F40" s="8">
        <v>19.509289999999861</v>
      </c>
      <c r="G40" s="7" t="s">
        <v>225</v>
      </c>
      <c r="H40" s="7" t="s">
        <v>226</v>
      </c>
      <c r="I40" s="9">
        <v>485.18</v>
      </c>
      <c r="J40" s="10">
        <f t="shared" si="1"/>
        <v>19569.829999999998</v>
      </c>
      <c r="K40" s="6">
        <f t="shared" si="2"/>
        <v>189107.01999999981</v>
      </c>
      <c r="L40" s="31"/>
    </row>
    <row r="41" spans="1:12" x14ac:dyDescent="0.25">
      <c r="A41" s="5" t="s">
        <v>186</v>
      </c>
      <c r="B41" s="42">
        <f t="shared" si="0"/>
        <v>20.055009999999999</v>
      </c>
      <c r="C41" s="7" t="s">
        <v>95</v>
      </c>
      <c r="D41" s="7" t="s">
        <v>97</v>
      </c>
      <c r="E41" s="7" t="s">
        <v>0</v>
      </c>
      <c r="F41" s="8">
        <v>19.928069999999863</v>
      </c>
      <c r="G41" s="7" t="s">
        <v>226</v>
      </c>
      <c r="H41" s="7" t="s">
        <v>227</v>
      </c>
      <c r="I41" s="9">
        <v>423.19</v>
      </c>
      <c r="J41" s="10">
        <f t="shared" si="1"/>
        <v>20055.009999999998</v>
      </c>
      <c r="K41" s="6">
        <f t="shared" si="2"/>
        <v>188621.83999999982</v>
      </c>
      <c r="L41" s="31"/>
    </row>
    <row r="42" spans="1:12" x14ac:dyDescent="0.25">
      <c r="A42" s="5" t="s">
        <v>186</v>
      </c>
      <c r="B42" s="42">
        <f t="shared" si="0"/>
        <v>20.478199999999998</v>
      </c>
      <c r="C42" s="7" t="s">
        <v>97</v>
      </c>
      <c r="D42" s="7" t="s">
        <v>99</v>
      </c>
      <c r="E42" s="7" t="s">
        <v>0</v>
      </c>
      <c r="F42" s="8">
        <v>20.567369999999862</v>
      </c>
      <c r="G42" s="7" t="s">
        <v>227</v>
      </c>
      <c r="H42" s="7" t="s">
        <v>228</v>
      </c>
      <c r="I42" s="9">
        <v>368.83</v>
      </c>
      <c r="J42" s="10">
        <f t="shared" si="1"/>
        <v>20478.199999999997</v>
      </c>
      <c r="K42" s="6">
        <f t="shared" si="2"/>
        <v>188198.64999999982</v>
      </c>
      <c r="L42" s="31"/>
    </row>
    <row r="43" spans="1:12" x14ac:dyDescent="0.25">
      <c r="A43" s="5" t="s">
        <v>186</v>
      </c>
      <c r="B43" s="42">
        <f t="shared" si="0"/>
        <v>20.84703</v>
      </c>
      <c r="C43" s="7" t="s">
        <v>99</v>
      </c>
      <c r="D43" s="7" t="s">
        <v>101</v>
      </c>
      <c r="E43" s="7" t="s">
        <v>0</v>
      </c>
      <c r="F43" s="8">
        <v>21.098969999999859</v>
      </c>
      <c r="G43" s="7" t="s">
        <v>228</v>
      </c>
      <c r="H43" s="7" t="s">
        <v>229</v>
      </c>
      <c r="I43" s="9">
        <v>450.63</v>
      </c>
      <c r="J43" s="10">
        <f t="shared" si="1"/>
        <v>20847.03</v>
      </c>
      <c r="K43" s="6">
        <f t="shared" si="2"/>
        <v>187829.81999999983</v>
      </c>
      <c r="L43" s="31"/>
    </row>
    <row r="44" spans="1:12" x14ac:dyDescent="0.25">
      <c r="A44" s="5" t="s">
        <v>186</v>
      </c>
      <c r="B44" s="42">
        <f t="shared" si="0"/>
        <v>21.29766</v>
      </c>
      <c r="C44" s="7" t="s">
        <v>101</v>
      </c>
      <c r="D44" s="7" t="s">
        <v>103</v>
      </c>
      <c r="E44" s="7" t="s">
        <v>0</v>
      </c>
      <c r="F44" s="8">
        <v>21.57041999999986</v>
      </c>
      <c r="G44" s="7" t="s">
        <v>229</v>
      </c>
      <c r="H44" s="7" t="s">
        <v>230</v>
      </c>
      <c r="I44" s="9">
        <v>529.36</v>
      </c>
      <c r="J44" s="10">
        <f t="shared" si="1"/>
        <v>21297.66</v>
      </c>
      <c r="K44" s="6">
        <f t="shared" si="2"/>
        <v>187379.18999999983</v>
      </c>
      <c r="L44" s="31"/>
    </row>
    <row r="45" spans="1:12" x14ac:dyDescent="0.25">
      <c r="A45" s="5" t="s">
        <v>186</v>
      </c>
      <c r="B45" s="42">
        <f t="shared" si="0"/>
        <v>21.827020000000001</v>
      </c>
      <c r="C45" s="7" t="s">
        <v>103</v>
      </c>
      <c r="D45" s="7" t="s">
        <v>105</v>
      </c>
      <c r="E45" s="7" t="s">
        <v>0</v>
      </c>
      <c r="F45" s="8">
        <v>21.92204999999986</v>
      </c>
      <c r="G45" s="7" t="s">
        <v>230</v>
      </c>
      <c r="H45" s="7" t="s">
        <v>231</v>
      </c>
      <c r="I45" s="9">
        <v>571.04999999999995</v>
      </c>
      <c r="J45" s="10">
        <f t="shared" si="1"/>
        <v>21827.02</v>
      </c>
      <c r="K45" s="6">
        <f t="shared" si="2"/>
        <v>186849.82999999984</v>
      </c>
      <c r="L45" s="31"/>
    </row>
    <row r="46" spans="1:12" x14ac:dyDescent="0.25">
      <c r="A46" s="5" t="s">
        <v>186</v>
      </c>
      <c r="B46" s="42">
        <f t="shared" si="0"/>
        <v>22.398070000000001</v>
      </c>
      <c r="C46" s="7" t="s">
        <v>105</v>
      </c>
      <c r="D46" s="7" t="s">
        <v>107</v>
      </c>
      <c r="E46" s="7" t="s">
        <v>0</v>
      </c>
      <c r="F46" s="8">
        <v>22.437759999999859</v>
      </c>
      <c r="G46" s="7" t="s">
        <v>231</v>
      </c>
      <c r="H46" s="7" t="s">
        <v>232</v>
      </c>
      <c r="I46" s="9">
        <v>490.03</v>
      </c>
      <c r="J46" s="10">
        <f t="shared" si="1"/>
        <v>22398.07</v>
      </c>
      <c r="K46" s="6">
        <f t="shared" si="2"/>
        <v>186278.77999999985</v>
      </c>
      <c r="L46" s="31"/>
    </row>
    <row r="47" spans="1:12" x14ac:dyDescent="0.25">
      <c r="A47" s="5" t="s">
        <v>186</v>
      </c>
      <c r="B47" s="42">
        <f t="shared" si="0"/>
        <v>22.888099999999998</v>
      </c>
      <c r="C47" s="7" t="s">
        <v>107</v>
      </c>
      <c r="D47" s="7" t="s">
        <v>109</v>
      </c>
      <c r="E47" s="7" t="s">
        <v>0</v>
      </c>
      <c r="F47" s="8">
        <v>22.842539999999858</v>
      </c>
      <c r="G47" s="7" t="s">
        <v>232</v>
      </c>
      <c r="H47" s="7" t="s">
        <v>233</v>
      </c>
      <c r="I47" s="9">
        <v>647.09</v>
      </c>
      <c r="J47" s="10">
        <f t="shared" si="1"/>
        <v>22888.1</v>
      </c>
      <c r="K47" s="6">
        <f t="shared" si="2"/>
        <v>185788.74999999985</v>
      </c>
      <c r="L47" s="31"/>
    </row>
    <row r="48" spans="1:12" x14ac:dyDescent="0.25">
      <c r="A48" s="5" t="s">
        <v>186</v>
      </c>
      <c r="B48" s="42">
        <f t="shared" si="0"/>
        <v>23.53519</v>
      </c>
      <c r="C48" s="7" t="s">
        <v>109</v>
      </c>
      <c r="D48" s="7" t="s">
        <v>111</v>
      </c>
      <c r="E48" s="7" t="s">
        <v>0</v>
      </c>
      <c r="F48" s="8">
        <v>23.511089999999857</v>
      </c>
      <c r="G48" s="7" t="s">
        <v>233</v>
      </c>
      <c r="H48" s="7" t="s">
        <v>234</v>
      </c>
      <c r="I48" s="9">
        <v>524.64</v>
      </c>
      <c r="J48" s="10">
        <f t="shared" si="1"/>
        <v>23535.19</v>
      </c>
      <c r="K48" s="6">
        <f t="shared" si="2"/>
        <v>185141.65999999986</v>
      </c>
      <c r="L48" s="31"/>
    </row>
    <row r="49" spans="1:12" x14ac:dyDescent="0.25">
      <c r="A49" s="5" t="s">
        <v>186</v>
      </c>
      <c r="B49" s="42">
        <f t="shared" si="0"/>
        <v>24.059829999999998</v>
      </c>
      <c r="C49" s="7" t="s">
        <v>111</v>
      </c>
      <c r="D49" s="7" t="s">
        <v>113</v>
      </c>
      <c r="E49" s="7" t="s">
        <v>0</v>
      </c>
      <c r="F49" s="8">
        <v>24.092839999999857</v>
      </c>
      <c r="G49" s="7" t="s">
        <v>234</v>
      </c>
      <c r="H49" s="7" t="s">
        <v>235</v>
      </c>
      <c r="I49" s="9">
        <v>485.29</v>
      </c>
      <c r="J49" s="10">
        <f t="shared" si="1"/>
        <v>24059.829999999998</v>
      </c>
      <c r="K49" s="6">
        <f t="shared" si="2"/>
        <v>184617.01999999984</v>
      </c>
      <c r="L49" s="31"/>
    </row>
    <row r="50" spans="1:12" x14ac:dyDescent="0.25">
      <c r="A50" s="5" t="s">
        <v>186</v>
      </c>
      <c r="B50" s="42">
        <f t="shared" si="0"/>
        <v>24.545120000000001</v>
      </c>
      <c r="C50" s="7" t="s">
        <v>113</v>
      </c>
      <c r="D50" s="7" t="s">
        <v>115</v>
      </c>
      <c r="E50" s="7" t="s">
        <v>0</v>
      </c>
      <c r="F50" s="8">
        <v>24.648769999999857</v>
      </c>
      <c r="G50" s="7" t="s">
        <v>235</v>
      </c>
      <c r="H50" s="7" t="s">
        <v>236</v>
      </c>
      <c r="I50" s="9">
        <v>494.13</v>
      </c>
      <c r="J50" s="10">
        <f t="shared" si="1"/>
        <v>24545.119999999999</v>
      </c>
      <c r="K50" s="6">
        <f t="shared" si="2"/>
        <v>184131.72999999984</v>
      </c>
      <c r="L50" s="31"/>
    </row>
    <row r="51" spans="1:12" x14ac:dyDescent="0.25">
      <c r="A51" s="5" t="s">
        <v>186</v>
      </c>
      <c r="B51" s="42">
        <f t="shared" si="0"/>
        <v>25.039249999999999</v>
      </c>
      <c r="C51" s="7" t="s">
        <v>115</v>
      </c>
      <c r="D51" s="7" t="s">
        <v>18</v>
      </c>
      <c r="E51" s="7" t="s">
        <v>0</v>
      </c>
      <c r="F51" s="8">
        <v>25.140389999999858</v>
      </c>
      <c r="G51" s="7" t="s">
        <v>236</v>
      </c>
      <c r="H51" s="7" t="s">
        <v>237</v>
      </c>
      <c r="I51" s="9">
        <v>482.23</v>
      </c>
      <c r="J51" s="10">
        <f t="shared" si="1"/>
        <v>25039.25</v>
      </c>
      <c r="K51" s="6">
        <f t="shared" si="2"/>
        <v>183637.59999999983</v>
      </c>
      <c r="L51" s="31"/>
    </row>
    <row r="52" spans="1:12" x14ac:dyDescent="0.25">
      <c r="A52" s="5" t="s">
        <v>186</v>
      </c>
      <c r="B52" s="42">
        <f t="shared" si="0"/>
        <v>25.52148</v>
      </c>
      <c r="C52" s="7" t="s">
        <v>18</v>
      </c>
      <c r="D52" s="7" t="s">
        <v>19</v>
      </c>
      <c r="E52" s="7" t="s">
        <v>0</v>
      </c>
      <c r="F52" s="8">
        <v>25.790139999999859</v>
      </c>
      <c r="G52" s="7" t="s">
        <v>237</v>
      </c>
      <c r="H52" s="7" t="s">
        <v>238</v>
      </c>
      <c r="I52" s="9">
        <v>607.12</v>
      </c>
      <c r="J52" s="10">
        <f t="shared" si="1"/>
        <v>25521.48</v>
      </c>
      <c r="K52" s="6">
        <f t="shared" si="2"/>
        <v>183155.36999999982</v>
      </c>
      <c r="L52" s="31"/>
    </row>
    <row r="53" spans="1:12" x14ac:dyDescent="0.25">
      <c r="A53" s="5" t="s">
        <v>186</v>
      </c>
      <c r="B53" s="42">
        <f t="shared" si="0"/>
        <v>26.128599999999999</v>
      </c>
      <c r="C53" s="7" t="s">
        <v>19</v>
      </c>
      <c r="D53" s="7" t="s">
        <v>119</v>
      </c>
      <c r="E53" s="7" t="s">
        <v>0</v>
      </c>
      <c r="F53" s="8">
        <v>26.323769999999858</v>
      </c>
      <c r="G53" s="7" t="s">
        <v>238</v>
      </c>
      <c r="H53" s="7" t="s">
        <v>239</v>
      </c>
      <c r="I53" s="9">
        <v>564.36</v>
      </c>
      <c r="J53" s="10">
        <f t="shared" si="1"/>
        <v>26128.6</v>
      </c>
      <c r="K53" s="6">
        <f t="shared" si="2"/>
        <v>182548.24999999983</v>
      </c>
      <c r="L53" s="31"/>
    </row>
    <row r="54" spans="1:12" x14ac:dyDescent="0.25">
      <c r="A54" s="5" t="s">
        <v>186</v>
      </c>
      <c r="B54" s="42">
        <f t="shared" si="0"/>
        <v>26.692959999999999</v>
      </c>
      <c r="C54" s="7" t="s">
        <v>119</v>
      </c>
      <c r="D54" s="7" t="s">
        <v>121</v>
      </c>
      <c r="E54" s="7" t="s">
        <v>0</v>
      </c>
      <c r="F54" s="8">
        <v>26.775939999999856</v>
      </c>
      <c r="G54" s="7" t="s">
        <v>239</v>
      </c>
      <c r="H54" s="7" t="s">
        <v>240</v>
      </c>
      <c r="I54" s="9">
        <v>498.93</v>
      </c>
      <c r="J54" s="10">
        <f t="shared" si="1"/>
        <v>26692.959999999999</v>
      </c>
      <c r="K54" s="6">
        <f t="shared" si="2"/>
        <v>181983.88999999984</v>
      </c>
      <c r="L54" s="31"/>
    </row>
    <row r="55" spans="1:12" x14ac:dyDescent="0.25">
      <c r="A55" s="5" t="s">
        <v>186</v>
      </c>
      <c r="B55" s="42">
        <f t="shared" si="0"/>
        <v>27.191890000000001</v>
      </c>
      <c r="C55" s="7" t="s">
        <v>121</v>
      </c>
      <c r="D55" s="7" t="s">
        <v>123</v>
      </c>
      <c r="E55" s="7" t="s">
        <v>0</v>
      </c>
      <c r="F55" s="8">
        <v>27.26683999999986</v>
      </c>
      <c r="G55" s="7" t="s">
        <v>240</v>
      </c>
      <c r="H55" s="7" t="s">
        <v>241</v>
      </c>
      <c r="I55" s="9">
        <v>538.76</v>
      </c>
      <c r="J55" s="10">
        <f t="shared" si="1"/>
        <v>27191.89</v>
      </c>
      <c r="K55" s="6">
        <f t="shared" si="2"/>
        <v>181484.95999999985</v>
      </c>
      <c r="L55" s="31"/>
    </row>
    <row r="56" spans="1:12" x14ac:dyDescent="0.25">
      <c r="A56" s="5" t="s">
        <v>186</v>
      </c>
      <c r="B56" s="42">
        <f t="shared" si="0"/>
        <v>27.730649999999997</v>
      </c>
      <c r="C56" s="7" t="s">
        <v>123</v>
      </c>
      <c r="D56" s="7" t="s">
        <v>125</v>
      </c>
      <c r="E56" s="7" t="s">
        <v>0</v>
      </c>
      <c r="F56" s="8">
        <v>27.69503999999986</v>
      </c>
      <c r="G56" s="7" t="s">
        <v>241</v>
      </c>
      <c r="H56" s="7" t="s">
        <v>242</v>
      </c>
      <c r="I56" s="9">
        <v>633.9</v>
      </c>
      <c r="J56" s="10">
        <f t="shared" si="1"/>
        <v>27730.649999999998</v>
      </c>
      <c r="K56" s="6">
        <f t="shared" si="2"/>
        <v>180946.19999999984</v>
      </c>
      <c r="L56" s="31"/>
    </row>
    <row r="57" spans="1:12" x14ac:dyDescent="0.25">
      <c r="A57" s="5" t="s">
        <v>186</v>
      </c>
      <c r="B57" s="42">
        <f t="shared" si="0"/>
        <v>28.364549999999998</v>
      </c>
      <c r="C57" s="7" t="s">
        <v>125</v>
      </c>
      <c r="D57" s="7" t="s">
        <v>127</v>
      </c>
      <c r="E57" s="7" t="s">
        <v>0</v>
      </c>
      <c r="F57" s="8">
        <v>28.214349999999861</v>
      </c>
      <c r="G57" s="7" t="s">
        <v>242</v>
      </c>
      <c r="H57" s="7" t="s">
        <v>243</v>
      </c>
      <c r="I57" s="9">
        <v>516.64</v>
      </c>
      <c r="J57" s="10">
        <f t="shared" si="1"/>
        <v>28364.55</v>
      </c>
      <c r="K57" s="6">
        <f t="shared" si="2"/>
        <v>180312.29999999984</v>
      </c>
      <c r="L57" s="31"/>
    </row>
    <row r="58" spans="1:12" x14ac:dyDescent="0.25">
      <c r="A58" s="5" t="s">
        <v>186</v>
      </c>
      <c r="B58" s="42">
        <f t="shared" si="0"/>
        <v>28.88119</v>
      </c>
      <c r="C58" s="7" t="s">
        <v>127</v>
      </c>
      <c r="D58" s="7" t="s">
        <v>129</v>
      </c>
      <c r="E58" s="7" t="s">
        <v>0</v>
      </c>
      <c r="F58" s="8">
        <v>28.754279999999859</v>
      </c>
      <c r="G58" s="7" t="s">
        <v>243</v>
      </c>
      <c r="H58" s="7" t="s">
        <v>244</v>
      </c>
      <c r="I58" s="9">
        <v>419.57</v>
      </c>
      <c r="J58" s="10">
        <f t="shared" si="1"/>
        <v>28881.19</v>
      </c>
      <c r="K58" s="6">
        <f t="shared" si="2"/>
        <v>179795.65999999983</v>
      </c>
      <c r="L58" s="31"/>
    </row>
    <row r="59" spans="1:12" x14ac:dyDescent="0.25">
      <c r="A59" s="5" t="s">
        <v>186</v>
      </c>
      <c r="B59" s="42">
        <f t="shared" si="0"/>
        <v>29.300759999999997</v>
      </c>
      <c r="C59" s="7" t="s">
        <v>129</v>
      </c>
      <c r="D59" s="7" t="s">
        <v>131</v>
      </c>
      <c r="E59" s="7" t="s">
        <v>0</v>
      </c>
      <c r="F59" s="8">
        <v>29.192629999999859</v>
      </c>
      <c r="G59" s="7" t="s">
        <v>244</v>
      </c>
      <c r="H59" s="7" t="s">
        <v>245</v>
      </c>
      <c r="I59" s="9">
        <v>422.83</v>
      </c>
      <c r="J59" s="10">
        <f t="shared" si="1"/>
        <v>29300.76</v>
      </c>
      <c r="K59" s="6">
        <f t="shared" si="2"/>
        <v>179376.08999999982</v>
      </c>
      <c r="L59" s="31"/>
    </row>
    <row r="60" spans="1:12" x14ac:dyDescent="0.25">
      <c r="A60" s="5" t="s">
        <v>186</v>
      </c>
      <c r="B60" s="42">
        <f t="shared" si="0"/>
        <v>29.723590000000002</v>
      </c>
      <c r="C60" s="7" t="s">
        <v>131</v>
      </c>
      <c r="D60" s="7" t="s">
        <v>133</v>
      </c>
      <c r="E60" s="7" t="s">
        <v>0</v>
      </c>
      <c r="F60" s="8">
        <v>29.671989999999859</v>
      </c>
      <c r="G60" s="7" t="s">
        <v>245</v>
      </c>
      <c r="H60" s="7" t="s">
        <v>246</v>
      </c>
      <c r="I60" s="9">
        <v>551.08000000000004</v>
      </c>
      <c r="J60" s="10">
        <f t="shared" si="1"/>
        <v>29723.59</v>
      </c>
      <c r="K60" s="6">
        <f t="shared" si="2"/>
        <v>178953.25999999983</v>
      </c>
      <c r="L60" s="31"/>
    </row>
    <row r="61" spans="1:12" x14ac:dyDescent="0.25">
      <c r="A61" s="5" t="s">
        <v>186</v>
      </c>
      <c r="B61" s="42">
        <f t="shared" si="0"/>
        <v>30.27467</v>
      </c>
      <c r="C61" s="7" t="s">
        <v>133</v>
      </c>
      <c r="D61" s="7" t="s">
        <v>135</v>
      </c>
      <c r="E61" s="7" t="s">
        <v>0</v>
      </c>
      <c r="F61" s="8">
        <v>30.10034999999986</v>
      </c>
      <c r="G61" s="7" t="s">
        <v>246</v>
      </c>
      <c r="H61" s="7" t="s">
        <v>247</v>
      </c>
      <c r="I61" s="9">
        <v>622.49</v>
      </c>
      <c r="J61" s="10">
        <f t="shared" si="1"/>
        <v>30274.670000000002</v>
      </c>
      <c r="K61" s="6">
        <f t="shared" si="2"/>
        <v>178402.17999999985</v>
      </c>
      <c r="L61" s="31"/>
    </row>
    <row r="62" spans="1:12" x14ac:dyDescent="0.25">
      <c r="A62" s="5" t="s">
        <v>186</v>
      </c>
      <c r="B62" s="42">
        <f t="shared" si="0"/>
        <v>30.897160000000003</v>
      </c>
      <c r="C62" s="7" t="s">
        <v>135</v>
      </c>
      <c r="D62" s="7" t="s">
        <v>137</v>
      </c>
      <c r="E62" s="7" t="s">
        <v>0</v>
      </c>
      <c r="F62" s="8">
        <v>30.628539999999859</v>
      </c>
      <c r="G62" s="7" t="s">
        <v>247</v>
      </c>
      <c r="H62" s="7" t="s">
        <v>248</v>
      </c>
      <c r="I62" s="9">
        <v>497.25</v>
      </c>
      <c r="J62" s="10">
        <f t="shared" si="1"/>
        <v>30897.160000000003</v>
      </c>
      <c r="K62" s="6">
        <f t="shared" si="2"/>
        <v>177779.68999999986</v>
      </c>
      <c r="L62" s="31"/>
    </row>
    <row r="63" spans="1:12" x14ac:dyDescent="0.25">
      <c r="A63" s="5" t="s">
        <v>186</v>
      </c>
      <c r="B63" s="42">
        <f t="shared" si="0"/>
        <v>31.394410000000004</v>
      </c>
      <c r="C63" s="7" t="s">
        <v>137</v>
      </c>
      <c r="D63" s="7" t="s">
        <v>139</v>
      </c>
      <c r="E63" s="7" t="s">
        <v>0</v>
      </c>
      <c r="F63" s="8">
        <v>31.21502999999986</v>
      </c>
      <c r="G63" s="7" t="s">
        <v>248</v>
      </c>
      <c r="H63" s="7" t="s">
        <v>249</v>
      </c>
      <c r="I63" s="9">
        <v>476.89</v>
      </c>
      <c r="J63" s="10">
        <f t="shared" si="1"/>
        <v>31394.410000000003</v>
      </c>
      <c r="K63" s="6">
        <f t="shared" si="2"/>
        <v>177282.43999999986</v>
      </c>
      <c r="L63" s="31"/>
    </row>
    <row r="64" spans="1:12" x14ac:dyDescent="0.25">
      <c r="A64" s="5" t="s">
        <v>186</v>
      </c>
      <c r="B64" s="42">
        <f t="shared" si="0"/>
        <v>31.871300000000002</v>
      </c>
      <c r="C64" s="7" t="s">
        <v>139</v>
      </c>
      <c r="D64" s="7" t="s">
        <v>141</v>
      </c>
      <c r="E64" s="7" t="s">
        <v>0</v>
      </c>
      <c r="F64" s="8">
        <v>31.783519999999861</v>
      </c>
      <c r="G64" s="7" t="s">
        <v>249</v>
      </c>
      <c r="H64" s="7" t="s">
        <v>250</v>
      </c>
      <c r="I64" s="9">
        <v>629.02</v>
      </c>
      <c r="J64" s="10">
        <f t="shared" si="1"/>
        <v>31871.300000000003</v>
      </c>
      <c r="K64" s="6">
        <f t="shared" si="2"/>
        <v>176805.54999999984</v>
      </c>
      <c r="L64" s="31"/>
    </row>
    <row r="65" spans="1:12" x14ac:dyDescent="0.25">
      <c r="A65" s="5" t="s">
        <v>186</v>
      </c>
      <c r="B65" s="42">
        <f t="shared" si="0"/>
        <v>32.500320000000002</v>
      </c>
      <c r="C65" s="7" t="s">
        <v>141</v>
      </c>
      <c r="D65" s="7" t="s">
        <v>143</v>
      </c>
      <c r="E65" s="7" t="s">
        <v>0</v>
      </c>
      <c r="F65" s="8">
        <v>32.200859999999864</v>
      </c>
      <c r="G65" s="7" t="s">
        <v>250</v>
      </c>
      <c r="H65" s="7" t="s">
        <v>251</v>
      </c>
      <c r="I65" s="9">
        <v>544.21</v>
      </c>
      <c r="J65" s="10">
        <f t="shared" si="1"/>
        <v>32500.320000000003</v>
      </c>
      <c r="K65" s="6">
        <f t="shared" si="2"/>
        <v>176176.52999999985</v>
      </c>
      <c r="L65" s="31"/>
    </row>
    <row r="66" spans="1:12" x14ac:dyDescent="0.25">
      <c r="A66" s="5" t="s">
        <v>186</v>
      </c>
      <c r="B66" s="42">
        <f t="shared" si="0"/>
        <v>33.044530000000009</v>
      </c>
      <c r="C66" s="7" t="s">
        <v>143</v>
      </c>
      <c r="D66" s="7" t="s">
        <v>145</v>
      </c>
      <c r="E66" s="7" t="s">
        <v>0</v>
      </c>
      <c r="F66" s="8">
        <v>32.752569999999864</v>
      </c>
      <c r="G66" s="7" t="s">
        <v>251</v>
      </c>
      <c r="H66" s="7" t="s">
        <v>252</v>
      </c>
      <c r="I66" s="9">
        <v>536.14</v>
      </c>
      <c r="J66" s="10">
        <f t="shared" si="1"/>
        <v>33044.530000000006</v>
      </c>
      <c r="K66" s="6">
        <f t="shared" si="2"/>
        <v>175632.31999999986</v>
      </c>
      <c r="L66" s="31"/>
    </row>
    <row r="67" spans="1:12" x14ac:dyDescent="0.25">
      <c r="A67" s="5" t="s">
        <v>186</v>
      </c>
      <c r="B67" s="42">
        <f t="shared" ref="B67:B130" si="3">J67/1000</f>
        <v>33.580670000000005</v>
      </c>
      <c r="C67" s="7" t="s">
        <v>145</v>
      </c>
      <c r="D67" s="7" t="s">
        <v>147</v>
      </c>
      <c r="E67" s="7" t="s">
        <v>0</v>
      </c>
      <c r="F67" s="8">
        <v>33.341289999999866</v>
      </c>
      <c r="G67" s="7" t="s">
        <v>252</v>
      </c>
      <c r="H67" s="7" t="s">
        <v>253</v>
      </c>
      <c r="I67" s="9">
        <v>553.84</v>
      </c>
      <c r="J67" s="10">
        <f t="shared" si="1"/>
        <v>33580.670000000006</v>
      </c>
      <c r="K67" s="6">
        <f t="shared" si="2"/>
        <v>175096.17999999985</v>
      </c>
      <c r="L67" s="31"/>
    </row>
    <row r="68" spans="1:12" x14ac:dyDescent="0.25">
      <c r="A68" s="5" t="s">
        <v>186</v>
      </c>
      <c r="B68" s="42">
        <f t="shared" si="3"/>
        <v>34.134509999999999</v>
      </c>
      <c r="C68" s="7" t="s">
        <v>147</v>
      </c>
      <c r="D68" s="7" t="s">
        <v>149</v>
      </c>
      <c r="E68" s="7" t="s">
        <v>0</v>
      </c>
      <c r="F68" s="8">
        <v>33.854479999999867</v>
      </c>
      <c r="G68" s="7" t="s">
        <v>253</v>
      </c>
      <c r="H68" s="7" t="s">
        <v>254</v>
      </c>
      <c r="I68" s="9">
        <v>601.61</v>
      </c>
      <c r="J68" s="10">
        <f t="shared" ref="J68:J131" si="4">J67+I67</f>
        <v>34134.51</v>
      </c>
      <c r="K68" s="6">
        <f t="shared" ref="K68:K131" si="5">K67-I67</f>
        <v>174542.33999999985</v>
      </c>
      <c r="L68" s="31"/>
    </row>
    <row r="69" spans="1:12" x14ac:dyDescent="0.25">
      <c r="A69" s="5" t="s">
        <v>186</v>
      </c>
      <c r="B69" s="42">
        <f t="shared" si="3"/>
        <v>34.73612</v>
      </c>
      <c r="C69" s="7" t="s">
        <v>149</v>
      </c>
      <c r="D69" s="7" t="s">
        <v>151</v>
      </c>
      <c r="E69" s="7" t="s">
        <v>0</v>
      </c>
      <c r="F69" s="8">
        <v>34.461019999999863</v>
      </c>
      <c r="G69" s="7" t="s">
        <v>254</v>
      </c>
      <c r="H69" s="7" t="s">
        <v>255</v>
      </c>
      <c r="I69" s="9">
        <v>520.92999999999995</v>
      </c>
      <c r="J69" s="10">
        <f t="shared" si="4"/>
        <v>34736.120000000003</v>
      </c>
      <c r="K69" s="6">
        <f t="shared" si="5"/>
        <v>173940.72999999986</v>
      </c>
      <c r="L69" s="31"/>
    </row>
    <row r="70" spans="1:12" x14ac:dyDescent="0.25">
      <c r="A70" s="5" t="s">
        <v>186</v>
      </c>
      <c r="B70" s="42">
        <f t="shared" si="3"/>
        <v>35.25705</v>
      </c>
      <c r="C70" s="7" t="s">
        <v>151</v>
      </c>
      <c r="D70" s="7" t="s">
        <v>153</v>
      </c>
      <c r="E70" s="7" t="s">
        <v>0</v>
      </c>
      <c r="F70" s="8">
        <v>35.001789999999865</v>
      </c>
      <c r="G70" s="7" t="s">
        <v>255</v>
      </c>
      <c r="H70" s="7" t="s">
        <v>256</v>
      </c>
      <c r="I70" s="9">
        <v>427.96</v>
      </c>
      <c r="J70" s="10">
        <f t="shared" si="4"/>
        <v>35257.050000000003</v>
      </c>
      <c r="K70" s="6">
        <f t="shared" si="5"/>
        <v>173419.79999999987</v>
      </c>
      <c r="L70" s="31"/>
    </row>
    <row r="71" spans="1:12" x14ac:dyDescent="0.25">
      <c r="A71" s="5" t="s">
        <v>186</v>
      </c>
      <c r="B71" s="42">
        <f t="shared" si="3"/>
        <v>35.685010000000005</v>
      </c>
      <c r="C71" s="7" t="s">
        <v>153</v>
      </c>
      <c r="D71" s="7" t="s">
        <v>155</v>
      </c>
      <c r="E71" s="7" t="s">
        <v>0</v>
      </c>
      <c r="F71" s="8">
        <v>35.541959999999861</v>
      </c>
      <c r="G71" s="7" t="s">
        <v>256</v>
      </c>
      <c r="H71" s="7" t="s">
        <v>257</v>
      </c>
      <c r="I71" s="9">
        <v>434.12</v>
      </c>
      <c r="J71" s="10">
        <f t="shared" si="4"/>
        <v>35685.01</v>
      </c>
      <c r="K71" s="6">
        <f t="shared" si="5"/>
        <v>172991.83999999988</v>
      </c>
      <c r="L71" s="31"/>
    </row>
    <row r="72" spans="1:12" x14ac:dyDescent="0.25">
      <c r="A72" s="5" t="s">
        <v>186</v>
      </c>
      <c r="B72" s="42">
        <f t="shared" si="3"/>
        <v>36.119130000000006</v>
      </c>
      <c r="C72" s="7" t="s">
        <v>155</v>
      </c>
      <c r="D72" s="7" t="s">
        <v>157</v>
      </c>
      <c r="E72" s="7" t="s">
        <v>0</v>
      </c>
      <c r="F72" s="8">
        <v>36.058009999999861</v>
      </c>
      <c r="G72" s="7" t="s">
        <v>257</v>
      </c>
      <c r="H72" s="7" t="s">
        <v>258</v>
      </c>
      <c r="I72" s="9">
        <v>417.54</v>
      </c>
      <c r="J72" s="10">
        <f t="shared" si="4"/>
        <v>36119.130000000005</v>
      </c>
      <c r="K72" s="6">
        <f t="shared" si="5"/>
        <v>172557.71999999988</v>
      </c>
      <c r="L72" s="31"/>
    </row>
    <row r="73" spans="1:12" x14ac:dyDescent="0.25">
      <c r="A73" s="5" t="s">
        <v>186</v>
      </c>
      <c r="B73" s="42">
        <f t="shared" si="3"/>
        <v>36.536670000000008</v>
      </c>
      <c r="C73" s="7" t="s">
        <v>157</v>
      </c>
      <c r="D73" s="7" t="s">
        <v>159</v>
      </c>
      <c r="E73" s="7" t="s">
        <v>0</v>
      </c>
      <c r="F73" s="8">
        <v>36.66820999999986</v>
      </c>
      <c r="G73" s="7" t="s">
        <v>258</v>
      </c>
      <c r="H73" s="7" t="s">
        <v>259</v>
      </c>
      <c r="I73" s="9">
        <v>552.82000000000005</v>
      </c>
      <c r="J73" s="10">
        <f t="shared" si="4"/>
        <v>36536.670000000006</v>
      </c>
      <c r="K73" s="6">
        <f t="shared" si="5"/>
        <v>172140.17999999988</v>
      </c>
      <c r="L73" s="31"/>
    </row>
    <row r="74" spans="1:12" x14ac:dyDescent="0.25">
      <c r="A74" s="5" t="s">
        <v>186</v>
      </c>
      <c r="B74" s="42">
        <f t="shared" si="3"/>
        <v>37.089490000000005</v>
      </c>
      <c r="C74" s="7" t="s">
        <v>159</v>
      </c>
      <c r="D74" s="7" t="s">
        <v>161</v>
      </c>
      <c r="E74" s="7" t="s">
        <v>0</v>
      </c>
      <c r="F74" s="8">
        <v>37.25792999999986</v>
      </c>
      <c r="G74" s="7" t="s">
        <v>259</v>
      </c>
      <c r="H74" s="7" t="s">
        <v>260</v>
      </c>
      <c r="I74" s="9">
        <v>557.08000000000004</v>
      </c>
      <c r="J74" s="10">
        <f t="shared" si="4"/>
        <v>37089.490000000005</v>
      </c>
      <c r="K74" s="6">
        <f t="shared" si="5"/>
        <v>171587.35999999987</v>
      </c>
      <c r="L74" s="31"/>
    </row>
    <row r="75" spans="1:12" x14ac:dyDescent="0.25">
      <c r="A75" s="5" t="s">
        <v>186</v>
      </c>
      <c r="B75" s="42">
        <f t="shared" si="3"/>
        <v>37.646570000000004</v>
      </c>
      <c r="C75" s="7" t="s">
        <v>161</v>
      </c>
      <c r="D75" s="7" t="s">
        <v>163</v>
      </c>
      <c r="E75" s="7" t="s">
        <v>0</v>
      </c>
      <c r="F75" s="8">
        <v>37.778009999999867</v>
      </c>
      <c r="G75" s="7" t="s">
        <v>260</v>
      </c>
      <c r="H75" s="7" t="s">
        <v>261</v>
      </c>
      <c r="I75" s="9">
        <v>538.85</v>
      </c>
      <c r="J75" s="10">
        <f t="shared" si="4"/>
        <v>37646.570000000007</v>
      </c>
      <c r="K75" s="6">
        <f t="shared" si="5"/>
        <v>171030.27999999988</v>
      </c>
      <c r="L75" s="31"/>
    </row>
    <row r="76" spans="1:12" x14ac:dyDescent="0.25">
      <c r="A76" s="5" t="s">
        <v>186</v>
      </c>
      <c r="B76" s="42">
        <f t="shared" si="3"/>
        <v>38.185420000000008</v>
      </c>
      <c r="C76" s="7" t="s">
        <v>163</v>
      </c>
      <c r="D76" s="7" t="s">
        <v>165</v>
      </c>
      <c r="E76" s="7" t="s">
        <v>0</v>
      </c>
      <c r="F76" s="8">
        <v>38.315799999999868</v>
      </c>
      <c r="G76" s="7" t="s">
        <v>261</v>
      </c>
      <c r="H76" s="7" t="s">
        <v>262</v>
      </c>
      <c r="I76" s="9">
        <v>829.15</v>
      </c>
      <c r="J76" s="10">
        <f t="shared" si="4"/>
        <v>38185.420000000006</v>
      </c>
      <c r="K76" s="6">
        <f t="shared" si="5"/>
        <v>170491.42999999988</v>
      </c>
      <c r="L76" s="31"/>
    </row>
    <row r="77" spans="1:12" x14ac:dyDescent="0.25">
      <c r="A77" s="5" t="s">
        <v>186</v>
      </c>
      <c r="B77" s="42">
        <f t="shared" si="3"/>
        <v>39.014570000000006</v>
      </c>
      <c r="C77" s="7" t="s">
        <v>165</v>
      </c>
      <c r="D77" s="7" t="s">
        <v>167</v>
      </c>
      <c r="E77" s="7" t="s">
        <v>0</v>
      </c>
      <c r="F77" s="8">
        <v>38.856479999999863</v>
      </c>
      <c r="G77" s="7" t="s">
        <v>262</v>
      </c>
      <c r="H77" s="7" t="s">
        <v>263</v>
      </c>
      <c r="I77" s="9">
        <v>1025.04</v>
      </c>
      <c r="J77" s="10">
        <f t="shared" si="4"/>
        <v>39014.570000000007</v>
      </c>
      <c r="K77" s="6">
        <f t="shared" si="5"/>
        <v>169662.27999999988</v>
      </c>
      <c r="L77" s="31"/>
    </row>
    <row r="78" spans="1:12" x14ac:dyDescent="0.25">
      <c r="A78" s="5" t="s">
        <v>186</v>
      </c>
      <c r="B78" s="42">
        <f t="shared" si="3"/>
        <v>40.03961000000001</v>
      </c>
      <c r="C78" s="7" t="s">
        <v>167</v>
      </c>
      <c r="D78" s="7" t="s">
        <v>169</v>
      </c>
      <c r="E78" s="7" t="s">
        <v>0</v>
      </c>
      <c r="F78" s="8">
        <v>39.346209999999871</v>
      </c>
      <c r="G78" s="7" t="s">
        <v>263</v>
      </c>
      <c r="H78" s="7" t="s">
        <v>264</v>
      </c>
      <c r="I78" s="9">
        <v>577.91999999999996</v>
      </c>
      <c r="J78" s="10">
        <f t="shared" si="4"/>
        <v>40039.610000000008</v>
      </c>
      <c r="K78" s="6">
        <f t="shared" si="5"/>
        <v>168637.23999999987</v>
      </c>
      <c r="L78" s="31"/>
    </row>
    <row r="79" spans="1:12" x14ac:dyDescent="0.25">
      <c r="A79" s="5" t="s">
        <v>186</v>
      </c>
      <c r="B79" s="42">
        <f t="shared" si="3"/>
        <v>40.617530000000009</v>
      </c>
      <c r="C79" s="7" t="s">
        <v>169</v>
      </c>
      <c r="D79" s="7" t="s">
        <v>171</v>
      </c>
      <c r="E79" s="7" t="s">
        <v>0</v>
      </c>
      <c r="F79" s="8">
        <v>39.810599999999866</v>
      </c>
      <c r="G79" s="7" t="s">
        <v>264</v>
      </c>
      <c r="H79" s="7" t="s">
        <v>265</v>
      </c>
      <c r="I79" s="9">
        <v>417.72</v>
      </c>
      <c r="J79" s="10">
        <f t="shared" si="4"/>
        <v>40617.530000000006</v>
      </c>
      <c r="K79" s="6">
        <f t="shared" si="5"/>
        <v>168059.31999999986</v>
      </c>
      <c r="L79" s="31"/>
    </row>
    <row r="80" spans="1:12" x14ac:dyDescent="0.25">
      <c r="A80" s="5" t="s">
        <v>186</v>
      </c>
      <c r="B80" s="42">
        <f t="shared" si="3"/>
        <v>41.035250000000005</v>
      </c>
      <c r="C80" s="7" t="s">
        <v>171</v>
      </c>
      <c r="D80" s="7" t="s">
        <v>173</v>
      </c>
      <c r="E80" s="7" t="s">
        <v>0</v>
      </c>
      <c r="F80" s="8">
        <v>40.285599999999867</v>
      </c>
      <c r="G80" s="7" t="s">
        <v>265</v>
      </c>
      <c r="H80" s="7" t="s">
        <v>266</v>
      </c>
      <c r="I80" s="9">
        <v>619.5</v>
      </c>
      <c r="J80" s="10">
        <f t="shared" si="4"/>
        <v>41035.250000000007</v>
      </c>
      <c r="K80" s="6">
        <f t="shared" si="5"/>
        <v>167641.59999999986</v>
      </c>
      <c r="L80" s="31"/>
    </row>
    <row r="81" spans="1:12" x14ac:dyDescent="0.25">
      <c r="A81" s="5" t="s">
        <v>186</v>
      </c>
      <c r="B81" s="42">
        <f t="shared" si="3"/>
        <v>41.654750000000007</v>
      </c>
      <c r="C81" s="7" t="s">
        <v>173</v>
      </c>
      <c r="D81" s="7" t="s">
        <v>175</v>
      </c>
      <c r="E81" s="7" t="s">
        <v>0</v>
      </c>
      <c r="F81" s="8">
        <v>40.773099999999864</v>
      </c>
      <c r="G81" s="7" t="s">
        <v>266</v>
      </c>
      <c r="H81" s="7" t="s">
        <v>267</v>
      </c>
      <c r="I81" s="9">
        <v>526.85</v>
      </c>
      <c r="J81" s="10">
        <f t="shared" si="4"/>
        <v>41654.750000000007</v>
      </c>
      <c r="K81" s="6">
        <f t="shared" si="5"/>
        <v>167022.09999999986</v>
      </c>
      <c r="L81" s="31"/>
    </row>
    <row r="82" spans="1:12" x14ac:dyDescent="0.25">
      <c r="A82" s="5" t="s">
        <v>186</v>
      </c>
      <c r="B82" s="42">
        <f t="shared" si="3"/>
        <v>42.181600000000003</v>
      </c>
      <c r="C82" s="7" t="s">
        <v>175</v>
      </c>
      <c r="D82" s="7" t="s">
        <v>177</v>
      </c>
      <c r="E82" s="7" t="s">
        <v>0</v>
      </c>
      <c r="F82" s="8">
        <v>41.250569999999868</v>
      </c>
      <c r="G82" s="7" t="s">
        <v>267</v>
      </c>
      <c r="H82" s="7" t="s">
        <v>268</v>
      </c>
      <c r="I82" s="9">
        <v>480.4</v>
      </c>
      <c r="J82" s="10">
        <f t="shared" si="4"/>
        <v>42181.600000000006</v>
      </c>
      <c r="K82" s="6">
        <f t="shared" si="5"/>
        <v>166495.24999999985</v>
      </c>
      <c r="L82" s="31"/>
    </row>
    <row r="83" spans="1:12" x14ac:dyDescent="0.25">
      <c r="A83" s="5" t="s">
        <v>186</v>
      </c>
      <c r="B83" s="42">
        <f t="shared" si="3"/>
        <v>42.662000000000006</v>
      </c>
      <c r="C83" s="7" t="s">
        <v>177</v>
      </c>
      <c r="D83" s="7" t="s">
        <v>179</v>
      </c>
      <c r="E83" s="7" t="s">
        <v>0</v>
      </c>
      <c r="F83" s="8">
        <v>41.751239999999868</v>
      </c>
      <c r="G83" s="7" t="s">
        <v>268</v>
      </c>
      <c r="H83" s="7" t="s">
        <v>269</v>
      </c>
      <c r="I83" s="9">
        <v>450.7</v>
      </c>
      <c r="J83" s="10">
        <f t="shared" si="4"/>
        <v>42662.000000000007</v>
      </c>
      <c r="K83" s="6">
        <f t="shared" si="5"/>
        <v>166014.84999999986</v>
      </c>
      <c r="L83" s="31"/>
    </row>
    <row r="84" spans="1:12" x14ac:dyDescent="0.25">
      <c r="A84" s="5" t="s">
        <v>186</v>
      </c>
      <c r="B84" s="42">
        <f t="shared" si="3"/>
        <v>43.112700000000004</v>
      </c>
      <c r="C84" s="7" t="s">
        <v>179</v>
      </c>
      <c r="D84" s="7" t="s">
        <v>181</v>
      </c>
      <c r="E84" s="7" t="s">
        <v>0</v>
      </c>
      <c r="F84" s="8">
        <v>42.22030999999987</v>
      </c>
      <c r="G84" s="7" t="s">
        <v>269</v>
      </c>
      <c r="H84" s="7" t="s">
        <v>270</v>
      </c>
      <c r="I84" s="9">
        <v>431.05</v>
      </c>
      <c r="J84" s="10">
        <f t="shared" si="4"/>
        <v>43112.700000000004</v>
      </c>
      <c r="K84" s="6">
        <f t="shared" si="5"/>
        <v>165564.14999999985</v>
      </c>
      <c r="L84" s="31"/>
    </row>
    <row r="85" spans="1:12" x14ac:dyDescent="0.25">
      <c r="A85" s="5" t="s">
        <v>186</v>
      </c>
      <c r="B85" s="42">
        <f t="shared" si="3"/>
        <v>43.54375000000001</v>
      </c>
      <c r="C85" s="7" t="s">
        <v>181</v>
      </c>
      <c r="D85" s="7" t="s">
        <v>183</v>
      </c>
      <c r="E85" s="7" t="s">
        <v>0</v>
      </c>
      <c r="F85" s="8">
        <v>42.575359999999868</v>
      </c>
      <c r="G85" s="7" t="s">
        <v>270</v>
      </c>
      <c r="H85" s="7" t="s">
        <v>271</v>
      </c>
      <c r="I85" s="9">
        <v>541.4</v>
      </c>
      <c r="J85" s="10">
        <f t="shared" si="4"/>
        <v>43543.750000000007</v>
      </c>
      <c r="K85" s="6">
        <f t="shared" si="5"/>
        <v>165133.09999999986</v>
      </c>
      <c r="L85" s="31"/>
    </row>
    <row r="86" spans="1:12" x14ac:dyDescent="0.25">
      <c r="A86" s="5" t="s">
        <v>186</v>
      </c>
      <c r="B86" s="42">
        <f t="shared" si="3"/>
        <v>44.085150000000006</v>
      </c>
      <c r="C86" s="7" t="s">
        <v>183</v>
      </c>
      <c r="D86" s="7" t="s">
        <v>272</v>
      </c>
      <c r="E86" s="7" t="s">
        <v>0</v>
      </c>
      <c r="F86" s="8">
        <v>42.974879999999864</v>
      </c>
      <c r="G86" s="7" t="s">
        <v>271</v>
      </c>
      <c r="H86" s="7" t="s">
        <v>273</v>
      </c>
      <c r="I86" s="9">
        <v>606.16999999999996</v>
      </c>
      <c r="J86" s="10">
        <f t="shared" si="4"/>
        <v>44085.150000000009</v>
      </c>
      <c r="K86" s="6">
        <f t="shared" si="5"/>
        <v>164591.69999999987</v>
      </c>
      <c r="L86" s="31"/>
    </row>
    <row r="87" spans="1:12" x14ac:dyDescent="0.25">
      <c r="A87" s="5" t="s">
        <v>186</v>
      </c>
      <c r="B87" s="42">
        <f t="shared" si="3"/>
        <v>44.691320000000005</v>
      </c>
      <c r="C87" s="7" t="s">
        <v>272</v>
      </c>
      <c r="D87" s="7" t="s">
        <v>274</v>
      </c>
      <c r="E87" s="7" t="s">
        <v>0</v>
      </c>
      <c r="F87" s="8">
        <v>43.429579999999866</v>
      </c>
      <c r="G87" s="7" t="s">
        <v>273</v>
      </c>
      <c r="H87" s="7" t="s">
        <v>275</v>
      </c>
      <c r="I87" s="9">
        <v>524.88</v>
      </c>
      <c r="J87" s="10">
        <f t="shared" si="4"/>
        <v>44691.320000000007</v>
      </c>
      <c r="K87" s="6">
        <f t="shared" si="5"/>
        <v>163985.52999999985</v>
      </c>
      <c r="L87" s="31"/>
    </row>
    <row r="88" spans="1:12" x14ac:dyDescent="0.25">
      <c r="A88" s="5" t="s">
        <v>186</v>
      </c>
      <c r="B88" s="42">
        <f t="shared" si="3"/>
        <v>45.216200000000008</v>
      </c>
      <c r="C88" s="7" t="s">
        <v>274</v>
      </c>
      <c r="D88" s="7" t="s">
        <v>276</v>
      </c>
      <c r="E88" s="7" t="s">
        <v>0</v>
      </c>
      <c r="F88" s="8">
        <v>43.974859999999865</v>
      </c>
      <c r="G88" s="7" t="s">
        <v>275</v>
      </c>
      <c r="H88" s="7" t="s">
        <v>277</v>
      </c>
      <c r="I88" s="9">
        <v>510.4</v>
      </c>
      <c r="J88" s="10">
        <f t="shared" si="4"/>
        <v>45216.200000000004</v>
      </c>
      <c r="K88" s="6">
        <f t="shared" si="5"/>
        <v>163460.64999999985</v>
      </c>
      <c r="L88" s="31"/>
    </row>
    <row r="89" spans="1:12" x14ac:dyDescent="0.25">
      <c r="A89" s="5" t="s">
        <v>186</v>
      </c>
      <c r="B89" s="42">
        <f t="shared" si="3"/>
        <v>45.726600000000005</v>
      </c>
      <c r="C89" s="7" t="s">
        <v>276</v>
      </c>
      <c r="D89" s="7" t="s">
        <v>278</v>
      </c>
      <c r="E89" s="7" t="s">
        <v>0</v>
      </c>
      <c r="F89" s="8">
        <v>44.521189999999862</v>
      </c>
      <c r="G89" s="7" t="s">
        <v>277</v>
      </c>
      <c r="H89" s="7" t="s">
        <v>279</v>
      </c>
      <c r="I89" s="9">
        <v>532.17999999999995</v>
      </c>
      <c r="J89" s="10">
        <f t="shared" si="4"/>
        <v>45726.600000000006</v>
      </c>
      <c r="K89" s="6">
        <f t="shared" si="5"/>
        <v>162950.24999999985</v>
      </c>
      <c r="L89" s="31"/>
    </row>
    <row r="90" spans="1:12" x14ac:dyDescent="0.25">
      <c r="A90" s="5" t="s">
        <v>186</v>
      </c>
      <c r="B90" s="42">
        <f t="shared" si="3"/>
        <v>46.258780000000009</v>
      </c>
      <c r="C90" s="7" t="s">
        <v>278</v>
      </c>
      <c r="D90" s="7" t="s">
        <v>280</v>
      </c>
      <c r="E90" s="7" t="s">
        <v>0</v>
      </c>
      <c r="F90" s="8">
        <v>45.02977999999986</v>
      </c>
      <c r="G90" s="7" t="s">
        <v>279</v>
      </c>
      <c r="H90" s="7" t="s">
        <v>281</v>
      </c>
      <c r="I90" s="9">
        <v>559.70000000000005</v>
      </c>
      <c r="J90" s="10">
        <f t="shared" si="4"/>
        <v>46258.780000000006</v>
      </c>
      <c r="K90" s="6">
        <f t="shared" si="5"/>
        <v>162418.06999999986</v>
      </c>
      <c r="L90" s="31"/>
    </row>
    <row r="91" spans="1:12" x14ac:dyDescent="0.25">
      <c r="A91" s="5" t="s">
        <v>186</v>
      </c>
      <c r="B91" s="42">
        <f t="shared" si="3"/>
        <v>46.818480000000001</v>
      </c>
      <c r="C91" s="7" t="s">
        <v>280</v>
      </c>
      <c r="D91" s="7" t="s">
        <v>282</v>
      </c>
      <c r="E91" s="7" t="s">
        <v>0</v>
      </c>
      <c r="F91" s="8">
        <v>45.646219999999865</v>
      </c>
      <c r="G91" s="7" t="s">
        <v>281</v>
      </c>
      <c r="H91" s="7" t="s">
        <v>283</v>
      </c>
      <c r="I91" s="9">
        <v>471.31</v>
      </c>
      <c r="J91" s="10">
        <f t="shared" si="4"/>
        <v>46818.48</v>
      </c>
      <c r="K91" s="6">
        <f t="shared" si="5"/>
        <v>161858.36999999985</v>
      </c>
      <c r="L91" s="31"/>
    </row>
    <row r="92" spans="1:12" x14ac:dyDescent="0.25">
      <c r="A92" s="5" t="s">
        <v>186</v>
      </c>
      <c r="B92" s="42">
        <f t="shared" si="3"/>
        <v>47.289790000000004</v>
      </c>
      <c r="C92" s="7" t="s">
        <v>282</v>
      </c>
      <c r="D92" s="7" t="s">
        <v>284</v>
      </c>
      <c r="E92" s="7" t="s">
        <v>0</v>
      </c>
      <c r="F92" s="8">
        <v>46.200099999999857</v>
      </c>
      <c r="G92" s="7" t="s">
        <v>283</v>
      </c>
      <c r="H92" s="7" t="s">
        <v>285</v>
      </c>
      <c r="I92" s="9">
        <v>574.62</v>
      </c>
      <c r="J92" s="10">
        <f t="shared" si="4"/>
        <v>47289.79</v>
      </c>
      <c r="K92" s="6">
        <f t="shared" si="5"/>
        <v>161387.05999999985</v>
      </c>
      <c r="L92" s="31"/>
    </row>
    <row r="93" spans="1:12" x14ac:dyDescent="0.25">
      <c r="A93" s="5" t="s">
        <v>186</v>
      </c>
      <c r="B93" s="42">
        <f t="shared" si="3"/>
        <v>47.864410000000007</v>
      </c>
      <c r="C93" s="7" t="s">
        <v>284</v>
      </c>
      <c r="D93" s="7" t="s">
        <v>286</v>
      </c>
      <c r="E93" s="7" t="s">
        <v>0</v>
      </c>
      <c r="F93" s="8">
        <v>46.743779999999859</v>
      </c>
      <c r="G93" s="7" t="s">
        <v>285</v>
      </c>
      <c r="H93" s="7" t="s">
        <v>287</v>
      </c>
      <c r="I93" s="9">
        <v>463.31</v>
      </c>
      <c r="J93" s="10">
        <f t="shared" si="4"/>
        <v>47864.41</v>
      </c>
      <c r="K93" s="6">
        <f t="shared" si="5"/>
        <v>160812.43999999986</v>
      </c>
      <c r="L93" s="31"/>
    </row>
    <row r="94" spans="1:12" x14ac:dyDescent="0.25">
      <c r="A94" s="5" t="s">
        <v>186</v>
      </c>
      <c r="B94" s="42">
        <f t="shared" si="3"/>
        <v>48.327719999999999</v>
      </c>
      <c r="C94" s="7" t="s">
        <v>286</v>
      </c>
      <c r="D94" s="7" t="s">
        <v>288</v>
      </c>
      <c r="E94" s="7" t="s">
        <v>0</v>
      </c>
      <c r="F94" s="8">
        <v>47.369239999999863</v>
      </c>
      <c r="G94" s="7" t="s">
        <v>287</v>
      </c>
      <c r="H94" s="7" t="s">
        <v>289</v>
      </c>
      <c r="I94" s="9">
        <v>434.7</v>
      </c>
      <c r="J94" s="10">
        <f t="shared" si="4"/>
        <v>48327.72</v>
      </c>
      <c r="K94" s="6">
        <f t="shared" si="5"/>
        <v>160349.12999999986</v>
      </c>
      <c r="L94" s="31"/>
    </row>
    <row r="95" spans="1:12" x14ac:dyDescent="0.25">
      <c r="A95" s="5" t="s">
        <v>186</v>
      </c>
      <c r="B95" s="42">
        <f t="shared" si="3"/>
        <v>48.762419999999999</v>
      </c>
      <c r="C95" s="7" t="s">
        <v>288</v>
      </c>
      <c r="D95" s="7" t="s">
        <v>290</v>
      </c>
      <c r="E95" s="7" t="s">
        <v>0</v>
      </c>
      <c r="F95" s="8">
        <v>47.918409999999859</v>
      </c>
      <c r="G95" s="7" t="s">
        <v>289</v>
      </c>
      <c r="H95" s="7" t="s">
        <v>291</v>
      </c>
      <c r="I95" s="9">
        <v>502.73</v>
      </c>
      <c r="J95" s="10">
        <f t="shared" si="4"/>
        <v>48762.42</v>
      </c>
      <c r="K95" s="6">
        <f t="shared" si="5"/>
        <v>159914.42999999985</v>
      </c>
      <c r="L95" s="31"/>
    </row>
    <row r="96" spans="1:12" x14ac:dyDescent="0.25">
      <c r="A96" s="5" t="s">
        <v>186</v>
      </c>
      <c r="B96" s="42">
        <f t="shared" si="3"/>
        <v>49.265149999999998</v>
      </c>
      <c r="C96" s="7" t="s">
        <v>290</v>
      </c>
      <c r="D96" s="7" t="s">
        <v>292</v>
      </c>
      <c r="E96" s="7" t="s">
        <v>0</v>
      </c>
      <c r="F96" s="8">
        <v>48.517249999999855</v>
      </c>
      <c r="G96" s="7" t="s">
        <v>291</v>
      </c>
      <c r="H96" s="7" t="s">
        <v>293</v>
      </c>
      <c r="I96" s="9">
        <v>389.1</v>
      </c>
      <c r="J96" s="10">
        <f t="shared" si="4"/>
        <v>49265.15</v>
      </c>
      <c r="K96" s="6">
        <f t="shared" si="5"/>
        <v>159411.69999999984</v>
      </c>
      <c r="L96" s="31"/>
    </row>
    <row r="97" spans="1:12" x14ac:dyDescent="0.25">
      <c r="A97" s="5" t="s">
        <v>186</v>
      </c>
      <c r="B97" s="42">
        <f t="shared" si="3"/>
        <v>49.654249999999998</v>
      </c>
      <c r="C97" s="7" t="s">
        <v>292</v>
      </c>
      <c r="D97" s="7" t="s">
        <v>294</v>
      </c>
      <c r="E97" s="7" t="s">
        <v>0</v>
      </c>
      <c r="F97" s="8">
        <v>49.093049999999856</v>
      </c>
      <c r="G97" s="7" t="s">
        <v>293</v>
      </c>
      <c r="H97" s="7" t="s">
        <v>295</v>
      </c>
      <c r="I97" s="9">
        <v>381.15</v>
      </c>
      <c r="J97" s="10">
        <f t="shared" si="4"/>
        <v>49654.25</v>
      </c>
      <c r="K97" s="6">
        <f t="shared" si="5"/>
        <v>159022.59999999983</v>
      </c>
      <c r="L97" s="31"/>
    </row>
    <row r="98" spans="1:12" x14ac:dyDescent="0.25">
      <c r="A98" s="5" t="s">
        <v>186</v>
      </c>
      <c r="B98" s="42">
        <f t="shared" si="3"/>
        <v>50.035400000000003</v>
      </c>
      <c r="C98" s="7" t="s">
        <v>294</v>
      </c>
      <c r="D98" s="7" t="s">
        <v>296</v>
      </c>
      <c r="E98" s="7" t="s">
        <v>0</v>
      </c>
      <c r="F98" s="8">
        <v>49.592829999999857</v>
      </c>
      <c r="G98" s="7" t="s">
        <v>295</v>
      </c>
      <c r="H98" s="7" t="s">
        <v>297</v>
      </c>
      <c r="I98" s="9">
        <v>503.22</v>
      </c>
      <c r="J98" s="10">
        <f t="shared" si="4"/>
        <v>50035.4</v>
      </c>
      <c r="K98" s="6">
        <f t="shared" si="5"/>
        <v>158641.44999999984</v>
      </c>
      <c r="L98" s="31"/>
    </row>
    <row r="99" spans="1:12" x14ac:dyDescent="0.25">
      <c r="A99" s="5" t="s">
        <v>186</v>
      </c>
      <c r="B99" s="42">
        <f t="shared" si="3"/>
        <v>50.538620000000002</v>
      </c>
      <c r="C99" s="7" t="s">
        <v>296</v>
      </c>
      <c r="D99" s="7" t="s">
        <v>298</v>
      </c>
      <c r="E99" s="7" t="s">
        <v>0</v>
      </c>
      <c r="F99" s="8">
        <v>50.16697999999986</v>
      </c>
      <c r="G99" s="7" t="s">
        <v>297</v>
      </c>
      <c r="H99" s="7" t="s">
        <v>299</v>
      </c>
      <c r="I99" s="9">
        <v>579.72</v>
      </c>
      <c r="J99" s="10">
        <f t="shared" si="4"/>
        <v>50538.62</v>
      </c>
      <c r="K99" s="6">
        <f t="shared" si="5"/>
        <v>158138.22999999984</v>
      </c>
      <c r="L99" s="31"/>
    </row>
    <row r="100" spans="1:12" x14ac:dyDescent="0.25">
      <c r="A100" s="5" t="s">
        <v>186</v>
      </c>
      <c r="B100" s="42">
        <f t="shared" si="3"/>
        <v>51.118340000000003</v>
      </c>
      <c r="C100" s="7" t="s">
        <v>298</v>
      </c>
      <c r="D100" s="7" t="s">
        <v>300</v>
      </c>
      <c r="E100" s="7" t="s">
        <v>0</v>
      </c>
      <c r="F100" s="8">
        <v>50.689439999999856</v>
      </c>
      <c r="G100" s="7" t="s">
        <v>299</v>
      </c>
      <c r="H100" s="7" t="s">
        <v>301</v>
      </c>
      <c r="I100" s="9">
        <v>592.37</v>
      </c>
      <c r="J100" s="10">
        <f t="shared" si="4"/>
        <v>51118.340000000004</v>
      </c>
      <c r="K100" s="6">
        <f t="shared" si="5"/>
        <v>157558.50999999983</v>
      </c>
      <c r="L100" s="31"/>
    </row>
    <row r="101" spans="1:12" x14ac:dyDescent="0.25">
      <c r="A101" s="5" t="s">
        <v>186</v>
      </c>
      <c r="B101" s="42">
        <f t="shared" si="3"/>
        <v>51.710710000000006</v>
      </c>
      <c r="C101" s="7" t="s">
        <v>300</v>
      </c>
      <c r="D101" s="7" t="s">
        <v>302</v>
      </c>
      <c r="E101" s="7" t="s">
        <v>0</v>
      </c>
      <c r="F101" s="8">
        <v>51.278489999999863</v>
      </c>
      <c r="G101" s="7" t="s">
        <v>301</v>
      </c>
      <c r="H101" s="7" t="s">
        <v>303</v>
      </c>
      <c r="I101" s="9">
        <v>502.17</v>
      </c>
      <c r="J101" s="10">
        <f t="shared" si="4"/>
        <v>51710.710000000006</v>
      </c>
      <c r="K101" s="6">
        <f t="shared" si="5"/>
        <v>156966.13999999984</v>
      </c>
      <c r="L101" s="31"/>
    </row>
    <row r="102" spans="1:12" x14ac:dyDescent="0.25">
      <c r="A102" s="5" t="s">
        <v>186</v>
      </c>
      <c r="B102" s="42">
        <f t="shared" si="3"/>
        <v>52.212880000000006</v>
      </c>
      <c r="C102" s="7" t="s">
        <v>302</v>
      </c>
      <c r="D102" s="7" t="s">
        <v>304</v>
      </c>
      <c r="E102" s="7" t="s">
        <v>0</v>
      </c>
      <c r="F102" s="8">
        <v>51.837719999999862</v>
      </c>
      <c r="G102" s="7" t="s">
        <v>303</v>
      </c>
      <c r="H102" s="7" t="s">
        <v>305</v>
      </c>
      <c r="I102" s="9">
        <v>496.37</v>
      </c>
      <c r="J102" s="10">
        <f t="shared" si="4"/>
        <v>52212.880000000005</v>
      </c>
      <c r="K102" s="6">
        <f t="shared" si="5"/>
        <v>156463.96999999983</v>
      </c>
      <c r="L102" s="31"/>
    </row>
    <row r="103" spans="1:12" x14ac:dyDescent="0.25">
      <c r="A103" s="5" t="s">
        <v>186</v>
      </c>
      <c r="B103" s="42">
        <f t="shared" si="3"/>
        <v>52.709250000000004</v>
      </c>
      <c r="C103" s="7" t="s">
        <v>304</v>
      </c>
      <c r="D103" s="7" t="s">
        <v>306</v>
      </c>
      <c r="E103" s="7" t="s">
        <v>0</v>
      </c>
      <c r="F103" s="8">
        <v>52.422139999999864</v>
      </c>
      <c r="G103" s="7" t="s">
        <v>305</v>
      </c>
      <c r="H103" s="7" t="s">
        <v>307</v>
      </c>
      <c r="I103" s="9">
        <v>513.91</v>
      </c>
      <c r="J103" s="10">
        <f t="shared" si="4"/>
        <v>52709.250000000007</v>
      </c>
      <c r="K103" s="6">
        <f t="shared" si="5"/>
        <v>155967.59999999983</v>
      </c>
      <c r="L103" s="31"/>
    </row>
    <row r="104" spans="1:12" x14ac:dyDescent="0.25">
      <c r="A104" s="5" t="s">
        <v>186</v>
      </c>
      <c r="B104" s="42">
        <f t="shared" si="3"/>
        <v>53.223160000000014</v>
      </c>
      <c r="C104" s="7" t="s">
        <v>306</v>
      </c>
      <c r="D104" s="7" t="s">
        <v>308</v>
      </c>
      <c r="E104" s="7" t="s">
        <v>0</v>
      </c>
      <c r="F104" s="8">
        <v>52.995689999999861</v>
      </c>
      <c r="G104" s="7" t="s">
        <v>307</v>
      </c>
      <c r="H104" s="7" t="s">
        <v>309</v>
      </c>
      <c r="I104" s="9">
        <v>440.41</v>
      </c>
      <c r="J104" s="10">
        <f t="shared" si="4"/>
        <v>53223.160000000011</v>
      </c>
      <c r="K104" s="6">
        <f t="shared" si="5"/>
        <v>155453.68999999983</v>
      </c>
      <c r="L104" s="31"/>
    </row>
    <row r="105" spans="1:12" x14ac:dyDescent="0.25">
      <c r="A105" s="5" t="s">
        <v>186</v>
      </c>
      <c r="B105" s="42">
        <f t="shared" si="3"/>
        <v>53.663570000000014</v>
      </c>
      <c r="C105" s="7" t="s">
        <v>308</v>
      </c>
      <c r="D105" s="7" t="s">
        <v>310</v>
      </c>
      <c r="E105" s="7" t="s">
        <v>0</v>
      </c>
      <c r="F105" s="8">
        <v>53.591259999999863</v>
      </c>
      <c r="G105" s="7" t="s">
        <v>309</v>
      </c>
      <c r="H105" s="7" t="s">
        <v>311</v>
      </c>
      <c r="I105" s="9">
        <v>531.98</v>
      </c>
      <c r="J105" s="10">
        <f t="shared" si="4"/>
        <v>53663.570000000014</v>
      </c>
      <c r="K105" s="6">
        <f t="shared" si="5"/>
        <v>155013.27999999982</v>
      </c>
      <c r="L105" s="31"/>
    </row>
    <row r="106" spans="1:12" x14ac:dyDescent="0.25">
      <c r="A106" s="5" t="s">
        <v>186</v>
      </c>
      <c r="B106" s="42">
        <f t="shared" si="3"/>
        <v>54.195550000000019</v>
      </c>
      <c r="C106" s="7" t="s">
        <v>310</v>
      </c>
      <c r="D106" s="7" t="s">
        <v>312</v>
      </c>
      <c r="E106" s="7" t="s">
        <v>0</v>
      </c>
      <c r="F106" s="8">
        <v>54.131659999999869</v>
      </c>
      <c r="G106" s="7" t="s">
        <v>311</v>
      </c>
      <c r="H106" s="7" t="s">
        <v>313</v>
      </c>
      <c r="I106" s="9">
        <v>636.65</v>
      </c>
      <c r="J106" s="10">
        <f t="shared" si="4"/>
        <v>54195.550000000017</v>
      </c>
      <c r="K106" s="6">
        <f t="shared" si="5"/>
        <v>154481.29999999981</v>
      </c>
      <c r="L106" s="31"/>
    </row>
    <row r="107" spans="1:12" x14ac:dyDescent="0.25">
      <c r="A107" s="5" t="s">
        <v>186</v>
      </c>
      <c r="B107" s="42">
        <f t="shared" si="3"/>
        <v>54.832200000000022</v>
      </c>
      <c r="C107" s="7" t="s">
        <v>312</v>
      </c>
      <c r="D107" s="7" t="s">
        <v>314</v>
      </c>
      <c r="E107" s="7" t="s">
        <v>0</v>
      </c>
      <c r="F107" s="8">
        <v>54.612699999999869</v>
      </c>
      <c r="G107" s="7" t="s">
        <v>313</v>
      </c>
      <c r="H107" s="7" t="s">
        <v>315</v>
      </c>
      <c r="I107" s="9">
        <v>535.69000000000005</v>
      </c>
      <c r="J107" s="10">
        <f t="shared" si="4"/>
        <v>54832.200000000019</v>
      </c>
      <c r="K107" s="6">
        <f t="shared" si="5"/>
        <v>153844.64999999982</v>
      </c>
      <c r="L107" s="31"/>
    </row>
    <row r="108" spans="1:12" x14ac:dyDescent="0.25">
      <c r="A108" s="5" t="s">
        <v>186</v>
      </c>
      <c r="B108" s="42">
        <f t="shared" si="3"/>
        <v>55.367890000000024</v>
      </c>
      <c r="C108" s="7" t="s">
        <v>314</v>
      </c>
      <c r="D108" s="7" t="s">
        <v>316</v>
      </c>
      <c r="E108" s="7" t="s">
        <v>0</v>
      </c>
      <c r="F108" s="8">
        <v>55.301079999999864</v>
      </c>
      <c r="G108" s="7" t="s">
        <v>315</v>
      </c>
      <c r="H108" s="7" t="s">
        <v>317</v>
      </c>
      <c r="I108" s="9">
        <v>538</v>
      </c>
      <c r="J108" s="10">
        <f t="shared" si="4"/>
        <v>55367.890000000021</v>
      </c>
      <c r="K108" s="6">
        <f t="shared" si="5"/>
        <v>153308.95999999982</v>
      </c>
      <c r="L108" s="31"/>
    </row>
    <row r="109" spans="1:12" x14ac:dyDescent="0.25">
      <c r="A109" s="5" t="s">
        <v>186</v>
      </c>
      <c r="B109" s="42">
        <f t="shared" si="3"/>
        <v>55.905890000000021</v>
      </c>
      <c r="C109" s="7" t="s">
        <v>316</v>
      </c>
      <c r="D109" s="7" t="s">
        <v>318</v>
      </c>
      <c r="E109" s="7" t="s">
        <v>0</v>
      </c>
      <c r="F109" s="8">
        <v>56.021849999999858</v>
      </c>
      <c r="G109" s="7" t="s">
        <v>317</v>
      </c>
      <c r="H109" s="7" t="s">
        <v>319</v>
      </c>
      <c r="I109" s="9">
        <v>510.18</v>
      </c>
      <c r="J109" s="10">
        <f t="shared" si="4"/>
        <v>55905.890000000021</v>
      </c>
      <c r="K109" s="6">
        <f t="shared" si="5"/>
        <v>152770.95999999982</v>
      </c>
      <c r="L109" s="31"/>
    </row>
    <row r="110" spans="1:12" x14ac:dyDescent="0.25">
      <c r="A110" s="5" t="s">
        <v>186</v>
      </c>
      <c r="B110" s="42">
        <f t="shared" si="3"/>
        <v>56.416070000000019</v>
      </c>
      <c r="C110" s="7" t="s">
        <v>318</v>
      </c>
      <c r="D110" s="7" t="s">
        <v>320</v>
      </c>
      <c r="E110" s="7" t="s">
        <v>0</v>
      </c>
      <c r="F110" s="8">
        <v>56.651289999999861</v>
      </c>
      <c r="G110" s="7" t="s">
        <v>319</v>
      </c>
      <c r="H110" s="7" t="s">
        <v>321</v>
      </c>
      <c r="I110" s="9">
        <v>464.85</v>
      </c>
      <c r="J110" s="10">
        <f t="shared" si="4"/>
        <v>56416.070000000022</v>
      </c>
      <c r="K110" s="6">
        <f t="shared" si="5"/>
        <v>152260.77999999982</v>
      </c>
      <c r="L110" s="31"/>
    </row>
    <row r="111" spans="1:12" x14ac:dyDescent="0.25">
      <c r="A111" s="5" t="s">
        <v>186</v>
      </c>
      <c r="B111" s="42">
        <f t="shared" si="3"/>
        <v>56.880920000000017</v>
      </c>
      <c r="C111" s="7" t="s">
        <v>320</v>
      </c>
      <c r="D111" s="7" t="s">
        <v>322</v>
      </c>
      <c r="E111" s="7" t="s">
        <v>0</v>
      </c>
      <c r="F111" s="8">
        <v>57.183409999999867</v>
      </c>
      <c r="G111" s="7" t="s">
        <v>321</v>
      </c>
      <c r="H111" s="7" t="s">
        <v>323</v>
      </c>
      <c r="I111" s="9">
        <v>460.63</v>
      </c>
      <c r="J111" s="10">
        <f t="shared" si="4"/>
        <v>56880.92000000002</v>
      </c>
      <c r="K111" s="6">
        <f t="shared" si="5"/>
        <v>151795.92999999982</v>
      </c>
      <c r="L111" s="31"/>
    </row>
    <row r="112" spans="1:12" x14ac:dyDescent="0.25">
      <c r="A112" s="5" t="s">
        <v>186</v>
      </c>
      <c r="B112" s="42">
        <f t="shared" si="3"/>
        <v>57.341550000000019</v>
      </c>
      <c r="C112" s="7" t="s">
        <v>322</v>
      </c>
      <c r="D112" s="7" t="s">
        <v>324</v>
      </c>
      <c r="E112" s="7" t="s">
        <v>0</v>
      </c>
      <c r="F112" s="8">
        <v>57.754179999999863</v>
      </c>
      <c r="G112" s="7" t="s">
        <v>323</v>
      </c>
      <c r="H112" s="7" t="s">
        <v>325</v>
      </c>
      <c r="I112" s="9">
        <v>577.77</v>
      </c>
      <c r="J112" s="10">
        <f t="shared" si="4"/>
        <v>57341.550000000017</v>
      </c>
      <c r="K112" s="6">
        <f t="shared" si="5"/>
        <v>151335.29999999981</v>
      </c>
      <c r="L112" s="31"/>
    </row>
    <row r="113" spans="1:12" x14ac:dyDescent="0.25">
      <c r="A113" s="5" t="s">
        <v>186</v>
      </c>
      <c r="B113" s="42">
        <f t="shared" si="3"/>
        <v>57.919320000000013</v>
      </c>
      <c r="C113" s="7" t="s">
        <v>324</v>
      </c>
      <c r="D113" s="7" t="s">
        <v>326</v>
      </c>
      <c r="E113" s="7" t="s">
        <v>0</v>
      </c>
      <c r="F113" s="8">
        <v>58.328819999999858</v>
      </c>
      <c r="G113" s="7" t="s">
        <v>325</v>
      </c>
      <c r="H113" s="7" t="s">
        <v>327</v>
      </c>
      <c r="I113" s="9">
        <v>460.28</v>
      </c>
      <c r="J113" s="10">
        <f t="shared" si="4"/>
        <v>57919.320000000014</v>
      </c>
      <c r="K113" s="6">
        <f t="shared" si="5"/>
        <v>150757.52999999982</v>
      </c>
      <c r="L113" s="31"/>
    </row>
    <row r="114" spans="1:12" x14ac:dyDescent="0.25">
      <c r="A114" s="5" t="s">
        <v>186</v>
      </c>
      <c r="B114" s="42">
        <f t="shared" si="3"/>
        <v>58.379600000000011</v>
      </c>
      <c r="C114" s="7" t="s">
        <v>326</v>
      </c>
      <c r="D114" s="7" t="s">
        <v>328</v>
      </c>
      <c r="E114" s="7" t="s">
        <v>0</v>
      </c>
      <c r="F114" s="8">
        <v>58.867119999999865</v>
      </c>
      <c r="G114" s="7" t="s">
        <v>327</v>
      </c>
      <c r="H114" s="7" t="s">
        <v>329</v>
      </c>
      <c r="I114" s="9">
        <v>569.26</v>
      </c>
      <c r="J114" s="10">
        <f t="shared" si="4"/>
        <v>58379.600000000013</v>
      </c>
      <c r="K114" s="6">
        <f t="shared" si="5"/>
        <v>150297.24999999983</v>
      </c>
      <c r="L114" s="31"/>
    </row>
    <row r="115" spans="1:12" x14ac:dyDescent="0.25">
      <c r="A115" s="5" t="s">
        <v>186</v>
      </c>
      <c r="B115" s="42">
        <f t="shared" si="3"/>
        <v>58.948860000000018</v>
      </c>
      <c r="C115" s="7" t="s">
        <v>328</v>
      </c>
      <c r="D115" s="7" t="s">
        <v>330</v>
      </c>
      <c r="E115" s="7" t="s">
        <v>0</v>
      </c>
      <c r="F115" s="8">
        <v>59.361459999999859</v>
      </c>
      <c r="G115" s="7" t="s">
        <v>329</v>
      </c>
      <c r="H115" s="7" t="s">
        <v>331</v>
      </c>
      <c r="I115" s="9">
        <v>595.61</v>
      </c>
      <c r="J115" s="10">
        <f t="shared" si="4"/>
        <v>58948.860000000015</v>
      </c>
      <c r="K115" s="6">
        <f t="shared" si="5"/>
        <v>149727.98999999982</v>
      </c>
      <c r="L115" s="31"/>
    </row>
    <row r="116" spans="1:12" x14ac:dyDescent="0.25">
      <c r="A116" s="5" t="s">
        <v>186</v>
      </c>
      <c r="B116" s="42">
        <f t="shared" si="3"/>
        <v>59.544470000000018</v>
      </c>
      <c r="C116" s="7" t="s">
        <v>330</v>
      </c>
      <c r="D116" s="7" t="s">
        <v>332</v>
      </c>
      <c r="E116" s="7" t="s">
        <v>0</v>
      </c>
      <c r="F116" s="8">
        <v>59.843079999999865</v>
      </c>
      <c r="G116" s="7" t="s">
        <v>331</v>
      </c>
      <c r="H116" s="7" t="s">
        <v>333</v>
      </c>
      <c r="I116" s="9">
        <v>478.09</v>
      </c>
      <c r="J116" s="10">
        <f t="shared" si="4"/>
        <v>59544.470000000016</v>
      </c>
      <c r="K116" s="6">
        <f t="shared" si="5"/>
        <v>149132.37999999983</v>
      </c>
      <c r="L116" s="31"/>
    </row>
    <row r="117" spans="1:12" x14ac:dyDescent="0.25">
      <c r="A117" s="5" t="s">
        <v>186</v>
      </c>
      <c r="B117" s="42">
        <f t="shared" si="3"/>
        <v>60.022560000000013</v>
      </c>
      <c r="C117" s="7" t="s">
        <v>332</v>
      </c>
      <c r="D117" s="7" t="s">
        <v>334</v>
      </c>
      <c r="E117" s="7" t="s">
        <v>0</v>
      </c>
      <c r="F117" s="8">
        <v>60.393969999999861</v>
      </c>
      <c r="G117" s="7" t="s">
        <v>333</v>
      </c>
      <c r="H117" s="7" t="s">
        <v>335</v>
      </c>
      <c r="I117" s="9">
        <v>888.04</v>
      </c>
      <c r="J117" s="10">
        <f t="shared" si="4"/>
        <v>60022.560000000012</v>
      </c>
      <c r="K117" s="6">
        <f t="shared" si="5"/>
        <v>148654.28999999983</v>
      </c>
      <c r="L117" s="31"/>
    </row>
    <row r="118" spans="1:12" x14ac:dyDescent="0.25">
      <c r="A118" s="5" t="s">
        <v>186</v>
      </c>
      <c r="B118" s="42">
        <f t="shared" si="3"/>
        <v>60.910600000000017</v>
      </c>
      <c r="C118" s="7" t="s">
        <v>334</v>
      </c>
      <c r="D118" s="7" t="s">
        <v>336</v>
      </c>
      <c r="E118" s="7" t="s">
        <v>0</v>
      </c>
      <c r="F118" s="8">
        <v>60.933199999999864</v>
      </c>
      <c r="G118" s="7" t="s">
        <v>335</v>
      </c>
      <c r="H118" s="7" t="s">
        <v>337</v>
      </c>
      <c r="I118" s="9">
        <v>387.29</v>
      </c>
      <c r="J118" s="10">
        <f t="shared" si="4"/>
        <v>60910.600000000013</v>
      </c>
      <c r="K118" s="6">
        <f t="shared" si="5"/>
        <v>147766.24999999983</v>
      </c>
      <c r="L118" s="31"/>
    </row>
    <row r="119" spans="1:12" x14ac:dyDescent="0.25">
      <c r="A119" s="5" t="s">
        <v>186</v>
      </c>
      <c r="B119" s="42">
        <f t="shared" si="3"/>
        <v>61.297890000000017</v>
      </c>
      <c r="C119" s="7" t="s">
        <v>336</v>
      </c>
      <c r="D119" s="7" t="s">
        <v>338</v>
      </c>
      <c r="E119" s="7" t="s">
        <v>0</v>
      </c>
      <c r="F119" s="8">
        <v>61.491589999999867</v>
      </c>
      <c r="G119" s="7" t="s">
        <v>337</v>
      </c>
      <c r="H119" s="7" t="s">
        <v>339</v>
      </c>
      <c r="I119" s="9">
        <v>459.21</v>
      </c>
      <c r="J119" s="10">
        <f t="shared" si="4"/>
        <v>61297.890000000014</v>
      </c>
      <c r="K119" s="6">
        <f t="shared" si="5"/>
        <v>147378.95999999982</v>
      </c>
      <c r="L119" s="31"/>
    </row>
    <row r="120" spans="1:12" x14ac:dyDescent="0.25">
      <c r="A120" s="5" t="s">
        <v>186</v>
      </c>
      <c r="B120" s="42">
        <f t="shared" si="3"/>
        <v>61.757100000000015</v>
      </c>
      <c r="C120" s="7" t="s">
        <v>338</v>
      </c>
      <c r="D120" s="7" t="s">
        <v>340</v>
      </c>
      <c r="E120" s="7" t="s">
        <v>0</v>
      </c>
      <c r="F120" s="8">
        <v>62.083409999999866</v>
      </c>
      <c r="G120" s="7" t="s">
        <v>339</v>
      </c>
      <c r="H120" s="7" t="s">
        <v>341</v>
      </c>
      <c r="I120" s="9">
        <v>461.62</v>
      </c>
      <c r="J120" s="10">
        <f t="shared" si="4"/>
        <v>61757.100000000013</v>
      </c>
      <c r="K120" s="6">
        <f t="shared" si="5"/>
        <v>146919.74999999983</v>
      </c>
      <c r="L120" s="31"/>
    </row>
    <row r="121" spans="1:12" x14ac:dyDescent="0.25">
      <c r="A121" s="5" t="s">
        <v>186</v>
      </c>
      <c r="B121" s="42">
        <f t="shared" si="3"/>
        <v>62.218720000000019</v>
      </c>
      <c r="C121" s="7" t="s">
        <v>340</v>
      </c>
      <c r="D121" s="7" t="s">
        <v>342</v>
      </c>
      <c r="E121" s="7" t="s">
        <v>0</v>
      </c>
      <c r="F121" s="8">
        <v>62.652649999999866</v>
      </c>
      <c r="G121" s="7" t="s">
        <v>341</v>
      </c>
      <c r="H121" s="7" t="s">
        <v>343</v>
      </c>
      <c r="I121" s="9">
        <v>465.21</v>
      </c>
      <c r="J121" s="10">
        <f t="shared" si="4"/>
        <v>62218.720000000016</v>
      </c>
      <c r="K121" s="6">
        <f t="shared" si="5"/>
        <v>146458.12999999983</v>
      </c>
      <c r="L121" s="31"/>
    </row>
    <row r="122" spans="1:12" x14ac:dyDescent="0.25">
      <c r="A122" s="5" t="s">
        <v>186</v>
      </c>
      <c r="B122" s="42">
        <f t="shared" si="3"/>
        <v>62.683930000000018</v>
      </c>
      <c r="C122" s="7" t="s">
        <v>342</v>
      </c>
      <c r="D122" s="7" t="s">
        <v>344</v>
      </c>
      <c r="E122" s="7" t="s">
        <v>0</v>
      </c>
      <c r="F122" s="8">
        <v>63.050379999999869</v>
      </c>
      <c r="G122" s="7" t="s">
        <v>343</v>
      </c>
      <c r="H122" s="7" t="s">
        <v>345</v>
      </c>
      <c r="I122" s="9">
        <v>418.63</v>
      </c>
      <c r="J122" s="10">
        <f t="shared" si="4"/>
        <v>62683.930000000015</v>
      </c>
      <c r="K122" s="6">
        <f t="shared" si="5"/>
        <v>145992.91999999984</v>
      </c>
      <c r="L122" s="31"/>
    </row>
    <row r="123" spans="1:12" x14ac:dyDescent="0.25">
      <c r="A123" s="5" t="s">
        <v>186</v>
      </c>
      <c r="B123" s="42">
        <f t="shared" si="3"/>
        <v>63.102560000000011</v>
      </c>
      <c r="C123" s="7" t="s">
        <v>344</v>
      </c>
      <c r="D123" s="7" t="s">
        <v>346</v>
      </c>
      <c r="E123" s="7" t="s">
        <v>0</v>
      </c>
      <c r="F123" s="8">
        <v>63.545179999999867</v>
      </c>
      <c r="G123" s="7" t="s">
        <v>345</v>
      </c>
      <c r="H123" s="7" t="s">
        <v>347</v>
      </c>
      <c r="I123" s="9">
        <v>600.15</v>
      </c>
      <c r="J123" s="10">
        <f t="shared" si="4"/>
        <v>63102.560000000012</v>
      </c>
      <c r="K123" s="6">
        <f t="shared" si="5"/>
        <v>145574.28999999983</v>
      </c>
      <c r="L123" s="31"/>
    </row>
    <row r="124" spans="1:12" x14ac:dyDescent="0.25">
      <c r="A124" s="5" t="s">
        <v>186</v>
      </c>
      <c r="B124" s="42">
        <f t="shared" si="3"/>
        <v>63.70271000000001</v>
      </c>
      <c r="C124" s="7" t="s">
        <v>346</v>
      </c>
      <c r="D124" s="7" t="s">
        <v>348</v>
      </c>
      <c r="E124" s="7" t="s">
        <v>0</v>
      </c>
      <c r="F124" s="8">
        <v>64.089179999999871</v>
      </c>
      <c r="G124" s="7" t="s">
        <v>347</v>
      </c>
      <c r="H124" s="7" t="s">
        <v>349</v>
      </c>
      <c r="I124" s="9">
        <v>409.94</v>
      </c>
      <c r="J124" s="10">
        <f t="shared" si="4"/>
        <v>63702.710000000014</v>
      </c>
      <c r="K124" s="6">
        <f t="shared" si="5"/>
        <v>144974.13999999984</v>
      </c>
      <c r="L124" s="31"/>
    </row>
    <row r="125" spans="1:12" x14ac:dyDescent="0.25">
      <c r="A125" s="5" t="s">
        <v>186</v>
      </c>
      <c r="B125" s="42">
        <f t="shared" si="3"/>
        <v>64.112650000000016</v>
      </c>
      <c r="C125" s="7" t="s">
        <v>348</v>
      </c>
      <c r="D125" s="7" t="s">
        <v>350</v>
      </c>
      <c r="E125" s="7" t="s">
        <v>0</v>
      </c>
      <c r="F125" s="8">
        <v>64.609959999999873</v>
      </c>
      <c r="G125" s="7" t="s">
        <v>349</v>
      </c>
      <c r="H125" s="7" t="s">
        <v>351</v>
      </c>
      <c r="I125" s="9">
        <v>509.06</v>
      </c>
      <c r="J125" s="10">
        <f t="shared" si="4"/>
        <v>64112.650000000016</v>
      </c>
      <c r="K125" s="6">
        <f t="shared" si="5"/>
        <v>144564.19999999984</v>
      </c>
      <c r="L125" s="31"/>
    </row>
    <row r="126" spans="1:12" x14ac:dyDescent="0.25">
      <c r="A126" s="5" t="s">
        <v>186</v>
      </c>
      <c r="B126" s="42">
        <f t="shared" si="3"/>
        <v>64.621710000000007</v>
      </c>
      <c r="C126" s="7" t="s">
        <v>350</v>
      </c>
      <c r="D126" s="7" t="s">
        <v>352</v>
      </c>
      <c r="E126" s="7" t="s">
        <v>0</v>
      </c>
      <c r="F126" s="8">
        <v>65.14747999999986</v>
      </c>
      <c r="G126" s="7" t="s">
        <v>351</v>
      </c>
      <c r="H126" s="7" t="s">
        <v>353</v>
      </c>
      <c r="I126" s="9">
        <v>466.7</v>
      </c>
      <c r="J126" s="10">
        <f t="shared" si="4"/>
        <v>64621.710000000014</v>
      </c>
      <c r="K126" s="6">
        <f t="shared" si="5"/>
        <v>144055.13999999984</v>
      </c>
      <c r="L126" s="31"/>
    </row>
    <row r="127" spans="1:12" x14ac:dyDescent="0.25">
      <c r="A127" s="5" t="s">
        <v>186</v>
      </c>
      <c r="B127" s="42">
        <f t="shared" si="3"/>
        <v>65.08841000000001</v>
      </c>
      <c r="C127" s="7" t="s">
        <v>352</v>
      </c>
      <c r="D127" s="7" t="s">
        <v>354</v>
      </c>
      <c r="E127" s="7" t="s">
        <v>0</v>
      </c>
      <c r="F127" s="8">
        <v>65.604399999999856</v>
      </c>
      <c r="G127" s="7" t="s">
        <v>353</v>
      </c>
      <c r="H127" s="7" t="s">
        <v>355</v>
      </c>
      <c r="I127" s="9">
        <v>611.71</v>
      </c>
      <c r="J127" s="10">
        <f t="shared" si="4"/>
        <v>65088.410000000011</v>
      </c>
      <c r="K127" s="6">
        <f t="shared" si="5"/>
        <v>143588.43999999983</v>
      </c>
      <c r="L127" s="31"/>
    </row>
    <row r="128" spans="1:12" x14ac:dyDescent="0.25">
      <c r="A128" s="5" t="s">
        <v>186</v>
      </c>
      <c r="B128" s="42">
        <f t="shared" si="3"/>
        <v>65.700120000000013</v>
      </c>
      <c r="C128" s="7" t="s">
        <v>354</v>
      </c>
      <c r="D128" s="7" t="s">
        <v>356</v>
      </c>
      <c r="E128" s="7" t="s">
        <v>0</v>
      </c>
      <c r="F128" s="8">
        <v>65.976349999999854</v>
      </c>
      <c r="G128" s="7" t="s">
        <v>355</v>
      </c>
      <c r="H128" s="7" t="s">
        <v>357</v>
      </c>
      <c r="I128" s="9">
        <v>507.56</v>
      </c>
      <c r="J128" s="10">
        <f t="shared" si="4"/>
        <v>65700.12000000001</v>
      </c>
      <c r="K128" s="6">
        <f t="shared" si="5"/>
        <v>142976.72999999984</v>
      </c>
      <c r="L128" s="31"/>
    </row>
    <row r="129" spans="1:12" x14ac:dyDescent="0.25">
      <c r="A129" s="5" t="s">
        <v>186</v>
      </c>
      <c r="B129" s="42">
        <f t="shared" si="3"/>
        <v>66.207680000000011</v>
      </c>
      <c r="C129" s="7" t="s">
        <v>356</v>
      </c>
      <c r="D129" s="7" t="s">
        <v>358</v>
      </c>
      <c r="E129" s="7" t="s">
        <v>0</v>
      </c>
      <c r="F129" s="8">
        <v>66.38328999999986</v>
      </c>
      <c r="G129" s="7" t="s">
        <v>357</v>
      </c>
      <c r="H129" s="7" t="s">
        <v>359</v>
      </c>
      <c r="I129" s="9">
        <v>581.83000000000004</v>
      </c>
      <c r="J129" s="10">
        <f t="shared" si="4"/>
        <v>66207.680000000008</v>
      </c>
      <c r="K129" s="6">
        <f t="shared" si="5"/>
        <v>142469.16999999984</v>
      </c>
      <c r="L129" s="31"/>
    </row>
    <row r="130" spans="1:12" x14ac:dyDescent="0.25">
      <c r="A130" s="5" t="s">
        <v>186</v>
      </c>
      <c r="B130" s="42">
        <f t="shared" si="3"/>
        <v>66.789510000000007</v>
      </c>
      <c r="C130" s="7" t="s">
        <v>358</v>
      </c>
      <c r="D130" s="7" t="s">
        <v>360</v>
      </c>
      <c r="E130" s="7" t="s">
        <v>0</v>
      </c>
      <c r="F130" s="8">
        <v>66.867419999999868</v>
      </c>
      <c r="G130" s="7" t="s">
        <v>359</v>
      </c>
      <c r="H130" s="7" t="s">
        <v>361</v>
      </c>
      <c r="I130" s="9">
        <v>614</v>
      </c>
      <c r="J130" s="10">
        <f t="shared" si="4"/>
        <v>66789.510000000009</v>
      </c>
      <c r="K130" s="6">
        <f t="shared" si="5"/>
        <v>141887.33999999985</v>
      </c>
      <c r="L130" s="31"/>
    </row>
    <row r="131" spans="1:12" x14ac:dyDescent="0.25">
      <c r="A131" s="5" t="s">
        <v>186</v>
      </c>
      <c r="B131" s="42">
        <f t="shared" ref="B131:B194" si="6">J131/1000</f>
        <v>67.403510000000011</v>
      </c>
      <c r="C131" s="7" t="s">
        <v>360</v>
      </c>
      <c r="D131" s="7" t="s">
        <v>362</v>
      </c>
      <c r="E131" s="7" t="s">
        <v>0</v>
      </c>
      <c r="F131" s="8">
        <v>67.36094999999986</v>
      </c>
      <c r="G131" s="7" t="s">
        <v>361</v>
      </c>
      <c r="H131" s="7" t="s">
        <v>363</v>
      </c>
      <c r="I131" s="9">
        <v>550.34</v>
      </c>
      <c r="J131" s="10">
        <f t="shared" si="4"/>
        <v>67403.510000000009</v>
      </c>
      <c r="K131" s="6">
        <f t="shared" si="5"/>
        <v>141273.33999999985</v>
      </c>
      <c r="L131" s="31"/>
    </row>
    <row r="132" spans="1:12" x14ac:dyDescent="0.25">
      <c r="A132" s="5" t="s">
        <v>186</v>
      </c>
      <c r="B132" s="42">
        <f t="shared" si="6"/>
        <v>67.953850000000003</v>
      </c>
      <c r="C132" s="7" t="s">
        <v>362</v>
      </c>
      <c r="D132" s="7" t="s">
        <v>364</v>
      </c>
      <c r="E132" s="7" t="s">
        <v>0</v>
      </c>
      <c r="F132" s="8">
        <v>67.845199999999863</v>
      </c>
      <c r="G132" s="7" t="s">
        <v>363</v>
      </c>
      <c r="H132" s="7" t="s">
        <v>365</v>
      </c>
      <c r="I132" s="9">
        <v>642.71</v>
      </c>
      <c r="J132" s="10">
        <f t="shared" ref="J132:J195" si="7">J131+I131</f>
        <v>67953.850000000006</v>
      </c>
      <c r="K132" s="6">
        <f t="shared" ref="K132:K195" si="8">K131-I131</f>
        <v>140722.99999999985</v>
      </c>
      <c r="L132" s="31"/>
    </row>
    <row r="133" spans="1:12" x14ac:dyDescent="0.25">
      <c r="A133" s="5" t="s">
        <v>186</v>
      </c>
      <c r="B133" s="42">
        <f t="shared" si="6"/>
        <v>68.596560000000011</v>
      </c>
      <c r="C133" s="7" t="s">
        <v>364</v>
      </c>
      <c r="D133" s="7" t="s">
        <v>366</v>
      </c>
      <c r="E133" s="7" t="s">
        <v>0</v>
      </c>
      <c r="F133" s="8">
        <v>68.325079999999872</v>
      </c>
      <c r="G133" s="7" t="s">
        <v>365</v>
      </c>
      <c r="H133" s="7" t="s">
        <v>367</v>
      </c>
      <c r="I133" s="9">
        <v>626.29999999999995</v>
      </c>
      <c r="J133" s="10">
        <f t="shared" si="7"/>
        <v>68596.560000000012</v>
      </c>
      <c r="K133" s="6">
        <f t="shared" si="8"/>
        <v>140080.28999999986</v>
      </c>
      <c r="L133" s="31"/>
    </row>
    <row r="134" spans="1:12" x14ac:dyDescent="0.25">
      <c r="A134" s="5" t="s">
        <v>186</v>
      </c>
      <c r="B134" s="42">
        <f t="shared" si="6"/>
        <v>69.222860000000011</v>
      </c>
      <c r="C134" s="7" t="s">
        <v>366</v>
      </c>
      <c r="D134" s="7" t="s">
        <v>368</v>
      </c>
      <c r="E134" s="7" t="s">
        <v>0</v>
      </c>
      <c r="F134" s="8">
        <v>68.816429999999883</v>
      </c>
      <c r="G134" s="7" t="s">
        <v>367</v>
      </c>
      <c r="H134" s="7" t="s">
        <v>369</v>
      </c>
      <c r="I134" s="9">
        <v>701.18</v>
      </c>
      <c r="J134" s="10">
        <f t="shared" si="7"/>
        <v>69222.860000000015</v>
      </c>
      <c r="K134" s="6">
        <f t="shared" si="8"/>
        <v>139453.98999999987</v>
      </c>
      <c r="L134" s="31"/>
    </row>
    <row r="135" spans="1:12" x14ac:dyDescent="0.25">
      <c r="A135" s="5" t="s">
        <v>186</v>
      </c>
      <c r="B135" s="42">
        <f t="shared" si="6"/>
        <v>69.924040000000005</v>
      </c>
      <c r="C135" s="7" t="s">
        <v>368</v>
      </c>
      <c r="D135" s="7" t="s">
        <v>370</v>
      </c>
      <c r="E135" s="7" t="s">
        <v>0</v>
      </c>
      <c r="F135" s="8">
        <v>69.34445999999987</v>
      </c>
      <c r="G135" s="7" t="s">
        <v>369</v>
      </c>
      <c r="H135" s="7" t="s">
        <v>371</v>
      </c>
      <c r="I135" s="9">
        <v>525.61</v>
      </c>
      <c r="J135" s="10">
        <f t="shared" si="7"/>
        <v>69924.040000000008</v>
      </c>
      <c r="K135" s="6">
        <f t="shared" si="8"/>
        <v>138752.80999999988</v>
      </c>
      <c r="L135" s="31"/>
    </row>
    <row r="136" spans="1:12" x14ac:dyDescent="0.25">
      <c r="A136" s="5" t="s">
        <v>186</v>
      </c>
      <c r="B136" s="42">
        <f t="shared" si="6"/>
        <v>70.449650000000005</v>
      </c>
      <c r="C136" s="7" t="s">
        <v>370</v>
      </c>
      <c r="D136" s="7" t="s">
        <v>372</v>
      </c>
      <c r="E136" s="7" t="s">
        <v>0</v>
      </c>
      <c r="F136" s="8">
        <v>69.750279999999876</v>
      </c>
      <c r="G136" s="7" t="s">
        <v>371</v>
      </c>
      <c r="H136" s="7" t="s">
        <v>373</v>
      </c>
      <c r="I136" s="9">
        <v>536.65</v>
      </c>
      <c r="J136" s="10">
        <f t="shared" si="7"/>
        <v>70449.650000000009</v>
      </c>
      <c r="K136" s="6">
        <f t="shared" si="8"/>
        <v>138227.1999999999</v>
      </c>
      <c r="L136" s="31"/>
    </row>
    <row r="137" spans="1:12" x14ac:dyDescent="0.25">
      <c r="A137" s="5" t="s">
        <v>186</v>
      </c>
      <c r="B137" s="42">
        <f t="shared" si="6"/>
        <v>70.9863</v>
      </c>
      <c r="C137" s="7" t="s">
        <v>372</v>
      </c>
      <c r="D137" s="7" t="s">
        <v>374</v>
      </c>
      <c r="E137" s="7" t="s">
        <v>0</v>
      </c>
      <c r="F137" s="8">
        <v>70.081889999999888</v>
      </c>
      <c r="G137" s="7" t="s">
        <v>373</v>
      </c>
      <c r="H137" s="7" t="s">
        <v>375</v>
      </c>
      <c r="I137" s="9">
        <v>660.17</v>
      </c>
      <c r="J137" s="10">
        <f t="shared" si="7"/>
        <v>70986.3</v>
      </c>
      <c r="K137" s="6">
        <f t="shared" si="8"/>
        <v>137690.5499999999</v>
      </c>
      <c r="L137" s="31"/>
    </row>
    <row r="138" spans="1:12" x14ac:dyDescent="0.25">
      <c r="A138" s="5" t="s">
        <v>186</v>
      </c>
      <c r="B138" s="42">
        <f t="shared" si="6"/>
        <v>71.646470000000008</v>
      </c>
      <c r="C138" s="7" t="s">
        <v>374</v>
      </c>
      <c r="D138" s="7" t="s">
        <v>376</v>
      </c>
      <c r="E138" s="7" t="s">
        <v>0</v>
      </c>
      <c r="F138" s="8">
        <v>70.494219999999885</v>
      </c>
      <c r="G138" s="7" t="s">
        <v>375</v>
      </c>
      <c r="H138" s="7" t="s">
        <v>377</v>
      </c>
      <c r="I138" s="9">
        <v>522.36</v>
      </c>
      <c r="J138" s="10">
        <f t="shared" si="7"/>
        <v>71646.47</v>
      </c>
      <c r="K138" s="6">
        <f t="shared" si="8"/>
        <v>137030.37999999989</v>
      </c>
      <c r="L138" s="31"/>
    </row>
    <row r="139" spans="1:12" x14ac:dyDescent="0.25">
      <c r="A139" s="5" t="s">
        <v>186</v>
      </c>
      <c r="B139" s="42">
        <f t="shared" si="6"/>
        <v>72.16883</v>
      </c>
      <c r="C139" s="7" t="s">
        <v>376</v>
      </c>
      <c r="D139" s="7" t="s">
        <v>378</v>
      </c>
      <c r="E139" s="7" t="s">
        <v>0</v>
      </c>
      <c r="F139" s="8">
        <v>70.870049999999893</v>
      </c>
      <c r="G139" s="7" t="s">
        <v>377</v>
      </c>
      <c r="H139" s="7" t="s">
        <v>379</v>
      </c>
      <c r="I139" s="9">
        <v>574.96</v>
      </c>
      <c r="J139" s="10">
        <f t="shared" si="7"/>
        <v>72168.83</v>
      </c>
      <c r="K139" s="6">
        <f t="shared" si="8"/>
        <v>136508.0199999999</v>
      </c>
      <c r="L139" s="31"/>
    </row>
    <row r="140" spans="1:12" x14ac:dyDescent="0.25">
      <c r="A140" s="5" t="s">
        <v>186</v>
      </c>
      <c r="B140" s="42">
        <f t="shared" si="6"/>
        <v>72.743790000000004</v>
      </c>
      <c r="C140" s="7" t="s">
        <v>378</v>
      </c>
      <c r="D140" s="7" t="s">
        <v>380</v>
      </c>
      <c r="E140" s="7" t="s">
        <v>0</v>
      </c>
      <c r="F140" s="8">
        <v>71.220659999999882</v>
      </c>
      <c r="G140" s="7" t="s">
        <v>379</v>
      </c>
      <c r="H140" s="7" t="s">
        <v>381</v>
      </c>
      <c r="I140" s="9">
        <v>488.88</v>
      </c>
      <c r="J140" s="10">
        <f t="shared" si="7"/>
        <v>72743.790000000008</v>
      </c>
      <c r="K140" s="6">
        <f t="shared" si="8"/>
        <v>135933.05999999991</v>
      </c>
      <c r="L140" s="31"/>
    </row>
    <row r="141" spans="1:12" x14ac:dyDescent="0.25">
      <c r="A141" s="5" t="s">
        <v>186</v>
      </c>
      <c r="B141" s="42">
        <f t="shared" si="6"/>
        <v>73.232670000000013</v>
      </c>
      <c r="C141" s="7" t="s">
        <v>380</v>
      </c>
      <c r="D141" s="7" t="s">
        <v>382</v>
      </c>
      <c r="E141" s="7" t="s">
        <v>0</v>
      </c>
      <c r="F141" s="8">
        <v>71.515309999999886</v>
      </c>
      <c r="G141" s="7" t="s">
        <v>381</v>
      </c>
      <c r="H141" s="7" t="s">
        <v>383</v>
      </c>
      <c r="I141" s="9">
        <v>642.73</v>
      </c>
      <c r="J141" s="10">
        <f t="shared" si="7"/>
        <v>73232.670000000013</v>
      </c>
      <c r="K141" s="6">
        <f t="shared" si="8"/>
        <v>135444.17999999991</v>
      </c>
      <c r="L141" s="31"/>
    </row>
    <row r="142" spans="1:12" x14ac:dyDescent="0.25">
      <c r="A142" s="5" t="s">
        <v>186</v>
      </c>
      <c r="B142" s="42">
        <f t="shared" si="6"/>
        <v>73.875400000000013</v>
      </c>
      <c r="C142" s="7" t="s">
        <v>382</v>
      </c>
      <c r="D142" s="7" t="s">
        <v>384</v>
      </c>
      <c r="E142" s="7" t="s">
        <v>0</v>
      </c>
      <c r="F142" s="8">
        <v>71.924859999999882</v>
      </c>
      <c r="G142" s="7" t="s">
        <v>383</v>
      </c>
      <c r="H142" s="7" t="s">
        <v>385</v>
      </c>
      <c r="I142" s="9">
        <v>555.47</v>
      </c>
      <c r="J142" s="10">
        <f t="shared" si="7"/>
        <v>73875.400000000009</v>
      </c>
      <c r="K142" s="6">
        <f t="shared" si="8"/>
        <v>134801.4499999999</v>
      </c>
      <c r="L142" s="31"/>
    </row>
    <row r="143" spans="1:12" x14ac:dyDescent="0.25">
      <c r="A143" s="5" t="s">
        <v>186</v>
      </c>
      <c r="B143" s="42">
        <f t="shared" si="6"/>
        <v>74.430870000000013</v>
      </c>
      <c r="C143" s="7" t="s">
        <v>384</v>
      </c>
      <c r="D143" s="7" t="s">
        <v>386</v>
      </c>
      <c r="E143" s="7" t="s">
        <v>0</v>
      </c>
      <c r="F143" s="8">
        <v>72.317099999999883</v>
      </c>
      <c r="G143" s="7" t="s">
        <v>385</v>
      </c>
      <c r="H143" s="7" t="s">
        <v>387</v>
      </c>
      <c r="I143" s="9">
        <v>569.16</v>
      </c>
      <c r="J143" s="10">
        <f t="shared" si="7"/>
        <v>74430.87000000001</v>
      </c>
      <c r="K143" s="6">
        <f t="shared" si="8"/>
        <v>134245.97999999989</v>
      </c>
      <c r="L143" s="31"/>
    </row>
    <row r="144" spans="1:12" x14ac:dyDescent="0.25">
      <c r="A144" s="5" t="s">
        <v>186</v>
      </c>
      <c r="B144" s="42">
        <f t="shared" si="6"/>
        <v>75.00003000000001</v>
      </c>
      <c r="C144" s="7" t="s">
        <v>386</v>
      </c>
      <c r="D144" s="7" t="s">
        <v>388</v>
      </c>
      <c r="E144" s="7" t="s">
        <v>0</v>
      </c>
      <c r="F144" s="8">
        <v>72.704009999999897</v>
      </c>
      <c r="G144" s="7" t="s">
        <v>387</v>
      </c>
      <c r="H144" s="7" t="s">
        <v>389</v>
      </c>
      <c r="I144" s="9">
        <v>536.03</v>
      </c>
      <c r="J144" s="10">
        <f t="shared" si="7"/>
        <v>75000.030000000013</v>
      </c>
      <c r="K144" s="6">
        <f t="shared" si="8"/>
        <v>133676.81999999989</v>
      </c>
      <c r="L144" s="31"/>
    </row>
    <row r="145" spans="1:12" x14ac:dyDescent="0.25">
      <c r="A145" s="5" t="s">
        <v>186</v>
      </c>
      <c r="B145" s="42">
        <f t="shared" si="6"/>
        <v>75.536060000000006</v>
      </c>
      <c r="C145" s="7" t="s">
        <v>388</v>
      </c>
      <c r="D145" s="7" t="s">
        <v>390</v>
      </c>
      <c r="E145" s="7" t="s">
        <v>0</v>
      </c>
      <c r="F145" s="8">
        <v>73.129229999999893</v>
      </c>
      <c r="G145" s="7" t="s">
        <v>389</v>
      </c>
      <c r="H145" s="7" t="s">
        <v>391</v>
      </c>
      <c r="I145" s="9">
        <v>508</v>
      </c>
      <c r="J145" s="10">
        <f t="shared" si="7"/>
        <v>75536.060000000012</v>
      </c>
      <c r="K145" s="6">
        <f t="shared" si="8"/>
        <v>133140.78999999989</v>
      </c>
      <c r="L145" s="31"/>
    </row>
    <row r="146" spans="1:12" x14ac:dyDescent="0.25">
      <c r="A146" s="5" t="s">
        <v>186</v>
      </c>
      <c r="B146" s="42">
        <f t="shared" si="6"/>
        <v>76.044060000000016</v>
      </c>
      <c r="C146" s="7" t="s">
        <v>390</v>
      </c>
      <c r="D146" s="7" t="s">
        <v>392</v>
      </c>
      <c r="E146" s="7" t="s">
        <v>0</v>
      </c>
      <c r="F146" s="8">
        <v>73.523329999999902</v>
      </c>
      <c r="G146" s="7" t="s">
        <v>391</v>
      </c>
      <c r="H146" s="7" t="s">
        <v>393</v>
      </c>
      <c r="I146" s="9">
        <v>684.28</v>
      </c>
      <c r="J146" s="10">
        <f t="shared" si="7"/>
        <v>76044.060000000012</v>
      </c>
      <c r="K146" s="6">
        <f t="shared" si="8"/>
        <v>132632.78999999989</v>
      </c>
      <c r="L146" s="31"/>
    </row>
    <row r="147" spans="1:12" x14ac:dyDescent="0.25">
      <c r="A147" s="5" t="s">
        <v>186</v>
      </c>
      <c r="B147" s="42">
        <f t="shared" si="6"/>
        <v>76.728340000000017</v>
      </c>
      <c r="C147" s="7" t="s">
        <v>392</v>
      </c>
      <c r="D147" s="7" t="s">
        <v>394</v>
      </c>
      <c r="E147" s="7" t="s">
        <v>0</v>
      </c>
      <c r="F147" s="8">
        <v>73.929859999999906</v>
      </c>
      <c r="G147" s="7" t="s">
        <v>393</v>
      </c>
      <c r="H147" s="7" t="s">
        <v>395</v>
      </c>
      <c r="I147" s="9">
        <v>630.19000000000005</v>
      </c>
      <c r="J147" s="10">
        <f t="shared" si="7"/>
        <v>76728.340000000011</v>
      </c>
      <c r="K147" s="6">
        <f t="shared" si="8"/>
        <v>131948.50999999989</v>
      </c>
      <c r="L147" s="31"/>
    </row>
    <row r="148" spans="1:12" x14ac:dyDescent="0.25">
      <c r="A148" s="5" t="s">
        <v>186</v>
      </c>
      <c r="B148" s="42">
        <f t="shared" si="6"/>
        <v>77.358530000000016</v>
      </c>
      <c r="C148" s="7" t="s">
        <v>394</v>
      </c>
      <c r="D148" s="7" t="s">
        <v>396</v>
      </c>
      <c r="E148" s="7" t="s">
        <v>0</v>
      </c>
      <c r="F148" s="8">
        <v>74.360149999999891</v>
      </c>
      <c r="G148" s="7" t="s">
        <v>395</v>
      </c>
      <c r="H148" s="7" t="s">
        <v>397</v>
      </c>
      <c r="I148" s="9">
        <v>561.12</v>
      </c>
      <c r="J148" s="10">
        <f t="shared" si="7"/>
        <v>77358.530000000013</v>
      </c>
      <c r="K148" s="6">
        <f t="shared" si="8"/>
        <v>131318.31999999989</v>
      </c>
      <c r="L148" s="31"/>
    </row>
    <row r="149" spans="1:12" x14ac:dyDescent="0.25">
      <c r="A149" s="5" t="s">
        <v>186</v>
      </c>
      <c r="B149" s="42">
        <f t="shared" si="6"/>
        <v>77.919650000000004</v>
      </c>
      <c r="C149" s="7" t="s">
        <v>396</v>
      </c>
      <c r="D149" s="7" t="s">
        <v>398</v>
      </c>
      <c r="E149" s="7" t="s">
        <v>0</v>
      </c>
      <c r="F149" s="8">
        <v>74.953789999999898</v>
      </c>
      <c r="G149" s="7" t="s">
        <v>397</v>
      </c>
      <c r="H149" s="7" t="s">
        <v>399</v>
      </c>
      <c r="I149" s="9">
        <v>554.33000000000004</v>
      </c>
      <c r="J149" s="10">
        <f t="shared" si="7"/>
        <v>77919.650000000009</v>
      </c>
      <c r="K149" s="6">
        <f t="shared" si="8"/>
        <v>130757.1999999999</v>
      </c>
      <c r="L149" s="31"/>
    </row>
    <row r="150" spans="1:12" x14ac:dyDescent="0.25">
      <c r="A150" s="5" t="s">
        <v>186</v>
      </c>
      <c r="B150" s="42">
        <f t="shared" si="6"/>
        <v>78.473980000000012</v>
      </c>
      <c r="C150" s="7" t="s">
        <v>398</v>
      </c>
      <c r="D150" s="7" t="s">
        <v>400</v>
      </c>
      <c r="E150" s="7" t="s">
        <v>0</v>
      </c>
      <c r="F150" s="8">
        <v>75.443429999999893</v>
      </c>
      <c r="G150" s="7" t="s">
        <v>399</v>
      </c>
      <c r="H150" s="7" t="s">
        <v>401</v>
      </c>
      <c r="I150" s="9">
        <v>645.61</v>
      </c>
      <c r="J150" s="10">
        <f t="shared" si="7"/>
        <v>78473.98000000001</v>
      </c>
      <c r="K150" s="6">
        <f t="shared" si="8"/>
        <v>130202.86999999989</v>
      </c>
      <c r="L150" s="31"/>
    </row>
    <row r="151" spans="1:12" x14ac:dyDescent="0.25">
      <c r="A151" s="5" t="s">
        <v>186</v>
      </c>
      <c r="B151" s="42">
        <f t="shared" si="6"/>
        <v>79.119590000000017</v>
      </c>
      <c r="C151" s="7" t="s">
        <v>400</v>
      </c>
      <c r="D151" s="7" t="s">
        <v>402</v>
      </c>
      <c r="E151" s="7" t="s">
        <v>0</v>
      </c>
      <c r="F151" s="8">
        <v>75.930419999999899</v>
      </c>
      <c r="G151" s="7" t="s">
        <v>401</v>
      </c>
      <c r="H151" s="7" t="s">
        <v>403</v>
      </c>
      <c r="I151" s="9">
        <v>523.86</v>
      </c>
      <c r="J151" s="10">
        <f t="shared" si="7"/>
        <v>79119.590000000011</v>
      </c>
      <c r="K151" s="6">
        <f t="shared" si="8"/>
        <v>129557.25999999989</v>
      </c>
      <c r="L151" s="31"/>
    </row>
    <row r="152" spans="1:12" x14ac:dyDescent="0.25">
      <c r="A152" s="5" t="s">
        <v>186</v>
      </c>
      <c r="B152" s="42">
        <f t="shared" si="6"/>
        <v>79.643450000000016</v>
      </c>
      <c r="C152" s="7" t="s">
        <v>402</v>
      </c>
      <c r="D152" s="7" t="s">
        <v>404</v>
      </c>
      <c r="E152" s="7" t="s">
        <v>0</v>
      </c>
      <c r="F152" s="8">
        <v>76.394499999999894</v>
      </c>
      <c r="G152" s="7" t="s">
        <v>403</v>
      </c>
      <c r="H152" s="7" t="s">
        <v>405</v>
      </c>
      <c r="I152" s="9">
        <v>654.29999999999995</v>
      </c>
      <c r="J152" s="10">
        <f t="shared" si="7"/>
        <v>79643.450000000012</v>
      </c>
      <c r="K152" s="6">
        <f t="shared" si="8"/>
        <v>129033.39999999989</v>
      </c>
      <c r="L152" s="31"/>
    </row>
    <row r="153" spans="1:12" x14ac:dyDescent="0.25">
      <c r="A153" s="5" t="s">
        <v>186</v>
      </c>
      <c r="B153" s="42">
        <f t="shared" si="6"/>
        <v>80.297750000000008</v>
      </c>
      <c r="C153" s="7" t="s">
        <v>404</v>
      </c>
      <c r="D153" s="7" t="s">
        <v>406</v>
      </c>
      <c r="E153" s="7" t="s">
        <v>0</v>
      </c>
      <c r="F153" s="8">
        <v>76.989249999999899</v>
      </c>
      <c r="G153" s="7" t="s">
        <v>405</v>
      </c>
      <c r="H153" s="7" t="s">
        <v>407</v>
      </c>
      <c r="I153" s="9">
        <v>526.22</v>
      </c>
      <c r="J153" s="10">
        <f t="shared" si="7"/>
        <v>80297.750000000015</v>
      </c>
      <c r="K153" s="6">
        <f t="shared" si="8"/>
        <v>128379.09999999989</v>
      </c>
      <c r="L153" s="31"/>
    </row>
    <row r="154" spans="1:12" x14ac:dyDescent="0.25">
      <c r="A154" s="5" t="s">
        <v>186</v>
      </c>
      <c r="B154" s="42">
        <f t="shared" si="6"/>
        <v>80.823970000000017</v>
      </c>
      <c r="C154" s="7" t="s">
        <v>406</v>
      </c>
      <c r="D154" s="7" t="s">
        <v>408</v>
      </c>
      <c r="E154" s="7" t="s">
        <v>0</v>
      </c>
      <c r="F154" s="8">
        <v>77.5701999999999</v>
      </c>
      <c r="G154" s="7" t="s">
        <v>407</v>
      </c>
      <c r="H154" s="7" t="s">
        <v>409</v>
      </c>
      <c r="I154" s="9">
        <v>411.64</v>
      </c>
      <c r="J154" s="10">
        <f t="shared" si="7"/>
        <v>80823.970000000016</v>
      </c>
      <c r="K154" s="6">
        <f t="shared" si="8"/>
        <v>127852.87999999989</v>
      </c>
      <c r="L154" s="31"/>
    </row>
    <row r="155" spans="1:12" x14ac:dyDescent="0.25">
      <c r="A155" s="5" t="s">
        <v>186</v>
      </c>
      <c r="B155" s="42">
        <f t="shared" si="6"/>
        <v>81.235610000000008</v>
      </c>
      <c r="C155" s="7" t="s">
        <v>408</v>
      </c>
      <c r="D155" s="7" t="s">
        <v>410</v>
      </c>
      <c r="E155" s="7" t="s">
        <v>0</v>
      </c>
      <c r="F155" s="8">
        <v>78.166369999999887</v>
      </c>
      <c r="G155" s="7" t="s">
        <v>409</v>
      </c>
      <c r="H155" s="7" t="s">
        <v>411</v>
      </c>
      <c r="I155" s="9">
        <v>475.19</v>
      </c>
      <c r="J155" s="10">
        <f t="shared" si="7"/>
        <v>81235.610000000015</v>
      </c>
      <c r="K155" s="6">
        <f t="shared" si="8"/>
        <v>127441.23999999989</v>
      </c>
      <c r="L155" s="31"/>
    </row>
    <row r="156" spans="1:12" x14ac:dyDescent="0.25">
      <c r="A156" s="5" t="s">
        <v>186</v>
      </c>
      <c r="B156" s="42">
        <f t="shared" si="6"/>
        <v>81.71080000000002</v>
      </c>
      <c r="C156" s="7" t="s">
        <v>410</v>
      </c>
      <c r="D156" s="7" t="s">
        <v>412</v>
      </c>
      <c r="E156" s="7" t="s">
        <v>828</v>
      </c>
      <c r="F156" s="8">
        <v>78.608469999999897</v>
      </c>
      <c r="G156" s="7" t="s">
        <v>411</v>
      </c>
      <c r="H156" s="7" t="s">
        <v>413</v>
      </c>
      <c r="I156" s="9">
        <v>376.45</v>
      </c>
      <c r="J156" s="10">
        <f t="shared" si="7"/>
        <v>81710.800000000017</v>
      </c>
      <c r="K156" s="6">
        <f t="shared" si="8"/>
        <v>126966.04999999989</v>
      </c>
      <c r="L156" s="31"/>
    </row>
    <row r="157" spans="1:12" x14ac:dyDescent="0.25">
      <c r="A157" s="5" t="s">
        <v>186</v>
      </c>
      <c r="B157" s="42">
        <f t="shared" si="6"/>
        <v>82.087250000000012</v>
      </c>
      <c r="C157" s="7" t="s">
        <v>412</v>
      </c>
      <c r="D157" s="7" t="s">
        <v>414</v>
      </c>
      <c r="E157" s="7" t="s">
        <v>829</v>
      </c>
      <c r="F157" s="8">
        <v>79.170279999999892</v>
      </c>
      <c r="G157" s="7" t="s">
        <v>413</v>
      </c>
      <c r="H157" s="7" t="s">
        <v>415</v>
      </c>
      <c r="I157" s="9">
        <v>568.35</v>
      </c>
      <c r="J157" s="10">
        <f t="shared" si="7"/>
        <v>82087.250000000015</v>
      </c>
      <c r="K157" s="6">
        <f t="shared" si="8"/>
        <v>126589.59999999989</v>
      </c>
      <c r="L157" s="31"/>
    </row>
    <row r="158" spans="1:12" x14ac:dyDescent="0.25">
      <c r="A158" s="5" t="s">
        <v>186</v>
      </c>
      <c r="B158" s="42">
        <f t="shared" si="6"/>
        <v>82.655600000000021</v>
      </c>
      <c r="C158" s="7" t="s">
        <v>414</v>
      </c>
      <c r="D158" s="7" t="s">
        <v>416</v>
      </c>
      <c r="E158" s="7" t="s">
        <v>829</v>
      </c>
      <c r="F158" s="8">
        <v>79.516179999999892</v>
      </c>
      <c r="G158" s="7" t="s">
        <v>415</v>
      </c>
      <c r="H158" s="7" t="s">
        <v>417</v>
      </c>
      <c r="I158" s="9">
        <v>509.93</v>
      </c>
      <c r="J158" s="10">
        <f t="shared" si="7"/>
        <v>82655.60000000002</v>
      </c>
      <c r="K158" s="6">
        <f t="shared" si="8"/>
        <v>126021.24999999988</v>
      </c>
      <c r="L158" s="31"/>
    </row>
    <row r="159" spans="1:12" x14ac:dyDescent="0.25">
      <c r="A159" s="5" t="s">
        <v>186</v>
      </c>
      <c r="B159" s="42">
        <f t="shared" si="6"/>
        <v>83.165530000000018</v>
      </c>
      <c r="C159" s="7" t="s">
        <v>416</v>
      </c>
      <c r="D159" s="7" t="s">
        <v>418</v>
      </c>
      <c r="E159" s="7" t="s">
        <v>829</v>
      </c>
      <c r="F159" s="8">
        <v>80.317139999999895</v>
      </c>
      <c r="G159" s="7" t="s">
        <v>417</v>
      </c>
      <c r="H159" s="7" t="s">
        <v>419</v>
      </c>
      <c r="I159" s="9">
        <v>550.98</v>
      </c>
      <c r="J159" s="10">
        <f t="shared" si="7"/>
        <v>83165.530000000013</v>
      </c>
      <c r="K159" s="6">
        <f t="shared" si="8"/>
        <v>125511.31999999989</v>
      </c>
      <c r="L159" s="31"/>
    </row>
    <row r="160" spans="1:12" x14ac:dyDescent="0.25">
      <c r="A160" s="5" t="s">
        <v>186</v>
      </c>
      <c r="B160" s="42">
        <f t="shared" si="6"/>
        <v>83.716510000000014</v>
      </c>
      <c r="C160" s="7" t="s">
        <v>418</v>
      </c>
      <c r="D160" s="7" t="s">
        <v>420</v>
      </c>
      <c r="E160" s="7" t="s">
        <v>829</v>
      </c>
      <c r="F160" s="8">
        <v>80.863059999999891</v>
      </c>
      <c r="G160" s="7" t="s">
        <v>419</v>
      </c>
      <c r="H160" s="7" t="s">
        <v>421</v>
      </c>
      <c r="I160" s="9">
        <v>370.78</v>
      </c>
      <c r="J160" s="10">
        <f t="shared" si="7"/>
        <v>83716.510000000009</v>
      </c>
      <c r="K160" s="6">
        <f t="shared" si="8"/>
        <v>124960.33999999989</v>
      </c>
      <c r="L160" s="31"/>
    </row>
    <row r="161" spans="1:12" x14ac:dyDescent="0.25">
      <c r="A161" s="5" t="s">
        <v>186</v>
      </c>
      <c r="B161" s="42">
        <f t="shared" si="6"/>
        <v>84.08729000000001</v>
      </c>
      <c r="C161" s="7" t="s">
        <v>420</v>
      </c>
      <c r="D161" s="7" t="s">
        <v>422</v>
      </c>
      <c r="E161" s="7" t="s">
        <v>829</v>
      </c>
      <c r="F161" s="8">
        <v>81.443679999999887</v>
      </c>
      <c r="G161" s="7" t="s">
        <v>421</v>
      </c>
      <c r="H161" s="7" t="s">
        <v>423</v>
      </c>
      <c r="I161" s="9">
        <v>367.48</v>
      </c>
      <c r="J161" s="10">
        <f t="shared" si="7"/>
        <v>84087.290000000008</v>
      </c>
      <c r="K161" s="6">
        <f t="shared" si="8"/>
        <v>124589.5599999999</v>
      </c>
      <c r="L161" s="31"/>
    </row>
    <row r="162" spans="1:12" x14ac:dyDescent="0.25">
      <c r="A162" s="5" t="s">
        <v>186</v>
      </c>
      <c r="B162" s="42">
        <f t="shared" si="6"/>
        <v>84.454770000000011</v>
      </c>
      <c r="C162" s="7" t="s">
        <v>422</v>
      </c>
      <c r="D162" s="7" t="s">
        <v>424</v>
      </c>
      <c r="E162" s="7" t="s">
        <v>829</v>
      </c>
      <c r="F162" s="8">
        <v>81.920859999999891</v>
      </c>
      <c r="G162" s="7" t="s">
        <v>423</v>
      </c>
      <c r="H162" s="7" t="s">
        <v>425</v>
      </c>
      <c r="I162" s="9">
        <v>509.94</v>
      </c>
      <c r="J162" s="10">
        <f t="shared" si="7"/>
        <v>84454.77</v>
      </c>
      <c r="K162" s="6">
        <f t="shared" si="8"/>
        <v>124222.0799999999</v>
      </c>
      <c r="L162" s="31"/>
    </row>
    <row r="163" spans="1:12" x14ac:dyDescent="0.25">
      <c r="A163" s="5" t="s">
        <v>186</v>
      </c>
      <c r="B163" s="42">
        <f t="shared" si="6"/>
        <v>84.964710000000011</v>
      </c>
      <c r="C163" s="7" t="s">
        <v>424</v>
      </c>
      <c r="D163" s="7" t="s">
        <v>426</v>
      </c>
      <c r="E163" s="7" t="s">
        <v>829</v>
      </c>
      <c r="F163" s="8">
        <v>82.365619999999879</v>
      </c>
      <c r="G163" s="7" t="s">
        <v>425</v>
      </c>
      <c r="H163" s="7" t="s">
        <v>427</v>
      </c>
      <c r="I163" s="9">
        <v>432.21</v>
      </c>
      <c r="J163" s="10">
        <f t="shared" si="7"/>
        <v>84964.71</v>
      </c>
      <c r="K163" s="6">
        <f t="shared" si="8"/>
        <v>123712.1399999999</v>
      </c>
      <c r="L163" s="31"/>
    </row>
    <row r="164" spans="1:12" x14ac:dyDescent="0.25">
      <c r="A164" s="5" t="s">
        <v>186</v>
      </c>
      <c r="B164" s="42">
        <f t="shared" si="6"/>
        <v>85.396920000000009</v>
      </c>
      <c r="C164" s="7" t="s">
        <v>426</v>
      </c>
      <c r="D164" s="7" t="s">
        <v>428</v>
      </c>
      <c r="E164" s="7" t="s">
        <v>829</v>
      </c>
      <c r="F164" s="8">
        <v>82.876369999999881</v>
      </c>
      <c r="G164" s="7" t="s">
        <v>427</v>
      </c>
      <c r="H164" s="7" t="s">
        <v>429</v>
      </c>
      <c r="I164" s="9">
        <v>540.25</v>
      </c>
      <c r="J164" s="10">
        <f t="shared" si="7"/>
        <v>85396.920000000013</v>
      </c>
      <c r="K164" s="6">
        <f t="shared" si="8"/>
        <v>123279.92999999989</v>
      </c>
      <c r="L164" s="31"/>
    </row>
    <row r="165" spans="1:12" x14ac:dyDescent="0.25">
      <c r="A165" s="5" t="s">
        <v>186</v>
      </c>
      <c r="B165" s="42">
        <f t="shared" si="6"/>
        <v>85.937170000000009</v>
      </c>
      <c r="C165" s="7" t="s">
        <v>428</v>
      </c>
      <c r="D165" s="7" t="s">
        <v>430</v>
      </c>
      <c r="E165" s="7" t="s">
        <v>829</v>
      </c>
      <c r="F165" s="8">
        <v>83.30271999999988</v>
      </c>
      <c r="G165" s="7" t="s">
        <v>429</v>
      </c>
      <c r="H165" s="7" t="s">
        <v>431</v>
      </c>
      <c r="I165" s="9">
        <v>432.81</v>
      </c>
      <c r="J165" s="10">
        <f t="shared" si="7"/>
        <v>85937.170000000013</v>
      </c>
      <c r="K165" s="6">
        <f t="shared" si="8"/>
        <v>122739.67999999989</v>
      </c>
      <c r="L165" s="31"/>
    </row>
    <row r="166" spans="1:12" x14ac:dyDescent="0.25">
      <c r="A166" s="5" t="s">
        <v>186</v>
      </c>
      <c r="B166" s="42">
        <f t="shared" si="6"/>
        <v>86.369980000000012</v>
      </c>
      <c r="C166" s="7" t="s">
        <v>430</v>
      </c>
      <c r="D166" s="7" t="s">
        <v>432</v>
      </c>
      <c r="E166" s="7" t="s">
        <v>829</v>
      </c>
      <c r="F166" s="8">
        <v>83.782639999999887</v>
      </c>
      <c r="G166" s="7" t="s">
        <v>431</v>
      </c>
      <c r="H166" s="7" t="s">
        <v>433</v>
      </c>
      <c r="I166" s="9">
        <v>458.9</v>
      </c>
      <c r="J166" s="10">
        <f t="shared" si="7"/>
        <v>86369.98000000001</v>
      </c>
      <c r="K166" s="6">
        <f t="shared" si="8"/>
        <v>122306.86999999989</v>
      </c>
      <c r="L166" s="31"/>
    </row>
    <row r="167" spans="1:12" x14ac:dyDescent="0.25">
      <c r="A167" s="5" t="s">
        <v>186</v>
      </c>
      <c r="B167" s="42">
        <f t="shared" si="6"/>
        <v>86.828879999999998</v>
      </c>
      <c r="C167" s="7" t="s">
        <v>432</v>
      </c>
      <c r="D167" s="7" t="s">
        <v>434</v>
      </c>
      <c r="E167" s="7" t="s">
        <v>829</v>
      </c>
      <c r="F167" s="8">
        <v>84.275109999999884</v>
      </c>
      <c r="G167" s="7" t="s">
        <v>433</v>
      </c>
      <c r="H167" s="7" t="s">
        <v>435</v>
      </c>
      <c r="I167" s="9">
        <v>536.04999999999995</v>
      </c>
      <c r="J167" s="10">
        <f t="shared" si="7"/>
        <v>86828.88</v>
      </c>
      <c r="K167" s="6">
        <f t="shared" si="8"/>
        <v>121847.9699999999</v>
      </c>
      <c r="L167" s="31"/>
    </row>
    <row r="168" spans="1:12" x14ac:dyDescent="0.25">
      <c r="A168" s="5" t="s">
        <v>186</v>
      </c>
      <c r="B168" s="42">
        <f t="shared" si="6"/>
        <v>87.364930000000001</v>
      </c>
      <c r="C168" s="7" t="s">
        <v>434</v>
      </c>
      <c r="D168" s="7" t="s">
        <v>436</v>
      </c>
      <c r="E168" s="7" t="s">
        <v>829</v>
      </c>
      <c r="F168" s="8">
        <v>84.74800999999988</v>
      </c>
      <c r="G168" s="7" t="s">
        <v>435</v>
      </c>
      <c r="H168" s="7" t="s">
        <v>437</v>
      </c>
      <c r="I168" s="9">
        <v>470.78</v>
      </c>
      <c r="J168" s="10">
        <f t="shared" si="7"/>
        <v>87364.930000000008</v>
      </c>
      <c r="K168" s="6">
        <f t="shared" si="8"/>
        <v>121311.9199999999</v>
      </c>
      <c r="L168" s="31"/>
    </row>
    <row r="169" spans="1:12" x14ac:dyDescent="0.25">
      <c r="A169" s="5" t="s">
        <v>186</v>
      </c>
      <c r="B169" s="42">
        <f t="shared" si="6"/>
        <v>87.835710000000006</v>
      </c>
      <c r="C169" s="7" t="s">
        <v>436</v>
      </c>
      <c r="D169" s="7" t="s">
        <v>438</v>
      </c>
      <c r="E169" s="7" t="s">
        <v>829</v>
      </c>
      <c r="F169" s="8">
        <v>85.211359999999885</v>
      </c>
      <c r="G169" s="7" t="s">
        <v>437</v>
      </c>
      <c r="H169" s="7" t="s">
        <v>439</v>
      </c>
      <c r="I169" s="9">
        <v>501.16</v>
      </c>
      <c r="J169" s="10">
        <f t="shared" si="7"/>
        <v>87835.71</v>
      </c>
      <c r="K169" s="6">
        <f t="shared" si="8"/>
        <v>120841.1399999999</v>
      </c>
      <c r="L169" s="31"/>
    </row>
    <row r="170" spans="1:12" x14ac:dyDescent="0.25">
      <c r="A170" s="5" t="s">
        <v>186</v>
      </c>
      <c r="B170" s="42">
        <f t="shared" si="6"/>
        <v>88.336870000000005</v>
      </c>
      <c r="C170" s="7" t="s">
        <v>438</v>
      </c>
      <c r="D170" s="7" t="s">
        <v>440</v>
      </c>
      <c r="E170" s="7" t="s">
        <v>829</v>
      </c>
      <c r="F170" s="8">
        <v>85.633709999999894</v>
      </c>
      <c r="G170" s="7" t="s">
        <v>439</v>
      </c>
      <c r="H170" s="7" t="s">
        <v>441</v>
      </c>
      <c r="I170" s="9">
        <v>454.58</v>
      </c>
      <c r="J170" s="10">
        <f t="shared" si="7"/>
        <v>88336.87000000001</v>
      </c>
      <c r="K170" s="6">
        <f t="shared" si="8"/>
        <v>120339.97999999989</v>
      </c>
      <c r="L170" s="31"/>
    </row>
    <row r="171" spans="1:12" x14ac:dyDescent="0.25">
      <c r="A171" s="5" t="s">
        <v>186</v>
      </c>
      <c r="B171" s="42">
        <f t="shared" si="6"/>
        <v>88.791450000000012</v>
      </c>
      <c r="C171" s="7" t="s">
        <v>440</v>
      </c>
      <c r="D171" s="7" t="s">
        <v>442</v>
      </c>
      <c r="E171" s="7" t="s">
        <v>829</v>
      </c>
      <c r="F171" s="8">
        <v>86.03761999999989</v>
      </c>
      <c r="G171" s="7" t="s">
        <v>441</v>
      </c>
      <c r="H171" s="7" t="s">
        <v>443</v>
      </c>
      <c r="I171" s="9">
        <v>467.33</v>
      </c>
      <c r="J171" s="10">
        <f t="shared" si="7"/>
        <v>88791.450000000012</v>
      </c>
      <c r="K171" s="6">
        <f t="shared" si="8"/>
        <v>119885.39999999989</v>
      </c>
      <c r="L171" s="31"/>
    </row>
    <row r="172" spans="1:12" x14ac:dyDescent="0.25">
      <c r="A172" s="5" t="s">
        <v>186</v>
      </c>
      <c r="B172" s="42">
        <f t="shared" si="6"/>
        <v>89.258780000000016</v>
      </c>
      <c r="C172" s="7" t="s">
        <v>442</v>
      </c>
      <c r="D172" s="7" t="s">
        <v>444</v>
      </c>
      <c r="E172" s="7" t="s">
        <v>829</v>
      </c>
      <c r="F172" s="8">
        <v>86.693679999999887</v>
      </c>
      <c r="G172" s="7" t="s">
        <v>443</v>
      </c>
      <c r="H172" s="7" t="s">
        <v>445</v>
      </c>
      <c r="I172" s="9">
        <v>478.66</v>
      </c>
      <c r="J172" s="10">
        <f t="shared" si="7"/>
        <v>89258.780000000013</v>
      </c>
      <c r="K172" s="6">
        <f t="shared" si="8"/>
        <v>119418.06999999989</v>
      </c>
      <c r="L172" s="31"/>
    </row>
    <row r="173" spans="1:12" x14ac:dyDescent="0.25">
      <c r="A173" s="5" t="s">
        <v>186</v>
      </c>
      <c r="B173" s="42">
        <f t="shared" si="6"/>
        <v>89.737440000000021</v>
      </c>
      <c r="C173" s="7" t="s">
        <v>444</v>
      </c>
      <c r="D173" s="7" t="s">
        <v>446</v>
      </c>
      <c r="E173" s="7" t="s">
        <v>829</v>
      </c>
      <c r="F173" s="8">
        <v>87.103619999999893</v>
      </c>
      <c r="G173" s="7" t="s">
        <v>445</v>
      </c>
      <c r="H173" s="7" t="s">
        <v>447</v>
      </c>
      <c r="I173" s="9">
        <v>632.02</v>
      </c>
      <c r="J173" s="10">
        <f t="shared" si="7"/>
        <v>89737.440000000017</v>
      </c>
      <c r="K173" s="6">
        <f t="shared" si="8"/>
        <v>118939.40999999989</v>
      </c>
      <c r="L173" s="31"/>
    </row>
    <row r="174" spans="1:12" x14ac:dyDescent="0.25">
      <c r="A174" s="5" t="s">
        <v>186</v>
      </c>
      <c r="B174" s="42">
        <f t="shared" si="6"/>
        <v>90.369460000000018</v>
      </c>
      <c r="C174" s="7" t="s">
        <v>446</v>
      </c>
      <c r="D174" s="7" t="s">
        <v>448</v>
      </c>
      <c r="E174" s="7" t="s">
        <v>829</v>
      </c>
      <c r="F174" s="8">
        <v>87.791039999999896</v>
      </c>
      <c r="G174" s="7" t="s">
        <v>447</v>
      </c>
      <c r="H174" s="7" t="s">
        <v>449</v>
      </c>
      <c r="I174" s="9">
        <v>693.69</v>
      </c>
      <c r="J174" s="10">
        <f t="shared" si="7"/>
        <v>90369.460000000021</v>
      </c>
      <c r="K174" s="6">
        <f t="shared" si="8"/>
        <v>118307.38999999988</v>
      </c>
      <c r="L174" s="31"/>
    </row>
    <row r="175" spans="1:12" x14ac:dyDescent="0.25">
      <c r="A175" s="5" t="s">
        <v>186</v>
      </c>
      <c r="B175" s="42">
        <f t="shared" si="6"/>
        <v>91.063150000000022</v>
      </c>
      <c r="C175" s="7" t="s">
        <v>448</v>
      </c>
      <c r="D175" s="7" t="s">
        <v>450</v>
      </c>
      <c r="E175" s="7" t="s">
        <v>829</v>
      </c>
      <c r="F175" s="8">
        <v>88.401029999999892</v>
      </c>
      <c r="G175" s="7" t="s">
        <v>449</v>
      </c>
      <c r="H175" s="7" t="s">
        <v>451</v>
      </c>
      <c r="I175" s="9">
        <v>633.48</v>
      </c>
      <c r="J175" s="10">
        <f t="shared" si="7"/>
        <v>91063.150000000023</v>
      </c>
      <c r="K175" s="6">
        <f t="shared" si="8"/>
        <v>117613.69999999988</v>
      </c>
      <c r="L175" s="31"/>
    </row>
    <row r="176" spans="1:12" x14ac:dyDescent="0.25">
      <c r="A176" s="5" t="s">
        <v>186</v>
      </c>
      <c r="B176" s="42">
        <f t="shared" si="6"/>
        <v>91.696630000000013</v>
      </c>
      <c r="C176" s="7" t="s">
        <v>450</v>
      </c>
      <c r="D176" s="7" t="s">
        <v>452</v>
      </c>
      <c r="E176" s="7" t="s">
        <v>829</v>
      </c>
      <c r="F176" s="8">
        <v>88.987149999999886</v>
      </c>
      <c r="G176" s="7" t="s">
        <v>451</v>
      </c>
      <c r="H176" s="7" t="s">
        <v>453</v>
      </c>
      <c r="I176" s="9">
        <v>596.66999999999996</v>
      </c>
      <c r="J176" s="10">
        <f t="shared" si="7"/>
        <v>91696.630000000019</v>
      </c>
      <c r="K176" s="6">
        <f t="shared" si="8"/>
        <v>116980.21999999988</v>
      </c>
      <c r="L176" s="31"/>
    </row>
    <row r="177" spans="1:12" x14ac:dyDescent="0.25">
      <c r="A177" s="5" t="s">
        <v>186</v>
      </c>
      <c r="B177" s="42">
        <f t="shared" si="6"/>
        <v>92.293300000000016</v>
      </c>
      <c r="C177" s="7" t="s">
        <v>452</v>
      </c>
      <c r="D177" s="7" t="s">
        <v>454</v>
      </c>
      <c r="E177" s="7" t="s">
        <v>829</v>
      </c>
      <c r="F177" s="8">
        <v>89.751329999999882</v>
      </c>
      <c r="G177" s="7" t="s">
        <v>453</v>
      </c>
      <c r="H177" s="7" t="s">
        <v>455</v>
      </c>
      <c r="I177" s="9">
        <v>772.44</v>
      </c>
      <c r="J177" s="10">
        <f t="shared" si="7"/>
        <v>92293.300000000017</v>
      </c>
      <c r="K177" s="6">
        <f t="shared" si="8"/>
        <v>116383.54999999989</v>
      </c>
      <c r="L177" s="31"/>
    </row>
    <row r="178" spans="1:12" x14ac:dyDescent="0.25">
      <c r="A178" s="5" t="s">
        <v>186</v>
      </c>
      <c r="B178" s="42">
        <f t="shared" si="6"/>
        <v>93.065740000000019</v>
      </c>
      <c r="C178" s="7" t="s">
        <v>454</v>
      </c>
      <c r="D178" s="7" t="s">
        <v>456</v>
      </c>
      <c r="E178" s="7" t="s">
        <v>829</v>
      </c>
      <c r="F178" s="8">
        <v>90.413809999999884</v>
      </c>
      <c r="G178" s="7" t="s">
        <v>455</v>
      </c>
      <c r="H178" s="7" t="s">
        <v>457</v>
      </c>
      <c r="I178" s="9">
        <v>669.46</v>
      </c>
      <c r="J178" s="10">
        <f t="shared" si="7"/>
        <v>93065.74000000002</v>
      </c>
      <c r="K178" s="6">
        <f t="shared" si="8"/>
        <v>115611.10999999988</v>
      </c>
      <c r="L178" s="31"/>
    </row>
    <row r="179" spans="1:12" x14ac:dyDescent="0.25">
      <c r="A179" s="5" t="s">
        <v>186</v>
      </c>
      <c r="B179" s="42">
        <f t="shared" si="6"/>
        <v>93.73520000000002</v>
      </c>
      <c r="C179" s="7" t="s">
        <v>456</v>
      </c>
      <c r="D179" s="7" t="s">
        <v>458</v>
      </c>
      <c r="E179" s="7" t="s">
        <v>829</v>
      </c>
      <c r="F179" s="8">
        <v>91.035859999999886</v>
      </c>
      <c r="G179" s="7" t="s">
        <v>457</v>
      </c>
      <c r="H179" s="7" t="s">
        <v>459</v>
      </c>
      <c r="I179" s="9">
        <v>562.48</v>
      </c>
      <c r="J179" s="10">
        <f t="shared" si="7"/>
        <v>93735.200000000026</v>
      </c>
      <c r="K179" s="6">
        <f t="shared" si="8"/>
        <v>114941.64999999988</v>
      </c>
      <c r="L179" s="31"/>
    </row>
    <row r="180" spans="1:12" x14ac:dyDescent="0.25">
      <c r="A180" s="5" t="s">
        <v>186</v>
      </c>
      <c r="B180" s="42">
        <f t="shared" si="6"/>
        <v>94.297680000000028</v>
      </c>
      <c r="C180" s="7" t="s">
        <v>458</v>
      </c>
      <c r="D180" s="7" t="s">
        <v>460</v>
      </c>
      <c r="E180" s="7" t="s">
        <v>829</v>
      </c>
      <c r="F180" s="8">
        <v>91.578949999999878</v>
      </c>
      <c r="G180" s="7" t="s">
        <v>459</v>
      </c>
      <c r="H180" s="7" t="s">
        <v>461</v>
      </c>
      <c r="I180" s="9">
        <v>582.70000000000005</v>
      </c>
      <c r="J180" s="10">
        <f t="shared" si="7"/>
        <v>94297.680000000022</v>
      </c>
      <c r="K180" s="6">
        <f t="shared" si="8"/>
        <v>114379.16999999988</v>
      </c>
      <c r="L180" s="31"/>
    </row>
    <row r="181" spans="1:12" x14ac:dyDescent="0.25">
      <c r="A181" s="5" t="s">
        <v>186</v>
      </c>
      <c r="B181" s="42">
        <f t="shared" si="6"/>
        <v>94.880380000000017</v>
      </c>
      <c r="C181" s="7" t="s">
        <v>460</v>
      </c>
      <c r="D181" s="7" t="s">
        <v>462</v>
      </c>
      <c r="E181" s="7" t="s">
        <v>829</v>
      </c>
      <c r="F181" s="8">
        <v>92.082419999999885</v>
      </c>
      <c r="G181" s="7" t="s">
        <v>461</v>
      </c>
      <c r="H181" s="7" t="s">
        <v>463</v>
      </c>
      <c r="I181" s="9">
        <v>693.25</v>
      </c>
      <c r="J181" s="10">
        <f t="shared" si="7"/>
        <v>94880.380000000019</v>
      </c>
      <c r="K181" s="6">
        <f t="shared" si="8"/>
        <v>113796.46999999988</v>
      </c>
      <c r="L181" s="31"/>
    </row>
    <row r="182" spans="1:12" x14ac:dyDescent="0.25">
      <c r="A182" s="5" t="s">
        <v>186</v>
      </c>
      <c r="B182" s="42">
        <f t="shared" si="6"/>
        <v>95.573630000000023</v>
      </c>
      <c r="C182" s="7" t="s">
        <v>462</v>
      </c>
      <c r="D182" s="7" t="s">
        <v>464</v>
      </c>
      <c r="E182" s="7" t="s">
        <v>829</v>
      </c>
      <c r="F182" s="8">
        <v>92.656639999999882</v>
      </c>
      <c r="G182" s="7" t="s">
        <v>463</v>
      </c>
      <c r="H182" s="7" t="s">
        <v>465</v>
      </c>
      <c r="I182" s="9">
        <v>359.85</v>
      </c>
      <c r="J182" s="10">
        <f t="shared" si="7"/>
        <v>95573.630000000019</v>
      </c>
      <c r="K182" s="6">
        <f t="shared" si="8"/>
        <v>113103.21999999988</v>
      </c>
      <c r="L182" s="31"/>
    </row>
    <row r="183" spans="1:12" x14ac:dyDescent="0.25">
      <c r="A183" s="5" t="s">
        <v>186</v>
      </c>
      <c r="B183" s="42">
        <f t="shared" si="6"/>
        <v>95.933480000000031</v>
      </c>
      <c r="C183" s="7" t="s">
        <v>464</v>
      </c>
      <c r="D183" s="7" t="s">
        <v>466</v>
      </c>
      <c r="E183" s="7" t="s">
        <v>829</v>
      </c>
      <c r="F183" s="8">
        <v>92.991499999999888</v>
      </c>
      <c r="G183" s="7" t="s">
        <v>465</v>
      </c>
      <c r="H183" s="7" t="s">
        <v>467</v>
      </c>
      <c r="I183" s="9">
        <v>364.59</v>
      </c>
      <c r="J183" s="10">
        <f t="shared" si="7"/>
        <v>95933.480000000025</v>
      </c>
      <c r="K183" s="6">
        <f t="shared" si="8"/>
        <v>112743.36999999988</v>
      </c>
      <c r="L183" s="31"/>
    </row>
    <row r="184" spans="1:12" x14ac:dyDescent="0.25">
      <c r="A184" s="5" t="s">
        <v>186</v>
      </c>
      <c r="B184" s="42">
        <f t="shared" si="6"/>
        <v>96.298070000000024</v>
      </c>
      <c r="C184" s="7" t="s">
        <v>466</v>
      </c>
      <c r="D184" s="7" t="s">
        <v>468</v>
      </c>
      <c r="E184" s="7" t="s">
        <v>829</v>
      </c>
      <c r="F184" s="8">
        <v>93.323649999999873</v>
      </c>
      <c r="G184" s="7" t="s">
        <v>467</v>
      </c>
      <c r="H184" s="7" t="s">
        <v>469</v>
      </c>
      <c r="I184" s="9">
        <v>655.04</v>
      </c>
      <c r="J184" s="10">
        <f t="shared" si="7"/>
        <v>96298.070000000022</v>
      </c>
      <c r="K184" s="6">
        <f t="shared" si="8"/>
        <v>112378.77999999988</v>
      </c>
      <c r="L184" s="31"/>
    </row>
    <row r="185" spans="1:12" x14ac:dyDescent="0.25">
      <c r="A185" s="5" t="s">
        <v>186</v>
      </c>
      <c r="B185" s="42">
        <f t="shared" si="6"/>
        <v>96.953110000000009</v>
      </c>
      <c r="C185" s="7" t="s">
        <v>468</v>
      </c>
      <c r="D185" s="7" t="s">
        <v>470</v>
      </c>
      <c r="E185" s="7" t="s">
        <v>829</v>
      </c>
      <c r="F185" s="8">
        <v>94.023189999999872</v>
      </c>
      <c r="G185" s="7" t="s">
        <v>469</v>
      </c>
      <c r="H185" s="7" t="s">
        <v>471</v>
      </c>
      <c r="I185" s="9">
        <v>482.06</v>
      </c>
      <c r="J185" s="10">
        <f t="shared" si="7"/>
        <v>96953.110000000015</v>
      </c>
      <c r="K185" s="6">
        <f t="shared" si="8"/>
        <v>111723.73999999989</v>
      </c>
      <c r="L185" s="31"/>
    </row>
    <row r="186" spans="1:12" x14ac:dyDescent="0.25">
      <c r="A186" s="5" t="s">
        <v>186</v>
      </c>
      <c r="B186" s="42">
        <f t="shared" si="6"/>
        <v>97.435170000000014</v>
      </c>
      <c r="C186" s="7" t="s">
        <v>470</v>
      </c>
      <c r="D186" s="7" t="s">
        <v>472</v>
      </c>
      <c r="E186" s="7" t="s">
        <v>829</v>
      </c>
      <c r="F186" s="8">
        <v>94.643659999999869</v>
      </c>
      <c r="G186" s="7" t="s">
        <v>471</v>
      </c>
      <c r="H186" s="7" t="s">
        <v>473</v>
      </c>
      <c r="I186" s="9">
        <v>415.66</v>
      </c>
      <c r="J186" s="10">
        <f t="shared" si="7"/>
        <v>97435.170000000013</v>
      </c>
      <c r="K186" s="6">
        <f t="shared" si="8"/>
        <v>111241.67999999989</v>
      </c>
      <c r="L186" s="31"/>
    </row>
    <row r="187" spans="1:12" x14ac:dyDescent="0.25">
      <c r="A187" s="5" t="s">
        <v>186</v>
      </c>
      <c r="B187" s="42">
        <f t="shared" si="6"/>
        <v>97.850830000000016</v>
      </c>
      <c r="C187" s="7" t="s">
        <v>472</v>
      </c>
      <c r="D187" s="7" t="s">
        <v>474</v>
      </c>
      <c r="E187" s="7" t="s">
        <v>829</v>
      </c>
      <c r="F187" s="8">
        <v>94.96317999999988</v>
      </c>
      <c r="G187" s="7" t="s">
        <v>473</v>
      </c>
      <c r="H187" s="7" t="s">
        <v>475</v>
      </c>
      <c r="I187" s="9">
        <v>604.62</v>
      </c>
      <c r="J187" s="10">
        <f t="shared" si="7"/>
        <v>97850.830000000016</v>
      </c>
      <c r="K187" s="6">
        <f t="shared" si="8"/>
        <v>110826.01999999989</v>
      </c>
      <c r="L187" s="31"/>
    </row>
    <row r="188" spans="1:12" x14ac:dyDescent="0.25">
      <c r="A188" s="5" t="s">
        <v>186</v>
      </c>
      <c r="B188" s="42">
        <f t="shared" si="6"/>
        <v>98.455450000000013</v>
      </c>
      <c r="C188" s="7" t="s">
        <v>474</v>
      </c>
      <c r="D188" s="7" t="s">
        <v>476</v>
      </c>
      <c r="E188" s="7" t="s">
        <v>829</v>
      </c>
      <c r="F188" s="8">
        <v>95.266039999999876</v>
      </c>
      <c r="G188" s="7" t="s">
        <v>475</v>
      </c>
      <c r="H188" s="7" t="s">
        <v>477</v>
      </c>
      <c r="I188" s="9">
        <v>350.61</v>
      </c>
      <c r="J188" s="10">
        <f t="shared" si="7"/>
        <v>98455.450000000012</v>
      </c>
      <c r="K188" s="6">
        <f t="shared" si="8"/>
        <v>110221.39999999989</v>
      </c>
      <c r="L188" s="31"/>
    </row>
    <row r="189" spans="1:12" x14ac:dyDescent="0.25">
      <c r="A189" s="5" t="s">
        <v>186</v>
      </c>
      <c r="B189" s="42">
        <f t="shared" si="6"/>
        <v>98.806060000000016</v>
      </c>
      <c r="C189" s="7" t="s">
        <v>476</v>
      </c>
      <c r="D189" s="7" t="s">
        <v>478</v>
      </c>
      <c r="E189" s="7" t="s">
        <v>829</v>
      </c>
      <c r="F189" s="8">
        <v>95.731889999999879</v>
      </c>
      <c r="G189" s="7" t="s">
        <v>477</v>
      </c>
      <c r="H189" s="7" t="s">
        <v>479</v>
      </c>
      <c r="I189" s="9">
        <v>586.6</v>
      </c>
      <c r="J189" s="10">
        <f t="shared" si="7"/>
        <v>98806.060000000012</v>
      </c>
      <c r="K189" s="6">
        <f t="shared" si="8"/>
        <v>109870.78999999989</v>
      </c>
      <c r="L189" s="31"/>
    </row>
    <row r="190" spans="1:12" x14ac:dyDescent="0.25">
      <c r="A190" s="5" t="s">
        <v>186</v>
      </c>
      <c r="B190" s="42">
        <f t="shared" si="6"/>
        <v>99.392660000000021</v>
      </c>
      <c r="C190" s="7" t="s">
        <v>478</v>
      </c>
      <c r="D190" s="7" t="s">
        <v>480</v>
      </c>
      <c r="E190" s="7" t="s">
        <v>829</v>
      </c>
      <c r="F190" s="8">
        <v>96.392939999999882</v>
      </c>
      <c r="G190" s="7" t="s">
        <v>479</v>
      </c>
      <c r="H190" s="7" t="s">
        <v>481</v>
      </c>
      <c r="I190" s="9">
        <v>439.53</v>
      </c>
      <c r="J190" s="10">
        <f t="shared" si="7"/>
        <v>99392.660000000018</v>
      </c>
      <c r="K190" s="6">
        <f t="shared" si="8"/>
        <v>109284.18999999989</v>
      </c>
      <c r="L190" s="31"/>
    </row>
    <row r="191" spans="1:12" x14ac:dyDescent="0.25">
      <c r="A191" s="5" t="s">
        <v>186</v>
      </c>
      <c r="B191" s="42">
        <f t="shared" si="6"/>
        <v>99.832190000000011</v>
      </c>
      <c r="C191" s="7" t="s">
        <v>480</v>
      </c>
      <c r="D191" s="7" t="s">
        <v>482</v>
      </c>
      <c r="E191" s="7" t="s">
        <v>829</v>
      </c>
      <c r="F191" s="8">
        <v>96.751239999999882</v>
      </c>
      <c r="G191" s="7" t="s">
        <v>481</v>
      </c>
      <c r="H191" s="7" t="s">
        <v>483</v>
      </c>
      <c r="I191" s="9">
        <v>436.09</v>
      </c>
      <c r="J191" s="10">
        <f t="shared" si="7"/>
        <v>99832.190000000017</v>
      </c>
      <c r="K191" s="6">
        <f t="shared" si="8"/>
        <v>108844.65999999989</v>
      </c>
      <c r="L191" s="31"/>
    </row>
    <row r="192" spans="1:12" x14ac:dyDescent="0.25">
      <c r="A192" s="5" t="s">
        <v>186</v>
      </c>
      <c r="B192" s="42">
        <f t="shared" si="6"/>
        <v>100.26828000000002</v>
      </c>
      <c r="C192" s="7" t="s">
        <v>482</v>
      </c>
      <c r="D192" s="7" t="s">
        <v>484</v>
      </c>
      <c r="E192" s="7" t="s">
        <v>829</v>
      </c>
      <c r="F192" s="8">
        <v>97.257009999999894</v>
      </c>
      <c r="G192" s="7" t="s">
        <v>483</v>
      </c>
      <c r="H192" s="7" t="s">
        <v>485</v>
      </c>
      <c r="I192" s="9">
        <v>467.98</v>
      </c>
      <c r="J192" s="10">
        <f t="shared" si="7"/>
        <v>100268.28000000001</v>
      </c>
      <c r="K192" s="6">
        <f t="shared" si="8"/>
        <v>108408.56999999989</v>
      </c>
      <c r="L192" s="31"/>
    </row>
    <row r="193" spans="1:12" x14ac:dyDescent="0.25">
      <c r="A193" s="5" t="s">
        <v>186</v>
      </c>
      <c r="B193" s="42">
        <f t="shared" si="6"/>
        <v>100.73626000000002</v>
      </c>
      <c r="C193" s="7" t="s">
        <v>484</v>
      </c>
      <c r="D193" s="7" t="s">
        <v>486</v>
      </c>
      <c r="E193" s="7" t="s">
        <v>829</v>
      </c>
      <c r="F193" s="8">
        <v>97.89958999999989</v>
      </c>
      <c r="G193" s="7" t="s">
        <v>485</v>
      </c>
      <c r="H193" s="7" t="s">
        <v>487</v>
      </c>
      <c r="I193" s="9">
        <v>380.2</v>
      </c>
      <c r="J193" s="10">
        <f t="shared" si="7"/>
        <v>100736.26000000001</v>
      </c>
      <c r="K193" s="6">
        <f t="shared" si="8"/>
        <v>107940.58999999989</v>
      </c>
      <c r="L193" s="31"/>
    </row>
    <row r="194" spans="1:12" x14ac:dyDescent="0.25">
      <c r="A194" s="5" t="s">
        <v>186</v>
      </c>
      <c r="B194" s="42">
        <f t="shared" si="6"/>
        <v>101.11646</v>
      </c>
      <c r="C194" s="7" t="s">
        <v>486</v>
      </c>
      <c r="D194" s="7" t="s">
        <v>488</v>
      </c>
      <c r="E194" s="7" t="s">
        <v>829</v>
      </c>
      <c r="F194" s="8">
        <v>98.312719999999899</v>
      </c>
      <c r="G194" s="7" t="s">
        <v>487</v>
      </c>
      <c r="H194" s="7" t="s">
        <v>489</v>
      </c>
      <c r="I194" s="9">
        <v>644.19000000000005</v>
      </c>
      <c r="J194" s="10">
        <f t="shared" si="7"/>
        <v>101116.46</v>
      </c>
      <c r="K194" s="6">
        <f t="shared" si="8"/>
        <v>107560.3899999999</v>
      </c>
      <c r="L194" s="31"/>
    </row>
    <row r="195" spans="1:12" x14ac:dyDescent="0.25">
      <c r="A195" s="5" t="s">
        <v>186</v>
      </c>
      <c r="B195" s="42">
        <f t="shared" ref="B195:B258" si="9">J195/1000</f>
        <v>101.76065000000001</v>
      </c>
      <c r="C195" s="7" t="s">
        <v>488</v>
      </c>
      <c r="D195" s="7" t="s">
        <v>490</v>
      </c>
      <c r="E195" s="7" t="s">
        <v>829</v>
      </c>
      <c r="F195" s="8">
        <v>98.858959999999911</v>
      </c>
      <c r="G195" s="7" t="s">
        <v>489</v>
      </c>
      <c r="H195" s="7" t="s">
        <v>491</v>
      </c>
      <c r="I195" s="9">
        <v>549.80999999999995</v>
      </c>
      <c r="J195" s="10">
        <f t="shared" si="7"/>
        <v>101760.65000000001</v>
      </c>
      <c r="K195" s="6">
        <f t="shared" si="8"/>
        <v>106916.1999999999</v>
      </c>
      <c r="L195" s="31"/>
    </row>
    <row r="196" spans="1:12" x14ac:dyDescent="0.25">
      <c r="A196" s="5" t="s">
        <v>186</v>
      </c>
      <c r="B196" s="42">
        <f t="shared" si="9"/>
        <v>102.31046000000001</v>
      </c>
      <c r="C196" s="7" t="s">
        <v>490</v>
      </c>
      <c r="D196" s="7" t="s">
        <v>492</v>
      </c>
      <c r="E196" s="7" t="s">
        <v>829</v>
      </c>
      <c r="F196" s="8">
        <v>99.445599999999899</v>
      </c>
      <c r="G196" s="7" t="s">
        <v>491</v>
      </c>
      <c r="H196" s="7" t="s">
        <v>493</v>
      </c>
      <c r="I196" s="9">
        <v>397.21</v>
      </c>
      <c r="J196" s="10">
        <f t="shared" ref="J196:J259" si="10">J195+I195</f>
        <v>102310.46</v>
      </c>
      <c r="K196" s="6">
        <f t="shared" ref="K196:K259" si="11">K195-I195</f>
        <v>106366.3899999999</v>
      </c>
      <c r="L196" s="31"/>
    </row>
    <row r="197" spans="1:12" x14ac:dyDescent="0.25">
      <c r="A197" s="5" t="s">
        <v>186</v>
      </c>
      <c r="B197" s="42">
        <f t="shared" si="9"/>
        <v>102.70767000000001</v>
      </c>
      <c r="C197" s="7" t="s">
        <v>492</v>
      </c>
      <c r="D197" s="7" t="s">
        <v>494</v>
      </c>
      <c r="E197" s="7" t="s">
        <v>829</v>
      </c>
      <c r="F197" s="8">
        <v>99.860629999999901</v>
      </c>
      <c r="G197" s="7" t="s">
        <v>493</v>
      </c>
      <c r="H197" s="7" t="s">
        <v>495</v>
      </c>
      <c r="I197" s="9">
        <v>334.92</v>
      </c>
      <c r="J197" s="10">
        <f t="shared" si="10"/>
        <v>102707.67000000001</v>
      </c>
      <c r="K197" s="6">
        <f t="shared" si="11"/>
        <v>105969.17999999989</v>
      </c>
      <c r="L197" s="31"/>
    </row>
    <row r="198" spans="1:12" x14ac:dyDescent="0.25">
      <c r="A198" s="5" t="s">
        <v>186</v>
      </c>
      <c r="B198" s="42">
        <f t="shared" si="9"/>
        <v>103.04259</v>
      </c>
      <c r="C198" s="7" t="s">
        <v>494</v>
      </c>
      <c r="D198" s="7" t="s">
        <v>496</v>
      </c>
      <c r="E198" s="7" t="s">
        <v>829</v>
      </c>
      <c r="F198" s="8">
        <v>100.7701099999999</v>
      </c>
      <c r="G198" s="7" t="s">
        <v>495</v>
      </c>
      <c r="H198" s="7" t="s">
        <v>497</v>
      </c>
      <c r="I198" s="9">
        <v>498.46</v>
      </c>
      <c r="J198" s="10">
        <f t="shared" si="10"/>
        <v>103042.59000000001</v>
      </c>
      <c r="K198" s="6">
        <f t="shared" si="11"/>
        <v>105634.25999999989</v>
      </c>
      <c r="L198" s="31"/>
    </row>
    <row r="199" spans="1:12" x14ac:dyDescent="0.25">
      <c r="A199" s="5" t="s">
        <v>186</v>
      </c>
      <c r="B199" s="42">
        <f t="shared" si="9"/>
        <v>103.54105000000001</v>
      </c>
      <c r="C199" s="7" t="s">
        <v>496</v>
      </c>
      <c r="D199" s="7" t="s">
        <v>498</v>
      </c>
      <c r="E199" s="7" t="s">
        <v>829</v>
      </c>
      <c r="F199" s="8">
        <v>101.2744999999999</v>
      </c>
      <c r="G199" s="7" t="s">
        <v>497</v>
      </c>
      <c r="H199" s="7" t="s">
        <v>499</v>
      </c>
      <c r="I199" s="9">
        <v>658.13</v>
      </c>
      <c r="J199" s="10">
        <f t="shared" si="10"/>
        <v>103541.05000000002</v>
      </c>
      <c r="K199" s="6">
        <f t="shared" si="11"/>
        <v>105135.79999999989</v>
      </c>
      <c r="L199" s="31"/>
    </row>
    <row r="200" spans="1:12" x14ac:dyDescent="0.25">
      <c r="A200" s="5" t="s">
        <v>186</v>
      </c>
      <c r="B200" s="42">
        <f t="shared" si="9"/>
        <v>104.19918000000003</v>
      </c>
      <c r="C200" s="7" t="s">
        <v>498</v>
      </c>
      <c r="D200" s="7" t="s">
        <v>500</v>
      </c>
      <c r="E200" s="7" t="s">
        <v>829</v>
      </c>
      <c r="F200" s="8">
        <v>102.1072999999999</v>
      </c>
      <c r="G200" s="7" t="s">
        <v>499</v>
      </c>
      <c r="H200" s="7" t="s">
        <v>501</v>
      </c>
      <c r="I200" s="9">
        <v>434.65</v>
      </c>
      <c r="J200" s="10">
        <f t="shared" si="10"/>
        <v>104199.18000000002</v>
      </c>
      <c r="K200" s="6">
        <f t="shared" si="11"/>
        <v>104477.66999999988</v>
      </c>
      <c r="L200" s="31"/>
    </row>
    <row r="201" spans="1:12" x14ac:dyDescent="0.25">
      <c r="A201" s="5" t="s">
        <v>186</v>
      </c>
      <c r="B201" s="42">
        <f t="shared" si="9"/>
        <v>104.63383000000002</v>
      </c>
      <c r="C201" s="7" t="s">
        <v>500</v>
      </c>
      <c r="D201" s="7" t="s">
        <v>502</v>
      </c>
      <c r="E201" s="7" t="s">
        <v>829</v>
      </c>
      <c r="F201" s="8">
        <v>102.46402999999989</v>
      </c>
      <c r="G201" s="7" t="s">
        <v>501</v>
      </c>
      <c r="H201" s="7" t="s">
        <v>503</v>
      </c>
      <c r="I201" s="9">
        <v>379.68</v>
      </c>
      <c r="J201" s="10">
        <f t="shared" si="10"/>
        <v>104633.83000000002</v>
      </c>
      <c r="K201" s="6">
        <f t="shared" si="11"/>
        <v>104043.01999999989</v>
      </c>
      <c r="L201" s="31"/>
    </row>
    <row r="202" spans="1:12" x14ac:dyDescent="0.25">
      <c r="A202" s="5" t="s">
        <v>186</v>
      </c>
      <c r="B202" s="42">
        <f t="shared" si="9"/>
        <v>105.01351000000001</v>
      </c>
      <c r="C202" s="7" t="s">
        <v>502</v>
      </c>
      <c r="D202" s="7" t="s">
        <v>503</v>
      </c>
      <c r="E202" s="7" t="s">
        <v>829</v>
      </c>
      <c r="F202" s="8">
        <v>103.09631999999989</v>
      </c>
      <c r="G202" s="7" t="s">
        <v>503</v>
      </c>
      <c r="H202" s="7" t="s">
        <v>502</v>
      </c>
      <c r="I202" s="9">
        <v>567.02</v>
      </c>
      <c r="J202" s="10">
        <f t="shared" si="10"/>
        <v>105013.51000000001</v>
      </c>
      <c r="K202" s="6">
        <f t="shared" si="11"/>
        <v>103663.33999999989</v>
      </c>
      <c r="L202" s="31"/>
    </row>
    <row r="203" spans="1:12" x14ac:dyDescent="0.25">
      <c r="A203" s="5" t="s">
        <v>186</v>
      </c>
      <c r="B203" s="42">
        <f t="shared" si="9"/>
        <v>105.58053000000001</v>
      </c>
      <c r="C203" s="7" t="s">
        <v>503</v>
      </c>
      <c r="D203" s="7" t="s">
        <v>501</v>
      </c>
      <c r="E203" s="7" t="s">
        <v>829</v>
      </c>
      <c r="F203" s="8">
        <v>103.66333999999989</v>
      </c>
      <c r="G203" s="7" t="s">
        <v>502</v>
      </c>
      <c r="H203" s="7" t="s">
        <v>500</v>
      </c>
      <c r="I203" s="9">
        <v>632.29</v>
      </c>
      <c r="J203" s="10">
        <f t="shared" si="10"/>
        <v>105580.53000000001</v>
      </c>
      <c r="K203" s="6">
        <f t="shared" si="11"/>
        <v>103096.31999999989</v>
      </c>
      <c r="L203" s="31"/>
    </row>
    <row r="204" spans="1:12" x14ac:dyDescent="0.25">
      <c r="A204" s="5" t="s">
        <v>186</v>
      </c>
      <c r="B204" s="42">
        <f t="shared" si="9"/>
        <v>106.21282000000001</v>
      </c>
      <c r="C204" s="7" t="s">
        <v>501</v>
      </c>
      <c r="D204" s="7" t="s">
        <v>499</v>
      </c>
      <c r="E204" s="7" t="s">
        <v>829</v>
      </c>
      <c r="F204" s="8">
        <v>104.04301999999988</v>
      </c>
      <c r="G204" s="7" t="s">
        <v>500</v>
      </c>
      <c r="H204" s="7" t="s">
        <v>498</v>
      </c>
      <c r="I204" s="9">
        <v>356.73</v>
      </c>
      <c r="J204" s="10">
        <f t="shared" si="10"/>
        <v>106212.82</v>
      </c>
      <c r="K204" s="6">
        <f t="shared" si="11"/>
        <v>102464.0299999999</v>
      </c>
      <c r="L204" s="31"/>
    </row>
    <row r="205" spans="1:12" x14ac:dyDescent="0.25">
      <c r="A205" s="5" t="s">
        <v>186</v>
      </c>
      <c r="B205" s="42">
        <f t="shared" si="9"/>
        <v>106.56955000000001</v>
      </c>
      <c r="C205" s="7" t="s">
        <v>499</v>
      </c>
      <c r="D205" s="7" t="s">
        <v>497</v>
      </c>
      <c r="E205" s="7" t="s">
        <v>829</v>
      </c>
      <c r="F205" s="8">
        <v>104.47766999999988</v>
      </c>
      <c r="G205" s="7" t="s">
        <v>498</v>
      </c>
      <c r="H205" s="7" t="s">
        <v>496</v>
      </c>
      <c r="I205" s="9">
        <v>832.8</v>
      </c>
      <c r="J205" s="10">
        <f t="shared" si="10"/>
        <v>106569.55</v>
      </c>
      <c r="K205" s="6">
        <f t="shared" si="11"/>
        <v>102107.2999999999</v>
      </c>
      <c r="L205" s="31"/>
    </row>
    <row r="206" spans="1:12" x14ac:dyDescent="0.25">
      <c r="A206" s="5" t="s">
        <v>186</v>
      </c>
      <c r="B206" s="42">
        <f t="shared" si="9"/>
        <v>107.40235000000001</v>
      </c>
      <c r="C206" s="7" t="s">
        <v>497</v>
      </c>
      <c r="D206" s="7" t="s">
        <v>495</v>
      </c>
      <c r="E206" s="7" t="s">
        <v>829</v>
      </c>
      <c r="F206" s="8">
        <v>105.13579999999989</v>
      </c>
      <c r="G206" s="7" t="s">
        <v>496</v>
      </c>
      <c r="H206" s="7" t="s">
        <v>494</v>
      </c>
      <c r="I206" s="9">
        <v>504.39</v>
      </c>
      <c r="J206" s="10">
        <f t="shared" si="10"/>
        <v>107402.35</v>
      </c>
      <c r="K206" s="6">
        <f t="shared" si="11"/>
        <v>101274.4999999999</v>
      </c>
      <c r="L206" s="31"/>
    </row>
    <row r="207" spans="1:12" x14ac:dyDescent="0.25">
      <c r="A207" s="5" t="s">
        <v>186</v>
      </c>
      <c r="B207" s="42">
        <f t="shared" si="9"/>
        <v>107.90674</v>
      </c>
      <c r="C207" s="7" t="s">
        <v>495</v>
      </c>
      <c r="D207" s="7" t="s">
        <v>493</v>
      </c>
      <c r="E207" s="7" t="s">
        <v>829</v>
      </c>
      <c r="F207" s="8">
        <v>105.6342599999999</v>
      </c>
      <c r="G207" s="7" t="s">
        <v>494</v>
      </c>
      <c r="H207" s="7" t="s">
        <v>492</v>
      </c>
      <c r="I207" s="9">
        <v>909.48</v>
      </c>
      <c r="J207" s="10">
        <f t="shared" si="10"/>
        <v>107906.74</v>
      </c>
      <c r="K207" s="6">
        <f t="shared" si="11"/>
        <v>100770.1099999999</v>
      </c>
      <c r="L207" s="31"/>
    </row>
    <row r="208" spans="1:12" x14ac:dyDescent="0.25">
      <c r="A208" s="5" t="s">
        <v>186</v>
      </c>
      <c r="B208" s="42">
        <f t="shared" si="9"/>
        <v>108.81622</v>
      </c>
      <c r="C208" s="7" t="s">
        <v>493</v>
      </c>
      <c r="D208" s="7" t="s">
        <v>491</v>
      </c>
      <c r="E208" s="7" t="s">
        <v>829</v>
      </c>
      <c r="F208" s="8">
        <v>105.96917999999989</v>
      </c>
      <c r="G208" s="7" t="s">
        <v>492</v>
      </c>
      <c r="H208" s="7" t="s">
        <v>490</v>
      </c>
      <c r="I208" s="9">
        <v>415.03</v>
      </c>
      <c r="J208" s="10">
        <f t="shared" si="10"/>
        <v>108816.22</v>
      </c>
      <c r="K208" s="6">
        <f t="shared" si="11"/>
        <v>99860.629999999903</v>
      </c>
      <c r="L208" s="31"/>
    </row>
    <row r="209" spans="1:12" x14ac:dyDescent="0.25">
      <c r="A209" s="5" t="s">
        <v>186</v>
      </c>
      <c r="B209" s="42">
        <f t="shared" si="9"/>
        <v>109.23125</v>
      </c>
      <c r="C209" s="7" t="s">
        <v>491</v>
      </c>
      <c r="D209" s="7" t="s">
        <v>489</v>
      </c>
      <c r="E209" s="7" t="s">
        <v>829</v>
      </c>
      <c r="F209" s="8">
        <v>106.3663899999999</v>
      </c>
      <c r="G209" s="7" t="s">
        <v>490</v>
      </c>
      <c r="H209" s="7" t="s">
        <v>488</v>
      </c>
      <c r="I209" s="9">
        <v>586.64</v>
      </c>
      <c r="J209" s="10">
        <f t="shared" si="10"/>
        <v>109231.25</v>
      </c>
      <c r="K209" s="6">
        <f t="shared" si="11"/>
        <v>99445.599999999904</v>
      </c>
      <c r="L209" s="31"/>
    </row>
    <row r="210" spans="1:12" x14ac:dyDescent="0.25">
      <c r="A210" s="5" t="s">
        <v>186</v>
      </c>
      <c r="B210" s="42">
        <f t="shared" si="9"/>
        <v>109.81789000000001</v>
      </c>
      <c r="C210" s="7" t="s">
        <v>489</v>
      </c>
      <c r="D210" s="7" t="s">
        <v>487</v>
      </c>
      <c r="E210" s="7" t="s">
        <v>829</v>
      </c>
      <c r="F210" s="8">
        <v>106.91619999999989</v>
      </c>
      <c r="G210" s="7" t="s">
        <v>488</v>
      </c>
      <c r="H210" s="7" t="s">
        <v>486</v>
      </c>
      <c r="I210" s="9">
        <v>546.24</v>
      </c>
      <c r="J210" s="10">
        <f t="shared" si="10"/>
        <v>109817.89</v>
      </c>
      <c r="K210" s="6">
        <f t="shared" si="11"/>
        <v>98858.959999999905</v>
      </c>
      <c r="L210" s="31"/>
    </row>
    <row r="211" spans="1:12" x14ac:dyDescent="0.25">
      <c r="A211" s="5" t="s">
        <v>186</v>
      </c>
      <c r="B211" s="42">
        <f t="shared" si="9"/>
        <v>110.36413</v>
      </c>
      <c r="C211" s="7" t="s">
        <v>487</v>
      </c>
      <c r="D211" s="7" t="s">
        <v>485</v>
      </c>
      <c r="E211" s="7" t="s">
        <v>829</v>
      </c>
      <c r="F211" s="8">
        <v>107.5603899999999</v>
      </c>
      <c r="G211" s="7" t="s">
        <v>486</v>
      </c>
      <c r="H211" s="7" t="s">
        <v>484</v>
      </c>
      <c r="I211" s="9">
        <v>413.13</v>
      </c>
      <c r="J211" s="10">
        <f t="shared" si="10"/>
        <v>110364.13</v>
      </c>
      <c r="K211" s="6">
        <f t="shared" si="11"/>
        <v>98312.719999999899</v>
      </c>
      <c r="L211" s="31"/>
    </row>
    <row r="212" spans="1:12" x14ac:dyDescent="0.25">
      <c r="A212" s="5" t="s">
        <v>186</v>
      </c>
      <c r="B212" s="42">
        <f t="shared" si="9"/>
        <v>110.77726000000001</v>
      </c>
      <c r="C212" s="7" t="s">
        <v>485</v>
      </c>
      <c r="D212" s="7" t="s">
        <v>483</v>
      </c>
      <c r="E212" s="7" t="s">
        <v>829</v>
      </c>
      <c r="F212" s="8">
        <v>107.9405899999999</v>
      </c>
      <c r="G212" s="7" t="s">
        <v>484</v>
      </c>
      <c r="H212" s="7" t="s">
        <v>482</v>
      </c>
      <c r="I212" s="9">
        <v>642.58000000000004</v>
      </c>
      <c r="J212" s="10">
        <f t="shared" si="10"/>
        <v>110777.26000000001</v>
      </c>
      <c r="K212" s="6">
        <f t="shared" si="11"/>
        <v>97899.589999999895</v>
      </c>
      <c r="L212" s="31"/>
    </row>
    <row r="213" spans="1:12" x14ac:dyDescent="0.25">
      <c r="A213" s="5" t="s">
        <v>186</v>
      </c>
      <c r="B213" s="42">
        <f t="shared" si="9"/>
        <v>111.41984000000001</v>
      </c>
      <c r="C213" s="7" t="s">
        <v>483</v>
      </c>
      <c r="D213" s="7" t="s">
        <v>481</v>
      </c>
      <c r="E213" s="7" t="s">
        <v>829</v>
      </c>
      <c r="F213" s="8">
        <v>108.40856999999988</v>
      </c>
      <c r="G213" s="7" t="s">
        <v>482</v>
      </c>
      <c r="H213" s="7" t="s">
        <v>480</v>
      </c>
      <c r="I213" s="9">
        <v>505.77</v>
      </c>
      <c r="J213" s="10">
        <f t="shared" si="10"/>
        <v>111419.84000000001</v>
      </c>
      <c r="K213" s="6">
        <f t="shared" si="11"/>
        <v>97257.009999999893</v>
      </c>
      <c r="L213" s="31"/>
    </row>
    <row r="214" spans="1:12" x14ac:dyDescent="0.25">
      <c r="A214" s="5" t="s">
        <v>186</v>
      </c>
      <c r="B214" s="42">
        <f t="shared" si="9"/>
        <v>111.92561000000002</v>
      </c>
      <c r="C214" s="7" t="s">
        <v>481</v>
      </c>
      <c r="D214" s="7" t="s">
        <v>479</v>
      </c>
      <c r="E214" s="7" t="s">
        <v>829</v>
      </c>
      <c r="F214" s="8">
        <v>108.84465999999989</v>
      </c>
      <c r="G214" s="7" t="s">
        <v>480</v>
      </c>
      <c r="H214" s="7" t="s">
        <v>478</v>
      </c>
      <c r="I214" s="9">
        <v>358.3</v>
      </c>
      <c r="J214" s="10">
        <f t="shared" si="10"/>
        <v>111925.61000000002</v>
      </c>
      <c r="K214" s="6">
        <f t="shared" si="11"/>
        <v>96751.239999999889</v>
      </c>
      <c r="L214" s="31"/>
    </row>
    <row r="215" spans="1:12" x14ac:dyDescent="0.25">
      <c r="A215" s="5" t="s">
        <v>186</v>
      </c>
      <c r="B215" s="42">
        <f t="shared" si="9"/>
        <v>112.28391000000002</v>
      </c>
      <c r="C215" s="7" t="s">
        <v>479</v>
      </c>
      <c r="D215" s="7" t="s">
        <v>477</v>
      </c>
      <c r="E215" s="7" t="s">
        <v>829</v>
      </c>
      <c r="F215" s="8">
        <v>109.28418999999988</v>
      </c>
      <c r="G215" s="7" t="s">
        <v>478</v>
      </c>
      <c r="H215" s="7" t="s">
        <v>476</v>
      </c>
      <c r="I215" s="9">
        <v>661.05</v>
      </c>
      <c r="J215" s="10">
        <f t="shared" si="10"/>
        <v>112283.91000000002</v>
      </c>
      <c r="K215" s="6">
        <f t="shared" si="11"/>
        <v>96392.939999999886</v>
      </c>
      <c r="L215" s="31"/>
    </row>
    <row r="216" spans="1:12" x14ac:dyDescent="0.25">
      <c r="A216" s="5" t="s">
        <v>186</v>
      </c>
      <c r="B216" s="42">
        <f t="shared" si="9"/>
        <v>112.94496000000002</v>
      </c>
      <c r="C216" s="7" t="s">
        <v>477</v>
      </c>
      <c r="D216" s="7" t="s">
        <v>475</v>
      </c>
      <c r="E216" s="7" t="s">
        <v>829</v>
      </c>
      <c r="F216" s="8">
        <v>109.87078999999989</v>
      </c>
      <c r="G216" s="7" t="s">
        <v>476</v>
      </c>
      <c r="H216" s="7" t="s">
        <v>474</v>
      </c>
      <c r="I216" s="9">
        <v>465.85</v>
      </c>
      <c r="J216" s="10">
        <f t="shared" si="10"/>
        <v>112944.96000000002</v>
      </c>
      <c r="K216" s="6">
        <f t="shared" si="11"/>
        <v>95731.889999999883</v>
      </c>
      <c r="L216" s="31"/>
    </row>
    <row r="217" spans="1:12" x14ac:dyDescent="0.25">
      <c r="A217" s="5" t="s">
        <v>186</v>
      </c>
      <c r="B217" s="42">
        <f t="shared" si="9"/>
        <v>113.41081000000003</v>
      </c>
      <c r="C217" s="7" t="s">
        <v>475</v>
      </c>
      <c r="D217" s="7" t="s">
        <v>473</v>
      </c>
      <c r="E217" s="7" t="s">
        <v>829</v>
      </c>
      <c r="F217" s="8">
        <v>110.22139999999989</v>
      </c>
      <c r="G217" s="7" t="s">
        <v>474</v>
      </c>
      <c r="H217" s="7" t="s">
        <v>472</v>
      </c>
      <c r="I217" s="9">
        <v>302.86</v>
      </c>
      <c r="J217" s="10">
        <f t="shared" si="10"/>
        <v>113410.81000000003</v>
      </c>
      <c r="K217" s="6">
        <f t="shared" si="11"/>
        <v>95266.039999999877</v>
      </c>
      <c r="L217" s="31"/>
    </row>
    <row r="218" spans="1:12" x14ac:dyDescent="0.25">
      <c r="A218" s="5" t="s">
        <v>186</v>
      </c>
      <c r="B218" s="42">
        <f t="shared" si="9"/>
        <v>113.71367000000002</v>
      </c>
      <c r="C218" s="7" t="s">
        <v>473</v>
      </c>
      <c r="D218" s="7" t="s">
        <v>471</v>
      </c>
      <c r="E218" s="7" t="s">
        <v>829</v>
      </c>
      <c r="F218" s="8">
        <v>110.82601999999989</v>
      </c>
      <c r="G218" s="7" t="s">
        <v>472</v>
      </c>
      <c r="H218" s="7" t="s">
        <v>470</v>
      </c>
      <c r="I218" s="9">
        <v>319.52</v>
      </c>
      <c r="J218" s="10">
        <f t="shared" si="10"/>
        <v>113713.67000000003</v>
      </c>
      <c r="K218" s="6">
        <f t="shared" si="11"/>
        <v>94963.179999999877</v>
      </c>
      <c r="L218" s="31"/>
    </row>
    <row r="219" spans="1:12" x14ac:dyDescent="0.25">
      <c r="A219" s="5" t="s">
        <v>186</v>
      </c>
      <c r="B219" s="42">
        <f t="shared" si="9"/>
        <v>114.03319000000003</v>
      </c>
      <c r="C219" s="7" t="s">
        <v>471</v>
      </c>
      <c r="D219" s="7" t="s">
        <v>469</v>
      </c>
      <c r="E219" s="7" t="s">
        <v>829</v>
      </c>
      <c r="F219" s="8">
        <v>111.24167999999989</v>
      </c>
      <c r="G219" s="7" t="s">
        <v>470</v>
      </c>
      <c r="H219" s="7" t="s">
        <v>468</v>
      </c>
      <c r="I219" s="9">
        <v>620.47</v>
      </c>
      <c r="J219" s="10">
        <f t="shared" si="10"/>
        <v>114033.19000000003</v>
      </c>
      <c r="K219" s="6">
        <f t="shared" si="11"/>
        <v>94643.659999999873</v>
      </c>
      <c r="L219" s="31"/>
    </row>
    <row r="220" spans="1:12" x14ac:dyDescent="0.25">
      <c r="A220" s="5" t="s">
        <v>186</v>
      </c>
      <c r="B220" s="42">
        <f t="shared" si="9"/>
        <v>114.65366000000003</v>
      </c>
      <c r="C220" s="7" t="s">
        <v>469</v>
      </c>
      <c r="D220" s="7" t="s">
        <v>467</v>
      </c>
      <c r="E220" s="7" t="s">
        <v>829</v>
      </c>
      <c r="F220" s="8">
        <v>111.72373999999989</v>
      </c>
      <c r="G220" s="7" t="s">
        <v>468</v>
      </c>
      <c r="H220" s="7" t="s">
        <v>466</v>
      </c>
      <c r="I220" s="9">
        <v>699.54</v>
      </c>
      <c r="J220" s="10">
        <f t="shared" si="10"/>
        <v>114653.66000000003</v>
      </c>
      <c r="K220" s="6">
        <f t="shared" si="11"/>
        <v>94023.189999999871</v>
      </c>
      <c r="L220" s="31"/>
    </row>
    <row r="221" spans="1:12" x14ac:dyDescent="0.25">
      <c r="A221" s="5" t="s">
        <v>186</v>
      </c>
      <c r="B221" s="42">
        <f t="shared" si="9"/>
        <v>115.35320000000003</v>
      </c>
      <c r="C221" s="7" t="s">
        <v>467</v>
      </c>
      <c r="D221" s="7" t="s">
        <v>465</v>
      </c>
      <c r="E221" s="7" t="s">
        <v>829</v>
      </c>
      <c r="F221" s="8">
        <v>112.37877999999988</v>
      </c>
      <c r="G221" s="7" t="s">
        <v>466</v>
      </c>
      <c r="H221" s="7" t="s">
        <v>464</v>
      </c>
      <c r="I221" s="9">
        <v>332.15</v>
      </c>
      <c r="J221" s="10">
        <f t="shared" si="10"/>
        <v>115353.20000000003</v>
      </c>
      <c r="K221" s="6">
        <f t="shared" si="11"/>
        <v>93323.649999999878</v>
      </c>
      <c r="L221" s="31"/>
    </row>
    <row r="222" spans="1:12" x14ac:dyDescent="0.25">
      <c r="A222" s="5" t="s">
        <v>186</v>
      </c>
      <c r="B222" s="42">
        <f t="shared" si="9"/>
        <v>115.68535000000001</v>
      </c>
      <c r="C222" s="7" t="s">
        <v>465</v>
      </c>
      <c r="D222" s="7" t="s">
        <v>463</v>
      </c>
      <c r="E222" s="7" t="s">
        <v>829</v>
      </c>
      <c r="F222" s="8">
        <v>112.74336999999989</v>
      </c>
      <c r="G222" s="7" t="s">
        <v>464</v>
      </c>
      <c r="H222" s="7" t="s">
        <v>462</v>
      </c>
      <c r="I222" s="9">
        <v>334.86</v>
      </c>
      <c r="J222" s="10">
        <f t="shared" si="10"/>
        <v>115685.35000000002</v>
      </c>
      <c r="K222" s="6">
        <f t="shared" si="11"/>
        <v>92991.499999999884</v>
      </c>
      <c r="L222" s="31"/>
    </row>
    <row r="223" spans="1:12" x14ac:dyDescent="0.25">
      <c r="A223" s="5" t="s">
        <v>186</v>
      </c>
      <c r="B223" s="42">
        <f t="shared" si="9"/>
        <v>116.02021000000002</v>
      </c>
      <c r="C223" s="7" t="s">
        <v>463</v>
      </c>
      <c r="D223" s="7" t="s">
        <v>461</v>
      </c>
      <c r="E223" s="7" t="s">
        <v>829</v>
      </c>
      <c r="F223" s="8">
        <v>113.10321999999988</v>
      </c>
      <c r="G223" s="7" t="s">
        <v>462</v>
      </c>
      <c r="H223" s="7" t="s">
        <v>460</v>
      </c>
      <c r="I223" s="9">
        <v>574.22</v>
      </c>
      <c r="J223" s="10">
        <f t="shared" si="10"/>
        <v>116020.21000000002</v>
      </c>
      <c r="K223" s="6">
        <f t="shared" si="11"/>
        <v>92656.639999999883</v>
      </c>
      <c r="L223" s="31"/>
    </row>
    <row r="224" spans="1:12" x14ac:dyDescent="0.25">
      <c r="A224" s="5" t="s">
        <v>186</v>
      </c>
      <c r="B224" s="42">
        <f t="shared" si="9"/>
        <v>116.59443000000002</v>
      </c>
      <c r="C224" s="7" t="s">
        <v>461</v>
      </c>
      <c r="D224" s="7" t="s">
        <v>459</v>
      </c>
      <c r="E224" s="7" t="s">
        <v>829</v>
      </c>
      <c r="F224" s="8">
        <v>113.79646999999989</v>
      </c>
      <c r="G224" s="7" t="s">
        <v>460</v>
      </c>
      <c r="H224" s="7" t="s">
        <v>458</v>
      </c>
      <c r="I224" s="9">
        <v>503.47</v>
      </c>
      <c r="J224" s="10">
        <f t="shared" si="10"/>
        <v>116594.43000000002</v>
      </c>
      <c r="K224" s="6">
        <f t="shared" si="11"/>
        <v>92082.419999999882</v>
      </c>
      <c r="L224" s="31"/>
    </row>
    <row r="225" spans="1:12" x14ac:dyDescent="0.25">
      <c r="A225" s="5" t="s">
        <v>186</v>
      </c>
      <c r="B225" s="42">
        <f t="shared" si="9"/>
        <v>117.09790000000002</v>
      </c>
      <c r="C225" s="7" t="s">
        <v>459</v>
      </c>
      <c r="D225" s="7" t="s">
        <v>457</v>
      </c>
      <c r="E225" s="7" t="s">
        <v>829</v>
      </c>
      <c r="F225" s="8">
        <v>114.37916999999989</v>
      </c>
      <c r="G225" s="7" t="s">
        <v>458</v>
      </c>
      <c r="H225" s="7" t="s">
        <v>456</v>
      </c>
      <c r="I225" s="9">
        <v>543.09</v>
      </c>
      <c r="J225" s="10">
        <f t="shared" si="10"/>
        <v>117097.90000000002</v>
      </c>
      <c r="K225" s="6">
        <f t="shared" si="11"/>
        <v>91578.949999999881</v>
      </c>
      <c r="L225" s="31"/>
    </row>
    <row r="226" spans="1:12" x14ac:dyDescent="0.25">
      <c r="A226" s="5" t="s">
        <v>186</v>
      </c>
      <c r="B226" s="42">
        <f t="shared" si="9"/>
        <v>117.64099000000002</v>
      </c>
      <c r="C226" s="7" t="s">
        <v>457</v>
      </c>
      <c r="D226" s="7" t="s">
        <v>455</v>
      </c>
      <c r="E226" s="7" t="s">
        <v>829</v>
      </c>
      <c r="F226" s="8">
        <v>114.94164999999988</v>
      </c>
      <c r="G226" s="7" t="s">
        <v>456</v>
      </c>
      <c r="H226" s="7" t="s">
        <v>454</v>
      </c>
      <c r="I226" s="9">
        <v>622.04999999999995</v>
      </c>
      <c r="J226" s="10">
        <f t="shared" si="10"/>
        <v>117640.99000000002</v>
      </c>
      <c r="K226" s="6">
        <f t="shared" si="11"/>
        <v>91035.859999999884</v>
      </c>
      <c r="L226" s="31"/>
    </row>
    <row r="227" spans="1:12" x14ac:dyDescent="0.25">
      <c r="A227" s="5" t="s">
        <v>186</v>
      </c>
      <c r="B227" s="42">
        <f t="shared" si="9"/>
        <v>118.26304000000002</v>
      </c>
      <c r="C227" s="7" t="s">
        <v>455</v>
      </c>
      <c r="D227" s="7" t="s">
        <v>453</v>
      </c>
      <c r="E227" s="7" t="s">
        <v>829</v>
      </c>
      <c r="F227" s="8">
        <v>115.61110999999988</v>
      </c>
      <c r="G227" s="7" t="s">
        <v>454</v>
      </c>
      <c r="H227" s="7" t="s">
        <v>452</v>
      </c>
      <c r="I227" s="9">
        <v>662.48</v>
      </c>
      <c r="J227" s="10">
        <f t="shared" si="10"/>
        <v>118263.04000000002</v>
      </c>
      <c r="K227" s="6">
        <f t="shared" si="11"/>
        <v>90413.809999999881</v>
      </c>
      <c r="L227" s="31"/>
    </row>
    <row r="228" spans="1:12" x14ac:dyDescent="0.25">
      <c r="A228" s="5" t="s">
        <v>186</v>
      </c>
      <c r="B228" s="42">
        <f t="shared" si="9"/>
        <v>118.92552000000002</v>
      </c>
      <c r="C228" s="7" t="s">
        <v>453</v>
      </c>
      <c r="D228" s="7" t="s">
        <v>451</v>
      </c>
      <c r="E228" s="7" t="s">
        <v>829</v>
      </c>
      <c r="F228" s="8">
        <v>116.38354999999989</v>
      </c>
      <c r="G228" s="7" t="s">
        <v>452</v>
      </c>
      <c r="H228" s="7" t="s">
        <v>450</v>
      </c>
      <c r="I228" s="9">
        <v>764.18</v>
      </c>
      <c r="J228" s="10">
        <f t="shared" si="10"/>
        <v>118925.52000000002</v>
      </c>
      <c r="K228" s="6">
        <f t="shared" si="11"/>
        <v>89751.329999999885</v>
      </c>
      <c r="L228" s="31"/>
    </row>
    <row r="229" spans="1:12" x14ac:dyDescent="0.25">
      <c r="A229" s="5" t="s">
        <v>186</v>
      </c>
      <c r="B229" s="42">
        <f t="shared" si="9"/>
        <v>119.68970000000002</v>
      </c>
      <c r="C229" s="7" t="s">
        <v>451</v>
      </c>
      <c r="D229" s="7" t="s">
        <v>449</v>
      </c>
      <c r="E229" s="7" t="s">
        <v>829</v>
      </c>
      <c r="F229" s="8">
        <v>116.98021999999989</v>
      </c>
      <c r="G229" s="7" t="s">
        <v>450</v>
      </c>
      <c r="H229" s="7" t="s">
        <v>448</v>
      </c>
      <c r="I229" s="9">
        <v>586.12</v>
      </c>
      <c r="J229" s="10">
        <f t="shared" si="10"/>
        <v>119689.70000000001</v>
      </c>
      <c r="K229" s="6">
        <f t="shared" si="11"/>
        <v>88987.149999999892</v>
      </c>
      <c r="L229" s="31"/>
    </row>
    <row r="230" spans="1:12" x14ac:dyDescent="0.25">
      <c r="A230" s="5" t="s">
        <v>186</v>
      </c>
      <c r="B230" s="42">
        <f t="shared" si="9"/>
        <v>120.27582000000001</v>
      </c>
      <c r="C230" s="7" t="s">
        <v>449</v>
      </c>
      <c r="D230" s="7" t="s">
        <v>447</v>
      </c>
      <c r="E230" s="7" t="s">
        <v>829</v>
      </c>
      <c r="F230" s="8">
        <v>117.61369999999988</v>
      </c>
      <c r="G230" s="7" t="s">
        <v>448</v>
      </c>
      <c r="H230" s="7" t="s">
        <v>446</v>
      </c>
      <c r="I230" s="9">
        <v>609.99</v>
      </c>
      <c r="J230" s="10">
        <f t="shared" si="10"/>
        <v>120275.82</v>
      </c>
      <c r="K230" s="6">
        <f t="shared" si="11"/>
        <v>88401.029999999897</v>
      </c>
      <c r="L230" s="31"/>
    </row>
    <row r="231" spans="1:12" x14ac:dyDescent="0.25">
      <c r="A231" s="5" t="s">
        <v>186</v>
      </c>
      <c r="B231" s="42">
        <f t="shared" si="9"/>
        <v>120.88581000000001</v>
      </c>
      <c r="C231" s="7" t="s">
        <v>447</v>
      </c>
      <c r="D231" s="7" t="s">
        <v>445</v>
      </c>
      <c r="E231" s="7" t="s">
        <v>829</v>
      </c>
      <c r="F231" s="8">
        <v>118.30738999999988</v>
      </c>
      <c r="G231" s="7" t="s">
        <v>446</v>
      </c>
      <c r="H231" s="7" t="s">
        <v>444</v>
      </c>
      <c r="I231" s="9">
        <v>687.42</v>
      </c>
      <c r="J231" s="10">
        <f t="shared" si="10"/>
        <v>120885.81000000001</v>
      </c>
      <c r="K231" s="6">
        <f t="shared" si="11"/>
        <v>87791.039999999892</v>
      </c>
      <c r="L231" s="31"/>
    </row>
    <row r="232" spans="1:12" x14ac:dyDescent="0.25">
      <c r="A232" s="5" t="s">
        <v>186</v>
      </c>
      <c r="B232" s="42">
        <f t="shared" si="9"/>
        <v>121.57323000000001</v>
      </c>
      <c r="C232" s="7" t="s">
        <v>445</v>
      </c>
      <c r="D232" s="7" t="s">
        <v>443</v>
      </c>
      <c r="E232" s="7" t="s">
        <v>829</v>
      </c>
      <c r="F232" s="8">
        <v>118.93940999999988</v>
      </c>
      <c r="G232" s="7" t="s">
        <v>444</v>
      </c>
      <c r="H232" s="7" t="s">
        <v>442</v>
      </c>
      <c r="I232" s="9">
        <v>409.94</v>
      </c>
      <c r="J232" s="10">
        <f t="shared" si="10"/>
        <v>121573.23000000001</v>
      </c>
      <c r="K232" s="6">
        <f t="shared" si="11"/>
        <v>87103.619999999893</v>
      </c>
      <c r="L232" s="31"/>
    </row>
    <row r="233" spans="1:12" x14ac:dyDescent="0.25">
      <c r="A233" s="5" t="s">
        <v>186</v>
      </c>
      <c r="B233" s="42">
        <f t="shared" si="9"/>
        <v>121.98317000000002</v>
      </c>
      <c r="C233" s="7" t="s">
        <v>443</v>
      </c>
      <c r="D233" s="7" t="s">
        <v>441</v>
      </c>
      <c r="E233" s="7" t="s">
        <v>829</v>
      </c>
      <c r="F233" s="8">
        <v>119.41806999999989</v>
      </c>
      <c r="G233" s="7" t="s">
        <v>442</v>
      </c>
      <c r="H233" s="7" t="s">
        <v>440</v>
      </c>
      <c r="I233" s="9">
        <v>656.06</v>
      </c>
      <c r="J233" s="10">
        <f t="shared" si="10"/>
        <v>121983.17000000001</v>
      </c>
      <c r="K233" s="6">
        <f t="shared" si="11"/>
        <v>86693.679999999891</v>
      </c>
      <c r="L233" s="31"/>
    </row>
    <row r="234" spans="1:12" x14ac:dyDescent="0.25">
      <c r="A234" s="5" t="s">
        <v>186</v>
      </c>
      <c r="B234" s="42">
        <f t="shared" si="9"/>
        <v>122.63923000000001</v>
      </c>
      <c r="C234" s="7" t="s">
        <v>441</v>
      </c>
      <c r="D234" s="7" t="s">
        <v>439</v>
      </c>
      <c r="E234" s="7" t="s">
        <v>829</v>
      </c>
      <c r="F234" s="8">
        <v>119.88539999999989</v>
      </c>
      <c r="G234" s="7" t="s">
        <v>440</v>
      </c>
      <c r="H234" s="7" t="s">
        <v>438</v>
      </c>
      <c r="I234" s="9">
        <v>403.91</v>
      </c>
      <c r="J234" s="10">
        <f t="shared" si="10"/>
        <v>122639.23000000001</v>
      </c>
      <c r="K234" s="6">
        <f t="shared" si="11"/>
        <v>86037.619999999893</v>
      </c>
      <c r="L234" s="31"/>
    </row>
    <row r="235" spans="1:12" x14ac:dyDescent="0.25">
      <c r="A235" s="5" t="s">
        <v>186</v>
      </c>
      <c r="B235" s="42">
        <f t="shared" si="9"/>
        <v>123.04314000000001</v>
      </c>
      <c r="C235" s="7" t="s">
        <v>439</v>
      </c>
      <c r="D235" s="7" t="s">
        <v>437</v>
      </c>
      <c r="E235" s="7" t="s">
        <v>829</v>
      </c>
      <c r="F235" s="8">
        <v>120.3399799999999</v>
      </c>
      <c r="G235" s="7" t="s">
        <v>438</v>
      </c>
      <c r="H235" s="7" t="s">
        <v>436</v>
      </c>
      <c r="I235" s="9">
        <v>422.35</v>
      </c>
      <c r="J235" s="10">
        <f t="shared" si="10"/>
        <v>123043.14000000001</v>
      </c>
      <c r="K235" s="6">
        <f t="shared" si="11"/>
        <v>85633.70999999989</v>
      </c>
      <c r="L235" s="31"/>
    </row>
    <row r="236" spans="1:12" x14ac:dyDescent="0.25">
      <c r="A236" s="5" t="s">
        <v>186</v>
      </c>
      <c r="B236" s="42">
        <f t="shared" si="9"/>
        <v>123.46549000000002</v>
      </c>
      <c r="C236" s="7" t="s">
        <v>437</v>
      </c>
      <c r="D236" s="7" t="s">
        <v>435</v>
      </c>
      <c r="E236" s="7" t="s">
        <v>829</v>
      </c>
      <c r="F236" s="8">
        <v>120.8411399999999</v>
      </c>
      <c r="G236" s="7" t="s">
        <v>436</v>
      </c>
      <c r="H236" s="7" t="s">
        <v>434</v>
      </c>
      <c r="I236" s="9">
        <v>463.35</v>
      </c>
      <c r="J236" s="10">
        <f t="shared" si="10"/>
        <v>123465.49000000002</v>
      </c>
      <c r="K236" s="6">
        <f t="shared" si="11"/>
        <v>85211.359999999884</v>
      </c>
      <c r="L236" s="31"/>
    </row>
    <row r="237" spans="1:12" x14ac:dyDescent="0.25">
      <c r="A237" s="5" t="s">
        <v>186</v>
      </c>
      <c r="B237" s="42">
        <f t="shared" si="9"/>
        <v>123.92884000000002</v>
      </c>
      <c r="C237" s="7" t="s">
        <v>435</v>
      </c>
      <c r="D237" s="7" t="s">
        <v>433</v>
      </c>
      <c r="E237" s="7" t="s">
        <v>829</v>
      </c>
      <c r="F237" s="8">
        <v>121.3119199999999</v>
      </c>
      <c r="G237" s="7" t="s">
        <v>434</v>
      </c>
      <c r="H237" s="7" t="s">
        <v>432</v>
      </c>
      <c r="I237" s="9">
        <v>472.9</v>
      </c>
      <c r="J237" s="10">
        <f t="shared" si="10"/>
        <v>123928.84000000003</v>
      </c>
      <c r="K237" s="6">
        <f t="shared" si="11"/>
        <v>84748.009999999878</v>
      </c>
      <c r="L237" s="31"/>
    </row>
    <row r="238" spans="1:12" x14ac:dyDescent="0.25">
      <c r="A238" s="5" t="s">
        <v>186</v>
      </c>
      <c r="B238" s="42">
        <f t="shared" si="9"/>
        <v>124.40174000000002</v>
      </c>
      <c r="C238" s="7" t="s">
        <v>433</v>
      </c>
      <c r="D238" s="7" t="s">
        <v>431</v>
      </c>
      <c r="E238" s="7" t="s">
        <v>829</v>
      </c>
      <c r="F238" s="8">
        <v>121.8479699999999</v>
      </c>
      <c r="G238" s="7" t="s">
        <v>432</v>
      </c>
      <c r="H238" s="7" t="s">
        <v>430</v>
      </c>
      <c r="I238" s="9">
        <v>492.47</v>
      </c>
      <c r="J238" s="10">
        <f t="shared" si="10"/>
        <v>124401.74000000002</v>
      </c>
      <c r="K238" s="6">
        <f t="shared" si="11"/>
        <v>84275.109999999884</v>
      </c>
      <c r="L238" s="31"/>
    </row>
    <row r="239" spans="1:12" x14ac:dyDescent="0.25">
      <c r="A239" s="5" t="s">
        <v>186</v>
      </c>
      <c r="B239" s="42">
        <f t="shared" si="9"/>
        <v>124.89421000000002</v>
      </c>
      <c r="C239" s="7" t="s">
        <v>431</v>
      </c>
      <c r="D239" s="7" t="s">
        <v>429</v>
      </c>
      <c r="E239" s="7" t="s">
        <v>829</v>
      </c>
      <c r="F239" s="8">
        <v>122.30686999999989</v>
      </c>
      <c r="G239" s="7" t="s">
        <v>430</v>
      </c>
      <c r="H239" s="7" t="s">
        <v>428</v>
      </c>
      <c r="I239" s="9">
        <v>479.92</v>
      </c>
      <c r="J239" s="10">
        <f t="shared" si="10"/>
        <v>124894.21000000002</v>
      </c>
      <c r="K239" s="6">
        <f t="shared" si="11"/>
        <v>83782.639999999883</v>
      </c>
      <c r="L239" s="31"/>
    </row>
    <row r="240" spans="1:12" x14ac:dyDescent="0.25">
      <c r="A240" s="5" t="s">
        <v>186</v>
      </c>
      <c r="B240" s="42">
        <f t="shared" si="9"/>
        <v>125.37413000000002</v>
      </c>
      <c r="C240" s="7" t="s">
        <v>429</v>
      </c>
      <c r="D240" s="7" t="s">
        <v>427</v>
      </c>
      <c r="E240" s="7" t="s">
        <v>829</v>
      </c>
      <c r="F240" s="8">
        <v>122.73967999999989</v>
      </c>
      <c r="G240" s="7" t="s">
        <v>428</v>
      </c>
      <c r="H240" s="7" t="s">
        <v>426</v>
      </c>
      <c r="I240" s="9">
        <v>426.35</v>
      </c>
      <c r="J240" s="10">
        <f t="shared" si="10"/>
        <v>125374.13000000002</v>
      </c>
      <c r="K240" s="6">
        <f t="shared" si="11"/>
        <v>83302.719999999885</v>
      </c>
      <c r="L240" s="31"/>
    </row>
    <row r="241" spans="1:12" x14ac:dyDescent="0.25">
      <c r="A241" s="5" t="s">
        <v>186</v>
      </c>
      <c r="B241" s="42">
        <f t="shared" si="9"/>
        <v>125.80048000000002</v>
      </c>
      <c r="C241" s="7" t="s">
        <v>427</v>
      </c>
      <c r="D241" s="7" t="s">
        <v>425</v>
      </c>
      <c r="E241" s="7" t="s">
        <v>829</v>
      </c>
      <c r="F241" s="8">
        <v>123.27992999999989</v>
      </c>
      <c r="G241" s="7" t="s">
        <v>426</v>
      </c>
      <c r="H241" s="7" t="s">
        <v>424</v>
      </c>
      <c r="I241" s="9">
        <v>510.75</v>
      </c>
      <c r="J241" s="10">
        <f t="shared" si="10"/>
        <v>125800.48000000003</v>
      </c>
      <c r="K241" s="6">
        <f t="shared" si="11"/>
        <v>82876.369999999879</v>
      </c>
      <c r="L241" s="31"/>
    </row>
    <row r="242" spans="1:12" x14ac:dyDescent="0.25">
      <c r="A242" s="5" t="s">
        <v>186</v>
      </c>
      <c r="B242" s="42">
        <f t="shared" si="9"/>
        <v>126.31123000000002</v>
      </c>
      <c r="C242" s="7" t="s">
        <v>425</v>
      </c>
      <c r="D242" s="7" t="s">
        <v>423</v>
      </c>
      <c r="E242" s="7" t="s">
        <v>829</v>
      </c>
      <c r="F242" s="8">
        <v>123.71213999999989</v>
      </c>
      <c r="G242" s="7" t="s">
        <v>424</v>
      </c>
      <c r="H242" s="7" t="s">
        <v>422</v>
      </c>
      <c r="I242" s="9">
        <v>444.76</v>
      </c>
      <c r="J242" s="10">
        <f t="shared" si="10"/>
        <v>126311.23000000003</v>
      </c>
      <c r="K242" s="6">
        <f t="shared" si="11"/>
        <v>82365.619999999879</v>
      </c>
      <c r="L242" s="31"/>
    </row>
    <row r="243" spans="1:12" x14ac:dyDescent="0.25">
      <c r="A243" s="5" t="s">
        <v>186</v>
      </c>
      <c r="B243" s="42">
        <f t="shared" si="9"/>
        <v>126.75599000000003</v>
      </c>
      <c r="C243" s="7" t="s">
        <v>423</v>
      </c>
      <c r="D243" s="7" t="s">
        <v>421</v>
      </c>
      <c r="E243" s="7" t="s">
        <v>829</v>
      </c>
      <c r="F243" s="8">
        <v>124.22207999999991</v>
      </c>
      <c r="G243" s="7" t="s">
        <v>422</v>
      </c>
      <c r="H243" s="7" t="s">
        <v>420</v>
      </c>
      <c r="I243" s="9">
        <v>477.18</v>
      </c>
      <c r="J243" s="10">
        <f t="shared" si="10"/>
        <v>126755.99000000002</v>
      </c>
      <c r="K243" s="6">
        <f t="shared" si="11"/>
        <v>81920.859999999884</v>
      </c>
      <c r="L243" s="31"/>
    </row>
    <row r="244" spans="1:12" x14ac:dyDescent="0.25">
      <c r="A244" s="5" t="s">
        <v>186</v>
      </c>
      <c r="B244" s="42">
        <f t="shared" si="9"/>
        <v>127.23317000000002</v>
      </c>
      <c r="C244" s="7" t="s">
        <v>421</v>
      </c>
      <c r="D244" s="7" t="s">
        <v>419</v>
      </c>
      <c r="E244" s="7" t="s">
        <v>829</v>
      </c>
      <c r="F244" s="8">
        <v>124.58955999999989</v>
      </c>
      <c r="G244" s="7" t="s">
        <v>420</v>
      </c>
      <c r="H244" s="7" t="s">
        <v>418</v>
      </c>
      <c r="I244" s="9">
        <v>580.62</v>
      </c>
      <c r="J244" s="10">
        <f t="shared" si="10"/>
        <v>127233.17000000001</v>
      </c>
      <c r="K244" s="6">
        <f t="shared" si="11"/>
        <v>81443.679999999891</v>
      </c>
      <c r="L244" s="31"/>
    </row>
    <row r="245" spans="1:12" x14ac:dyDescent="0.25">
      <c r="A245" s="5" t="s">
        <v>186</v>
      </c>
      <c r="B245" s="42">
        <f t="shared" si="9"/>
        <v>127.81379000000001</v>
      </c>
      <c r="C245" s="7" t="s">
        <v>419</v>
      </c>
      <c r="D245" s="7" t="s">
        <v>417</v>
      </c>
      <c r="E245" s="7" t="s">
        <v>829</v>
      </c>
      <c r="F245" s="8">
        <v>124.96033999999989</v>
      </c>
      <c r="G245" s="7" t="s">
        <v>418</v>
      </c>
      <c r="H245" s="7" t="s">
        <v>416</v>
      </c>
      <c r="I245" s="9">
        <v>545.91999999999996</v>
      </c>
      <c r="J245" s="10">
        <f t="shared" si="10"/>
        <v>127813.79000000001</v>
      </c>
      <c r="K245" s="6">
        <f t="shared" si="11"/>
        <v>80863.059999999896</v>
      </c>
      <c r="L245" s="31"/>
    </row>
    <row r="246" spans="1:12" x14ac:dyDescent="0.25">
      <c r="A246" s="5" t="s">
        <v>186</v>
      </c>
      <c r="B246" s="42">
        <f t="shared" si="9"/>
        <v>128.35971000000001</v>
      </c>
      <c r="C246" s="7" t="s">
        <v>417</v>
      </c>
      <c r="D246" s="7" t="s">
        <v>415</v>
      </c>
      <c r="E246" s="7" t="s">
        <v>829</v>
      </c>
      <c r="F246" s="8">
        <v>125.51131999999988</v>
      </c>
      <c r="G246" s="7" t="s">
        <v>416</v>
      </c>
      <c r="H246" s="7" t="s">
        <v>414</v>
      </c>
      <c r="I246" s="9">
        <v>800.96</v>
      </c>
      <c r="J246" s="10">
        <f t="shared" si="10"/>
        <v>128359.71</v>
      </c>
      <c r="K246" s="6">
        <f t="shared" si="11"/>
        <v>80317.139999999898</v>
      </c>
      <c r="L246" s="31"/>
    </row>
    <row r="247" spans="1:12" x14ac:dyDescent="0.25">
      <c r="A247" s="5" t="s">
        <v>186</v>
      </c>
      <c r="B247" s="42">
        <f t="shared" si="9"/>
        <v>129.16067000000001</v>
      </c>
      <c r="C247" s="7" t="s">
        <v>415</v>
      </c>
      <c r="D247" s="7" t="s">
        <v>413</v>
      </c>
      <c r="E247" s="7" t="s">
        <v>829</v>
      </c>
      <c r="F247" s="8">
        <v>126.02124999999988</v>
      </c>
      <c r="G247" s="7" t="s">
        <v>414</v>
      </c>
      <c r="H247" s="7" t="s">
        <v>412</v>
      </c>
      <c r="I247" s="9">
        <v>345.9</v>
      </c>
      <c r="J247" s="10">
        <f t="shared" si="10"/>
        <v>129160.67000000001</v>
      </c>
      <c r="K247" s="6">
        <f t="shared" si="11"/>
        <v>79516.179999999891</v>
      </c>
      <c r="L247" s="31"/>
    </row>
    <row r="248" spans="1:12" x14ac:dyDescent="0.25">
      <c r="A248" s="5" t="s">
        <v>186</v>
      </c>
      <c r="B248" s="42">
        <f t="shared" si="9"/>
        <v>129.50657000000001</v>
      </c>
      <c r="C248" s="7" t="s">
        <v>413</v>
      </c>
      <c r="D248" s="7" t="s">
        <v>411</v>
      </c>
      <c r="E248" s="7" t="s">
        <v>829</v>
      </c>
      <c r="F248" s="8">
        <v>126.58959999999989</v>
      </c>
      <c r="G248" s="7" t="s">
        <v>412</v>
      </c>
      <c r="H248" s="7" t="s">
        <v>410</v>
      </c>
      <c r="I248" s="9">
        <v>561.80999999999995</v>
      </c>
      <c r="J248" s="10">
        <f t="shared" si="10"/>
        <v>129506.57</v>
      </c>
      <c r="K248" s="6">
        <f t="shared" si="11"/>
        <v>79170.279999999897</v>
      </c>
      <c r="L248" s="31"/>
    </row>
    <row r="249" spans="1:12" x14ac:dyDescent="0.25">
      <c r="A249" s="5" t="s">
        <v>186</v>
      </c>
      <c r="B249" s="42">
        <f t="shared" si="9"/>
        <v>130.06837999999999</v>
      </c>
      <c r="C249" s="7" t="s">
        <v>411</v>
      </c>
      <c r="D249" s="7" t="s">
        <v>409</v>
      </c>
      <c r="E249" s="7" t="s">
        <v>829</v>
      </c>
      <c r="F249" s="8">
        <v>126.96604999999988</v>
      </c>
      <c r="G249" s="7" t="s">
        <v>410</v>
      </c>
      <c r="H249" s="7" t="s">
        <v>408</v>
      </c>
      <c r="I249" s="9">
        <v>442.1</v>
      </c>
      <c r="J249" s="10">
        <f t="shared" si="10"/>
        <v>130068.38</v>
      </c>
      <c r="K249" s="6">
        <f t="shared" si="11"/>
        <v>78608.469999999899</v>
      </c>
      <c r="L249" s="31"/>
    </row>
    <row r="250" spans="1:12" x14ac:dyDescent="0.25">
      <c r="A250" s="5" t="s">
        <v>186</v>
      </c>
      <c r="B250" s="42">
        <f t="shared" si="9"/>
        <v>130.51048</v>
      </c>
      <c r="C250" s="7" t="s">
        <v>409</v>
      </c>
      <c r="D250" s="7" t="s">
        <v>407</v>
      </c>
      <c r="E250" s="7" t="s">
        <v>829</v>
      </c>
      <c r="F250" s="8">
        <v>127.44123999999989</v>
      </c>
      <c r="G250" s="7" t="s">
        <v>408</v>
      </c>
      <c r="H250" s="7" t="s">
        <v>406</v>
      </c>
      <c r="I250" s="9">
        <v>596.16999999999996</v>
      </c>
      <c r="J250" s="10">
        <f t="shared" si="10"/>
        <v>130510.48000000001</v>
      </c>
      <c r="K250" s="6">
        <f t="shared" si="11"/>
        <v>78166.369999999893</v>
      </c>
      <c r="L250" s="31"/>
    </row>
    <row r="251" spans="1:12" x14ac:dyDescent="0.25">
      <c r="A251" s="5" t="s">
        <v>186</v>
      </c>
      <c r="B251" s="42">
        <f t="shared" si="9"/>
        <v>131.10665000000003</v>
      </c>
      <c r="C251" s="7" t="s">
        <v>407</v>
      </c>
      <c r="D251" s="7" t="s">
        <v>405</v>
      </c>
      <c r="E251" s="7" t="s">
        <v>829</v>
      </c>
      <c r="F251" s="8">
        <v>127.85287999999989</v>
      </c>
      <c r="G251" s="7" t="s">
        <v>406</v>
      </c>
      <c r="H251" s="7" t="s">
        <v>404</v>
      </c>
      <c r="I251" s="9">
        <v>580.95000000000005</v>
      </c>
      <c r="J251" s="10">
        <f t="shared" si="10"/>
        <v>131106.65000000002</v>
      </c>
      <c r="K251" s="6">
        <f t="shared" si="11"/>
        <v>77570.199999999895</v>
      </c>
      <c r="L251" s="31"/>
    </row>
    <row r="252" spans="1:12" x14ac:dyDescent="0.25">
      <c r="A252" s="5" t="s">
        <v>186</v>
      </c>
      <c r="B252" s="42">
        <f t="shared" si="9"/>
        <v>131.68760000000003</v>
      </c>
      <c r="C252" s="7" t="s">
        <v>405</v>
      </c>
      <c r="D252" s="7" t="s">
        <v>403</v>
      </c>
      <c r="E252" s="7" t="s">
        <v>829</v>
      </c>
      <c r="F252" s="8">
        <v>128.37909999999988</v>
      </c>
      <c r="G252" s="7" t="s">
        <v>404</v>
      </c>
      <c r="H252" s="7" t="s">
        <v>402</v>
      </c>
      <c r="I252" s="9">
        <v>594.75</v>
      </c>
      <c r="J252" s="10">
        <f t="shared" si="10"/>
        <v>131687.60000000003</v>
      </c>
      <c r="K252" s="6">
        <f t="shared" si="11"/>
        <v>76989.249999999898</v>
      </c>
      <c r="L252" s="31"/>
    </row>
    <row r="253" spans="1:12" x14ac:dyDescent="0.25">
      <c r="A253" s="5" t="s">
        <v>186</v>
      </c>
      <c r="B253" s="42">
        <f t="shared" si="9"/>
        <v>132.28235000000004</v>
      </c>
      <c r="C253" s="7" t="s">
        <v>403</v>
      </c>
      <c r="D253" s="7" t="s">
        <v>401</v>
      </c>
      <c r="E253" s="7" t="s">
        <v>829</v>
      </c>
      <c r="F253" s="8">
        <v>129.03339999999989</v>
      </c>
      <c r="G253" s="7" t="s">
        <v>402</v>
      </c>
      <c r="H253" s="7" t="s">
        <v>400</v>
      </c>
      <c r="I253" s="9">
        <v>464.08</v>
      </c>
      <c r="J253" s="10">
        <f t="shared" si="10"/>
        <v>132282.35000000003</v>
      </c>
      <c r="K253" s="6">
        <f t="shared" si="11"/>
        <v>76394.499999999898</v>
      </c>
      <c r="L253" s="31"/>
    </row>
    <row r="254" spans="1:12" x14ac:dyDescent="0.25">
      <c r="A254" s="5" t="s">
        <v>186</v>
      </c>
      <c r="B254" s="42">
        <f t="shared" si="9"/>
        <v>132.74643000000003</v>
      </c>
      <c r="C254" s="7" t="s">
        <v>401</v>
      </c>
      <c r="D254" s="7" t="s">
        <v>399</v>
      </c>
      <c r="E254" s="7" t="s">
        <v>829</v>
      </c>
      <c r="F254" s="8">
        <v>129.5572599999999</v>
      </c>
      <c r="G254" s="7" t="s">
        <v>400</v>
      </c>
      <c r="H254" s="7" t="s">
        <v>398</v>
      </c>
      <c r="I254" s="9">
        <v>486.99</v>
      </c>
      <c r="J254" s="10">
        <f t="shared" si="10"/>
        <v>132746.43000000002</v>
      </c>
      <c r="K254" s="6">
        <f t="shared" si="11"/>
        <v>75930.419999999896</v>
      </c>
      <c r="L254" s="31"/>
    </row>
    <row r="255" spans="1:12" x14ac:dyDescent="0.25">
      <c r="A255" s="5" t="s">
        <v>186</v>
      </c>
      <c r="B255" s="42">
        <f t="shared" si="9"/>
        <v>133.23342000000002</v>
      </c>
      <c r="C255" s="7" t="s">
        <v>399</v>
      </c>
      <c r="D255" s="7" t="s">
        <v>397</v>
      </c>
      <c r="E255" s="7" t="s">
        <v>829</v>
      </c>
      <c r="F255" s="8">
        <v>130.2028699999999</v>
      </c>
      <c r="G255" s="7" t="s">
        <v>398</v>
      </c>
      <c r="H255" s="7" t="s">
        <v>396</v>
      </c>
      <c r="I255" s="9">
        <v>489.64</v>
      </c>
      <c r="J255" s="10">
        <f t="shared" si="10"/>
        <v>133233.42000000001</v>
      </c>
      <c r="K255" s="6">
        <f t="shared" si="11"/>
        <v>75443.429999999891</v>
      </c>
      <c r="L255" s="31"/>
    </row>
    <row r="256" spans="1:12" x14ac:dyDescent="0.25">
      <c r="A256" s="5" t="s">
        <v>186</v>
      </c>
      <c r="B256" s="42">
        <f t="shared" si="9"/>
        <v>133.72306000000003</v>
      </c>
      <c r="C256" s="7" t="s">
        <v>397</v>
      </c>
      <c r="D256" s="7" t="s">
        <v>395</v>
      </c>
      <c r="E256" s="7" t="s">
        <v>829</v>
      </c>
      <c r="F256" s="8">
        <v>130.7571999999999</v>
      </c>
      <c r="G256" s="7" t="s">
        <v>396</v>
      </c>
      <c r="H256" s="7" t="s">
        <v>394</v>
      </c>
      <c r="I256" s="9">
        <v>593.64</v>
      </c>
      <c r="J256" s="10">
        <f t="shared" si="10"/>
        <v>133723.06000000003</v>
      </c>
      <c r="K256" s="6">
        <f t="shared" si="11"/>
        <v>74953.789999999892</v>
      </c>
      <c r="L256" s="31"/>
    </row>
    <row r="257" spans="1:12" x14ac:dyDescent="0.25">
      <c r="A257" s="5" t="s">
        <v>186</v>
      </c>
      <c r="B257" s="42">
        <f t="shared" si="9"/>
        <v>134.31670000000005</v>
      </c>
      <c r="C257" s="7" t="s">
        <v>395</v>
      </c>
      <c r="D257" s="7" t="s">
        <v>393</v>
      </c>
      <c r="E257" s="7" t="s">
        <v>829</v>
      </c>
      <c r="F257" s="8">
        <v>131.31831999999989</v>
      </c>
      <c r="G257" s="7" t="s">
        <v>394</v>
      </c>
      <c r="H257" s="7" t="s">
        <v>392</v>
      </c>
      <c r="I257" s="9">
        <v>430.29</v>
      </c>
      <c r="J257" s="10">
        <f t="shared" si="10"/>
        <v>134316.70000000004</v>
      </c>
      <c r="K257" s="6">
        <f t="shared" si="11"/>
        <v>74360.149999999892</v>
      </c>
      <c r="L257" s="31"/>
    </row>
    <row r="258" spans="1:12" x14ac:dyDescent="0.25">
      <c r="A258" s="5" t="s">
        <v>186</v>
      </c>
      <c r="B258" s="42">
        <f t="shared" si="9"/>
        <v>134.74699000000004</v>
      </c>
      <c r="C258" s="7" t="s">
        <v>393</v>
      </c>
      <c r="D258" s="7" t="s">
        <v>391</v>
      </c>
      <c r="E258" s="7" t="s">
        <v>829</v>
      </c>
      <c r="F258" s="8">
        <v>131.94850999999989</v>
      </c>
      <c r="G258" s="7" t="s">
        <v>392</v>
      </c>
      <c r="H258" s="7" t="s">
        <v>390</v>
      </c>
      <c r="I258" s="9">
        <v>406.53</v>
      </c>
      <c r="J258" s="10">
        <f t="shared" si="10"/>
        <v>134746.99000000005</v>
      </c>
      <c r="K258" s="6">
        <f t="shared" si="11"/>
        <v>73929.859999999899</v>
      </c>
      <c r="L258" s="31"/>
    </row>
    <row r="259" spans="1:12" x14ac:dyDescent="0.25">
      <c r="A259" s="5" t="s">
        <v>186</v>
      </c>
      <c r="B259" s="42">
        <f t="shared" ref="B259:B322" si="12">J259/1000</f>
        <v>135.15352000000004</v>
      </c>
      <c r="C259" s="7" t="s">
        <v>391</v>
      </c>
      <c r="D259" s="7" t="s">
        <v>389</v>
      </c>
      <c r="E259" s="7" t="s">
        <v>829</v>
      </c>
      <c r="F259" s="8">
        <v>132.63278999999989</v>
      </c>
      <c r="G259" s="7" t="s">
        <v>390</v>
      </c>
      <c r="H259" s="7" t="s">
        <v>388</v>
      </c>
      <c r="I259" s="9">
        <v>394.1</v>
      </c>
      <c r="J259" s="10">
        <f t="shared" si="10"/>
        <v>135153.52000000005</v>
      </c>
      <c r="K259" s="6">
        <f t="shared" si="11"/>
        <v>73523.3299999999</v>
      </c>
      <c r="L259" s="31"/>
    </row>
    <row r="260" spans="1:12" x14ac:dyDescent="0.25">
      <c r="A260" s="5" t="s">
        <v>186</v>
      </c>
      <c r="B260" s="42">
        <f t="shared" si="12"/>
        <v>135.54762000000005</v>
      </c>
      <c r="C260" s="7" t="s">
        <v>389</v>
      </c>
      <c r="D260" s="7" t="s">
        <v>387</v>
      </c>
      <c r="E260" s="7" t="s">
        <v>829</v>
      </c>
      <c r="F260" s="8">
        <v>133.1407899999999</v>
      </c>
      <c r="G260" s="7" t="s">
        <v>388</v>
      </c>
      <c r="H260" s="7" t="s">
        <v>386</v>
      </c>
      <c r="I260" s="9">
        <v>425.22</v>
      </c>
      <c r="J260" s="10">
        <f t="shared" ref="J260:J323" si="13">J259+I259</f>
        <v>135547.62000000005</v>
      </c>
      <c r="K260" s="6">
        <f t="shared" ref="K260:K323" si="14">K259-I259</f>
        <v>73129.229999999894</v>
      </c>
      <c r="L260" s="31"/>
    </row>
    <row r="261" spans="1:12" x14ac:dyDescent="0.25">
      <c r="A261" s="5" t="s">
        <v>186</v>
      </c>
      <c r="B261" s="42">
        <f t="shared" si="12"/>
        <v>135.97284000000005</v>
      </c>
      <c r="C261" s="7" t="s">
        <v>387</v>
      </c>
      <c r="D261" s="7" t="s">
        <v>385</v>
      </c>
      <c r="E261" s="7" t="s">
        <v>829</v>
      </c>
      <c r="F261" s="8">
        <v>133.67681999999988</v>
      </c>
      <c r="G261" s="7" t="s">
        <v>386</v>
      </c>
      <c r="H261" s="7" t="s">
        <v>384</v>
      </c>
      <c r="I261" s="9">
        <v>386.91</v>
      </c>
      <c r="J261" s="10">
        <f t="shared" si="13"/>
        <v>135972.84000000005</v>
      </c>
      <c r="K261" s="6">
        <f t="shared" si="14"/>
        <v>72704.009999999893</v>
      </c>
      <c r="L261" s="31"/>
    </row>
    <row r="262" spans="1:12" x14ac:dyDescent="0.25">
      <c r="A262" s="5" t="s">
        <v>186</v>
      </c>
      <c r="B262" s="42">
        <f t="shared" si="12"/>
        <v>136.35975000000005</v>
      </c>
      <c r="C262" s="7" t="s">
        <v>385</v>
      </c>
      <c r="D262" s="7" t="s">
        <v>383</v>
      </c>
      <c r="E262" s="7" t="s">
        <v>829</v>
      </c>
      <c r="F262" s="8">
        <v>134.24597999999989</v>
      </c>
      <c r="G262" s="7" t="s">
        <v>384</v>
      </c>
      <c r="H262" s="7" t="s">
        <v>382</v>
      </c>
      <c r="I262" s="9">
        <v>392.24</v>
      </c>
      <c r="J262" s="10">
        <f t="shared" si="13"/>
        <v>136359.75000000006</v>
      </c>
      <c r="K262" s="6">
        <f t="shared" si="14"/>
        <v>72317.099999999889</v>
      </c>
      <c r="L262" s="31"/>
    </row>
    <row r="263" spans="1:12" x14ac:dyDescent="0.25">
      <c r="A263" s="5" t="s">
        <v>186</v>
      </c>
      <c r="B263" s="42">
        <f t="shared" si="12"/>
        <v>136.75199000000003</v>
      </c>
      <c r="C263" s="7" t="s">
        <v>383</v>
      </c>
      <c r="D263" s="7" t="s">
        <v>381</v>
      </c>
      <c r="E263" s="7" t="s">
        <v>829</v>
      </c>
      <c r="F263" s="8">
        <v>134.8014499999999</v>
      </c>
      <c r="G263" s="7" t="s">
        <v>382</v>
      </c>
      <c r="H263" s="7" t="s">
        <v>380</v>
      </c>
      <c r="I263" s="9">
        <v>409.55</v>
      </c>
      <c r="J263" s="10">
        <f t="shared" si="13"/>
        <v>136751.99000000005</v>
      </c>
      <c r="K263" s="6">
        <f t="shared" si="14"/>
        <v>71924.859999999884</v>
      </c>
      <c r="L263" s="31"/>
    </row>
    <row r="264" spans="1:12" x14ac:dyDescent="0.25">
      <c r="A264" s="5" t="s">
        <v>186</v>
      </c>
      <c r="B264" s="42">
        <f t="shared" si="12"/>
        <v>137.16154000000003</v>
      </c>
      <c r="C264" s="7" t="s">
        <v>381</v>
      </c>
      <c r="D264" s="7" t="s">
        <v>379</v>
      </c>
      <c r="E264" s="7" t="s">
        <v>829</v>
      </c>
      <c r="F264" s="8">
        <v>135.4441799999999</v>
      </c>
      <c r="G264" s="7" t="s">
        <v>380</v>
      </c>
      <c r="H264" s="7" t="s">
        <v>378</v>
      </c>
      <c r="I264" s="9">
        <v>294.64999999999998</v>
      </c>
      <c r="J264" s="10">
        <f t="shared" si="13"/>
        <v>137161.54000000004</v>
      </c>
      <c r="K264" s="6">
        <f t="shared" si="14"/>
        <v>71515.309999999881</v>
      </c>
      <c r="L264" s="31"/>
    </row>
    <row r="265" spans="1:12" x14ac:dyDescent="0.25">
      <c r="A265" s="5" t="s">
        <v>186</v>
      </c>
      <c r="B265" s="42">
        <f t="shared" si="12"/>
        <v>137.45619000000002</v>
      </c>
      <c r="C265" s="7" t="s">
        <v>379</v>
      </c>
      <c r="D265" s="7" t="s">
        <v>377</v>
      </c>
      <c r="E265" s="7" t="s">
        <v>829</v>
      </c>
      <c r="F265" s="8">
        <v>135.9330599999999</v>
      </c>
      <c r="G265" s="7" t="s">
        <v>378</v>
      </c>
      <c r="H265" s="7" t="s">
        <v>376</v>
      </c>
      <c r="I265" s="9">
        <v>350.61</v>
      </c>
      <c r="J265" s="10">
        <f t="shared" si="13"/>
        <v>137456.19000000003</v>
      </c>
      <c r="K265" s="6">
        <f t="shared" si="14"/>
        <v>71220.659999999887</v>
      </c>
      <c r="L265" s="31"/>
    </row>
    <row r="266" spans="1:12" x14ac:dyDescent="0.25">
      <c r="A266" s="5" t="s">
        <v>186</v>
      </c>
      <c r="B266" s="42">
        <f t="shared" si="12"/>
        <v>137.80680000000001</v>
      </c>
      <c r="C266" s="7" t="s">
        <v>377</v>
      </c>
      <c r="D266" s="7" t="s">
        <v>375</v>
      </c>
      <c r="E266" s="7" t="s">
        <v>829</v>
      </c>
      <c r="F266" s="8">
        <v>136.5080199999999</v>
      </c>
      <c r="G266" s="7" t="s">
        <v>376</v>
      </c>
      <c r="H266" s="7" t="s">
        <v>374</v>
      </c>
      <c r="I266" s="9">
        <v>375.83</v>
      </c>
      <c r="J266" s="10">
        <f t="shared" si="13"/>
        <v>137806.80000000002</v>
      </c>
      <c r="K266" s="6">
        <f t="shared" si="14"/>
        <v>70870.049999999886</v>
      </c>
      <c r="L266" s="31"/>
    </row>
    <row r="267" spans="1:12" x14ac:dyDescent="0.25">
      <c r="A267" s="5" t="s">
        <v>186</v>
      </c>
      <c r="B267" s="42">
        <f t="shared" si="12"/>
        <v>138.18263000000002</v>
      </c>
      <c r="C267" s="7" t="s">
        <v>375</v>
      </c>
      <c r="D267" s="7" t="s">
        <v>373</v>
      </c>
      <c r="E267" s="7" t="s">
        <v>829</v>
      </c>
      <c r="F267" s="8">
        <v>137.03037999999989</v>
      </c>
      <c r="G267" s="7" t="s">
        <v>374</v>
      </c>
      <c r="H267" s="7" t="s">
        <v>372</v>
      </c>
      <c r="I267" s="9">
        <v>412.33</v>
      </c>
      <c r="J267" s="10">
        <f t="shared" si="13"/>
        <v>138182.63</v>
      </c>
      <c r="K267" s="6">
        <f t="shared" si="14"/>
        <v>70494.219999999885</v>
      </c>
      <c r="L267" s="31"/>
    </row>
    <row r="268" spans="1:12" x14ac:dyDescent="0.25">
      <c r="A268" s="5" t="s">
        <v>186</v>
      </c>
      <c r="B268" s="42">
        <f t="shared" si="12"/>
        <v>138.59495999999999</v>
      </c>
      <c r="C268" s="7" t="s">
        <v>373</v>
      </c>
      <c r="D268" s="7" t="s">
        <v>371</v>
      </c>
      <c r="E268" s="7" t="s">
        <v>829</v>
      </c>
      <c r="F268" s="8">
        <v>137.69054999999989</v>
      </c>
      <c r="G268" s="7" t="s">
        <v>372</v>
      </c>
      <c r="H268" s="7" t="s">
        <v>370</v>
      </c>
      <c r="I268" s="9">
        <v>331.61</v>
      </c>
      <c r="J268" s="10">
        <f t="shared" si="13"/>
        <v>138594.96</v>
      </c>
      <c r="K268" s="6">
        <f t="shared" si="14"/>
        <v>70081.889999999883</v>
      </c>
      <c r="L268" s="31"/>
    </row>
    <row r="269" spans="1:12" x14ac:dyDescent="0.25">
      <c r="A269" s="5" t="s">
        <v>186</v>
      </c>
      <c r="B269" s="42">
        <f t="shared" si="12"/>
        <v>138.92656999999997</v>
      </c>
      <c r="C269" s="7" t="s">
        <v>371</v>
      </c>
      <c r="D269" s="7" t="s">
        <v>369</v>
      </c>
      <c r="E269" s="7" t="s">
        <v>829</v>
      </c>
      <c r="F269" s="8">
        <v>138.2271999999999</v>
      </c>
      <c r="G269" s="7" t="s">
        <v>370</v>
      </c>
      <c r="H269" s="7" t="s">
        <v>368</v>
      </c>
      <c r="I269" s="9">
        <v>405.82</v>
      </c>
      <c r="J269" s="10">
        <f t="shared" si="13"/>
        <v>138926.56999999998</v>
      </c>
      <c r="K269" s="6">
        <f t="shared" si="14"/>
        <v>69750.279999999882</v>
      </c>
      <c r="L269" s="31"/>
    </row>
    <row r="270" spans="1:12" x14ac:dyDescent="0.25">
      <c r="A270" s="5" t="s">
        <v>186</v>
      </c>
      <c r="B270" s="42">
        <f t="shared" si="12"/>
        <v>139.33238999999998</v>
      </c>
      <c r="C270" s="7" t="s">
        <v>369</v>
      </c>
      <c r="D270" s="7" t="s">
        <v>367</v>
      </c>
      <c r="E270" s="7" t="s">
        <v>829</v>
      </c>
      <c r="F270" s="8">
        <v>138.75280999999987</v>
      </c>
      <c r="G270" s="7" t="s">
        <v>368</v>
      </c>
      <c r="H270" s="7" t="s">
        <v>366</v>
      </c>
      <c r="I270" s="9">
        <v>528.03</v>
      </c>
      <c r="J270" s="10">
        <f t="shared" si="13"/>
        <v>139332.38999999998</v>
      </c>
      <c r="K270" s="6">
        <f t="shared" si="14"/>
        <v>69344.459999999875</v>
      </c>
      <c r="L270" s="31"/>
    </row>
    <row r="271" spans="1:12" x14ac:dyDescent="0.25">
      <c r="A271" s="5" t="s">
        <v>186</v>
      </c>
      <c r="B271" s="42">
        <f t="shared" si="12"/>
        <v>139.86041999999998</v>
      </c>
      <c r="C271" s="7" t="s">
        <v>367</v>
      </c>
      <c r="D271" s="7" t="s">
        <v>365</v>
      </c>
      <c r="E271" s="7" t="s">
        <v>829</v>
      </c>
      <c r="F271" s="8">
        <v>139.45398999999986</v>
      </c>
      <c r="G271" s="7" t="s">
        <v>366</v>
      </c>
      <c r="H271" s="7" t="s">
        <v>364</v>
      </c>
      <c r="I271" s="9">
        <v>491.35</v>
      </c>
      <c r="J271" s="10">
        <f t="shared" si="13"/>
        <v>139860.41999999998</v>
      </c>
      <c r="K271" s="6">
        <f t="shared" si="14"/>
        <v>68816.429999999877</v>
      </c>
      <c r="L271" s="31"/>
    </row>
    <row r="272" spans="1:12" x14ac:dyDescent="0.25">
      <c r="A272" s="5" t="s">
        <v>186</v>
      </c>
      <c r="B272" s="42">
        <f t="shared" si="12"/>
        <v>140.35176999999999</v>
      </c>
      <c r="C272" s="7" t="s">
        <v>365</v>
      </c>
      <c r="D272" s="7" t="s">
        <v>363</v>
      </c>
      <c r="E272" s="7" t="s">
        <v>829</v>
      </c>
      <c r="F272" s="8">
        <v>140.08028999999985</v>
      </c>
      <c r="G272" s="7" t="s">
        <v>364</v>
      </c>
      <c r="H272" s="7" t="s">
        <v>362</v>
      </c>
      <c r="I272" s="9">
        <v>479.88</v>
      </c>
      <c r="J272" s="10">
        <f t="shared" si="13"/>
        <v>140351.76999999999</v>
      </c>
      <c r="K272" s="6">
        <f t="shared" si="14"/>
        <v>68325.079999999871</v>
      </c>
      <c r="L272" s="31"/>
    </row>
    <row r="273" spans="1:12" x14ac:dyDescent="0.25">
      <c r="A273" s="5" t="s">
        <v>186</v>
      </c>
      <c r="B273" s="42">
        <f t="shared" si="12"/>
        <v>140.83165</v>
      </c>
      <c r="C273" s="7" t="s">
        <v>363</v>
      </c>
      <c r="D273" s="7" t="s">
        <v>361</v>
      </c>
      <c r="E273" s="7" t="s">
        <v>829</v>
      </c>
      <c r="F273" s="8">
        <v>140.72299999999984</v>
      </c>
      <c r="G273" s="7" t="s">
        <v>362</v>
      </c>
      <c r="H273" s="7" t="s">
        <v>360</v>
      </c>
      <c r="I273" s="9">
        <v>484.25</v>
      </c>
      <c r="J273" s="10">
        <f t="shared" si="13"/>
        <v>140831.65</v>
      </c>
      <c r="K273" s="6">
        <f t="shared" si="14"/>
        <v>67845.199999999866</v>
      </c>
      <c r="L273" s="31"/>
    </row>
    <row r="274" spans="1:12" x14ac:dyDescent="0.25">
      <c r="A274" s="5" t="s">
        <v>186</v>
      </c>
      <c r="B274" s="42">
        <f t="shared" si="12"/>
        <v>141.3159</v>
      </c>
      <c r="C274" s="7" t="s">
        <v>361</v>
      </c>
      <c r="D274" s="7" t="s">
        <v>359</v>
      </c>
      <c r="E274" s="7" t="s">
        <v>829</v>
      </c>
      <c r="F274" s="8">
        <v>141.27333999999985</v>
      </c>
      <c r="G274" s="7" t="s">
        <v>360</v>
      </c>
      <c r="H274" s="7" t="s">
        <v>358</v>
      </c>
      <c r="I274" s="9">
        <v>493.53</v>
      </c>
      <c r="J274" s="10">
        <f t="shared" si="13"/>
        <v>141315.9</v>
      </c>
      <c r="K274" s="6">
        <f t="shared" si="14"/>
        <v>67360.949999999866</v>
      </c>
      <c r="L274" s="31"/>
    </row>
    <row r="275" spans="1:12" x14ac:dyDescent="0.25">
      <c r="A275" s="5" t="s">
        <v>186</v>
      </c>
      <c r="B275" s="42">
        <f t="shared" si="12"/>
        <v>141.80942999999999</v>
      </c>
      <c r="C275" s="7" t="s">
        <v>359</v>
      </c>
      <c r="D275" s="7" t="s">
        <v>357</v>
      </c>
      <c r="E275" s="7" t="s">
        <v>829</v>
      </c>
      <c r="F275" s="8">
        <v>141.88733999999985</v>
      </c>
      <c r="G275" s="7" t="s">
        <v>358</v>
      </c>
      <c r="H275" s="7" t="s">
        <v>356</v>
      </c>
      <c r="I275" s="9">
        <v>484.13</v>
      </c>
      <c r="J275" s="10">
        <f t="shared" si="13"/>
        <v>141809.43</v>
      </c>
      <c r="K275" s="6">
        <f t="shared" si="14"/>
        <v>66867.419999999867</v>
      </c>
      <c r="L275" s="31"/>
    </row>
    <row r="276" spans="1:12" x14ac:dyDescent="0.25">
      <c r="A276" s="5" t="s">
        <v>186</v>
      </c>
      <c r="B276" s="42">
        <f t="shared" si="12"/>
        <v>142.29355999999999</v>
      </c>
      <c r="C276" s="7" t="s">
        <v>357</v>
      </c>
      <c r="D276" s="7" t="s">
        <v>355</v>
      </c>
      <c r="E276" s="7" t="s">
        <v>829</v>
      </c>
      <c r="F276" s="8">
        <v>142.46916999999985</v>
      </c>
      <c r="G276" s="7" t="s">
        <v>356</v>
      </c>
      <c r="H276" s="7" t="s">
        <v>354</v>
      </c>
      <c r="I276" s="9">
        <v>406.94</v>
      </c>
      <c r="J276" s="10">
        <f t="shared" si="13"/>
        <v>142293.56</v>
      </c>
      <c r="K276" s="6">
        <f t="shared" si="14"/>
        <v>66383.289999999863</v>
      </c>
      <c r="L276" s="31"/>
    </row>
    <row r="277" spans="1:12" x14ac:dyDescent="0.25">
      <c r="A277" s="5" t="s">
        <v>186</v>
      </c>
      <c r="B277" s="42">
        <f t="shared" si="12"/>
        <v>142.70050000000001</v>
      </c>
      <c r="C277" s="7" t="s">
        <v>355</v>
      </c>
      <c r="D277" s="7" t="s">
        <v>353</v>
      </c>
      <c r="E277" s="7" t="s">
        <v>829</v>
      </c>
      <c r="F277" s="8">
        <v>142.97672999999983</v>
      </c>
      <c r="G277" s="7" t="s">
        <v>354</v>
      </c>
      <c r="H277" s="7" t="s">
        <v>352</v>
      </c>
      <c r="I277" s="9">
        <v>371.95</v>
      </c>
      <c r="J277" s="10">
        <f t="shared" si="13"/>
        <v>142700.5</v>
      </c>
      <c r="K277" s="6">
        <f t="shared" si="14"/>
        <v>65976.34999999986</v>
      </c>
      <c r="L277" s="31"/>
    </row>
    <row r="278" spans="1:12" x14ac:dyDescent="0.25">
      <c r="A278" s="5" t="s">
        <v>186</v>
      </c>
      <c r="B278" s="42">
        <f t="shared" si="12"/>
        <v>143.07245</v>
      </c>
      <c r="C278" s="7" t="s">
        <v>353</v>
      </c>
      <c r="D278" s="7" t="s">
        <v>351</v>
      </c>
      <c r="E278" s="7" t="s">
        <v>829</v>
      </c>
      <c r="F278" s="8">
        <v>143.58843999999982</v>
      </c>
      <c r="G278" s="7" t="s">
        <v>352</v>
      </c>
      <c r="H278" s="7" t="s">
        <v>350</v>
      </c>
      <c r="I278" s="9">
        <v>456.92</v>
      </c>
      <c r="J278" s="10">
        <f t="shared" si="13"/>
        <v>143072.45000000001</v>
      </c>
      <c r="K278" s="6">
        <f t="shared" si="14"/>
        <v>65604.399999999863</v>
      </c>
      <c r="L278" s="31"/>
    </row>
    <row r="279" spans="1:12" x14ac:dyDescent="0.25">
      <c r="A279" s="5" t="s">
        <v>186</v>
      </c>
      <c r="B279" s="42">
        <f t="shared" si="12"/>
        <v>143.52937000000003</v>
      </c>
      <c r="C279" s="7" t="s">
        <v>351</v>
      </c>
      <c r="D279" s="7" t="s">
        <v>349</v>
      </c>
      <c r="E279" s="7" t="s">
        <v>829</v>
      </c>
      <c r="F279" s="8">
        <v>144.05513999999985</v>
      </c>
      <c r="G279" s="7" t="s">
        <v>350</v>
      </c>
      <c r="H279" s="7" t="s">
        <v>348</v>
      </c>
      <c r="I279" s="9">
        <v>537.52</v>
      </c>
      <c r="J279" s="10">
        <f t="shared" si="13"/>
        <v>143529.37000000002</v>
      </c>
      <c r="K279" s="6">
        <f t="shared" si="14"/>
        <v>65147.479999999865</v>
      </c>
      <c r="L279" s="31"/>
    </row>
    <row r="280" spans="1:12" x14ac:dyDescent="0.25">
      <c r="A280" s="5" t="s">
        <v>186</v>
      </c>
      <c r="B280" s="42">
        <f t="shared" si="12"/>
        <v>144.06689</v>
      </c>
      <c r="C280" s="7" t="s">
        <v>349</v>
      </c>
      <c r="D280" s="7" t="s">
        <v>347</v>
      </c>
      <c r="E280" s="7" t="s">
        <v>829</v>
      </c>
      <c r="F280" s="8">
        <v>144.56419999999983</v>
      </c>
      <c r="G280" s="7" t="s">
        <v>348</v>
      </c>
      <c r="H280" s="7" t="s">
        <v>346</v>
      </c>
      <c r="I280" s="9">
        <v>520.78</v>
      </c>
      <c r="J280" s="10">
        <f t="shared" si="13"/>
        <v>144066.89000000001</v>
      </c>
      <c r="K280" s="6">
        <f t="shared" si="14"/>
        <v>64609.959999999868</v>
      </c>
      <c r="L280" s="31"/>
    </row>
    <row r="281" spans="1:12" x14ac:dyDescent="0.25">
      <c r="A281" s="5" t="s">
        <v>186</v>
      </c>
      <c r="B281" s="42">
        <f t="shared" si="12"/>
        <v>144.58767</v>
      </c>
      <c r="C281" s="7" t="s">
        <v>347</v>
      </c>
      <c r="D281" s="7" t="s">
        <v>345</v>
      </c>
      <c r="E281" s="7" t="s">
        <v>829</v>
      </c>
      <c r="F281" s="8">
        <v>144.97413999999984</v>
      </c>
      <c r="G281" s="7" t="s">
        <v>346</v>
      </c>
      <c r="H281" s="7" t="s">
        <v>344</v>
      </c>
      <c r="I281" s="9">
        <v>544</v>
      </c>
      <c r="J281" s="10">
        <f t="shared" si="13"/>
        <v>144587.67000000001</v>
      </c>
      <c r="K281" s="6">
        <f t="shared" si="14"/>
        <v>64089.179999999869</v>
      </c>
      <c r="L281" s="31"/>
    </row>
    <row r="282" spans="1:12" x14ac:dyDescent="0.25">
      <c r="A282" s="5" t="s">
        <v>186</v>
      </c>
      <c r="B282" s="42">
        <f t="shared" si="12"/>
        <v>145.13167000000001</v>
      </c>
      <c r="C282" s="7" t="s">
        <v>345</v>
      </c>
      <c r="D282" s="7" t="s">
        <v>343</v>
      </c>
      <c r="E282" s="7" t="s">
        <v>829</v>
      </c>
      <c r="F282" s="8">
        <v>145.57428999999982</v>
      </c>
      <c r="G282" s="7" t="s">
        <v>344</v>
      </c>
      <c r="H282" s="7" t="s">
        <v>342</v>
      </c>
      <c r="I282" s="9">
        <v>494.8</v>
      </c>
      <c r="J282" s="10">
        <f t="shared" si="13"/>
        <v>145131.67000000001</v>
      </c>
      <c r="K282" s="6">
        <f t="shared" si="14"/>
        <v>63545.179999999869</v>
      </c>
      <c r="L282" s="31"/>
    </row>
    <row r="283" spans="1:12" x14ac:dyDescent="0.25">
      <c r="A283" s="5" t="s">
        <v>186</v>
      </c>
      <c r="B283" s="42">
        <f t="shared" si="12"/>
        <v>145.62647000000001</v>
      </c>
      <c r="C283" s="7" t="s">
        <v>343</v>
      </c>
      <c r="D283" s="7" t="s">
        <v>341</v>
      </c>
      <c r="E283" s="7" t="s">
        <v>829</v>
      </c>
      <c r="F283" s="8">
        <v>145.99291999999983</v>
      </c>
      <c r="G283" s="7" t="s">
        <v>342</v>
      </c>
      <c r="H283" s="7" t="s">
        <v>340</v>
      </c>
      <c r="I283" s="9">
        <v>397.73</v>
      </c>
      <c r="J283" s="10">
        <f t="shared" si="13"/>
        <v>145626.47</v>
      </c>
      <c r="K283" s="6">
        <f t="shared" si="14"/>
        <v>63050.379999999866</v>
      </c>
      <c r="L283" s="31"/>
    </row>
    <row r="284" spans="1:12" x14ac:dyDescent="0.25">
      <c r="A284" s="5" t="s">
        <v>186</v>
      </c>
      <c r="B284" s="42">
        <f t="shared" si="12"/>
        <v>146.02420000000001</v>
      </c>
      <c r="C284" s="7" t="s">
        <v>341</v>
      </c>
      <c r="D284" s="7" t="s">
        <v>339</v>
      </c>
      <c r="E284" s="7" t="s">
        <v>829</v>
      </c>
      <c r="F284" s="8">
        <v>146.45812999999984</v>
      </c>
      <c r="G284" s="7" t="s">
        <v>340</v>
      </c>
      <c r="H284" s="7" t="s">
        <v>338</v>
      </c>
      <c r="I284" s="9">
        <v>569.24</v>
      </c>
      <c r="J284" s="10">
        <f t="shared" si="13"/>
        <v>146024.20000000001</v>
      </c>
      <c r="K284" s="6">
        <f t="shared" si="14"/>
        <v>62652.649999999863</v>
      </c>
      <c r="L284" s="31"/>
    </row>
    <row r="285" spans="1:12" x14ac:dyDescent="0.25">
      <c r="A285" s="5" t="s">
        <v>186</v>
      </c>
      <c r="B285" s="42">
        <f t="shared" si="12"/>
        <v>146.59344000000002</v>
      </c>
      <c r="C285" s="7" t="s">
        <v>339</v>
      </c>
      <c r="D285" s="7" t="s">
        <v>337</v>
      </c>
      <c r="E285" s="7" t="s">
        <v>829</v>
      </c>
      <c r="F285" s="8">
        <v>146.91974999999982</v>
      </c>
      <c r="G285" s="7" t="s">
        <v>338</v>
      </c>
      <c r="H285" s="7" t="s">
        <v>336</v>
      </c>
      <c r="I285" s="9">
        <v>591.82000000000005</v>
      </c>
      <c r="J285" s="10">
        <f t="shared" si="13"/>
        <v>146593.44</v>
      </c>
      <c r="K285" s="6">
        <f t="shared" si="14"/>
        <v>62083.409999999865</v>
      </c>
      <c r="L285" s="31"/>
    </row>
    <row r="286" spans="1:12" x14ac:dyDescent="0.25">
      <c r="A286" s="5" t="s">
        <v>186</v>
      </c>
      <c r="B286" s="42">
        <f t="shared" si="12"/>
        <v>147.18526</v>
      </c>
      <c r="C286" s="7" t="s">
        <v>337</v>
      </c>
      <c r="D286" s="7" t="s">
        <v>335</v>
      </c>
      <c r="E286" s="7" t="s">
        <v>829</v>
      </c>
      <c r="F286" s="8">
        <v>147.37895999999981</v>
      </c>
      <c r="G286" s="7" t="s">
        <v>336</v>
      </c>
      <c r="H286" s="7" t="s">
        <v>334</v>
      </c>
      <c r="I286" s="9">
        <v>558.39</v>
      </c>
      <c r="J286" s="10">
        <f t="shared" si="13"/>
        <v>147185.26</v>
      </c>
      <c r="K286" s="6">
        <f t="shared" si="14"/>
        <v>61491.589999999866</v>
      </c>
      <c r="L286" s="31"/>
    </row>
    <row r="287" spans="1:12" x14ac:dyDescent="0.25">
      <c r="A287" s="5" t="s">
        <v>186</v>
      </c>
      <c r="B287" s="42">
        <f t="shared" si="12"/>
        <v>147.74365000000003</v>
      </c>
      <c r="C287" s="7" t="s">
        <v>335</v>
      </c>
      <c r="D287" s="7" t="s">
        <v>333</v>
      </c>
      <c r="E287" s="7" t="s">
        <v>829</v>
      </c>
      <c r="F287" s="8">
        <v>147.76624999999981</v>
      </c>
      <c r="G287" s="7" t="s">
        <v>334</v>
      </c>
      <c r="H287" s="7" t="s">
        <v>332</v>
      </c>
      <c r="I287" s="9">
        <v>539.23</v>
      </c>
      <c r="J287" s="10">
        <f t="shared" si="13"/>
        <v>147743.65000000002</v>
      </c>
      <c r="K287" s="6">
        <f t="shared" si="14"/>
        <v>60933.199999999866</v>
      </c>
      <c r="L287" s="31"/>
    </row>
    <row r="288" spans="1:12" x14ac:dyDescent="0.25">
      <c r="A288" s="5" t="s">
        <v>186</v>
      </c>
      <c r="B288" s="42">
        <f t="shared" si="12"/>
        <v>148.28288000000003</v>
      </c>
      <c r="C288" s="7" t="s">
        <v>333</v>
      </c>
      <c r="D288" s="7" t="s">
        <v>331</v>
      </c>
      <c r="E288" s="7" t="s">
        <v>829</v>
      </c>
      <c r="F288" s="8">
        <v>148.65428999999983</v>
      </c>
      <c r="G288" s="7" t="s">
        <v>332</v>
      </c>
      <c r="H288" s="7" t="s">
        <v>330</v>
      </c>
      <c r="I288" s="9">
        <v>550.89</v>
      </c>
      <c r="J288" s="10">
        <f t="shared" si="13"/>
        <v>148282.88000000003</v>
      </c>
      <c r="K288" s="6">
        <f t="shared" si="14"/>
        <v>60393.969999999863</v>
      </c>
      <c r="L288" s="31"/>
    </row>
    <row r="289" spans="1:12" x14ac:dyDescent="0.25">
      <c r="A289" s="5" t="s">
        <v>186</v>
      </c>
      <c r="B289" s="42">
        <f t="shared" si="12"/>
        <v>148.83377000000004</v>
      </c>
      <c r="C289" s="7" t="s">
        <v>331</v>
      </c>
      <c r="D289" s="7" t="s">
        <v>329</v>
      </c>
      <c r="E289" s="7" t="s">
        <v>829</v>
      </c>
      <c r="F289" s="8">
        <v>149.13237999999984</v>
      </c>
      <c r="G289" s="7" t="s">
        <v>330</v>
      </c>
      <c r="H289" s="7" t="s">
        <v>328</v>
      </c>
      <c r="I289" s="9">
        <v>481.62</v>
      </c>
      <c r="J289" s="10">
        <f t="shared" si="13"/>
        <v>148833.77000000005</v>
      </c>
      <c r="K289" s="6">
        <f t="shared" si="14"/>
        <v>59843.079999999864</v>
      </c>
      <c r="L289" s="31"/>
    </row>
    <row r="290" spans="1:12" x14ac:dyDescent="0.25">
      <c r="A290" s="5" t="s">
        <v>186</v>
      </c>
      <c r="B290" s="42">
        <f t="shared" si="12"/>
        <v>149.31539000000004</v>
      </c>
      <c r="C290" s="7" t="s">
        <v>329</v>
      </c>
      <c r="D290" s="7" t="s">
        <v>327</v>
      </c>
      <c r="E290" s="7" t="s">
        <v>829</v>
      </c>
      <c r="F290" s="8">
        <v>149.72798999999981</v>
      </c>
      <c r="G290" s="7" t="s">
        <v>328</v>
      </c>
      <c r="H290" s="7" t="s">
        <v>326</v>
      </c>
      <c r="I290" s="9">
        <v>494.34</v>
      </c>
      <c r="J290" s="10">
        <f t="shared" si="13"/>
        <v>149315.39000000004</v>
      </c>
      <c r="K290" s="6">
        <f t="shared" si="14"/>
        <v>59361.459999999861</v>
      </c>
      <c r="L290" s="31"/>
    </row>
    <row r="291" spans="1:12" x14ac:dyDescent="0.25">
      <c r="A291" s="5" t="s">
        <v>186</v>
      </c>
      <c r="B291" s="42">
        <f t="shared" si="12"/>
        <v>149.80973000000003</v>
      </c>
      <c r="C291" s="7" t="s">
        <v>327</v>
      </c>
      <c r="D291" s="7" t="s">
        <v>325</v>
      </c>
      <c r="E291" s="7" t="s">
        <v>829</v>
      </c>
      <c r="F291" s="8">
        <v>150.29724999999982</v>
      </c>
      <c r="G291" s="7" t="s">
        <v>326</v>
      </c>
      <c r="H291" s="7" t="s">
        <v>324</v>
      </c>
      <c r="I291" s="9">
        <v>538.29999999999995</v>
      </c>
      <c r="J291" s="10">
        <f t="shared" si="13"/>
        <v>149809.73000000004</v>
      </c>
      <c r="K291" s="6">
        <f t="shared" si="14"/>
        <v>58867.119999999864</v>
      </c>
      <c r="L291" s="31"/>
    </row>
    <row r="292" spans="1:12" x14ac:dyDescent="0.25">
      <c r="A292" s="5" t="s">
        <v>186</v>
      </c>
      <c r="B292" s="42">
        <f t="shared" si="12"/>
        <v>150.34803000000002</v>
      </c>
      <c r="C292" s="7" t="s">
        <v>325</v>
      </c>
      <c r="D292" s="7" t="s">
        <v>323</v>
      </c>
      <c r="E292" s="7" t="s">
        <v>829</v>
      </c>
      <c r="F292" s="8">
        <v>150.75752999999983</v>
      </c>
      <c r="G292" s="7" t="s">
        <v>324</v>
      </c>
      <c r="H292" s="7" t="s">
        <v>322</v>
      </c>
      <c r="I292" s="9">
        <v>574.64</v>
      </c>
      <c r="J292" s="10">
        <f t="shared" si="13"/>
        <v>150348.03000000003</v>
      </c>
      <c r="K292" s="6">
        <f t="shared" si="14"/>
        <v>58328.819999999861</v>
      </c>
      <c r="L292" s="31"/>
    </row>
    <row r="293" spans="1:12" x14ac:dyDescent="0.25">
      <c r="A293" s="5" t="s">
        <v>186</v>
      </c>
      <c r="B293" s="42">
        <f t="shared" si="12"/>
        <v>150.92267000000004</v>
      </c>
      <c r="C293" s="7" t="s">
        <v>323</v>
      </c>
      <c r="D293" s="7" t="s">
        <v>321</v>
      </c>
      <c r="E293" s="7" t="s">
        <v>829</v>
      </c>
      <c r="F293" s="8">
        <v>151.33529999999982</v>
      </c>
      <c r="G293" s="7" t="s">
        <v>322</v>
      </c>
      <c r="H293" s="7" t="s">
        <v>320</v>
      </c>
      <c r="I293" s="9">
        <v>570.77</v>
      </c>
      <c r="J293" s="10">
        <f t="shared" si="13"/>
        <v>150922.67000000004</v>
      </c>
      <c r="K293" s="6">
        <f t="shared" si="14"/>
        <v>57754.179999999862</v>
      </c>
      <c r="L293" s="31"/>
    </row>
    <row r="294" spans="1:12" x14ac:dyDescent="0.25">
      <c r="A294" s="5" t="s">
        <v>186</v>
      </c>
      <c r="B294" s="42">
        <f t="shared" si="12"/>
        <v>151.49344000000002</v>
      </c>
      <c r="C294" s="7" t="s">
        <v>321</v>
      </c>
      <c r="D294" s="7" t="s">
        <v>319</v>
      </c>
      <c r="E294" s="7" t="s">
        <v>829</v>
      </c>
      <c r="F294" s="8">
        <v>151.79592999999983</v>
      </c>
      <c r="G294" s="7" t="s">
        <v>320</v>
      </c>
      <c r="H294" s="7" t="s">
        <v>318</v>
      </c>
      <c r="I294" s="9">
        <v>532.12</v>
      </c>
      <c r="J294" s="10">
        <f t="shared" si="13"/>
        <v>151493.44000000003</v>
      </c>
      <c r="K294" s="6">
        <f t="shared" si="14"/>
        <v>57183.409999999865</v>
      </c>
      <c r="L294" s="31"/>
    </row>
    <row r="295" spans="1:12" x14ac:dyDescent="0.25">
      <c r="A295" s="5" t="s">
        <v>186</v>
      </c>
      <c r="B295" s="42">
        <f t="shared" si="12"/>
        <v>152.02556000000001</v>
      </c>
      <c r="C295" s="7" t="s">
        <v>319</v>
      </c>
      <c r="D295" s="7" t="s">
        <v>317</v>
      </c>
      <c r="E295" s="7" t="s">
        <v>829</v>
      </c>
      <c r="F295" s="8">
        <v>152.26077999999981</v>
      </c>
      <c r="G295" s="7" t="s">
        <v>318</v>
      </c>
      <c r="H295" s="7" t="s">
        <v>316</v>
      </c>
      <c r="I295" s="9">
        <v>629.44000000000005</v>
      </c>
      <c r="J295" s="10">
        <f t="shared" si="13"/>
        <v>152025.56000000003</v>
      </c>
      <c r="K295" s="6">
        <f t="shared" si="14"/>
        <v>56651.289999999863</v>
      </c>
      <c r="L295" s="31"/>
    </row>
    <row r="296" spans="1:12" x14ac:dyDescent="0.25">
      <c r="A296" s="5" t="s">
        <v>186</v>
      </c>
      <c r="B296" s="42">
        <f t="shared" si="12"/>
        <v>152.65500000000003</v>
      </c>
      <c r="C296" s="7" t="s">
        <v>317</v>
      </c>
      <c r="D296" s="7" t="s">
        <v>315</v>
      </c>
      <c r="E296" s="7" t="s">
        <v>829</v>
      </c>
      <c r="F296" s="8">
        <v>152.7709599999998</v>
      </c>
      <c r="G296" s="7" t="s">
        <v>316</v>
      </c>
      <c r="H296" s="7" t="s">
        <v>314</v>
      </c>
      <c r="I296" s="9">
        <v>720.77</v>
      </c>
      <c r="J296" s="10">
        <f t="shared" si="13"/>
        <v>152655.00000000003</v>
      </c>
      <c r="K296" s="6">
        <f t="shared" si="14"/>
        <v>56021.84999999986</v>
      </c>
      <c r="L296" s="31"/>
    </row>
    <row r="297" spans="1:12" x14ac:dyDescent="0.25">
      <c r="A297" s="5" t="s">
        <v>186</v>
      </c>
      <c r="B297" s="42">
        <f t="shared" si="12"/>
        <v>153.37577000000002</v>
      </c>
      <c r="C297" s="7" t="s">
        <v>315</v>
      </c>
      <c r="D297" s="7" t="s">
        <v>313</v>
      </c>
      <c r="E297" s="7" t="s">
        <v>829</v>
      </c>
      <c r="F297" s="8">
        <v>153.30895999999981</v>
      </c>
      <c r="G297" s="7" t="s">
        <v>314</v>
      </c>
      <c r="H297" s="7" t="s">
        <v>312</v>
      </c>
      <c r="I297" s="9">
        <v>688.38</v>
      </c>
      <c r="J297" s="10">
        <f t="shared" si="13"/>
        <v>153375.77000000002</v>
      </c>
      <c r="K297" s="6">
        <f t="shared" si="14"/>
        <v>55301.079999999864</v>
      </c>
      <c r="L297" s="31"/>
    </row>
    <row r="298" spans="1:12" x14ac:dyDescent="0.25">
      <c r="A298" s="5" t="s">
        <v>186</v>
      </c>
      <c r="B298" s="42">
        <f t="shared" si="12"/>
        <v>154.06415000000001</v>
      </c>
      <c r="C298" s="7" t="s">
        <v>313</v>
      </c>
      <c r="D298" s="7" t="s">
        <v>311</v>
      </c>
      <c r="E298" s="7" t="s">
        <v>829</v>
      </c>
      <c r="F298" s="8">
        <v>153.84464999999983</v>
      </c>
      <c r="G298" s="7" t="s">
        <v>312</v>
      </c>
      <c r="H298" s="7" t="s">
        <v>310</v>
      </c>
      <c r="I298" s="9">
        <v>481.04</v>
      </c>
      <c r="J298" s="10">
        <f t="shared" si="13"/>
        <v>154064.15000000002</v>
      </c>
      <c r="K298" s="6">
        <f t="shared" si="14"/>
        <v>54612.699999999866</v>
      </c>
      <c r="L298" s="31"/>
    </row>
    <row r="299" spans="1:12" x14ac:dyDescent="0.25">
      <c r="A299" s="5" t="s">
        <v>186</v>
      </c>
      <c r="B299" s="42">
        <f t="shared" si="12"/>
        <v>154.54519000000002</v>
      </c>
      <c r="C299" s="7" t="s">
        <v>311</v>
      </c>
      <c r="D299" s="7" t="s">
        <v>309</v>
      </c>
      <c r="E299" s="7" t="s">
        <v>829</v>
      </c>
      <c r="F299" s="8">
        <v>154.48129999999981</v>
      </c>
      <c r="G299" s="7" t="s">
        <v>310</v>
      </c>
      <c r="H299" s="7" t="s">
        <v>308</v>
      </c>
      <c r="I299" s="9">
        <v>540.4</v>
      </c>
      <c r="J299" s="10">
        <f t="shared" si="13"/>
        <v>154545.19000000003</v>
      </c>
      <c r="K299" s="6">
        <f t="shared" si="14"/>
        <v>54131.659999999865</v>
      </c>
      <c r="L299" s="31"/>
    </row>
    <row r="300" spans="1:12" x14ac:dyDescent="0.25">
      <c r="A300" s="5" t="s">
        <v>186</v>
      </c>
      <c r="B300" s="42">
        <f t="shared" si="12"/>
        <v>155.08559000000002</v>
      </c>
      <c r="C300" s="7" t="s">
        <v>309</v>
      </c>
      <c r="D300" s="7" t="s">
        <v>307</v>
      </c>
      <c r="E300" s="7" t="s">
        <v>829</v>
      </c>
      <c r="F300" s="8">
        <v>155.01327999999984</v>
      </c>
      <c r="G300" s="7" t="s">
        <v>308</v>
      </c>
      <c r="H300" s="7" t="s">
        <v>306</v>
      </c>
      <c r="I300" s="9">
        <v>595.57000000000005</v>
      </c>
      <c r="J300" s="10">
        <f t="shared" si="13"/>
        <v>155085.59000000003</v>
      </c>
      <c r="K300" s="6">
        <f t="shared" si="14"/>
        <v>53591.259999999864</v>
      </c>
      <c r="L300" s="31"/>
    </row>
    <row r="301" spans="1:12" x14ac:dyDescent="0.25">
      <c r="A301" s="5" t="s">
        <v>186</v>
      </c>
      <c r="B301" s="42">
        <f t="shared" si="12"/>
        <v>155.68116000000003</v>
      </c>
      <c r="C301" s="7" t="s">
        <v>307</v>
      </c>
      <c r="D301" s="7" t="s">
        <v>305</v>
      </c>
      <c r="E301" s="7" t="s">
        <v>829</v>
      </c>
      <c r="F301" s="8">
        <v>155.45368999999982</v>
      </c>
      <c r="G301" s="7" t="s">
        <v>306</v>
      </c>
      <c r="H301" s="7" t="s">
        <v>304</v>
      </c>
      <c r="I301" s="9">
        <v>573.54999999999995</v>
      </c>
      <c r="J301" s="10">
        <f t="shared" si="13"/>
        <v>155681.16000000003</v>
      </c>
      <c r="K301" s="6">
        <f t="shared" si="14"/>
        <v>52995.689999999864</v>
      </c>
      <c r="L301" s="31"/>
    </row>
    <row r="302" spans="1:12" x14ac:dyDescent="0.25">
      <c r="A302" s="5" t="s">
        <v>186</v>
      </c>
      <c r="B302" s="42">
        <f t="shared" si="12"/>
        <v>156.25471000000002</v>
      </c>
      <c r="C302" s="7" t="s">
        <v>305</v>
      </c>
      <c r="D302" s="7" t="s">
        <v>303</v>
      </c>
      <c r="E302" s="7" t="s">
        <v>829</v>
      </c>
      <c r="F302" s="8">
        <v>155.96759999999983</v>
      </c>
      <c r="G302" s="7" t="s">
        <v>304</v>
      </c>
      <c r="H302" s="7" t="s">
        <v>302</v>
      </c>
      <c r="I302" s="9">
        <v>584.41999999999996</v>
      </c>
      <c r="J302" s="10">
        <f t="shared" si="13"/>
        <v>156254.71000000002</v>
      </c>
      <c r="K302" s="6">
        <f t="shared" si="14"/>
        <v>52422.139999999861</v>
      </c>
      <c r="L302" s="31"/>
    </row>
    <row r="303" spans="1:12" x14ac:dyDescent="0.25">
      <c r="A303" s="5" t="s">
        <v>186</v>
      </c>
      <c r="B303" s="42">
        <f t="shared" si="12"/>
        <v>156.83913000000004</v>
      </c>
      <c r="C303" s="7" t="s">
        <v>303</v>
      </c>
      <c r="D303" s="7" t="s">
        <v>301</v>
      </c>
      <c r="E303" s="7" t="s">
        <v>829</v>
      </c>
      <c r="F303" s="8">
        <v>156.46396999999982</v>
      </c>
      <c r="G303" s="7" t="s">
        <v>302</v>
      </c>
      <c r="H303" s="7" t="s">
        <v>300</v>
      </c>
      <c r="I303" s="9">
        <v>559.23</v>
      </c>
      <c r="J303" s="10">
        <f t="shared" si="13"/>
        <v>156839.13000000003</v>
      </c>
      <c r="K303" s="6">
        <f t="shared" si="14"/>
        <v>51837.719999999863</v>
      </c>
      <c r="L303" s="31"/>
    </row>
    <row r="304" spans="1:12" x14ac:dyDescent="0.25">
      <c r="A304" s="5" t="s">
        <v>186</v>
      </c>
      <c r="B304" s="42">
        <f t="shared" si="12"/>
        <v>157.39836000000005</v>
      </c>
      <c r="C304" s="7" t="s">
        <v>301</v>
      </c>
      <c r="D304" s="7" t="s">
        <v>299</v>
      </c>
      <c r="E304" s="7" t="s">
        <v>829</v>
      </c>
      <c r="F304" s="8">
        <v>156.96613999999983</v>
      </c>
      <c r="G304" s="7" t="s">
        <v>300</v>
      </c>
      <c r="H304" s="7" t="s">
        <v>298</v>
      </c>
      <c r="I304" s="9">
        <v>589.04999999999995</v>
      </c>
      <c r="J304" s="10">
        <f t="shared" si="13"/>
        <v>157398.36000000004</v>
      </c>
      <c r="K304" s="6">
        <f t="shared" si="14"/>
        <v>51278.48999999986</v>
      </c>
      <c r="L304" s="31"/>
    </row>
    <row r="305" spans="1:12" x14ac:dyDescent="0.25">
      <c r="A305" s="5" t="s">
        <v>186</v>
      </c>
      <c r="B305" s="42">
        <f t="shared" si="12"/>
        <v>157.98741000000004</v>
      </c>
      <c r="C305" s="7" t="s">
        <v>299</v>
      </c>
      <c r="D305" s="7" t="s">
        <v>297</v>
      </c>
      <c r="E305" s="7" t="s">
        <v>829</v>
      </c>
      <c r="F305" s="8">
        <v>157.55850999999984</v>
      </c>
      <c r="G305" s="7" t="s">
        <v>298</v>
      </c>
      <c r="H305" s="7" t="s">
        <v>296</v>
      </c>
      <c r="I305" s="9">
        <v>522.46</v>
      </c>
      <c r="J305" s="10">
        <f t="shared" si="13"/>
        <v>157987.41000000003</v>
      </c>
      <c r="K305" s="6">
        <f t="shared" si="14"/>
        <v>50689.439999999857</v>
      </c>
      <c r="L305" s="31"/>
    </row>
    <row r="306" spans="1:12" x14ac:dyDescent="0.25">
      <c r="A306" s="5" t="s">
        <v>186</v>
      </c>
      <c r="B306" s="42">
        <f t="shared" si="12"/>
        <v>158.50987000000003</v>
      </c>
      <c r="C306" s="7" t="s">
        <v>297</v>
      </c>
      <c r="D306" s="7" t="s">
        <v>295</v>
      </c>
      <c r="E306" s="7" t="s">
        <v>829</v>
      </c>
      <c r="F306" s="8">
        <v>158.13822999999982</v>
      </c>
      <c r="G306" s="7" t="s">
        <v>296</v>
      </c>
      <c r="H306" s="7" t="s">
        <v>294</v>
      </c>
      <c r="I306" s="9">
        <v>574.15</v>
      </c>
      <c r="J306" s="10">
        <f t="shared" si="13"/>
        <v>158509.87000000002</v>
      </c>
      <c r="K306" s="6">
        <f t="shared" si="14"/>
        <v>50166.979999999858</v>
      </c>
      <c r="L306" s="31"/>
    </row>
    <row r="307" spans="1:12" x14ac:dyDescent="0.25">
      <c r="A307" s="5" t="s">
        <v>186</v>
      </c>
      <c r="B307" s="42">
        <f t="shared" si="12"/>
        <v>159.08402000000001</v>
      </c>
      <c r="C307" s="7" t="s">
        <v>295</v>
      </c>
      <c r="D307" s="7" t="s">
        <v>293</v>
      </c>
      <c r="E307" s="7" t="s">
        <v>829</v>
      </c>
      <c r="F307" s="8">
        <v>158.64144999999985</v>
      </c>
      <c r="G307" s="7" t="s">
        <v>294</v>
      </c>
      <c r="H307" s="7" t="s">
        <v>292</v>
      </c>
      <c r="I307" s="9">
        <v>499.78</v>
      </c>
      <c r="J307" s="10">
        <f t="shared" si="13"/>
        <v>159084.02000000002</v>
      </c>
      <c r="K307" s="6">
        <f t="shared" si="14"/>
        <v>49592.829999999856</v>
      </c>
      <c r="L307" s="31"/>
    </row>
    <row r="308" spans="1:12" x14ac:dyDescent="0.25">
      <c r="A308" s="5" t="s">
        <v>186</v>
      </c>
      <c r="B308" s="42">
        <f t="shared" si="12"/>
        <v>159.58380000000002</v>
      </c>
      <c r="C308" s="7" t="s">
        <v>293</v>
      </c>
      <c r="D308" s="7" t="s">
        <v>291</v>
      </c>
      <c r="E308" s="7" t="s">
        <v>829</v>
      </c>
      <c r="F308" s="8">
        <v>159.02259999999984</v>
      </c>
      <c r="G308" s="7" t="s">
        <v>292</v>
      </c>
      <c r="H308" s="7" t="s">
        <v>290</v>
      </c>
      <c r="I308" s="9">
        <v>575.79999999999995</v>
      </c>
      <c r="J308" s="10">
        <f t="shared" si="13"/>
        <v>159583.80000000002</v>
      </c>
      <c r="K308" s="6">
        <f t="shared" si="14"/>
        <v>49093.049999999857</v>
      </c>
      <c r="L308" s="31"/>
    </row>
    <row r="309" spans="1:12" x14ac:dyDescent="0.25">
      <c r="A309" s="5" t="s">
        <v>186</v>
      </c>
      <c r="B309" s="42">
        <f t="shared" si="12"/>
        <v>160.15960000000001</v>
      </c>
      <c r="C309" s="7" t="s">
        <v>291</v>
      </c>
      <c r="D309" s="7" t="s">
        <v>289</v>
      </c>
      <c r="E309" s="7" t="s">
        <v>829</v>
      </c>
      <c r="F309" s="8">
        <v>159.41169999999983</v>
      </c>
      <c r="G309" s="7" t="s">
        <v>290</v>
      </c>
      <c r="H309" s="7" t="s">
        <v>288</v>
      </c>
      <c r="I309" s="9">
        <v>598.84</v>
      </c>
      <c r="J309" s="10">
        <f t="shared" si="13"/>
        <v>160159.6</v>
      </c>
      <c r="K309" s="6">
        <f t="shared" si="14"/>
        <v>48517.249999999854</v>
      </c>
      <c r="L309" s="31"/>
    </row>
    <row r="310" spans="1:12" x14ac:dyDescent="0.25">
      <c r="A310" s="5" t="s">
        <v>186</v>
      </c>
      <c r="B310" s="42">
        <f t="shared" si="12"/>
        <v>160.75844000000001</v>
      </c>
      <c r="C310" s="7" t="s">
        <v>289</v>
      </c>
      <c r="D310" s="7" t="s">
        <v>287</v>
      </c>
      <c r="E310" s="7" t="s">
        <v>829</v>
      </c>
      <c r="F310" s="8">
        <v>159.91442999999984</v>
      </c>
      <c r="G310" s="7" t="s">
        <v>288</v>
      </c>
      <c r="H310" s="7" t="s">
        <v>286</v>
      </c>
      <c r="I310" s="9">
        <v>549.16999999999996</v>
      </c>
      <c r="J310" s="10">
        <f t="shared" si="13"/>
        <v>160758.44</v>
      </c>
      <c r="K310" s="6">
        <f t="shared" si="14"/>
        <v>47918.409999999858</v>
      </c>
      <c r="L310" s="31"/>
    </row>
    <row r="311" spans="1:12" x14ac:dyDescent="0.25">
      <c r="A311" s="5" t="s">
        <v>186</v>
      </c>
      <c r="B311" s="42">
        <f t="shared" si="12"/>
        <v>161.30761000000001</v>
      </c>
      <c r="C311" s="7" t="s">
        <v>287</v>
      </c>
      <c r="D311" s="7" t="s">
        <v>285</v>
      </c>
      <c r="E311" s="7" t="s">
        <v>829</v>
      </c>
      <c r="F311" s="8">
        <v>160.34912999999986</v>
      </c>
      <c r="G311" s="7" t="s">
        <v>286</v>
      </c>
      <c r="H311" s="7" t="s">
        <v>284</v>
      </c>
      <c r="I311" s="9">
        <v>625.46</v>
      </c>
      <c r="J311" s="10">
        <f t="shared" si="13"/>
        <v>161307.61000000002</v>
      </c>
      <c r="K311" s="6">
        <f t="shared" si="14"/>
        <v>47369.23999999986</v>
      </c>
      <c r="L311" s="31"/>
    </row>
    <row r="312" spans="1:12" x14ac:dyDescent="0.25">
      <c r="A312" s="5" t="s">
        <v>186</v>
      </c>
      <c r="B312" s="42">
        <f t="shared" si="12"/>
        <v>161.93307000000001</v>
      </c>
      <c r="C312" s="7" t="s">
        <v>285</v>
      </c>
      <c r="D312" s="7" t="s">
        <v>283</v>
      </c>
      <c r="E312" s="7" t="s">
        <v>829</v>
      </c>
      <c r="F312" s="8">
        <v>160.81243999999987</v>
      </c>
      <c r="G312" s="7" t="s">
        <v>284</v>
      </c>
      <c r="H312" s="7" t="s">
        <v>282</v>
      </c>
      <c r="I312" s="9">
        <v>543.67999999999995</v>
      </c>
      <c r="J312" s="10">
        <f t="shared" si="13"/>
        <v>161933.07</v>
      </c>
      <c r="K312" s="6">
        <f t="shared" si="14"/>
        <v>46743.779999999861</v>
      </c>
      <c r="L312" s="31"/>
    </row>
    <row r="313" spans="1:12" x14ac:dyDescent="0.25">
      <c r="A313" s="5" t="s">
        <v>186</v>
      </c>
      <c r="B313" s="42">
        <f t="shared" si="12"/>
        <v>162.47675000000001</v>
      </c>
      <c r="C313" s="7" t="s">
        <v>283</v>
      </c>
      <c r="D313" s="7" t="s">
        <v>281</v>
      </c>
      <c r="E313" s="7" t="s">
        <v>829</v>
      </c>
      <c r="F313" s="8">
        <v>161.38705999999985</v>
      </c>
      <c r="G313" s="7" t="s">
        <v>282</v>
      </c>
      <c r="H313" s="7" t="s">
        <v>280</v>
      </c>
      <c r="I313" s="9">
        <v>553.88</v>
      </c>
      <c r="J313" s="10">
        <f t="shared" si="13"/>
        <v>162476.75</v>
      </c>
      <c r="K313" s="6">
        <f t="shared" si="14"/>
        <v>46200.09999999986</v>
      </c>
      <c r="L313" s="31"/>
    </row>
    <row r="314" spans="1:12" x14ac:dyDescent="0.25">
      <c r="A314" s="5" t="s">
        <v>186</v>
      </c>
      <c r="B314" s="42">
        <f t="shared" si="12"/>
        <v>163.03063</v>
      </c>
      <c r="C314" s="7" t="s">
        <v>281</v>
      </c>
      <c r="D314" s="7" t="s">
        <v>279</v>
      </c>
      <c r="E314" s="7" t="s">
        <v>829</v>
      </c>
      <c r="F314" s="8">
        <v>161.85836999999984</v>
      </c>
      <c r="G314" s="7" t="s">
        <v>280</v>
      </c>
      <c r="H314" s="7" t="s">
        <v>278</v>
      </c>
      <c r="I314" s="9">
        <v>616.44000000000005</v>
      </c>
      <c r="J314" s="10">
        <f t="shared" si="13"/>
        <v>163030.63</v>
      </c>
      <c r="K314" s="6">
        <f t="shared" si="14"/>
        <v>45646.219999999863</v>
      </c>
      <c r="L314" s="31"/>
    </row>
    <row r="315" spans="1:12" x14ac:dyDescent="0.25">
      <c r="A315" s="5" t="s">
        <v>186</v>
      </c>
      <c r="B315" s="42">
        <f t="shared" si="12"/>
        <v>163.64707000000001</v>
      </c>
      <c r="C315" s="7" t="s">
        <v>279</v>
      </c>
      <c r="D315" s="7" t="s">
        <v>277</v>
      </c>
      <c r="E315" s="7" t="s">
        <v>829</v>
      </c>
      <c r="F315" s="8">
        <v>162.41806999999986</v>
      </c>
      <c r="G315" s="7" t="s">
        <v>278</v>
      </c>
      <c r="H315" s="7" t="s">
        <v>276</v>
      </c>
      <c r="I315" s="9">
        <v>508.59</v>
      </c>
      <c r="J315" s="10">
        <f t="shared" si="13"/>
        <v>163647.07</v>
      </c>
      <c r="K315" s="6">
        <f t="shared" si="14"/>
        <v>45029.779999999861</v>
      </c>
      <c r="L315" s="31"/>
    </row>
    <row r="316" spans="1:12" x14ac:dyDescent="0.25">
      <c r="A316" s="5" t="s">
        <v>186</v>
      </c>
      <c r="B316" s="42">
        <f t="shared" si="12"/>
        <v>164.15566000000001</v>
      </c>
      <c r="C316" s="7" t="s">
        <v>277</v>
      </c>
      <c r="D316" s="7" t="s">
        <v>275</v>
      </c>
      <c r="E316" s="7" t="s">
        <v>829</v>
      </c>
      <c r="F316" s="8">
        <v>162.95024999999984</v>
      </c>
      <c r="G316" s="7" t="s">
        <v>276</v>
      </c>
      <c r="H316" s="7" t="s">
        <v>274</v>
      </c>
      <c r="I316" s="9">
        <v>546.33000000000004</v>
      </c>
      <c r="J316" s="10">
        <f t="shared" si="13"/>
        <v>164155.66</v>
      </c>
      <c r="K316" s="6">
        <f t="shared" si="14"/>
        <v>44521.189999999864</v>
      </c>
      <c r="L316" s="31"/>
    </row>
    <row r="317" spans="1:12" x14ac:dyDescent="0.25">
      <c r="A317" s="5" t="s">
        <v>186</v>
      </c>
      <c r="B317" s="42">
        <f t="shared" si="12"/>
        <v>164.70199</v>
      </c>
      <c r="C317" s="7" t="s">
        <v>275</v>
      </c>
      <c r="D317" s="7" t="s">
        <v>273</v>
      </c>
      <c r="E317" s="7" t="s">
        <v>829</v>
      </c>
      <c r="F317" s="8">
        <v>163.46064999999984</v>
      </c>
      <c r="G317" s="7" t="s">
        <v>274</v>
      </c>
      <c r="H317" s="7" t="s">
        <v>272</v>
      </c>
      <c r="I317" s="9">
        <v>545.28</v>
      </c>
      <c r="J317" s="10">
        <f t="shared" si="13"/>
        <v>164701.99</v>
      </c>
      <c r="K317" s="6">
        <f t="shared" si="14"/>
        <v>43974.859999999862</v>
      </c>
      <c r="L317" s="31"/>
    </row>
    <row r="318" spans="1:12" x14ac:dyDescent="0.25">
      <c r="A318" s="5" t="s">
        <v>186</v>
      </c>
      <c r="B318" s="42">
        <f t="shared" si="12"/>
        <v>165.24726999999999</v>
      </c>
      <c r="C318" s="7" t="s">
        <v>273</v>
      </c>
      <c r="D318" s="7" t="s">
        <v>271</v>
      </c>
      <c r="E318" s="7" t="s">
        <v>829</v>
      </c>
      <c r="F318" s="8">
        <v>163.98552999999984</v>
      </c>
      <c r="G318" s="7" t="s">
        <v>272</v>
      </c>
      <c r="H318" s="7" t="s">
        <v>183</v>
      </c>
      <c r="I318" s="9">
        <v>454.7</v>
      </c>
      <c r="J318" s="10">
        <f t="shared" si="13"/>
        <v>165247.26999999999</v>
      </c>
      <c r="K318" s="6">
        <f t="shared" si="14"/>
        <v>43429.579999999864</v>
      </c>
      <c r="L318" s="31"/>
    </row>
    <row r="319" spans="1:12" x14ac:dyDescent="0.25">
      <c r="A319" s="5" t="s">
        <v>186</v>
      </c>
      <c r="B319" s="42">
        <f t="shared" si="12"/>
        <v>165.70196999999999</v>
      </c>
      <c r="C319" s="7" t="s">
        <v>271</v>
      </c>
      <c r="D319" s="7" t="s">
        <v>270</v>
      </c>
      <c r="E319" s="7" t="s">
        <v>830</v>
      </c>
      <c r="F319" s="8">
        <v>164.59169999999986</v>
      </c>
      <c r="G319" s="7" t="s">
        <v>183</v>
      </c>
      <c r="H319" s="7" t="s">
        <v>181</v>
      </c>
      <c r="I319" s="9">
        <v>399.52</v>
      </c>
      <c r="J319" s="10">
        <f t="shared" si="13"/>
        <v>165701.97</v>
      </c>
      <c r="K319" s="6">
        <f t="shared" si="14"/>
        <v>42974.879999999866</v>
      </c>
      <c r="L319" s="31"/>
    </row>
    <row r="320" spans="1:12" x14ac:dyDescent="0.25">
      <c r="A320" s="5" t="s">
        <v>186</v>
      </c>
      <c r="B320" s="42">
        <f t="shared" si="12"/>
        <v>166.10148999999998</v>
      </c>
      <c r="C320" s="7" t="s">
        <v>270</v>
      </c>
      <c r="D320" s="7" t="s">
        <v>269</v>
      </c>
      <c r="E320" s="7" t="s">
        <v>826</v>
      </c>
      <c r="F320" s="8">
        <v>165.13309999999987</v>
      </c>
      <c r="G320" s="7" t="s">
        <v>181</v>
      </c>
      <c r="H320" s="7" t="s">
        <v>179</v>
      </c>
      <c r="I320" s="9">
        <v>355.05</v>
      </c>
      <c r="J320" s="10">
        <f t="shared" si="13"/>
        <v>166101.49</v>
      </c>
      <c r="K320" s="6">
        <f t="shared" si="14"/>
        <v>42575.35999999987</v>
      </c>
      <c r="L320" s="31"/>
    </row>
    <row r="321" spans="1:12" x14ac:dyDescent="0.25">
      <c r="A321" s="5" t="s">
        <v>186</v>
      </c>
      <c r="B321" s="42">
        <f t="shared" si="12"/>
        <v>166.45653999999999</v>
      </c>
      <c r="C321" s="7" t="s">
        <v>269</v>
      </c>
      <c r="D321" s="7" t="s">
        <v>268</v>
      </c>
      <c r="E321" s="7" t="s">
        <v>826</v>
      </c>
      <c r="F321" s="8">
        <v>165.56414999999984</v>
      </c>
      <c r="G321" s="7" t="s">
        <v>179</v>
      </c>
      <c r="H321" s="7" t="s">
        <v>177</v>
      </c>
      <c r="I321" s="9">
        <v>469.07</v>
      </c>
      <c r="J321" s="10">
        <f t="shared" si="13"/>
        <v>166456.53999999998</v>
      </c>
      <c r="K321" s="6">
        <f t="shared" si="14"/>
        <v>42220.309999999867</v>
      </c>
      <c r="L321" s="31"/>
    </row>
    <row r="322" spans="1:12" x14ac:dyDescent="0.25">
      <c r="A322" s="5" t="s">
        <v>186</v>
      </c>
      <c r="B322" s="42">
        <f t="shared" si="12"/>
        <v>166.92560999999998</v>
      </c>
      <c r="C322" s="7" t="s">
        <v>268</v>
      </c>
      <c r="D322" s="7" t="s">
        <v>267</v>
      </c>
      <c r="E322" s="7" t="s">
        <v>826</v>
      </c>
      <c r="F322" s="8">
        <v>166.01484999999985</v>
      </c>
      <c r="G322" s="7" t="s">
        <v>177</v>
      </c>
      <c r="H322" s="7" t="s">
        <v>175</v>
      </c>
      <c r="I322" s="9">
        <v>500.67</v>
      </c>
      <c r="J322" s="10">
        <f t="shared" si="13"/>
        <v>166925.60999999999</v>
      </c>
      <c r="K322" s="6">
        <f t="shared" si="14"/>
        <v>41751.239999999867</v>
      </c>
      <c r="L322" s="31"/>
    </row>
    <row r="323" spans="1:12" x14ac:dyDescent="0.25">
      <c r="A323" s="5" t="s">
        <v>186</v>
      </c>
      <c r="B323" s="42">
        <f t="shared" ref="B323:B386" si="15">J323/1000</f>
        <v>167.42627999999999</v>
      </c>
      <c r="C323" s="7" t="s">
        <v>267</v>
      </c>
      <c r="D323" s="7" t="s">
        <v>266</v>
      </c>
      <c r="E323" s="7" t="s">
        <v>826</v>
      </c>
      <c r="F323" s="8">
        <v>166.49524999999986</v>
      </c>
      <c r="G323" s="7" t="s">
        <v>175</v>
      </c>
      <c r="H323" s="7" t="s">
        <v>173</v>
      </c>
      <c r="I323" s="9">
        <v>477.47</v>
      </c>
      <c r="J323" s="10">
        <f t="shared" si="13"/>
        <v>167426.28</v>
      </c>
      <c r="K323" s="6">
        <f t="shared" si="14"/>
        <v>41250.569999999869</v>
      </c>
      <c r="L323" s="31"/>
    </row>
    <row r="324" spans="1:12" x14ac:dyDescent="0.25">
      <c r="A324" s="5" t="s">
        <v>186</v>
      </c>
      <c r="B324" s="42">
        <f t="shared" si="15"/>
        <v>167.90375</v>
      </c>
      <c r="C324" s="7" t="s">
        <v>266</v>
      </c>
      <c r="D324" s="7" t="s">
        <v>265</v>
      </c>
      <c r="E324" s="7" t="s">
        <v>826</v>
      </c>
      <c r="F324" s="8">
        <v>167.02209999999985</v>
      </c>
      <c r="G324" s="7" t="s">
        <v>173</v>
      </c>
      <c r="H324" s="7" t="s">
        <v>171</v>
      </c>
      <c r="I324" s="9">
        <v>487.5</v>
      </c>
      <c r="J324" s="10">
        <f t="shared" ref="J324:J387" si="16">J323+I323</f>
        <v>167903.75</v>
      </c>
      <c r="K324" s="6">
        <f t="shared" ref="K324:K387" si="17">K323-I323</f>
        <v>40773.099999999868</v>
      </c>
      <c r="L324" s="31"/>
    </row>
    <row r="325" spans="1:12" x14ac:dyDescent="0.25">
      <c r="A325" s="5" t="s">
        <v>186</v>
      </c>
      <c r="B325" s="42">
        <f t="shared" si="15"/>
        <v>168.39125000000001</v>
      </c>
      <c r="C325" s="7" t="s">
        <v>265</v>
      </c>
      <c r="D325" s="7" t="s">
        <v>264</v>
      </c>
      <c r="E325" s="7" t="s">
        <v>826</v>
      </c>
      <c r="F325" s="8">
        <v>167.64159999999987</v>
      </c>
      <c r="G325" s="7" t="s">
        <v>171</v>
      </c>
      <c r="H325" s="7" t="s">
        <v>169</v>
      </c>
      <c r="I325" s="9">
        <v>475</v>
      </c>
      <c r="J325" s="10">
        <f t="shared" si="16"/>
        <v>168391.25</v>
      </c>
      <c r="K325" s="6">
        <f t="shared" si="17"/>
        <v>40285.599999999868</v>
      </c>
      <c r="L325" s="31"/>
    </row>
    <row r="326" spans="1:12" x14ac:dyDescent="0.25">
      <c r="A326" s="5" t="s">
        <v>186</v>
      </c>
      <c r="B326" s="42">
        <f t="shared" si="15"/>
        <v>168.86625000000001</v>
      </c>
      <c r="C326" s="7" t="s">
        <v>264</v>
      </c>
      <c r="D326" s="7" t="s">
        <v>263</v>
      </c>
      <c r="E326" s="7" t="s">
        <v>826</v>
      </c>
      <c r="F326" s="8">
        <v>168.05931999999987</v>
      </c>
      <c r="G326" s="7" t="s">
        <v>169</v>
      </c>
      <c r="H326" s="7" t="s">
        <v>167</v>
      </c>
      <c r="I326" s="9">
        <v>464.39</v>
      </c>
      <c r="J326" s="10">
        <f t="shared" si="16"/>
        <v>168866.25</v>
      </c>
      <c r="K326" s="6">
        <f t="shared" si="17"/>
        <v>39810.599999999868</v>
      </c>
      <c r="L326" s="31"/>
    </row>
    <row r="327" spans="1:12" x14ac:dyDescent="0.25">
      <c r="A327" s="5" t="s">
        <v>186</v>
      </c>
      <c r="B327" s="42">
        <f t="shared" si="15"/>
        <v>169.33064000000002</v>
      </c>
      <c r="C327" s="7" t="s">
        <v>263</v>
      </c>
      <c r="D327" s="7" t="s">
        <v>262</v>
      </c>
      <c r="E327" s="7" t="s">
        <v>826</v>
      </c>
      <c r="F327" s="8">
        <v>168.63723999999988</v>
      </c>
      <c r="G327" s="7" t="s">
        <v>167</v>
      </c>
      <c r="H327" s="7" t="s">
        <v>165</v>
      </c>
      <c r="I327" s="9">
        <v>489.73</v>
      </c>
      <c r="J327" s="10">
        <f t="shared" si="16"/>
        <v>169330.64</v>
      </c>
      <c r="K327" s="6">
        <f t="shared" si="17"/>
        <v>39346.209999999868</v>
      </c>
      <c r="L327" s="31"/>
    </row>
    <row r="328" spans="1:12" x14ac:dyDescent="0.25">
      <c r="A328" s="5" t="s">
        <v>186</v>
      </c>
      <c r="B328" s="42">
        <f t="shared" si="15"/>
        <v>169.82037000000003</v>
      </c>
      <c r="C328" s="7" t="s">
        <v>262</v>
      </c>
      <c r="D328" s="7" t="s">
        <v>261</v>
      </c>
      <c r="E328" s="7" t="s">
        <v>826</v>
      </c>
      <c r="F328" s="8">
        <v>169.6622799999999</v>
      </c>
      <c r="G328" s="7" t="s">
        <v>165</v>
      </c>
      <c r="H328" s="7" t="s">
        <v>163</v>
      </c>
      <c r="I328" s="9">
        <v>540.67999999999995</v>
      </c>
      <c r="J328" s="10">
        <f t="shared" si="16"/>
        <v>169820.37000000002</v>
      </c>
      <c r="K328" s="6">
        <f t="shared" si="17"/>
        <v>38856.479999999865</v>
      </c>
      <c r="L328" s="31"/>
    </row>
    <row r="329" spans="1:12" x14ac:dyDescent="0.25">
      <c r="A329" s="5" t="s">
        <v>186</v>
      </c>
      <c r="B329" s="42">
        <f t="shared" si="15"/>
        <v>170.36105000000001</v>
      </c>
      <c r="C329" s="7" t="s">
        <v>261</v>
      </c>
      <c r="D329" s="7" t="s">
        <v>260</v>
      </c>
      <c r="E329" s="7" t="s">
        <v>826</v>
      </c>
      <c r="F329" s="8">
        <v>170.49142999999987</v>
      </c>
      <c r="G329" s="7" t="s">
        <v>163</v>
      </c>
      <c r="H329" s="7" t="s">
        <v>161</v>
      </c>
      <c r="I329" s="9">
        <v>537.79</v>
      </c>
      <c r="J329" s="10">
        <f t="shared" si="16"/>
        <v>170361.05000000002</v>
      </c>
      <c r="K329" s="6">
        <f t="shared" si="17"/>
        <v>38315.799999999865</v>
      </c>
      <c r="L329" s="31"/>
    </row>
    <row r="330" spans="1:12" x14ac:dyDescent="0.25">
      <c r="A330" s="5" t="s">
        <v>186</v>
      </c>
      <c r="B330" s="42">
        <f t="shared" si="15"/>
        <v>170.89884000000004</v>
      </c>
      <c r="C330" s="7" t="s">
        <v>260</v>
      </c>
      <c r="D330" s="7" t="s">
        <v>259</v>
      </c>
      <c r="E330" s="7" t="s">
        <v>826</v>
      </c>
      <c r="F330" s="8">
        <v>171.03027999999989</v>
      </c>
      <c r="G330" s="7" t="s">
        <v>161</v>
      </c>
      <c r="H330" s="7" t="s">
        <v>159</v>
      </c>
      <c r="I330" s="9">
        <v>520.08000000000004</v>
      </c>
      <c r="J330" s="10">
        <f t="shared" si="16"/>
        <v>170898.84000000003</v>
      </c>
      <c r="K330" s="6">
        <f t="shared" si="17"/>
        <v>37778.009999999864</v>
      </c>
      <c r="L330" s="31"/>
    </row>
    <row r="331" spans="1:12" x14ac:dyDescent="0.25">
      <c r="A331" s="5" t="s">
        <v>186</v>
      </c>
      <c r="B331" s="42">
        <f t="shared" si="15"/>
        <v>171.41892000000001</v>
      </c>
      <c r="C331" s="7" t="s">
        <v>259</v>
      </c>
      <c r="D331" s="7" t="s">
        <v>258</v>
      </c>
      <c r="E331" s="7" t="s">
        <v>826</v>
      </c>
      <c r="F331" s="8">
        <v>171.58735999999988</v>
      </c>
      <c r="G331" s="7" t="s">
        <v>159</v>
      </c>
      <c r="H331" s="7" t="s">
        <v>157</v>
      </c>
      <c r="I331" s="9">
        <v>589.72</v>
      </c>
      <c r="J331" s="10">
        <f t="shared" si="16"/>
        <v>171418.92</v>
      </c>
      <c r="K331" s="6">
        <f t="shared" si="17"/>
        <v>37257.929999999862</v>
      </c>
      <c r="L331" s="31"/>
    </row>
    <row r="332" spans="1:12" x14ac:dyDescent="0.25">
      <c r="A332" s="5" t="s">
        <v>186</v>
      </c>
      <c r="B332" s="42">
        <f t="shared" si="15"/>
        <v>172.00864000000001</v>
      </c>
      <c r="C332" s="7" t="s">
        <v>258</v>
      </c>
      <c r="D332" s="7" t="s">
        <v>257</v>
      </c>
      <c r="E332" s="7" t="s">
        <v>826</v>
      </c>
      <c r="F332" s="8">
        <v>172.14017999999987</v>
      </c>
      <c r="G332" s="7" t="s">
        <v>157</v>
      </c>
      <c r="H332" s="7" t="s">
        <v>155</v>
      </c>
      <c r="I332" s="9">
        <v>610.20000000000005</v>
      </c>
      <c r="J332" s="10">
        <f t="shared" si="16"/>
        <v>172008.64</v>
      </c>
      <c r="K332" s="6">
        <f t="shared" si="17"/>
        <v>36668.209999999861</v>
      </c>
      <c r="L332" s="31"/>
    </row>
    <row r="333" spans="1:12" x14ac:dyDescent="0.25">
      <c r="A333" s="5" t="s">
        <v>186</v>
      </c>
      <c r="B333" s="42">
        <f t="shared" si="15"/>
        <v>172.61884000000003</v>
      </c>
      <c r="C333" s="7" t="s">
        <v>257</v>
      </c>
      <c r="D333" s="7" t="s">
        <v>256</v>
      </c>
      <c r="E333" s="7" t="s">
        <v>826</v>
      </c>
      <c r="F333" s="8">
        <v>172.55771999999988</v>
      </c>
      <c r="G333" s="7" t="s">
        <v>155</v>
      </c>
      <c r="H333" s="7" t="s">
        <v>153</v>
      </c>
      <c r="I333" s="9">
        <v>516.04999999999995</v>
      </c>
      <c r="J333" s="10">
        <f t="shared" si="16"/>
        <v>172618.84000000003</v>
      </c>
      <c r="K333" s="6">
        <f t="shared" si="17"/>
        <v>36058.009999999864</v>
      </c>
      <c r="L333" s="31"/>
    </row>
    <row r="334" spans="1:12" x14ac:dyDescent="0.25">
      <c r="A334" s="5" t="s">
        <v>186</v>
      </c>
      <c r="B334" s="42">
        <f t="shared" si="15"/>
        <v>173.13489000000001</v>
      </c>
      <c r="C334" s="7" t="s">
        <v>256</v>
      </c>
      <c r="D334" s="7" t="s">
        <v>255</v>
      </c>
      <c r="E334" s="7" t="s">
        <v>826</v>
      </c>
      <c r="F334" s="8">
        <v>172.99183999999988</v>
      </c>
      <c r="G334" s="7" t="s">
        <v>153</v>
      </c>
      <c r="H334" s="7" t="s">
        <v>151</v>
      </c>
      <c r="I334" s="9">
        <v>540.16999999999996</v>
      </c>
      <c r="J334" s="10">
        <f t="shared" si="16"/>
        <v>173134.89</v>
      </c>
      <c r="K334" s="6">
        <f t="shared" si="17"/>
        <v>35541.959999999861</v>
      </c>
      <c r="L334" s="31"/>
    </row>
    <row r="335" spans="1:12" x14ac:dyDescent="0.25">
      <c r="A335" s="5" t="s">
        <v>186</v>
      </c>
      <c r="B335" s="42">
        <f t="shared" si="15"/>
        <v>173.67506000000003</v>
      </c>
      <c r="C335" s="7" t="s">
        <v>255</v>
      </c>
      <c r="D335" s="7" t="s">
        <v>254</v>
      </c>
      <c r="E335" s="7" t="s">
        <v>826</v>
      </c>
      <c r="F335" s="8">
        <v>173.41979999999987</v>
      </c>
      <c r="G335" s="7" t="s">
        <v>151</v>
      </c>
      <c r="H335" s="7" t="s">
        <v>149</v>
      </c>
      <c r="I335" s="9">
        <v>540.77</v>
      </c>
      <c r="J335" s="10">
        <f t="shared" si="16"/>
        <v>173675.06000000003</v>
      </c>
      <c r="K335" s="6">
        <f t="shared" si="17"/>
        <v>35001.789999999863</v>
      </c>
      <c r="L335" s="31"/>
    </row>
    <row r="336" spans="1:12" x14ac:dyDescent="0.25">
      <c r="A336" s="5" t="s">
        <v>186</v>
      </c>
      <c r="B336" s="42">
        <f t="shared" si="15"/>
        <v>174.21583000000001</v>
      </c>
      <c r="C336" s="7" t="s">
        <v>254</v>
      </c>
      <c r="D336" s="7" t="s">
        <v>253</v>
      </c>
      <c r="E336" s="7" t="s">
        <v>826</v>
      </c>
      <c r="F336" s="8">
        <v>173.94072999999986</v>
      </c>
      <c r="G336" s="7" t="s">
        <v>149</v>
      </c>
      <c r="H336" s="7" t="s">
        <v>147</v>
      </c>
      <c r="I336" s="9">
        <v>606.54</v>
      </c>
      <c r="J336" s="10">
        <f t="shared" si="16"/>
        <v>174215.83000000002</v>
      </c>
      <c r="K336" s="6">
        <f t="shared" si="17"/>
        <v>34461.019999999866</v>
      </c>
      <c r="L336" s="31"/>
    </row>
    <row r="337" spans="1:12" x14ac:dyDescent="0.25">
      <c r="A337" s="5" t="s">
        <v>186</v>
      </c>
      <c r="B337" s="42">
        <f t="shared" si="15"/>
        <v>174.82237000000003</v>
      </c>
      <c r="C337" s="7" t="s">
        <v>253</v>
      </c>
      <c r="D337" s="7" t="s">
        <v>252</v>
      </c>
      <c r="E337" s="7" t="s">
        <v>826</v>
      </c>
      <c r="F337" s="8">
        <v>174.54233999999985</v>
      </c>
      <c r="G337" s="7" t="s">
        <v>147</v>
      </c>
      <c r="H337" s="7" t="s">
        <v>145</v>
      </c>
      <c r="I337" s="9">
        <v>513.19000000000005</v>
      </c>
      <c r="J337" s="10">
        <f t="shared" si="16"/>
        <v>174822.37000000002</v>
      </c>
      <c r="K337" s="6">
        <f t="shared" si="17"/>
        <v>33854.479999999865</v>
      </c>
      <c r="L337" s="31"/>
    </row>
    <row r="338" spans="1:12" x14ac:dyDescent="0.25">
      <c r="A338" s="5" t="s">
        <v>186</v>
      </c>
      <c r="B338" s="42">
        <f t="shared" si="15"/>
        <v>175.33556000000002</v>
      </c>
      <c r="C338" s="7" t="s">
        <v>252</v>
      </c>
      <c r="D338" s="7" t="s">
        <v>251</v>
      </c>
      <c r="E338" s="7" t="s">
        <v>826</v>
      </c>
      <c r="F338" s="8">
        <v>175.09617999999983</v>
      </c>
      <c r="G338" s="7" t="s">
        <v>145</v>
      </c>
      <c r="H338" s="7" t="s">
        <v>143</v>
      </c>
      <c r="I338" s="9">
        <v>588.72</v>
      </c>
      <c r="J338" s="10">
        <f t="shared" si="16"/>
        <v>175335.56000000003</v>
      </c>
      <c r="K338" s="6">
        <f t="shared" si="17"/>
        <v>33341.289999999863</v>
      </c>
      <c r="L338" s="31"/>
    </row>
    <row r="339" spans="1:12" x14ac:dyDescent="0.25">
      <c r="A339" s="5" t="s">
        <v>186</v>
      </c>
      <c r="B339" s="42">
        <f t="shared" si="15"/>
        <v>175.92428000000004</v>
      </c>
      <c r="C339" s="7" t="s">
        <v>251</v>
      </c>
      <c r="D339" s="7" t="s">
        <v>250</v>
      </c>
      <c r="E339" s="7" t="s">
        <v>826</v>
      </c>
      <c r="F339" s="8">
        <v>175.63231999999985</v>
      </c>
      <c r="G339" s="7" t="s">
        <v>143</v>
      </c>
      <c r="H339" s="7" t="s">
        <v>141</v>
      </c>
      <c r="I339" s="9">
        <v>551.71</v>
      </c>
      <c r="J339" s="10">
        <f t="shared" si="16"/>
        <v>175924.28000000003</v>
      </c>
      <c r="K339" s="6">
        <f t="shared" si="17"/>
        <v>32752.569999999861</v>
      </c>
      <c r="L339" s="31"/>
    </row>
    <row r="340" spans="1:12" x14ac:dyDescent="0.25">
      <c r="A340" s="5" t="s">
        <v>186</v>
      </c>
      <c r="B340" s="42">
        <f t="shared" si="15"/>
        <v>176.47599000000002</v>
      </c>
      <c r="C340" s="7" t="s">
        <v>250</v>
      </c>
      <c r="D340" s="7" t="s">
        <v>249</v>
      </c>
      <c r="E340" s="7" t="s">
        <v>826</v>
      </c>
      <c r="F340" s="8">
        <v>176.17652999999984</v>
      </c>
      <c r="G340" s="7" t="s">
        <v>141</v>
      </c>
      <c r="H340" s="7" t="s">
        <v>139</v>
      </c>
      <c r="I340" s="9">
        <v>417.34</v>
      </c>
      <c r="J340" s="10">
        <f t="shared" si="16"/>
        <v>176475.99000000002</v>
      </c>
      <c r="K340" s="6">
        <f t="shared" si="17"/>
        <v>32200.859999999862</v>
      </c>
      <c r="L340" s="31"/>
    </row>
    <row r="341" spans="1:12" x14ac:dyDescent="0.25">
      <c r="A341" s="5" t="s">
        <v>186</v>
      </c>
      <c r="B341" s="42">
        <f t="shared" si="15"/>
        <v>176.89333000000002</v>
      </c>
      <c r="C341" s="7" t="s">
        <v>249</v>
      </c>
      <c r="D341" s="7" t="s">
        <v>248</v>
      </c>
      <c r="E341" s="7" t="s">
        <v>826</v>
      </c>
      <c r="F341" s="8">
        <v>176.80554999999984</v>
      </c>
      <c r="G341" s="7" t="s">
        <v>139</v>
      </c>
      <c r="H341" s="7" t="s">
        <v>137</v>
      </c>
      <c r="I341" s="9">
        <v>568.49</v>
      </c>
      <c r="J341" s="10">
        <f t="shared" si="16"/>
        <v>176893.33000000002</v>
      </c>
      <c r="K341" s="6">
        <f t="shared" si="17"/>
        <v>31783.519999999862</v>
      </c>
      <c r="L341" s="31"/>
    </row>
    <row r="342" spans="1:12" x14ac:dyDescent="0.25">
      <c r="A342" s="5" t="s">
        <v>186</v>
      </c>
      <c r="B342" s="42">
        <f t="shared" si="15"/>
        <v>177.46182000000002</v>
      </c>
      <c r="C342" s="7" t="s">
        <v>248</v>
      </c>
      <c r="D342" s="7" t="s">
        <v>247</v>
      </c>
      <c r="E342" s="7" t="s">
        <v>826</v>
      </c>
      <c r="F342" s="8">
        <v>177.28243999999987</v>
      </c>
      <c r="G342" s="7" t="s">
        <v>137</v>
      </c>
      <c r="H342" s="7" t="s">
        <v>135</v>
      </c>
      <c r="I342" s="9">
        <v>586.49</v>
      </c>
      <c r="J342" s="10">
        <f t="shared" si="16"/>
        <v>177461.82</v>
      </c>
      <c r="K342" s="6">
        <f t="shared" si="17"/>
        <v>31215.029999999861</v>
      </c>
      <c r="L342" s="31"/>
    </row>
    <row r="343" spans="1:12" x14ac:dyDescent="0.25">
      <c r="A343" s="5" t="s">
        <v>186</v>
      </c>
      <c r="B343" s="42">
        <f t="shared" si="15"/>
        <v>178.04830999999999</v>
      </c>
      <c r="C343" s="7" t="s">
        <v>247</v>
      </c>
      <c r="D343" s="7" t="s">
        <v>246</v>
      </c>
      <c r="E343" s="7" t="s">
        <v>826</v>
      </c>
      <c r="F343" s="8">
        <v>177.77968999999985</v>
      </c>
      <c r="G343" s="7" t="s">
        <v>135</v>
      </c>
      <c r="H343" s="7" t="s">
        <v>133</v>
      </c>
      <c r="I343" s="9">
        <v>528.19000000000005</v>
      </c>
      <c r="J343" s="10">
        <f t="shared" si="16"/>
        <v>178048.31</v>
      </c>
      <c r="K343" s="6">
        <f t="shared" si="17"/>
        <v>30628.539999999859</v>
      </c>
      <c r="L343" s="31"/>
    </row>
    <row r="344" spans="1:12" x14ac:dyDescent="0.25">
      <c r="A344" s="5" t="s">
        <v>186</v>
      </c>
      <c r="B344" s="42">
        <f t="shared" si="15"/>
        <v>178.57650000000001</v>
      </c>
      <c r="C344" s="7" t="s">
        <v>246</v>
      </c>
      <c r="D344" s="7" t="s">
        <v>245</v>
      </c>
      <c r="E344" s="7" t="s">
        <v>826</v>
      </c>
      <c r="F344" s="8">
        <v>178.40217999999984</v>
      </c>
      <c r="G344" s="7" t="s">
        <v>133</v>
      </c>
      <c r="H344" s="7" t="s">
        <v>131</v>
      </c>
      <c r="I344" s="9">
        <v>428.36</v>
      </c>
      <c r="J344" s="10">
        <f t="shared" si="16"/>
        <v>178576.5</v>
      </c>
      <c r="K344" s="6">
        <f t="shared" si="17"/>
        <v>30100.34999999986</v>
      </c>
      <c r="L344" s="31"/>
    </row>
    <row r="345" spans="1:12" x14ac:dyDescent="0.25">
      <c r="A345" s="5" t="s">
        <v>186</v>
      </c>
      <c r="B345" s="42">
        <f t="shared" si="15"/>
        <v>179.00485999999998</v>
      </c>
      <c r="C345" s="7" t="s">
        <v>245</v>
      </c>
      <c r="D345" s="7" t="s">
        <v>244</v>
      </c>
      <c r="E345" s="7" t="s">
        <v>826</v>
      </c>
      <c r="F345" s="8">
        <v>178.95325999999983</v>
      </c>
      <c r="G345" s="7" t="s">
        <v>131</v>
      </c>
      <c r="H345" s="7" t="s">
        <v>129</v>
      </c>
      <c r="I345" s="9">
        <v>479.36</v>
      </c>
      <c r="J345" s="10">
        <f t="shared" si="16"/>
        <v>179004.86</v>
      </c>
      <c r="K345" s="6">
        <f t="shared" si="17"/>
        <v>29671.98999999986</v>
      </c>
      <c r="L345" s="31"/>
    </row>
    <row r="346" spans="1:12" x14ac:dyDescent="0.25">
      <c r="A346" s="5" t="s">
        <v>186</v>
      </c>
      <c r="B346" s="42">
        <f t="shared" si="15"/>
        <v>179.48421999999997</v>
      </c>
      <c r="C346" s="7" t="s">
        <v>244</v>
      </c>
      <c r="D346" s="7" t="s">
        <v>243</v>
      </c>
      <c r="E346" s="7" t="s">
        <v>826</v>
      </c>
      <c r="F346" s="8">
        <v>179.37608999999983</v>
      </c>
      <c r="G346" s="7" t="s">
        <v>129</v>
      </c>
      <c r="H346" s="7" t="s">
        <v>127</v>
      </c>
      <c r="I346" s="9">
        <v>438.35</v>
      </c>
      <c r="J346" s="10">
        <f t="shared" si="16"/>
        <v>179484.21999999997</v>
      </c>
      <c r="K346" s="6">
        <f t="shared" si="17"/>
        <v>29192.629999999859</v>
      </c>
      <c r="L346" s="31"/>
    </row>
    <row r="347" spans="1:12" x14ac:dyDescent="0.25">
      <c r="A347" s="5" t="s">
        <v>186</v>
      </c>
      <c r="B347" s="42">
        <f t="shared" si="15"/>
        <v>179.92256999999998</v>
      </c>
      <c r="C347" s="7" t="s">
        <v>243</v>
      </c>
      <c r="D347" s="7" t="s">
        <v>242</v>
      </c>
      <c r="E347" s="7" t="s">
        <v>826</v>
      </c>
      <c r="F347" s="8">
        <v>179.79565999999983</v>
      </c>
      <c r="G347" s="7" t="s">
        <v>127</v>
      </c>
      <c r="H347" s="7" t="s">
        <v>125</v>
      </c>
      <c r="I347" s="9">
        <v>539.92999999999995</v>
      </c>
      <c r="J347" s="10">
        <f t="shared" si="16"/>
        <v>179922.56999999998</v>
      </c>
      <c r="K347" s="6">
        <f t="shared" si="17"/>
        <v>28754.279999999861</v>
      </c>
      <c r="L347" s="31"/>
    </row>
    <row r="348" spans="1:12" x14ac:dyDescent="0.25">
      <c r="A348" s="5" t="s">
        <v>186</v>
      </c>
      <c r="B348" s="42">
        <f t="shared" si="15"/>
        <v>180.46249999999998</v>
      </c>
      <c r="C348" s="7" t="s">
        <v>242</v>
      </c>
      <c r="D348" s="7" t="s">
        <v>241</v>
      </c>
      <c r="E348" s="7" t="s">
        <v>826</v>
      </c>
      <c r="F348" s="8">
        <v>180.31229999999985</v>
      </c>
      <c r="G348" s="7" t="s">
        <v>125</v>
      </c>
      <c r="H348" s="7" t="s">
        <v>123</v>
      </c>
      <c r="I348" s="9">
        <v>519.30999999999995</v>
      </c>
      <c r="J348" s="10">
        <f t="shared" si="16"/>
        <v>180462.49999999997</v>
      </c>
      <c r="K348" s="6">
        <f t="shared" si="17"/>
        <v>28214.34999999986</v>
      </c>
      <c r="L348" s="31"/>
    </row>
    <row r="349" spans="1:12" x14ac:dyDescent="0.25">
      <c r="A349" s="5" t="s">
        <v>186</v>
      </c>
      <c r="B349" s="42">
        <f t="shared" si="15"/>
        <v>180.98180999999997</v>
      </c>
      <c r="C349" s="7" t="s">
        <v>241</v>
      </c>
      <c r="D349" s="7" t="s">
        <v>240</v>
      </c>
      <c r="E349" s="7" t="s">
        <v>826</v>
      </c>
      <c r="F349" s="8">
        <v>180.94619999999983</v>
      </c>
      <c r="G349" s="7" t="s">
        <v>123</v>
      </c>
      <c r="H349" s="7" t="s">
        <v>121</v>
      </c>
      <c r="I349" s="9">
        <v>428.2</v>
      </c>
      <c r="J349" s="10">
        <f t="shared" si="16"/>
        <v>180981.80999999997</v>
      </c>
      <c r="K349" s="6">
        <f t="shared" si="17"/>
        <v>27695.039999999859</v>
      </c>
      <c r="L349" s="31"/>
    </row>
    <row r="350" spans="1:12" x14ac:dyDescent="0.25">
      <c r="A350" s="5" t="s">
        <v>186</v>
      </c>
      <c r="B350" s="42">
        <f t="shared" si="15"/>
        <v>181.41000999999997</v>
      </c>
      <c r="C350" s="7" t="s">
        <v>240</v>
      </c>
      <c r="D350" s="7" t="s">
        <v>239</v>
      </c>
      <c r="E350" s="7" t="s">
        <v>826</v>
      </c>
      <c r="F350" s="8">
        <v>181.48495999999986</v>
      </c>
      <c r="G350" s="7" t="s">
        <v>121</v>
      </c>
      <c r="H350" s="7" t="s">
        <v>119</v>
      </c>
      <c r="I350" s="9">
        <v>490.9</v>
      </c>
      <c r="J350" s="10">
        <f t="shared" si="16"/>
        <v>181410.00999999998</v>
      </c>
      <c r="K350" s="6">
        <f t="shared" si="17"/>
        <v>27266.839999999858</v>
      </c>
      <c r="L350" s="31"/>
    </row>
    <row r="351" spans="1:12" x14ac:dyDescent="0.25">
      <c r="A351" s="5" t="s">
        <v>186</v>
      </c>
      <c r="B351" s="42">
        <f t="shared" si="15"/>
        <v>181.90090999999998</v>
      </c>
      <c r="C351" s="7" t="s">
        <v>239</v>
      </c>
      <c r="D351" s="7" t="s">
        <v>238</v>
      </c>
      <c r="E351" s="7" t="s">
        <v>826</v>
      </c>
      <c r="F351" s="8">
        <v>181.98388999999983</v>
      </c>
      <c r="G351" s="7" t="s">
        <v>119</v>
      </c>
      <c r="H351" s="7" t="s">
        <v>19</v>
      </c>
      <c r="I351" s="9">
        <v>452.17</v>
      </c>
      <c r="J351" s="10">
        <f t="shared" si="16"/>
        <v>181900.90999999997</v>
      </c>
      <c r="K351" s="6">
        <f t="shared" si="17"/>
        <v>26775.939999999857</v>
      </c>
      <c r="L351" s="31"/>
    </row>
    <row r="352" spans="1:12" x14ac:dyDescent="0.25">
      <c r="A352" s="5" t="s">
        <v>186</v>
      </c>
      <c r="B352" s="42">
        <f t="shared" si="15"/>
        <v>182.35307999999998</v>
      </c>
      <c r="C352" s="7" t="s">
        <v>238</v>
      </c>
      <c r="D352" s="7" t="s">
        <v>237</v>
      </c>
      <c r="E352" s="7" t="s">
        <v>826</v>
      </c>
      <c r="F352" s="8">
        <v>182.54824999999983</v>
      </c>
      <c r="G352" s="7" t="s">
        <v>19</v>
      </c>
      <c r="H352" s="7" t="s">
        <v>18</v>
      </c>
      <c r="I352" s="9">
        <v>533.63</v>
      </c>
      <c r="J352" s="10">
        <f t="shared" si="16"/>
        <v>182353.08</v>
      </c>
      <c r="K352" s="6">
        <f t="shared" si="17"/>
        <v>26323.769999999859</v>
      </c>
      <c r="L352" s="31"/>
    </row>
    <row r="353" spans="1:12" x14ac:dyDescent="0.25">
      <c r="A353" s="5" t="s">
        <v>186</v>
      </c>
      <c r="B353" s="42">
        <f t="shared" si="15"/>
        <v>182.88670999999999</v>
      </c>
      <c r="C353" s="7" t="s">
        <v>237</v>
      </c>
      <c r="D353" s="7" t="s">
        <v>236</v>
      </c>
      <c r="E353" s="7" t="s">
        <v>826</v>
      </c>
      <c r="F353" s="8">
        <v>183.15536999999983</v>
      </c>
      <c r="G353" s="7" t="s">
        <v>18</v>
      </c>
      <c r="H353" s="7" t="s">
        <v>115</v>
      </c>
      <c r="I353" s="9">
        <v>649.75</v>
      </c>
      <c r="J353" s="10">
        <f t="shared" si="16"/>
        <v>182886.71</v>
      </c>
      <c r="K353" s="6">
        <f t="shared" si="17"/>
        <v>25790.139999999858</v>
      </c>
      <c r="L353" s="31"/>
    </row>
    <row r="354" spans="1:12" x14ac:dyDescent="0.25">
      <c r="A354" s="5" t="s">
        <v>186</v>
      </c>
      <c r="B354" s="42">
        <f t="shared" si="15"/>
        <v>183.53646000000001</v>
      </c>
      <c r="C354" s="7" t="s">
        <v>236</v>
      </c>
      <c r="D354" s="7" t="s">
        <v>235</v>
      </c>
      <c r="E354" s="7" t="s">
        <v>826</v>
      </c>
      <c r="F354" s="8">
        <v>183.63759999999982</v>
      </c>
      <c r="G354" s="7" t="s">
        <v>115</v>
      </c>
      <c r="H354" s="7" t="s">
        <v>113</v>
      </c>
      <c r="I354" s="9">
        <v>491.62</v>
      </c>
      <c r="J354" s="10">
        <f t="shared" si="16"/>
        <v>183536.46</v>
      </c>
      <c r="K354" s="6">
        <f t="shared" si="17"/>
        <v>25140.389999999858</v>
      </c>
      <c r="L354" s="31"/>
    </row>
    <row r="355" spans="1:12" x14ac:dyDescent="0.25">
      <c r="A355" s="5" t="s">
        <v>186</v>
      </c>
      <c r="B355" s="42">
        <f t="shared" si="15"/>
        <v>184.02807999999999</v>
      </c>
      <c r="C355" s="7" t="s">
        <v>235</v>
      </c>
      <c r="D355" s="7" t="s">
        <v>234</v>
      </c>
      <c r="E355" s="7" t="s">
        <v>826</v>
      </c>
      <c r="F355" s="8">
        <v>184.13172999999983</v>
      </c>
      <c r="G355" s="7" t="s">
        <v>113</v>
      </c>
      <c r="H355" s="7" t="s">
        <v>111</v>
      </c>
      <c r="I355" s="9">
        <v>555.92999999999995</v>
      </c>
      <c r="J355" s="10">
        <f t="shared" si="16"/>
        <v>184028.08</v>
      </c>
      <c r="K355" s="6">
        <f t="shared" si="17"/>
        <v>24648.769999999859</v>
      </c>
      <c r="L355" s="31"/>
    </row>
    <row r="356" spans="1:12" x14ac:dyDescent="0.25">
      <c r="A356" s="5" t="s">
        <v>186</v>
      </c>
      <c r="B356" s="42">
        <f t="shared" si="15"/>
        <v>184.58400999999998</v>
      </c>
      <c r="C356" s="7" t="s">
        <v>234</v>
      </c>
      <c r="D356" s="7" t="s">
        <v>233</v>
      </c>
      <c r="E356" s="7" t="s">
        <v>826</v>
      </c>
      <c r="F356" s="8">
        <v>184.61701999999985</v>
      </c>
      <c r="G356" s="7" t="s">
        <v>111</v>
      </c>
      <c r="H356" s="7" t="s">
        <v>109</v>
      </c>
      <c r="I356" s="9">
        <v>581.75</v>
      </c>
      <c r="J356" s="10">
        <f t="shared" si="16"/>
        <v>184584.00999999998</v>
      </c>
      <c r="K356" s="6">
        <f t="shared" si="17"/>
        <v>24092.839999999858</v>
      </c>
      <c r="L356" s="31"/>
    </row>
    <row r="357" spans="1:12" x14ac:dyDescent="0.25">
      <c r="A357" s="5" t="s">
        <v>186</v>
      </c>
      <c r="B357" s="42">
        <f t="shared" si="15"/>
        <v>185.16575999999998</v>
      </c>
      <c r="C357" s="7" t="s">
        <v>233</v>
      </c>
      <c r="D357" s="7" t="s">
        <v>232</v>
      </c>
      <c r="E357" s="7" t="s">
        <v>826</v>
      </c>
      <c r="F357" s="8">
        <v>185.14165999999986</v>
      </c>
      <c r="G357" s="7" t="s">
        <v>109</v>
      </c>
      <c r="H357" s="7" t="s">
        <v>107</v>
      </c>
      <c r="I357" s="9">
        <v>668.55</v>
      </c>
      <c r="J357" s="10">
        <f t="shared" si="16"/>
        <v>185165.75999999998</v>
      </c>
      <c r="K357" s="6">
        <f t="shared" si="17"/>
        <v>23511.089999999858</v>
      </c>
      <c r="L357" s="31"/>
    </row>
    <row r="358" spans="1:12" x14ac:dyDescent="0.25">
      <c r="A358" s="5" t="s">
        <v>186</v>
      </c>
      <c r="B358" s="42">
        <f t="shared" si="15"/>
        <v>185.83430999999996</v>
      </c>
      <c r="C358" s="7" t="s">
        <v>232</v>
      </c>
      <c r="D358" s="7" t="s">
        <v>231</v>
      </c>
      <c r="E358" s="7" t="s">
        <v>826</v>
      </c>
      <c r="F358" s="8">
        <v>185.78874999999985</v>
      </c>
      <c r="G358" s="7" t="s">
        <v>107</v>
      </c>
      <c r="H358" s="7" t="s">
        <v>105</v>
      </c>
      <c r="I358" s="9">
        <v>404.78</v>
      </c>
      <c r="J358" s="10">
        <f t="shared" si="16"/>
        <v>185834.30999999997</v>
      </c>
      <c r="K358" s="6">
        <f t="shared" si="17"/>
        <v>22842.539999999859</v>
      </c>
      <c r="L358" s="31"/>
    </row>
    <row r="359" spans="1:12" x14ac:dyDescent="0.25">
      <c r="A359" s="5" t="s">
        <v>186</v>
      </c>
      <c r="B359" s="42">
        <f t="shared" si="15"/>
        <v>186.23908999999998</v>
      </c>
      <c r="C359" s="7" t="s">
        <v>231</v>
      </c>
      <c r="D359" s="7" t="s">
        <v>230</v>
      </c>
      <c r="E359" s="7" t="s">
        <v>826</v>
      </c>
      <c r="F359" s="8">
        <v>186.27877999999984</v>
      </c>
      <c r="G359" s="7" t="s">
        <v>105</v>
      </c>
      <c r="H359" s="7" t="s">
        <v>103</v>
      </c>
      <c r="I359" s="9">
        <v>515.71</v>
      </c>
      <c r="J359" s="10">
        <f t="shared" si="16"/>
        <v>186239.08999999997</v>
      </c>
      <c r="K359" s="6">
        <f t="shared" si="17"/>
        <v>22437.75999999986</v>
      </c>
      <c r="L359" s="31"/>
    </row>
    <row r="360" spans="1:12" x14ac:dyDescent="0.25">
      <c r="A360" s="5" t="s">
        <v>186</v>
      </c>
      <c r="B360" s="42">
        <f t="shared" si="15"/>
        <v>186.75479999999996</v>
      </c>
      <c r="C360" s="7" t="s">
        <v>230</v>
      </c>
      <c r="D360" s="7" t="s">
        <v>229</v>
      </c>
      <c r="E360" s="7" t="s">
        <v>826</v>
      </c>
      <c r="F360" s="8">
        <v>186.84982999999986</v>
      </c>
      <c r="G360" s="7" t="s">
        <v>103</v>
      </c>
      <c r="H360" s="7" t="s">
        <v>101</v>
      </c>
      <c r="I360" s="9">
        <v>351.63</v>
      </c>
      <c r="J360" s="10">
        <f t="shared" si="16"/>
        <v>186754.79999999996</v>
      </c>
      <c r="K360" s="6">
        <f t="shared" si="17"/>
        <v>21922.049999999861</v>
      </c>
      <c r="L360" s="31"/>
    </row>
    <row r="361" spans="1:12" x14ac:dyDescent="0.25">
      <c r="A361" s="5" t="s">
        <v>186</v>
      </c>
      <c r="B361" s="42">
        <f t="shared" si="15"/>
        <v>187.10642999999996</v>
      </c>
      <c r="C361" s="7" t="s">
        <v>229</v>
      </c>
      <c r="D361" s="7" t="s">
        <v>228</v>
      </c>
      <c r="E361" s="7" t="s">
        <v>826</v>
      </c>
      <c r="F361" s="8">
        <v>187.37918999999982</v>
      </c>
      <c r="G361" s="7" t="s">
        <v>101</v>
      </c>
      <c r="H361" s="7" t="s">
        <v>99</v>
      </c>
      <c r="I361" s="9">
        <v>471.45</v>
      </c>
      <c r="J361" s="10">
        <f t="shared" si="16"/>
        <v>187106.42999999996</v>
      </c>
      <c r="K361" s="6">
        <f t="shared" si="17"/>
        <v>21570.41999999986</v>
      </c>
      <c r="L361" s="31"/>
    </row>
    <row r="362" spans="1:12" x14ac:dyDescent="0.25">
      <c r="A362" s="5" t="s">
        <v>186</v>
      </c>
      <c r="B362" s="42">
        <f t="shared" si="15"/>
        <v>187.57787999999996</v>
      </c>
      <c r="C362" s="7" t="s">
        <v>228</v>
      </c>
      <c r="D362" s="7" t="s">
        <v>227</v>
      </c>
      <c r="E362" s="7" t="s">
        <v>826</v>
      </c>
      <c r="F362" s="8">
        <v>187.82981999999984</v>
      </c>
      <c r="G362" s="7" t="s">
        <v>99</v>
      </c>
      <c r="H362" s="7" t="s">
        <v>97</v>
      </c>
      <c r="I362" s="9">
        <v>531.6</v>
      </c>
      <c r="J362" s="10">
        <f t="shared" si="16"/>
        <v>187577.87999999998</v>
      </c>
      <c r="K362" s="6">
        <f t="shared" si="17"/>
        <v>21098.969999999859</v>
      </c>
      <c r="L362" s="31"/>
    </row>
    <row r="363" spans="1:12" x14ac:dyDescent="0.25">
      <c r="A363" s="5" t="s">
        <v>186</v>
      </c>
      <c r="B363" s="42">
        <f t="shared" si="15"/>
        <v>188.10947999999999</v>
      </c>
      <c r="C363" s="7" t="s">
        <v>227</v>
      </c>
      <c r="D363" s="7" t="s">
        <v>226</v>
      </c>
      <c r="E363" s="7" t="s">
        <v>826</v>
      </c>
      <c r="F363" s="8">
        <v>188.19864999999982</v>
      </c>
      <c r="G363" s="7" t="s">
        <v>97</v>
      </c>
      <c r="H363" s="7" t="s">
        <v>95</v>
      </c>
      <c r="I363" s="9">
        <v>639.29999999999995</v>
      </c>
      <c r="J363" s="10">
        <f t="shared" si="16"/>
        <v>188109.47999999998</v>
      </c>
      <c r="K363" s="6">
        <f t="shared" si="17"/>
        <v>20567.369999999861</v>
      </c>
      <c r="L363" s="31"/>
    </row>
    <row r="364" spans="1:12" x14ac:dyDescent="0.25">
      <c r="A364" s="5" t="s">
        <v>186</v>
      </c>
      <c r="B364" s="42">
        <f t="shared" si="15"/>
        <v>188.74877999999998</v>
      </c>
      <c r="C364" s="7" t="s">
        <v>226</v>
      </c>
      <c r="D364" s="7" t="s">
        <v>225</v>
      </c>
      <c r="E364" s="7" t="s">
        <v>826</v>
      </c>
      <c r="F364" s="8">
        <v>188.62183999999982</v>
      </c>
      <c r="G364" s="7" t="s">
        <v>95</v>
      </c>
      <c r="H364" s="7" t="s">
        <v>93</v>
      </c>
      <c r="I364" s="9">
        <v>418.78</v>
      </c>
      <c r="J364" s="10">
        <f t="shared" si="16"/>
        <v>188748.77999999997</v>
      </c>
      <c r="K364" s="6">
        <f t="shared" si="17"/>
        <v>19928.069999999861</v>
      </c>
      <c r="L364" s="31"/>
    </row>
    <row r="365" spans="1:12" x14ac:dyDescent="0.25">
      <c r="A365" s="5" t="s">
        <v>186</v>
      </c>
      <c r="B365" s="42">
        <f t="shared" si="15"/>
        <v>189.16755999999998</v>
      </c>
      <c r="C365" s="7" t="s">
        <v>225</v>
      </c>
      <c r="D365" s="7" t="s">
        <v>224</v>
      </c>
      <c r="E365" s="7" t="s">
        <v>826</v>
      </c>
      <c r="F365" s="8">
        <v>189.10701999999981</v>
      </c>
      <c r="G365" s="7" t="s">
        <v>93</v>
      </c>
      <c r="H365" s="7" t="s">
        <v>91</v>
      </c>
      <c r="I365" s="9">
        <v>560.17999999999995</v>
      </c>
      <c r="J365" s="10">
        <f t="shared" si="16"/>
        <v>189167.55999999997</v>
      </c>
      <c r="K365" s="6">
        <f t="shared" si="17"/>
        <v>19509.289999999863</v>
      </c>
      <c r="L365" s="31"/>
    </row>
    <row r="366" spans="1:12" x14ac:dyDescent="0.25">
      <c r="A366" s="5" t="s">
        <v>186</v>
      </c>
      <c r="B366" s="42">
        <f t="shared" si="15"/>
        <v>189.72773999999995</v>
      </c>
      <c r="C366" s="7" t="s">
        <v>224</v>
      </c>
      <c r="D366" s="7" t="s">
        <v>223</v>
      </c>
      <c r="E366" s="7" t="s">
        <v>826</v>
      </c>
      <c r="F366" s="8">
        <v>189.46023999999983</v>
      </c>
      <c r="G366" s="7" t="s">
        <v>91</v>
      </c>
      <c r="H366" s="7" t="s">
        <v>89</v>
      </c>
      <c r="I366" s="9">
        <v>549.84</v>
      </c>
      <c r="J366" s="10">
        <f t="shared" si="16"/>
        <v>189727.73999999996</v>
      </c>
      <c r="K366" s="6">
        <f t="shared" si="17"/>
        <v>18949.109999999862</v>
      </c>
      <c r="L366" s="31"/>
    </row>
    <row r="367" spans="1:12" x14ac:dyDescent="0.25">
      <c r="A367" s="5" t="s">
        <v>186</v>
      </c>
      <c r="B367" s="42">
        <f t="shared" si="15"/>
        <v>190.27757999999997</v>
      </c>
      <c r="C367" s="7" t="s">
        <v>223</v>
      </c>
      <c r="D367" s="7" t="s">
        <v>222</v>
      </c>
      <c r="E367" s="7" t="s">
        <v>826</v>
      </c>
      <c r="F367" s="8">
        <v>189.92248999999981</v>
      </c>
      <c r="G367" s="7" t="s">
        <v>89</v>
      </c>
      <c r="H367" s="7" t="s">
        <v>87</v>
      </c>
      <c r="I367" s="9">
        <v>547.95000000000005</v>
      </c>
      <c r="J367" s="10">
        <f t="shared" si="16"/>
        <v>190277.57999999996</v>
      </c>
      <c r="K367" s="6">
        <f t="shared" si="17"/>
        <v>18399.269999999862</v>
      </c>
      <c r="L367" s="31"/>
    </row>
    <row r="368" spans="1:12" x14ac:dyDescent="0.25">
      <c r="A368" s="5" t="s">
        <v>186</v>
      </c>
      <c r="B368" s="42">
        <f t="shared" si="15"/>
        <v>190.82552999999996</v>
      </c>
      <c r="C368" s="7" t="s">
        <v>222</v>
      </c>
      <c r="D368" s="7" t="s">
        <v>221</v>
      </c>
      <c r="E368" s="7" t="s">
        <v>826</v>
      </c>
      <c r="F368" s="8">
        <v>190.50418999999982</v>
      </c>
      <c r="G368" s="7" t="s">
        <v>87</v>
      </c>
      <c r="H368" s="7" t="s">
        <v>85</v>
      </c>
      <c r="I368" s="9">
        <v>591.29</v>
      </c>
      <c r="J368" s="10">
        <f t="shared" si="16"/>
        <v>190825.52999999997</v>
      </c>
      <c r="K368" s="6">
        <f t="shared" si="17"/>
        <v>17851.319999999861</v>
      </c>
      <c r="L368" s="31"/>
    </row>
    <row r="369" spans="1:12" x14ac:dyDescent="0.25">
      <c r="A369" s="5" t="s">
        <v>186</v>
      </c>
      <c r="B369" s="42">
        <f t="shared" si="15"/>
        <v>191.41681999999997</v>
      </c>
      <c r="C369" s="7" t="s">
        <v>221</v>
      </c>
      <c r="D369" s="7" t="s">
        <v>220</v>
      </c>
      <c r="E369" s="7" t="s">
        <v>826</v>
      </c>
      <c r="F369" s="8">
        <v>191.08800999999983</v>
      </c>
      <c r="G369" s="7" t="s">
        <v>85</v>
      </c>
      <c r="H369" s="7" t="s">
        <v>83</v>
      </c>
      <c r="I369" s="9">
        <v>577.63</v>
      </c>
      <c r="J369" s="10">
        <f t="shared" si="16"/>
        <v>191416.81999999998</v>
      </c>
      <c r="K369" s="6">
        <f t="shared" si="17"/>
        <v>17260.029999999861</v>
      </c>
      <c r="L369" s="31"/>
    </row>
    <row r="370" spans="1:12" x14ac:dyDescent="0.25">
      <c r="A370" s="5" t="s">
        <v>186</v>
      </c>
      <c r="B370" s="42">
        <f t="shared" si="15"/>
        <v>191.99444999999997</v>
      </c>
      <c r="C370" s="7" t="s">
        <v>220</v>
      </c>
      <c r="D370" s="7" t="s">
        <v>219</v>
      </c>
      <c r="E370" s="7" t="s">
        <v>826</v>
      </c>
      <c r="F370" s="8">
        <v>191.54439999999985</v>
      </c>
      <c r="G370" s="7" t="s">
        <v>83</v>
      </c>
      <c r="H370" s="7" t="s">
        <v>81</v>
      </c>
      <c r="I370" s="9">
        <v>519.57000000000005</v>
      </c>
      <c r="J370" s="10">
        <f t="shared" si="16"/>
        <v>191994.44999999998</v>
      </c>
      <c r="K370" s="6">
        <f t="shared" si="17"/>
        <v>16682.39999999986</v>
      </c>
      <c r="L370" s="31"/>
    </row>
    <row r="371" spans="1:12" x14ac:dyDescent="0.25">
      <c r="A371" s="5" t="s">
        <v>186</v>
      </c>
      <c r="B371" s="42">
        <f t="shared" si="15"/>
        <v>192.51401999999999</v>
      </c>
      <c r="C371" s="7" t="s">
        <v>219</v>
      </c>
      <c r="D371" s="7" t="s">
        <v>218</v>
      </c>
      <c r="E371" s="7" t="s">
        <v>826</v>
      </c>
      <c r="F371" s="8">
        <v>192.07330999999985</v>
      </c>
      <c r="G371" s="7" t="s">
        <v>81</v>
      </c>
      <c r="H371" s="7" t="s">
        <v>79</v>
      </c>
      <c r="I371" s="9">
        <v>459.1</v>
      </c>
      <c r="J371" s="10">
        <f t="shared" si="16"/>
        <v>192514.02</v>
      </c>
      <c r="K371" s="6">
        <f t="shared" si="17"/>
        <v>16162.82999999986</v>
      </c>
      <c r="L371" s="31"/>
    </row>
    <row r="372" spans="1:12" x14ac:dyDescent="0.25">
      <c r="A372" s="5" t="s">
        <v>186</v>
      </c>
      <c r="B372" s="42">
        <f t="shared" si="15"/>
        <v>192.97311999999999</v>
      </c>
      <c r="C372" s="7" t="s">
        <v>218</v>
      </c>
      <c r="D372" s="7" t="s">
        <v>217</v>
      </c>
      <c r="E372" s="7" t="s">
        <v>826</v>
      </c>
      <c r="F372" s="8">
        <v>192.62992999999986</v>
      </c>
      <c r="G372" s="7" t="s">
        <v>79</v>
      </c>
      <c r="H372" s="7" t="s">
        <v>77</v>
      </c>
      <c r="I372" s="9">
        <v>499.4</v>
      </c>
      <c r="J372" s="10">
        <f t="shared" si="16"/>
        <v>192973.12</v>
      </c>
      <c r="K372" s="6">
        <f t="shared" si="17"/>
        <v>15703.72999999986</v>
      </c>
      <c r="L372" s="31"/>
    </row>
    <row r="373" spans="1:12" x14ac:dyDescent="0.25">
      <c r="A373" s="5" t="s">
        <v>186</v>
      </c>
      <c r="B373" s="42">
        <f t="shared" si="15"/>
        <v>193.47252</v>
      </c>
      <c r="C373" s="7" t="s">
        <v>217</v>
      </c>
      <c r="D373" s="7" t="s">
        <v>216</v>
      </c>
      <c r="E373" s="7" t="s">
        <v>826</v>
      </c>
      <c r="F373" s="8">
        <v>193.17471999999987</v>
      </c>
      <c r="G373" s="7" t="s">
        <v>77</v>
      </c>
      <c r="H373" s="7" t="s">
        <v>75</v>
      </c>
      <c r="I373" s="9">
        <v>451.9</v>
      </c>
      <c r="J373" s="10">
        <f t="shared" si="16"/>
        <v>193472.52</v>
      </c>
      <c r="K373" s="6">
        <f t="shared" si="17"/>
        <v>15204.32999999986</v>
      </c>
      <c r="L373" s="31"/>
    </row>
    <row r="374" spans="1:12" x14ac:dyDescent="0.25">
      <c r="A374" s="5" t="s">
        <v>186</v>
      </c>
      <c r="B374" s="42">
        <f t="shared" si="15"/>
        <v>193.92442</v>
      </c>
      <c r="C374" s="7" t="s">
        <v>216</v>
      </c>
      <c r="D374" s="7" t="s">
        <v>215</v>
      </c>
      <c r="E374" s="7" t="s">
        <v>826</v>
      </c>
      <c r="F374" s="8">
        <v>193.66087999999985</v>
      </c>
      <c r="G374" s="7" t="s">
        <v>75</v>
      </c>
      <c r="H374" s="7" t="s">
        <v>73</v>
      </c>
      <c r="I374" s="9">
        <v>492.17</v>
      </c>
      <c r="J374" s="10">
        <f t="shared" si="16"/>
        <v>193924.41999999998</v>
      </c>
      <c r="K374" s="6">
        <f t="shared" si="17"/>
        <v>14752.42999999986</v>
      </c>
      <c r="L374" s="31"/>
    </row>
    <row r="375" spans="1:12" x14ac:dyDescent="0.25">
      <c r="A375" s="5" t="s">
        <v>186</v>
      </c>
      <c r="B375" s="42">
        <f t="shared" si="15"/>
        <v>194.41658999999999</v>
      </c>
      <c r="C375" s="7" t="s">
        <v>215</v>
      </c>
      <c r="D375" s="7" t="s">
        <v>214</v>
      </c>
      <c r="E375" s="7" t="s">
        <v>826</v>
      </c>
      <c r="F375" s="8">
        <v>194.12013999999988</v>
      </c>
      <c r="G375" s="7" t="s">
        <v>73</v>
      </c>
      <c r="H375" s="7" t="s">
        <v>71</v>
      </c>
      <c r="I375" s="9">
        <v>575.58000000000004</v>
      </c>
      <c r="J375" s="10">
        <f t="shared" si="16"/>
        <v>194416.59</v>
      </c>
      <c r="K375" s="6">
        <f t="shared" si="17"/>
        <v>14260.25999999986</v>
      </c>
      <c r="L375" s="31"/>
    </row>
    <row r="376" spans="1:12" x14ac:dyDescent="0.25">
      <c r="A376" s="5" t="s">
        <v>186</v>
      </c>
      <c r="B376" s="42">
        <f t="shared" si="15"/>
        <v>194.99216999999999</v>
      </c>
      <c r="C376" s="7" t="s">
        <v>214</v>
      </c>
      <c r="D376" s="7" t="s">
        <v>213</v>
      </c>
      <c r="E376" s="7" t="s">
        <v>826</v>
      </c>
      <c r="F376" s="8">
        <v>194.76293999999984</v>
      </c>
      <c r="G376" s="7" t="s">
        <v>71</v>
      </c>
      <c r="H376" s="7" t="s">
        <v>69</v>
      </c>
      <c r="I376" s="9">
        <v>595.29999999999995</v>
      </c>
      <c r="J376" s="10">
        <f t="shared" si="16"/>
        <v>194992.16999999998</v>
      </c>
      <c r="K376" s="6">
        <f t="shared" si="17"/>
        <v>13684.67999999986</v>
      </c>
      <c r="L376" s="31"/>
    </row>
    <row r="377" spans="1:12" x14ac:dyDescent="0.25">
      <c r="A377" s="5" t="s">
        <v>186</v>
      </c>
      <c r="B377" s="42">
        <f t="shared" si="15"/>
        <v>195.58746999999997</v>
      </c>
      <c r="C377" s="7" t="s">
        <v>213</v>
      </c>
      <c r="D377" s="7" t="s">
        <v>212</v>
      </c>
      <c r="E377" s="7" t="s">
        <v>826</v>
      </c>
      <c r="F377" s="8">
        <v>195.22606999999985</v>
      </c>
      <c r="G377" s="7" t="s">
        <v>69</v>
      </c>
      <c r="H377" s="7" t="s">
        <v>67</v>
      </c>
      <c r="I377" s="9">
        <v>563.14</v>
      </c>
      <c r="J377" s="10">
        <f t="shared" si="16"/>
        <v>195587.46999999997</v>
      </c>
      <c r="K377" s="6">
        <f t="shared" si="17"/>
        <v>13089.379999999861</v>
      </c>
      <c r="L377" s="31"/>
    </row>
    <row r="378" spans="1:12" x14ac:dyDescent="0.25">
      <c r="A378" s="5" t="s">
        <v>186</v>
      </c>
      <c r="B378" s="42">
        <f t="shared" si="15"/>
        <v>196.15060999999997</v>
      </c>
      <c r="C378" s="7" t="s">
        <v>212</v>
      </c>
      <c r="D378" s="7" t="s">
        <v>211</v>
      </c>
      <c r="E378" s="7" t="s">
        <v>826</v>
      </c>
      <c r="F378" s="8">
        <v>195.58022999999986</v>
      </c>
      <c r="G378" s="7" t="s">
        <v>67</v>
      </c>
      <c r="H378" s="7" t="s">
        <v>65</v>
      </c>
      <c r="I378" s="9">
        <v>531.03</v>
      </c>
      <c r="J378" s="10">
        <f t="shared" si="16"/>
        <v>196150.61</v>
      </c>
      <c r="K378" s="6">
        <f t="shared" si="17"/>
        <v>12526.239999999862</v>
      </c>
      <c r="L378" s="31"/>
    </row>
    <row r="379" spans="1:12" x14ac:dyDescent="0.25">
      <c r="A379" s="5" t="s">
        <v>186</v>
      </c>
      <c r="B379" s="42">
        <f t="shared" si="15"/>
        <v>196.68163999999999</v>
      </c>
      <c r="C379" s="7" t="s">
        <v>211</v>
      </c>
      <c r="D379" s="7" t="s">
        <v>210</v>
      </c>
      <c r="E379" s="7" t="s">
        <v>826</v>
      </c>
      <c r="F379" s="8">
        <v>195.96392999999986</v>
      </c>
      <c r="G379" s="7" t="s">
        <v>65</v>
      </c>
      <c r="H379" s="7" t="s">
        <v>63</v>
      </c>
      <c r="I379" s="9">
        <v>493.84</v>
      </c>
      <c r="J379" s="10">
        <f t="shared" si="16"/>
        <v>196681.63999999998</v>
      </c>
      <c r="K379" s="6">
        <f t="shared" si="17"/>
        <v>11995.209999999861</v>
      </c>
      <c r="L379" s="31"/>
    </row>
    <row r="380" spans="1:12" x14ac:dyDescent="0.25">
      <c r="A380" s="5" t="s">
        <v>186</v>
      </c>
      <c r="B380" s="42">
        <f t="shared" si="15"/>
        <v>197.17547999999999</v>
      </c>
      <c r="C380" s="7" t="s">
        <v>210</v>
      </c>
      <c r="D380" s="7" t="s">
        <v>209</v>
      </c>
      <c r="E380" s="7" t="s">
        <v>826</v>
      </c>
      <c r="F380" s="8">
        <v>196.51734999999988</v>
      </c>
      <c r="G380" s="7" t="s">
        <v>63</v>
      </c>
      <c r="H380" s="7" t="s">
        <v>61</v>
      </c>
      <c r="I380" s="9">
        <v>549.30999999999995</v>
      </c>
      <c r="J380" s="10">
        <f t="shared" si="16"/>
        <v>197175.47999999998</v>
      </c>
      <c r="K380" s="6">
        <f t="shared" si="17"/>
        <v>11501.369999999861</v>
      </c>
      <c r="L380" s="31"/>
    </row>
    <row r="381" spans="1:12" x14ac:dyDescent="0.25">
      <c r="A381" s="5" t="s">
        <v>186</v>
      </c>
      <c r="B381" s="42">
        <f t="shared" si="15"/>
        <v>197.72478999999998</v>
      </c>
      <c r="C381" s="7" t="s">
        <v>209</v>
      </c>
      <c r="D381" s="7" t="s">
        <v>208</v>
      </c>
      <c r="E381" s="7" t="s">
        <v>826</v>
      </c>
      <c r="F381" s="8">
        <v>197.09425999999991</v>
      </c>
      <c r="G381" s="7" t="s">
        <v>61</v>
      </c>
      <c r="H381" s="7" t="s">
        <v>59</v>
      </c>
      <c r="I381" s="9">
        <v>559.35</v>
      </c>
      <c r="J381" s="10">
        <f t="shared" si="16"/>
        <v>197724.78999999998</v>
      </c>
      <c r="K381" s="6">
        <f t="shared" si="17"/>
        <v>10952.059999999861</v>
      </c>
      <c r="L381" s="31"/>
    </row>
    <row r="382" spans="1:12" x14ac:dyDescent="0.25">
      <c r="A382" s="5" t="s">
        <v>186</v>
      </c>
      <c r="B382" s="42">
        <f t="shared" si="15"/>
        <v>198.28413999999998</v>
      </c>
      <c r="C382" s="7" t="s">
        <v>208</v>
      </c>
      <c r="D382" s="7" t="s">
        <v>207</v>
      </c>
      <c r="E382" s="7" t="s">
        <v>826</v>
      </c>
      <c r="F382" s="8">
        <v>197.67367999999991</v>
      </c>
      <c r="G382" s="7" t="s">
        <v>59</v>
      </c>
      <c r="H382" s="7" t="s">
        <v>57</v>
      </c>
      <c r="I382" s="9">
        <v>500.25</v>
      </c>
      <c r="J382" s="10">
        <f t="shared" si="16"/>
        <v>198284.13999999998</v>
      </c>
      <c r="K382" s="6">
        <f t="shared" si="17"/>
        <v>10392.709999999861</v>
      </c>
      <c r="L382" s="31"/>
    </row>
    <row r="383" spans="1:12" x14ac:dyDescent="0.25">
      <c r="A383" s="5" t="s">
        <v>186</v>
      </c>
      <c r="B383" s="42">
        <f t="shared" si="15"/>
        <v>198.78438999999997</v>
      </c>
      <c r="C383" s="7" t="s">
        <v>207</v>
      </c>
      <c r="D383" s="7" t="s">
        <v>206</v>
      </c>
      <c r="E383" s="7" t="s">
        <v>826</v>
      </c>
      <c r="F383" s="8">
        <v>198.14184999999992</v>
      </c>
      <c r="G383" s="7" t="s">
        <v>57</v>
      </c>
      <c r="H383" s="7" t="s">
        <v>55</v>
      </c>
      <c r="I383" s="9">
        <v>466.74</v>
      </c>
      <c r="J383" s="10">
        <f t="shared" si="16"/>
        <v>198784.38999999998</v>
      </c>
      <c r="K383" s="6">
        <f t="shared" si="17"/>
        <v>9892.4599999998609</v>
      </c>
      <c r="L383" s="31"/>
    </row>
    <row r="384" spans="1:12" x14ac:dyDescent="0.25">
      <c r="A384" s="5" t="s">
        <v>186</v>
      </c>
      <c r="B384" s="42">
        <f t="shared" si="15"/>
        <v>199.25112999999999</v>
      </c>
      <c r="C384" s="7" t="s">
        <v>206</v>
      </c>
      <c r="D384" s="7" t="s">
        <v>205</v>
      </c>
      <c r="E384" s="7" t="s">
        <v>826</v>
      </c>
      <c r="F384" s="8">
        <v>198.67749999999992</v>
      </c>
      <c r="G384" s="7" t="s">
        <v>55</v>
      </c>
      <c r="H384" s="7" t="s">
        <v>53</v>
      </c>
      <c r="I384" s="9">
        <v>521.25</v>
      </c>
      <c r="J384" s="10">
        <f t="shared" si="16"/>
        <v>199251.12999999998</v>
      </c>
      <c r="K384" s="6">
        <f t="shared" si="17"/>
        <v>9425.7199999998611</v>
      </c>
      <c r="L384" s="31"/>
    </row>
    <row r="385" spans="1:12" x14ac:dyDescent="0.25">
      <c r="A385" s="5" t="s">
        <v>186</v>
      </c>
      <c r="B385" s="42">
        <f t="shared" si="15"/>
        <v>199.77237999999997</v>
      </c>
      <c r="C385" s="7" t="s">
        <v>205</v>
      </c>
      <c r="D385" s="7" t="s">
        <v>204</v>
      </c>
      <c r="E385" s="7" t="s">
        <v>826</v>
      </c>
      <c r="F385" s="8">
        <v>199.16834999999992</v>
      </c>
      <c r="G385" s="7" t="s">
        <v>53</v>
      </c>
      <c r="H385" s="7" t="s">
        <v>51</v>
      </c>
      <c r="I385" s="9">
        <v>506.11</v>
      </c>
      <c r="J385" s="10">
        <f t="shared" si="16"/>
        <v>199772.37999999998</v>
      </c>
      <c r="K385" s="6">
        <f t="shared" si="17"/>
        <v>8904.4699999998611</v>
      </c>
      <c r="L385" s="31"/>
    </row>
    <row r="386" spans="1:12" x14ac:dyDescent="0.25">
      <c r="A386" s="5" t="s">
        <v>186</v>
      </c>
      <c r="B386" s="42">
        <f t="shared" si="15"/>
        <v>200.27848999999995</v>
      </c>
      <c r="C386" s="7" t="s">
        <v>204</v>
      </c>
      <c r="D386" s="7" t="s">
        <v>203</v>
      </c>
      <c r="E386" s="7" t="s">
        <v>826</v>
      </c>
      <c r="F386" s="8">
        <v>199.73816999999991</v>
      </c>
      <c r="G386" s="7" t="s">
        <v>51</v>
      </c>
      <c r="H386" s="7" t="s">
        <v>49</v>
      </c>
      <c r="I386" s="9">
        <v>586.67999999999995</v>
      </c>
      <c r="J386" s="10">
        <f t="shared" si="16"/>
        <v>200278.48999999996</v>
      </c>
      <c r="K386" s="6">
        <f t="shared" si="17"/>
        <v>8398.3599999998605</v>
      </c>
      <c r="L386" s="31"/>
    </row>
    <row r="387" spans="1:12" x14ac:dyDescent="0.25">
      <c r="A387" s="5" t="s">
        <v>186</v>
      </c>
      <c r="B387" s="42">
        <f t="shared" ref="B387:B403" si="18">J387/1000</f>
        <v>200.86516999999995</v>
      </c>
      <c r="C387" s="7" t="s">
        <v>203</v>
      </c>
      <c r="D387" s="7" t="s">
        <v>202</v>
      </c>
      <c r="E387" s="7" t="s">
        <v>826</v>
      </c>
      <c r="F387" s="8">
        <v>200.15518999999992</v>
      </c>
      <c r="G387" s="7" t="s">
        <v>49</v>
      </c>
      <c r="H387" s="7" t="s">
        <v>47</v>
      </c>
      <c r="I387" s="9">
        <v>533.6</v>
      </c>
      <c r="J387" s="10">
        <f t="shared" si="16"/>
        <v>200865.16999999995</v>
      </c>
      <c r="K387" s="6">
        <f t="shared" si="17"/>
        <v>7811.6799999998602</v>
      </c>
      <c r="L387" s="31"/>
    </row>
    <row r="388" spans="1:12" x14ac:dyDescent="0.25">
      <c r="A388" s="5" t="s">
        <v>186</v>
      </c>
      <c r="B388" s="42">
        <f t="shared" si="18"/>
        <v>201.39876999999996</v>
      </c>
      <c r="C388" s="7" t="s">
        <v>202</v>
      </c>
      <c r="D388" s="7" t="s">
        <v>201</v>
      </c>
      <c r="E388" s="7" t="s">
        <v>826</v>
      </c>
      <c r="F388" s="8">
        <v>200.63522999999992</v>
      </c>
      <c r="G388" s="7" t="s">
        <v>47</v>
      </c>
      <c r="H388" s="7" t="s">
        <v>45</v>
      </c>
      <c r="I388" s="9">
        <v>343.5</v>
      </c>
      <c r="J388" s="10">
        <f t="shared" ref="J388:J403" si="19">J387+I387</f>
        <v>201398.76999999996</v>
      </c>
      <c r="K388" s="6">
        <f t="shared" ref="K388:K403" si="20">K387-I387</f>
        <v>7278.0799999998599</v>
      </c>
      <c r="L388" s="31"/>
    </row>
    <row r="389" spans="1:12" x14ac:dyDescent="0.25">
      <c r="A389" s="5" t="s">
        <v>186</v>
      </c>
      <c r="B389" s="42">
        <f t="shared" si="18"/>
        <v>201.74226999999996</v>
      </c>
      <c r="C389" s="7" t="s">
        <v>201</v>
      </c>
      <c r="D389" s="7" t="s">
        <v>200</v>
      </c>
      <c r="E389" s="7" t="s">
        <v>826</v>
      </c>
      <c r="F389" s="8">
        <v>201.11929999999992</v>
      </c>
      <c r="G389" s="7" t="s">
        <v>45</v>
      </c>
      <c r="H389" s="7" t="s">
        <v>43</v>
      </c>
      <c r="I389" s="9">
        <v>532.94000000000005</v>
      </c>
      <c r="J389" s="10">
        <f t="shared" si="19"/>
        <v>201742.26999999996</v>
      </c>
      <c r="K389" s="6">
        <f t="shared" si="20"/>
        <v>6934.5799999998599</v>
      </c>
      <c r="L389" s="31"/>
    </row>
    <row r="390" spans="1:12" x14ac:dyDescent="0.25">
      <c r="A390" s="5" t="s">
        <v>186</v>
      </c>
      <c r="B390" s="42">
        <f t="shared" si="18"/>
        <v>202.27520999999996</v>
      </c>
      <c r="C390" s="7" t="s">
        <v>200</v>
      </c>
      <c r="D390" s="7" t="s">
        <v>199</v>
      </c>
      <c r="E390" s="7" t="s">
        <v>826</v>
      </c>
      <c r="F390" s="8">
        <v>201.68092999999993</v>
      </c>
      <c r="G390" s="7" t="s">
        <v>43</v>
      </c>
      <c r="H390" s="7" t="s">
        <v>41</v>
      </c>
      <c r="I390" s="9">
        <v>555.75</v>
      </c>
      <c r="J390" s="10">
        <f t="shared" si="19"/>
        <v>202275.20999999996</v>
      </c>
      <c r="K390" s="6">
        <f t="shared" si="20"/>
        <v>6401.6399999998594</v>
      </c>
      <c r="L390" s="31"/>
    </row>
    <row r="391" spans="1:12" x14ac:dyDescent="0.25">
      <c r="A391" s="5" t="s">
        <v>186</v>
      </c>
      <c r="B391" s="42">
        <f t="shared" si="18"/>
        <v>202.83095999999998</v>
      </c>
      <c r="C391" s="7" t="s">
        <v>199</v>
      </c>
      <c r="D391" s="7" t="s">
        <v>198</v>
      </c>
      <c r="E391" s="7" t="s">
        <v>826</v>
      </c>
      <c r="F391" s="8">
        <v>202.18911999999995</v>
      </c>
      <c r="G391" s="7" t="s">
        <v>41</v>
      </c>
      <c r="H391" s="7" t="s">
        <v>39</v>
      </c>
      <c r="I391" s="9">
        <v>546.55999999999995</v>
      </c>
      <c r="J391" s="10">
        <f t="shared" si="19"/>
        <v>202830.95999999996</v>
      </c>
      <c r="K391" s="6">
        <f t="shared" si="20"/>
        <v>5845.8899999998594</v>
      </c>
      <c r="L391" s="31"/>
    </row>
    <row r="392" spans="1:12" x14ac:dyDescent="0.25">
      <c r="A392" s="5" t="s">
        <v>186</v>
      </c>
      <c r="B392" s="42">
        <f t="shared" si="18"/>
        <v>203.37751999999995</v>
      </c>
      <c r="C392" s="7" t="s">
        <v>198</v>
      </c>
      <c r="D392" s="7" t="s">
        <v>197</v>
      </c>
      <c r="E392" s="7" t="s">
        <v>826</v>
      </c>
      <c r="F392" s="8">
        <v>202.76624999999993</v>
      </c>
      <c r="G392" s="7" t="s">
        <v>39</v>
      </c>
      <c r="H392" s="7" t="s">
        <v>37</v>
      </c>
      <c r="I392" s="9">
        <v>559.19000000000005</v>
      </c>
      <c r="J392" s="10">
        <f t="shared" si="19"/>
        <v>203377.51999999996</v>
      </c>
      <c r="K392" s="6">
        <f t="shared" si="20"/>
        <v>5299.3299999998599</v>
      </c>
      <c r="L392" s="31"/>
    </row>
    <row r="393" spans="1:12" x14ac:dyDescent="0.25">
      <c r="A393" s="5" t="s">
        <v>186</v>
      </c>
      <c r="B393" s="42">
        <f t="shared" si="18"/>
        <v>203.93670999999998</v>
      </c>
      <c r="C393" s="7" t="s">
        <v>197</v>
      </c>
      <c r="D393" s="7" t="s">
        <v>196</v>
      </c>
      <c r="E393" s="7" t="s">
        <v>826</v>
      </c>
      <c r="F393" s="8">
        <v>203.39900999999995</v>
      </c>
      <c r="G393" s="7" t="s">
        <v>37</v>
      </c>
      <c r="H393" s="7" t="s">
        <v>35</v>
      </c>
      <c r="I393" s="9">
        <v>571.30999999999995</v>
      </c>
      <c r="J393" s="10">
        <f t="shared" si="19"/>
        <v>203936.70999999996</v>
      </c>
      <c r="K393" s="6">
        <f t="shared" si="20"/>
        <v>4740.1399999998594</v>
      </c>
      <c r="L393" s="31"/>
    </row>
    <row r="394" spans="1:12" x14ac:dyDescent="0.25">
      <c r="A394" s="5" t="s">
        <v>186</v>
      </c>
      <c r="B394" s="42">
        <f t="shared" si="18"/>
        <v>204.50801999999996</v>
      </c>
      <c r="C394" s="7" t="s">
        <v>196</v>
      </c>
      <c r="D394" s="7" t="s">
        <v>195</v>
      </c>
      <c r="E394" s="7" t="s">
        <v>826</v>
      </c>
      <c r="F394" s="8">
        <v>203.70295999999996</v>
      </c>
      <c r="G394" s="7" t="s">
        <v>35</v>
      </c>
      <c r="H394" s="7" t="s">
        <v>33</v>
      </c>
      <c r="I394" s="9">
        <v>569.58000000000004</v>
      </c>
      <c r="J394" s="10">
        <f t="shared" si="19"/>
        <v>204508.01999999996</v>
      </c>
      <c r="K394" s="6">
        <f t="shared" si="20"/>
        <v>4168.8299999998599</v>
      </c>
      <c r="L394" s="31"/>
    </row>
    <row r="395" spans="1:12" x14ac:dyDescent="0.25">
      <c r="A395" s="5" t="s">
        <v>186</v>
      </c>
      <c r="B395" s="42">
        <f t="shared" si="18"/>
        <v>205.07759999999996</v>
      </c>
      <c r="C395" s="7" t="s">
        <v>195</v>
      </c>
      <c r="D395" s="7" t="s">
        <v>194</v>
      </c>
      <c r="E395" s="7" t="s">
        <v>826</v>
      </c>
      <c r="F395" s="8">
        <v>204.49291999999994</v>
      </c>
      <c r="G395" s="7" t="s">
        <v>33</v>
      </c>
      <c r="H395" s="7" t="s">
        <v>31</v>
      </c>
      <c r="I395" s="9">
        <v>570.71</v>
      </c>
      <c r="J395" s="10">
        <f t="shared" si="19"/>
        <v>205077.59999999995</v>
      </c>
      <c r="K395" s="6">
        <f t="shared" si="20"/>
        <v>3599.2499999998599</v>
      </c>
      <c r="L395" s="31"/>
    </row>
    <row r="396" spans="1:12" x14ac:dyDescent="0.25">
      <c r="A396" s="5" t="s">
        <v>186</v>
      </c>
      <c r="B396" s="42">
        <f t="shared" si="18"/>
        <v>205.64830999999995</v>
      </c>
      <c r="C396" s="7" t="s">
        <v>194</v>
      </c>
      <c r="D396" s="7" t="s">
        <v>193</v>
      </c>
      <c r="E396" s="7" t="s">
        <v>826</v>
      </c>
      <c r="F396" s="8">
        <v>205.03386999999998</v>
      </c>
      <c r="G396" s="7" t="s">
        <v>31</v>
      </c>
      <c r="H396" s="7" t="s">
        <v>29</v>
      </c>
      <c r="I396" s="9">
        <v>572.35</v>
      </c>
      <c r="J396" s="10">
        <f t="shared" si="19"/>
        <v>205648.30999999994</v>
      </c>
      <c r="K396" s="6">
        <f t="shared" si="20"/>
        <v>3028.5399999998599</v>
      </c>
      <c r="L396" s="31"/>
    </row>
    <row r="397" spans="1:12" x14ac:dyDescent="0.25">
      <c r="A397" s="5" t="s">
        <v>186</v>
      </c>
      <c r="B397" s="42">
        <f t="shared" si="18"/>
        <v>206.22065999999995</v>
      </c>
      <c r="C397" s="7" t="s">
        <v>193</v>
      </c>
      <c r="D397" s="7" t="s">
        <v>192</v>
      </c>
      <c r="E397" s="7" t="s">
        <v>826</v>
      </c>
      <c r="F397" s="8">
        <v>205.53726999999995</v>
      </c>
      <c r="G397" s="7" t="s">
        <v>29</v>
      </c>
      <c r="H397" s="7" t="s">
        <v>27</v>
      </c>
      <c r="I397" s="9">
        <v>534.02</v>
      </c>
      <c r="J397" s="10">
        <f t="shared" si="19"/>
        <v>206220.65999999995</v>
      </c>
      <c r="K397" s="6">
        <f t="shared" si="20"/>
        <v>2456.18999999986</v>
      </c>
      <c r="L397" s="31"/>
    </row>
    <row r="398" spans="1:12" x14ac:dyDescent="0.25">
      <c r="A398" s="5" t="s">
        <v>186</v>
      </c>
      <c r="B398" s="42">
        <f t="shared" si="18"/>
        <v>206.75467999999992</v>
      </c>
      <c r="C398" s="7" t="s">
        <v>192</v>
      </c>
      <c r="D398" s="7" t="s">
        <v>191</v>
      </c>
      <c r="E398" s="7" t="s">
        <v>826</v>
      </c>
      <c r="F398" s="8">
        <v>206.19654999999995</v>
      </c>
      <c r="G398" s="7" t="s">
        <v>27</v>
      </c>
      <c r="H398" s="7" t="s">
        <v>25</v>
      </c>
      <c r="I398" s="9">
        <v>497.78</v>
      </c>
      <c r="J398" s="10">
        <f t="shared" si="19"/>
        <v>206754.67999999993</v>
      </c>
      <c r="K398" s="6">
        <f t="shared" si="20"/>
        <v>1922.16999999986</v>
      </c>
      <c r="L398" s="31"/>
    </row>
    <row r="399" spans="1:12" x14ac:dyDescent="0.25">
      <c r="A399" s="5" t="s">
        <v>186</v>
      </c>
      <c r="B399" s="42">
        <f t="shared" si="18"/>
        <v>207.25245999999993</v>
      </c>
      <c r="C399" s="7" t="s">
        <v>191</v>
      </c>
      <c r="D399" s="7" t="s">
        <v>190</v>
      </c>
      <c r="E399" s="7" t="s">
        <v>826</v>
      </c>
      <c r="F399" s="8">
        <v>206.83064999999996</v>
      </c>
      <c r="G399" s="7" t="s">
        <v>25</v>
      </c>
      <c r="H399" s="7" t="s">
        <v>23</v>
      </c>
      <c r="I399" s="9">
        <v>495.56</v>
      </c>
      <c r="J399" s="10">
        <f t="shared" si="19"/>
        <v>207252.45999999993</v>
      </c>
      <c r="K399" s="6">
        <f t="shared" si="20"/>
        <v>1424.38999999986</v>
      </c>
      <c r="L399" s="31"/>
    </row>
    <row r="400" spans="1:12" x14ac:dyDescent="0.25">
      <c r="A400" s="5" t="s">
        <v>186</v>
      </c>
      <c r="B400" s="42">
        <f t="shared" si="18"/>
        <v>207.74801999999994</v>
      </c>
      <c r="C400" s="7" t="s">
        <v>190</v>
      </c>
      <c r="D400" s="7" t="s">
        <v>189</v>
      </c>
      <c r="E400" s="7" t="s">
        <v>826</v>
      </c>
      <c r="F400" s="8">
        <v>207.27842999999996</v>
      </c>
      <c r="G400" s="7" t="s">
        <v>23</v>
      </c>
      <c r="H400" s="7" t="s">
        <v>20</v>
      </c>
      <c r="I400" s="9">
        <v>533.63</v>
      </c>
      <c r="J400" s="10">
        <f t="shared" si="19"/>
        <v>207748.01999999993</v>
      </c>
      <c r="K400" s="6">
        <f t="shared" si="20"/>
        <v>928.82999999986009</v>
      </c>
      <c r="L400" s="31"/>
    </row>
    <row r="401" spans="1:12" x14ac:dyDescent="0.25">
      <c r="A401" s="5" t="s">
        <v>186</v>
      </c>
      <c r="B401" s="42">
        <f t="shared" si="18"/>
        <v>208.28164999999993</v>
      </c>
      <c r="C401" s="7" t="s">
        <v>189</v>
      </c>
      <c r="D401" s="7" t="s">
        <v>188</v>
      </c>
      <c r="E401" s="7" t="s">
        <v>826</v>
      </c>
      <c r="F401" s="8">
        <v>207.87733</v>
      </c>
      <c r="G401" s="7" t="s">
        <v>20</v>
      </c>
      <c r="H401" s="7" t="s">
        <v>15</v>
      </c>
      <c r="I401" s="9">
        <v>295.2</v>
      </c>
      <c r="J401" s="10">
        <f t="shared" si="19"/>
        <v>208281.64999999994</v>
      </c>
      <c r="K401" s="6">
        <f t="shared" si="20"/>
        <v>395.1999999998601</v>
      </c>
      <c r="L401" s="31"/>
    </row>
    <row r="402" spans="1:12" x14ac:dyDescent="0.25">
      <c r="A402" s="5" t="s">
        <v>186</v>
      </c>
      <c r="B402" s="42">
        <f t="shared" si="18"/>
        <v>208.57684999999995</v>
      </c>
      <c r="C402" s="7" t="s">
        <v>188</v>
      </c>
      <c r="D402" s="7" t="s">
        <v>187</v>
      </c>
      <c r="E402" s="7" t="s">
        <v>826</v>
      </c>
      <c r="F402" s="8">
        <v>208.52709999999996</v>
      </c>
      <c r="G402" s="7" t="s">
        <v>15</v>
      </c>
      <c r="H402" s="7" t="s">
        <v>16</v>
      </c>
      <c r="I402" s="9">
        <v>100</v>
      </c>
      <c r="J402" s="10">
        <f t="shared" si="19"/>
        <v>208576.84999999995</v>
      </c>
      <c r="K402" s="6">
        <f t="shared" si="20"/>
        <v>99.999999999860108</v>
      </c>
      <c r="L402" s="31"/>
    </row>
    <row r="403" spans="1:12" x14ac:dyDescent="0.25">
      <c r="A403" s="5" t="s">
        <v>186</v>
      </c>
      <c r="B403" s="42">
        <f t="shared" si="18"/>
        <v>208.67684999999994</v>
      </c>
      <c r="C403" s="7" t="s">
        <v>842</v>
      </c>
      <c r="D403" s="7" t="s">
        <v>22</v>
      </c>
      <c r="E403" s="7" t="s">
        <v>826</v>
      </c>
      <c r="F403" s="8">
        <v>208.67684999999994</v>
      </c>
      <c r="G403" s="7" t="s">
        <v>16</v>
      </c>
      <c r="H403" s="7" t="s">
        <v>187</v>
      </c>
      <c r="J403" s="10">
        <f t="shared" si="19"/>
        <v>208676.84999999995</v>
      </c>
      <c r="K403" s="6">
        <f t="shared" si="20"/>
        <v>-1.3989165381644852E-10</v>
      </c>
      <c r="L403" s="31"/>
    </row>
    <row r="405" spans="1:12" x14ac:dyDescent="0.25">
      <c r="I405" s="16">
        <f>SUM(I2:I402)/1000</f>
        <v>208.67684999999994</v>
      </c>
      <c r="J405" s="5">
        <v>400</v>
      </c>
    </row>
  </sheetData>
  <dataValidations count="3">
    <dataValidation type="textLength" allowBlank="1" showInputMessage="1" showErrorMessage="1" sqref="J1:L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6:L65536 JE65536:JF65536 TA65536:TB65536 ACW65536:ACX65536 AMS65536:AMT65536 AWO65536:AWP65536 BGK65536:BGL65536 BQG65536:BQH65536 CAC65536:CAD65536 CJY65536:CJZ65536 CTU65536:CTV65536 DDQ65536:DDR65536 DNM65536:DNN65536 DXI65536:DXJ65536 EHE65536:EHF65536 ERA65536:ERB65536 FAW65536:FAX65536 FKS65536:FKT65536 FUO65536:FUP65536 GEK65536:GEL65536 GOG65536:GOH65536 GYC65536:GYD65536 HHY65536:HHZ65536 HRU65536:HRV65536 IBQ65536:IBR65536 ILM65536:ILN65536 IVI65536:IVJ65536 JFE65536:JFF65536 JPA65536:JPB65536 JYW65536:JYX65536 KIS65536:KIT65536 KSO65536:KSP65536 LCK65536:LCL65536 LMG65536:LMH65536 LWC65536:LWD65536 MFY65536:MFZ65536 MPU65536:MPV65536 MZQ65536:MZR65536 NJM65536:NJN65536 NTI65536:NTJ65536 ODE65536:ODF65536 ONA65536:ONB65536 OWW65536:OWX65536 PGS65536:PGT65536 PQO65536:PQP65536 QAK65536:QAL65536 QKG65536:QKH65536 QUC65536:QUD65536 RDY65536:RDZ65536 RNU65536:RNV65536 RXQ65536:RXR65536 SHM65536:SHN65536 SRI65536:SRJ65536 TBE65536:TBF65536 TLA65536:TLB65536 TUW65536:TUX65536 UES65536:UET65536 UOO65536:UOP65536 UYK65536:UYL65536 VIG65536:VIH65536 VSC65536:VSD65536 WBY65536:WBZ65536 WLU65536:WLV65536 WVQ65536:WVR65536 J131072:L131072 JE131072:JF131072 TA131072:TB131072 ACW131072:ACX131072 AMS131072:AMT131072 AWO131072:AWP131072 BGK131072:BGL131072 BQG131072:BQH131072 CAC131072:CAD131072 CJY131072:CJZ131072 CTU131072:CTV131072 DDQ131072:DDR131072 DNM131072:DNN131072 DXI131072:DXJ131072 EHE131072:EHF131072 ERA131072:ERB131072 FAW131072:FAX131072 FKS131072:FKT131072 FUO131072:FUP131072 GEK131072:GEL131072 GOG131072:GOH131072 GYC131072:GYD131072 HHY131072:HHZ131072 HRU131072:HRV131072 IBQ131072:IBR131072 ILM131072:ILN131072 IVI131072:IVJ131072 JFE131072:JFF131072 JPA131072:JPB131072 JYW131072:JYX131072 KIS131072:KIT131072 KSO131072:KSP131072 LCK131072:LCL131072 LMG131072:LMH131072 LWC131072:LWD131072 MFY131072:MFZ131072 MPU131072:MPV131072 MZQ131072:MZR131072 NJM131072:NJN131072 NTI131072:NTJ131072 ODE131072:ODF131072 ONA131072:ONB131072 OWW131072:OWX131072 PGS131072:PGT131072 PQO131072:PQP131072 QAK131072:QAL131072 QKG131072:QKH131072 QUC131072:QUD131072 RDY131072:RDZ131072 RNU131072:RNV131072 RXQ131072:RXR131072 SHM131072:SHN131072 SRI131072:SRJ131072 TBE131072:TBF131072 TLA131072:TLB131072 TUW131072:TUX131072 UES131072:UET131072 UOO131072:UOP131072 UYK131072:UYL131072 VIG131072:VIH131072 VSC131072:VSD131072 WBY131072:WBZ131072 WLU131072:WLV131072 WVQ131072:WVR131072 J196608:L196608 JE196608:JF196608 TA196608:TB196608 ACW196608:ACX196608 AMS196608:AMT196608 AWO196608:AWP196608 BGK196608:BGL196608 BQG196608:BQH196608 CAC196608:CAD196608 CJY196608:CJZ196608 CTU196608:CTV196608 DDQ196608:DDR196608 DNM196608:DNN196608 DXI196608:DXJ196608 EHE196608:EHF196608 ERA196608:ERB196608 FAW196608:FAX196608 FKS196608:FKT196608 FUO196608:FUP196608 GEK196608:GEL196608 GOG196608:GOH196608 GYC196608:GYD196608 HHY196608:HHZ196608 HRU196608:HRV196608 IBQ196608:IBR196608 ILM196608:ILN196608 IVI196608:IVJ196608 JFE196608:JFF196608 JPA196608:JPB196608 JYW196608:JYX196608 KIS196608:KIT196608 KSO196608:KSP196608 LCK196608:LCL196608 LMG196608:LMH196608 LWC196608:LWD196608 MFY196608:MFZ196608 MPU196608:MPV196608 MZQ196608:MZR196608 NJM196608:NJN196608 NTI196608:NTJ196608 ODE196608:ODF196608 ONA196608:ONB196608 OWW196608:OWX196608 PGS196608:PGT196608 PQO196608:PQP196608 QAK196608:QAL196608 QKG196608:QKH196608 QUC196608:QUD196608 RDY196608:RDZ196608 RNU196608:RNV196608 RXQ196608:RXR196608 SHM196608:SHN196608 SRI196608:SRJ196608 TBE196608:TBF196608 TLA196608:TLB196608 TUW196608:TUX196608 UES196608:UET196608 UOO196608:UOP196608 UYK196608:UYL196608 VIG196608:VIH196608 VSC196608:VSD196608 WBY196608:WBZ196608 WLU196608:WLV196608 WVQ196608:WVR196608 J262144:L262144 JE262144:JF262144 TA262144:TB262144 ACW262144:ACX262144 AMS262144:AMT262144 AWO262144:AWP262144 BGK262144:BGL262144 BQG262144:BQH262144 CAC262144:CAD262144 CJY262144:CJZ262144 CTU262144:CTV262144 DDQ262144:DDR262144 DNM262144:DNN262144 DXI262144:DXJ262144 EHE262144:EHF262144 ERA262144:ERB262144 FAW262144:FAX262144 FKS262144:FKT262144 FUO262144:FUP262144 GEK262144:GEL262144 GOG262144:GOH262144 GYC262144:GYD262144 HHY262144:HHZ262144 HRU262144:HRV262144 IBQ262144:IBR262144 ILM262144:ILN262144 IVI262144:IVJ262144 JFE262144:JFF262144 JPA262144:JPB262144 JYW262144:JYX262144 KIS262144:KIT262144 KSO262144:KSP262144 LCK262144:LCL262144 LMG262144:LMH262144 LWC262144:LWD262144 MFY262144:MFZ262144 MPU262144:MPV262144 MZQ262144:MZR262144 NJM262144:NJN262144 NTI262144:NTJ262144 ODE262144:ODF262144 ONA262144:ONB262144 OWW262144:OWX262144 PGS262144:PGT262144 PQO262144:PQP262144 QAK262144:QAL262144 QKG262144:QKH262144 QUC262144:QUD262144 RDY262144:RDZ262144 RNU262144:RNV262144 RXQ262144:RXR262144 SHM262144:SHN262144 SRI262144:SRJ262144 TBE262144:TBF262144 TLA262144:TLB262144 TUW262144:TUX262144 UES262144:UET262144 UOO262144:UOP262144 UYK262144:UYL262144 VIG262144:VIH262144 VSC262144:VSD262144 WBY262144:WBZ262144 WLU262144:WLV262144 WVQ262144:WVR262144 J327680:L327680 JE327680:JF327680 TA327680:TB327680 ACW327680:ACX327680 AMS327680:AMT327680 AWO327680:AWP327680 BGK327680:BGL327680 BQG327680:BQH327680 CAC327680:CAD327680 CJY327680:CJZ327680 CTU327680:CTV327680 DDQ327680:DDR327680 DNM327680:DNN327680 DXI327680:DXJ327680 EHE327680:EHF327680 ERA327680:ERB327680 FAW327680:FAX327680 FKS327680:FKT327680 FUO327680:FUP327680 GEK327680:GEL327680 GOG327680:GOH327680 GYC327680:GYD327680 HHY327680:HHZ327680 HRU327680:HRV327680 IBQ327680:IBR327680 ILM327680:ILN327680 IVI327680:IVJ327680 JFE327680:JFF327680 JPA327680:JPB327680 JYW327680:JYX327680 KIS327680:KIT327680 KSO327680:KSP327680 LCK327680:LCL327680 LMG327680:LMH327680 LWC327680:LWD327680 MFY327680:MFZ327680 MPU327680:MPV327680 MZQ327680:MZR327680 NJM327680:NJN327680 NTI327680:NTJ327680 ODE327680:ODF327680 ONA327680:ONB327680 OWW327680:OWX327680 PGS327680:PGT327680 PQO327680:PQP327680 QAK327680:QAL327680 QKG327680:QKH327680 QUC327680:QUD327680 RDY327680:RDZ327680 RNU327680:RNV327680 RXQ327680:RXR327680 SHM327680:SHN327680 SRI327680:SRJ327680 TBE327680:TBF327680 TLA327680:TLB327680 TUW327680:TUX327680 UES327680:UET327680 UOO327680:UOP327680 UYK327680:UYL327680 VIG327680:VIH327680 VSC327680:VSD327680 WBY327680:WBZ327680 WLU327680:WLV327680 WVQ327680:WVR327680 J393216:L393216 JE393216:JF393216 TA393216:TB393216 ACW393216:ACX393216 AMS393216:AMT393216 AWO393216:AWP393216 BGK393216:BGL393216 BQG393216:BQH393216 CAC393216:CAD393216 CJY393216:CJZ393216 CTU393216:CTV393216 DDQ393216:DDR393216 DNM393216:DNN393216 DXI393216:DXJ393216 EHE393216:EHF393216 ERA393216:ERB393216 FAW393216:FAX393216 FKS393216:FKT393216 FUO393216:FUP393216 GEK393216:GEL393216 GOG393216:GOH393216 GYC393216:GYD393216 HHY393216:HHZ393216 HRU393216:HRV393216 IBQ393216:IBR393216 ILM393216:ILN393216 IVI393216:IVJ393216 JFE393216:JFF393216 JPA393216:JPB393216 JYW393216:JYX393216 KIS393216:KIT393216 KSO393216:KSP393216 LCK393216:LCL393216 LMG393216:LMH393216 LWC393216:LWD393216 MFY393216:MFZ393216 MPU393216:MPV393216 MZQ393216:MZR393216 NJM393216:NJN393216 NTI393216:NTJ393216 ODE393216:ODF393216 ONA393216:ONB393216 OWW393216:OWX393216 PGS393216:PGT393216 PQO393216:PQP393216 QAK393216:QAL393216 QKG393216:QKH393216 QUC393216:QUD393216 RDY393216:RDZ393216 RNU393216:RNV393216 RXQ393216:RXR393216 SHM393216:SHN393216 SRI393216:SRJ393216 TBE393216:TBF393216 TLA393216:TLB393216 TUW393216:TUX393216 UES393216:UET393216 UOO393216:UOP393216 UYK393216:UYL393216 VIG393216:VIH393216 VSC393216:VSD393216 WBY393216:WBZ393216 WLU393216:WLV393216 WVQ393216:WVR393216 J458752:L458752 JE458752:JF458752 TA458752:TB458752 ACW458752:ACX458752 AMS458752:AMT458752 AWO458752:AWP458752 BGK458752:BGL458752 BQG458752:BQH458752 CAC458752:CAD458752 CJY458752:CJZ458752 CTU458752:CTV458752 DDQ458752:DDR458752 DNM458752:DNN458752 DXI458752:DXJ458752 EHE458752:EHF458752 ERA458752:ERB458752 FAW458752:FAX458752 FKS458752:FKT458752 FUO458752:FUP458752 GEK458752:GEL458752 GOG458752:GOH458752 GYC458752:GYD458752 HHY458752:HHZ458752 HRU458752:HRV458752 IBQ458752:IBR458752 ILM458752:ILN458752 IVI458752:IVJ458752 JFE458752:JFF458752 JPA458752:JPB458752 JYW458752:JYX458752 KIS458752:KIT458752 KSO458752:KSP458752 LCK458752:LCL458752 LMG458752:LMH458752 LWC458752:LWD458752 MFY458752:MFZ458752 MPU458752:MPV458752 MZQ458752:MZR458752 NJM458752:NJN458752 NTI458752:NTJ458752 ODE458752:ODF458752 ONA458752:ONB458752 OWW458752:OWX458752 PGS458752:PGT458752 PQO458752:PQP458752 QAK458752:QAL458752 QKG458752:QKH458752 QUC458752:QUD458752 RDY458752:RDZ458752 RNU458752:RNV458752 RXQ458752:RXR458752 SHM458752:SHN458752 SRI458752:SRJ458752 TBE458752:TBF458752 TLA458752:TLB458752 TUW458752:TUX458752 UES458752:UET458752 UOO458752:UOP458752 UYK458752:UYL458752 VIG458752:VIH458752 VSC458752:VSD458752 WBY458752:WBZ458752 WLU458752:WLV458752 WVQ458752:WVR458752 J524288:L524288 JE524288:JF524288 TA524288:TB524288 ACW524288:ACX524288 AMS524288:AMT524288 AWO524288:AWP524288 BGK524288:BGL524288 BQG524288:BQH524288 CAC524288:CAD524288 CJY524288:CJZ524288 CTU524288:CTV524288 DDQ524288:DDR524288 DNM524288:DNN524288 DXI524288:DXJ524288 EHE524288:EHF524288 ERA524288:ERB524288 FAW524288:FAX524288 FKS524288:FKT524288 FUO524288:FUP524288 GEK524288:GEL524288 GOG524288:GOH524288 GYC524288:GYD524288 HHY524288:HHZ524288 HRU524288:HRV524288 IBQ524288:IBR524288 ILM524288:ILN524288 IVI524288:IVJ524288 JFE524288:JFF524288 JPA524288:JPB524288 JYW524288:JYX524288 KIS524288:KIT524288 KSO524288:KSP524288 LCK524288:LCL524288 LMG524288:LMH524288 LWC524288:LWD524288 MFY524288:MFZ524288 MPU524288:MPV524288 MZQ524288:MZR524288 NJM524288:NJN524288 NTI524288:NTJ524288 ODE524288:ODF524288 ONA524288:ONB524288 OWW524288:OWX524288 PGS524288:PGT524288 PQO524288:PQP524288 QAK524288:QAL524288 QKG524288:QKH524288 QUC524288:QUD524288 RDY524288:RDZ524288 RNU524288:RNV524288 RXQ524288:RXR524288 SHM524288:SHN524288 SRI524288:SRJ524288 TBE524288:TBF524288 TLA524288:TLB524288 TUW524288:TUX524288 UES524288:UET524288 UOO524288:UOP524288 UYK524288:UYL524288 VIG524288:VIH524288 VSC524288:VSD524288 WBY524288:WBZ524288 WLU524288:WLV524288 WVQ524288:WVR524288 J589824:L589824 JE589824:JF589824 TA589824:TB589824 ACW589824:ACX589824 AMS589824:AMT589824 AWO589824:AWP589824 BGK589824:BGL589824 BQG589824:BQH589824 CAC589824:CAD589824 CJY589824:CJZ589824 CTU589824:CTV589824 DDQ589824:DDR589824 DNM589824:DNN589824 DXI589824:DXJ589824 EHE589824:EHF589824 ERA589824:ERB589824 FAW589824:FAX589824 FKS589824:FKT589824 FUO589824:FUP589824 GEK589824:GEL589824 GOG589824:GOH589824 GYC589824:GYD589824 HHY589824:HHZ589824 HRU589824:HRV589824 IBQ589824:IBR589824 ILM589824:ILN589824 IVI589824:IVJ589824 JFE589824:JFF589824 JPA589824:JPB589824 JYW589824:JYX589824 KIS589824:KIT589824 KSO589824:KSP589824 LCK589824:LCL589824 LMG589824:LMH589824 LWC589824:LWD589824 MFY589824:MFZ589824 MPU589824:MPV589824 MZQ589824:MZR589824 NJM589824:NJN589824 NTI589824:NTJ589824 ODE589824:ODF589824 ONA589824:ONB589824 OWW589824:OWX589824 PGS589824:PGT589824 PQO589824:PQP589824 QAK589824:QAL589824 QKG589824:QKH589824 QUC589824:QUD589824 RDY589824:RDZ589824 RNU589824:RNV589824 RXQ589824:RXR589824 SHM589824:SHN589824 SRI589824:SRJ589824 TBE589824:TBF589824 TLA589824:TLB589824 TUW589824:TUX589824 UES589824:UET589824 UOO589824:UOP589824 UYK589824:UYL589824 VIG589824:VIH589824 VSC589824:VSD589824 WBY589824:WBZ589824 WLU589824:WLV589824 WVQ589824:WVR589824 J655360:L655360 JE655360:JF655360 TA655360:TB655360 ACW655360:ACX655360 AMS655360:AMT655360 AWO655360:AWP655360 BGK655360:BGL655360 BQG655360:BQH655360 CAC655360:CAD655360 CJY655360:CJZ655360 CTU655360:CTV655360 DDQ655360:DDR655360 DNM655360:DNN655360 DXI655360:DXJ655360 EHE655360:EHF655360 ERA655360:ERB655360 FAW655360:FAX655360 FKS655360:FKT655360 FUO655360:FUP655360 GEK655360:GEL655360 GOG655360:GOH655360 GYC655360:GYD655360 HHY655360:HHZ655360 HRU655360:HRV655360 IBQ655360:IBR655360 ILM655360:ILN655360 IVI655360:IVJ655360 JFE655360:JFF655360 JPA655360:JPB655360 JYW655360:JYX655360 KIS655360:KIT655360 KSO655360:KSP655360 LCK655360:LCL655360 LMG655360:LMH655360 LWC655360:LWD655360 MFY655360:MFZ655360 MPU655360:MPV655360 MZQ655360:MZR655360 NJM655360:NJN655360 NTI655360:NTJ655360 ODE655360:ODF655360 ONA655360:ONB655360 OWW655360:OWX655360 PGS655360:PGT655360 PQO655360:PQP655360 QAK655360:QAL655360 QKG655360:QKH655360 QUC655360:QUD655360 RDY655360:RDZ655360 RNU655360:RNV655360 RXQ655360:RXR655360 SHM655360:SHN655360 SRI655360:SRJ655360 TBE655360:TBF655360 TLA655360:TLB655360 TUW655360:TUX655360 UES655360:UET655360 UOO655360:UOP655360 UYK655360:UYL655360 VIG655360:VIH655360 VSC655360:VSD655360 WBY655360:WBZ655360 WLU655360:WLV655360 WVQ655360:WVR655360 J720896:L720896 JE720896:JF720896 TA720896:TB720896 ACW720896:ACX720896 AMS720896:AMT720896 AWO720896:AWP720896 BGK720896:BGL720896 BQG720896:BQH720896 CAC720896:CAD720896 CJY720896:CJZ720896 CTU720896:CTV720896 DDQ720896:DDR720896 DNM720896:DNN720896 DXI720896:DXJ720896 EHE720896:EHF720896 ERA720896:ERB720896 FAW720896:FAX720896 FKS720896:FKT720896 FUO720896:FUP720896 GEK720896:GEL720896 GOG720896:GOH720896 GYC720896:GYD720896 HHY720896:HHZ720896 HRU720896:HRV720896 IBQ720896:IBR720896 ILM720896:ILN720896 IVI720896:IVJ720896 JFE720896:JFF720896 JPA720896:JPB720896 JYW720896:JYX720896 KIS720896:KIT720896 KSO720896:KSP720896 LCK720896:LCL720896 LMG720896:LMH720896 LWC720896:LWD720896 MFY720896:MFZ720896 MPU720896:MPV720896 MZQ720896:MZR720896 NJM720896:NJN720896 NTI720896:NTJ720896 ODE720896:ODF720896 ONA720896:ONB720896 OWW720896:OWX720896 PGS720896:PGT720896 PQO720896:PQP720896 QAK720896:QAL720896 QKG720896:QKH720896 QUC720896:QUD720896 RDY720896:RDZ720896 RNU720896:RNV720896 RXQ720896:RXR720896 SHM720896:SHN720896 SRI720896:SRJ720896 TBE720896:TBF720896 TLA720896:TLB720896 TUW720896:TUX720896 UES720896:UET720896 UOO720896:UOP720896 UYK720896:UYL720896 VIG720896:VIH720896 VSC720896:VSD720896 WBY720896:WBZ720896 WLU720896:WLV720896 WVQ720896:WVR720896 J786432:L786432 JE786432:JF786432 TA786432:TB786432 ACW786432:ACX786432 AMS786432:AMT786432 AWO786432:AWP786432 BGK786432:BGL786432 BQG786432:BQH786432 CAC786432:CAD786432 CJY786432:CJZ786432 CTU786432:CTV786432 DDQ786432:DDR786432 DNM786432:DNN786432 DXI786432:DXJ786432 EHE786432:EHF786432 ERA786432:ERB786432 FAW786432:FAX786432 FKS786432:FKT786432 FUO786432:FUP786432 GEK786432:GEL786432 GOG786432:GOH786432 GYC786432:GYD786432 HHY786432:HHZ786432 HRU786432:HRV786432 IBQ786432:IBR786432 ILM786432:ILN786432 IVI786432:IVJ786432 JFE786432:JFF786432 JPA786432:JPB786432 JYW786432:JYX786432 KIS786432:KIT786432 KSO786432:KSP786432 LCK786432:LCL786432 LMG786432:LMH786432 LWC786432:LWD786432 MFY786432:MFZ786432 MPU786432:MPV786432 MZQ786432:MZR786432 NJM786432:NJN786432 NTI786432:NTJ786432 ODE786432:ODF786432 ONA786432:ONB786432 OWW786432:OWX786432 PGS786432:PGT786432 PQO786432:PQP786432 QAK786432:QAL786432 QKG786432:QKH786432 QUC786432:QUD786432 RDY786432:RDZ786432 RNU786432:RNV786432 RXQ786432:RXR786432 SHM786432:SHN786432 SRI786432:SRJ786432 TBE786432:TBF786432 TLA786432:TLB786432 TUW786432:TUX786432 UES786432:UET786432 UOO786432:UOP786432 UYK786432:UYL786432 VIG786432:VIH786432 VSC786432:VSD786432 WBY786432:WBZ786432 WLU786432:WLV786432 WVQ786432:WVR786432 J851968:L851968 JE851968:JF851968 TA851968:TB851968 ACW851968:ACX851968 AMS851968:AMT851968 AWO851968:AWP851968 BGK851968:BGL851968 BQG851968:BQH851968 CAC851968:CAD851968 CJY851968:CJZ851968 CTU851968:CTV851968 DDQ851968:DDR851968 DNM851968:DNN851968 DXI851968:DXJ851968 EHE851968:EHF851968 ERA851968:ERB851968 FAW851968:FAX851968 FKS851968:FKT851968 FUO851968:FUP851968 GEK851968:GEL851968 GOG851968:GOH851968 GYC851968:GYD851968 HHY851968:HHZ851968 HRU851968:HRV851968 IBQ851968:IBR851968 ILM851968:ILN851968 IVI851968:IVJ851968 JFE851968:JFF851968 JPA851968:JPB851968 JYW851968:JYX851968 KIS851968:KIT851968 KSO851968:KSP851968 LCK851968:LCL851968 LMG851968:LMH851968 LWC851968:LWD851968 MFY851968:MFZ851968 MPU851968:MPV851968 MZQ851968:MZR851968 NJM851968:NJN851968 NTI851968:NTJ851968 ODE851968:ODF851968 ONA851968:ONB851968 OWW851968:OWX851968 PGS851968:PGT851968 PQO851968:PQP851968 QAK851968:QAL851968 QKG851968:QKH851968 QUC851968:QUD851968 RDY851968:RDZ851968 RNU851968:RNV851968 RXQ851968:RXR851968 SHM851968:SHN851968 SRI851968:SRJ851968 TBE851968:TBF851968 TLA851968:TLB851968 TUW851968:TUX851968 UES851968:UET851968 UOO851968:UOP851968 UYK851968:UYL851968 VIG851968:VIH851968 VSC851968:VSD851968 WBY851968:WBZ851968 WLU851968:WLV851968 WVQ851968:WVR851968 J917504:L917504 JE917504:JF917504 TA917504:TB917504 ACW917504:ACX917504 AMS917504:AMT917504 AWO917504:AWP917504 BGK917504:BGL917504 BQG917504:BQH917504 CAC917504:CAD917504 CJY917504:CJZ917504 CTU917504:CTV917504 DDQ917504:DDR917504 DNM917504:DNN917504 DXI917504:DXJ917504 EHE917504:EHF917504 ERA917504:ERB917504 FAW917504:FAX917504 FKS917504:FKT917504 FUO917504:FUP917504 GEK917504:GEL917504 GOG917504:GOH917504 GYC917504:GYD917504 HHY917504:HHZ917504 HRU917504:HRV917504 IBQ917504:IBR917504 ILM917504:ILN917504 IVI917504:IVJ917504 JFE917504:JFF917504 JPA917504:JPB917504 JYW917504:JYX917504 KIS917504:KIT917504 KSO917504:KSP917504 LCK917504:LCL917504 LMG917504:LMH917504 LWC917504:LWD917504 MFY917504:MFZ917504 MPU917504:MPV917504 MZQ917504:MZR917504 NJM917504:NJN917504 NTI917504:NTJ917504 ODE917504:ODF917504 ONA917504:ONB917504 OWW917504:OWX917504 PGS917504:PGT917504 PQO917504:PQP917504 QAK917504:QAL917504 QKG917504:QKH917504 QUC917504:QUD917504 RDY917504:RDZ917504 RNU917504:RNV917504 RXQ917504:RXR917504 SHM917504:SHN917504 SRI917504:SRJ917504 TBE917504:TBF917504 TLA917504:TLB917504 TUW917504:TUX917504 UES917504:UET917504 UOO917504:UOP917504 UYK917504:UYL917504 VIG917504:VIH917504 VSC917504:VSD917504 WBY917504:WBZ917504 WLU917504:WLV917504 WVQ917504:WVR917504 J983040:L983040 JE983040:JF983040 TA983040:TB983040 ACW983040:ACX983040 AMS983040:AMT983040 AWO983040:AWP983040 BGK983040:BGL983040 BQG983040:BQH983040 CAC983040:CAD983040 CJY983040:CJZ983040 CTU983040:CTV983040 DDQ983040:DDR983040 DNM983040:DNN983040 DXI983040:DXJ983040 EHE983040:EHF983040 ERA983040:ERB983040 FAW983040:FAX983040 FKS983040:FKT983040 FUO983040:FUP983040 GEK983040:GEL983040 GOG983040:GOH983040 GYC983040:GYD983040 HHY983040:HHZ983040 HRU983040:HRV983040 IBQ983040:IBR983040 ILM983040:ILN983040 IVI983040:IVJ983040 JFE983040:JFF983040 JPA983040:JPB983040 JYW983040:JYX983040 KIS983040:KIT983040 KSO983040:KSP983040 LCK983040:LCL983040 LMG983040:LMH983040 LWC983040:LWD983040 MFY983040:MFZ983040 MPU983040:MPV983040 MZQ983040:MZR983040 NJM983040:NJN983040 NTI983040:NTJ983040 ODE983040:ODF983040 ONA983040:ONB983040 OWW983040:OWX983040 PGS983040:PGT983040 PQO983040:PQP983040 QAK983040:QAL983040 QKG983040:QKH983040 QUC983040:QUD983040 RDY983040:RDZ983040 RNU983040:RNV983040 RXQ983040:RXR983040 SHM983040:SHN983040 SRI983040:SRJ983040 TBE983040:TBF983040 TLA983040:TLB983040 TUW983040:TUX983040 UES983040:UET983040 UOO983040:UOP983040 UYK983040:UYL983040 VIG983040:VIH983040 VSC983040:VSD983040 WBY983040:WBZ983040 WLU983040:WLV983040 WVQ983040:WVR983040" xr:uid="{00000000-0002-0000-0300-000000000000}">
      <formula1>0</formula1>
      <formula2>50</formula2>
    </dataValidation>
    <dataValidation type="textLength" allowBlank="1" showInputMessage="1" showErrorMessage="1" sqref="WVI983040:WVJ983040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6:B65536 IW65536:IX65536 SS65536:ST65536 ACO65536:ACP65536 AMK65536:AML65536 AWG65536:AWH65536 BGC65536:BGD65536 BPY65536:BPZ65536 BZU65536:BZV65536 CJQ65536:CJR65536 CTM65536:CTN65536 DDI65536:DDJ65536 DNE65536:DNF65536 DXA65536:DXB65536 EGW65536:EGX65536 EQS65536:EQT65536 FAO65536:FAP65536 FKK65536:FKL65536 FUG65536:FUH65536 GEC65536:GED65536 GNY65536:GNZ65536 GXU65536:GXV65536 HHQ65536:HHR65536 HRM65536:HRN65536 IBI65536:IBJ65536 ILE65536:ILF65536 IVA65536:IVB65536 JEW65536:JEX65536 JOS65536:JOT65536 JYO65536:JYP65536 KIK65536:KIL65536 KSG65536:KSH65536 LCC65536:LCD65536 LLY65536:LLZ65536 LVU65536:LVV65536 MFQ65536:MFR65536 MPM65536:MPN65536 MZI65536:MZJ65536 NJE65536:NJF65536 NTA65536:NTB65536 OCW65536:OCX65536 OMS65536:OMT65536 OWO65536:OWP65536 PGK65536:PGL65536 PQG65536:PQH65536 QAC65536:QAD65536 QJY65536:QJZ65536 QTU65536:QTV65536 RDQ65536:RDR65536 RNM65536:RNN65536 RXI65536:RXJ65536 SHE65536:SHF65536 SRA65536:SRB65536 TAW65536:TAX65536 TKS65536:TKT65536 TUO65536:TUP65536 UEK65536:UEL65536 UOG65536:UOH65536 UYC65536:UYD65536 VHY65536:VHZ65536 VRU65536:VRV65536 WBQ65536:WBR65536 WLM65536:WLN65536 WVI65536:WVJ65536 A131072:B131072 IW131072:IX131072 SS131072:ST131072 ACO131072:ACP131072 AMK131072:AML131072 AWG131072:AWH131072 BGC131072:BGD131072 BPY131072:BPZ131072 BZU131072:BZV131072 CJQ131072:CJR131072 CTM131072:CTN131072 DDI131072:DDJ131072 DNE131072:DNF131072 DXA131072:DXB131072 EGW131072:EGX131072 EQS131072:EQT131072 FAO131072:FAP131072 FKK131072:FKL131072 FUG131072:FUH131072 GEC131072:GED131072 GNY131072:GNZ131072 GXU131072:GXV131072 HHQ131072:HHR131072 HRM131072:HRN131072 IBI131072:IBJ131072 ILE131072:ILF131072 IVA131072:IVB131072 JEW131072:JEX131072 JOS131072:JOT131072 JYO131072:JYP131072 KIK131072:KIL131072 KSG131072:KSH131072 LCC131072:LCD131072 LLY131072:LLZ131072 LVU131072:LVV131072 MFQ131072:MFR131072 MPM131072:MPN131072 MZI131072:MZJ131072 NJE131072:NJF131072 NTA131072:NTB131072 OCW131072:OCX131072 OMS131072:OMT131072 OWO131072:OWP131072 PGK131072:PGL131072 PQG131072:PQH131072 QAC131072:QAD131072 QJY131072:QJZ131072 QTU131072:QTV131072 RDQ131072:RDR131072 RNM131072:RNN131072 RXI131072:RXJ131072 SHE131072:SHF131072 SRA131072:SRB131072 TAW131072:TAX131072 TKS131072:TKT131072 TUO131072:TUP131072 UEK131072:UEL131072 UOG131072:UOH131072 UYC131072:UYD131072 VHY131072:VHZ131072 VRU131072:VRV131072 WBQ131072:WBR131072 WLM131072:WLN131072 WVI131072:WVJ131072 A196608:B196608 IW196608:IX196608 SS196608:ST196608 ACO196608:ACP196608 AMK196608:AML196608 AWG196608:AWH196608 BGC196608:BGD196608 BPY196608:BPZ196608 BZU196608:BZV196608 CJQ196608:CJR196608 CTM196608:CTN196608 DDI196608:DDJ196608 DNE196608:DNF196608 DXA196608:DXB196608 EGW196608:EGX196608 EQS196608:EQT196608 FAO196608:FAP196608 FKK196608:FKL196608 FUG196608:FUH196608 GEC196608:GED196608 GNY196608:GNZ196608 GXU196608:GXV196608 HHQ196608:HHR196608 HRM196608:HRN196608 IBI196608:IBJ196608 ILE196608:ILF196608 IVA196608:IVB196608 JEW196608:JEX196608 JOS196608:JOT196608 JYO196608:JYP196608 KIK196608:KIL196608 KSG196608:KSH196608 LCC196608:LCD196608 LLY196608:LLZ196608 LVU196608:LVV196608 MFQ196608:MFR196608 MPM196608:MPN196608 MZI196608:MZJ196608 NJE196608:NJF196608 NTA196608:NTB196608 OCW196608:OCX196608 OMS196608:OMT196608 OWO196608:OWP196608 PGK196608:PGL196608 PQG196608:PQH196608 QAC196608:QAD196608 QJY196608:QJZ196608 QTU196608:QTV196608 RDQ196608:RDR196608 RNM196608:RNN196608 RXI196608:RXJ196608 SHE196608:SHF196608 SRA196608:SRB196608 TAW196608:TAX196608 TKS196608:TKT196608 TUO196608:TUP196608 UEK196608:UEL196608 UOG196608:UOH196608 UYC196608:UYD196608 VHY196608:VHZ196608 VRU196608:VRV196608 WBQ196608:WBR196608 WLM196608:WLN196608 WVI196608:WVJ196608 A262144:B262144 IW262144:IX262144 SS262144:ST262144 ACO262144:ACP262144 AMK262144:AML262144 AWG262144:AWH262144 BGC262144:BGD262144 BPY262144:BPZ262144 BZU262144:BZV262144 CJQ262144:CJR262144 CTM262144:CTN262144 DDI262144:DDJ262144 DNE262144:DNF262144 DXA262144:DXB262144 EGW262144:EGX262144 EQS262144:EQT262144 FAO262144:FAP262144 FKK262144:FKL262144 FUG262144:FUH262144 GEC262144:GED262144 GNY262144:GNZ262144 GXU262144:GXV262144 HHQ262144:HHR262144 HRM262144:HRN262144 IBI262144:IBJ262144 ILE262144:ILF262144 IVA262144:IVB262144 JEW262144:JEX262144 JOS262144:JOT262144 JYO262144:JYP262144 KIK262144:KIL262144 KSG262144:KSH262144 LCC262144:LCD262144 LLY262144:LLZ262144 LVU262144:LVV262144 MFQ262144:MFR262144 MPM262144:MPN262144 MZI262144:MZJ262144 NJE262144:NJF262144 NTA262144:NTB262144 OCW262144:OCX262144 OMS262144:OMT262144 OWO262144:OWP262144 PGK262144:PGL262144 PQG262144:PQH262144 QAC262144:QAD262144 QJY262144:QJZ262144 QTU262144:QTV262144 RDQ262144:RDR262144 RNM262144:RNN262144 RXI262144:RXJ262144 SHE262144:SHF262144 SRA262144:SRB262144 TAW262144:TAX262144 TKS262144:TKT262144 TUO262144:TUP262144 UEK262144:UEL262144 UOG262144:UOH262144 UYC262144:UYD262144 VHY262144:VHZ262144 VRU262144:VRV262144 WBQ262144:WBR262144 WLM262144:WLN262144 WVI262144:WVJ262144 A327680:B327680 IW327680:IX327680 SS327680:ST327680 ACO327680:ACP327680 AMK327680:AML327680 AWG327680:AWH327680 BGC327680:BGD327680 BPY327680:BPZ327680 BZU327680:BZV327680 CJQ327680:CJR327680 CTM327680:CTN327680 DDI327680:DDJ327680 DNE327680:DNF327680 DXA327680:DXB327680 EGW327680:EGX327680 EQS327680:EQT327680 FAO327680:FAP327680 FKK327680:FKL327680 FUG327680:FUH327680 GEC327680:GED327680 GNY327680:GNZ327680 GXU327680:GXV327680 HHQ327680:HHR327680 HRM327680:HRN327680 IBI327680:IBJ327680 ILE327680:ILF327680 IVA327680:IVB327680 JEW327680:JEX327680 JOS327680:JOT327680 JYO327680:JYP327680 KIK327680:KIL327680 KSG327680:KSH327680 LCC327680:LCD327680 LLY327680:LLZ327680 LVU327680:LVV327680 MFQ327680:MFR327680 MPM327680:MPN327680 MZI327680:MZJ327680 NJE327680:NJF327680 NTA327680:NTB327680 OCW327680:OCX327680 OMS327680:OMT327680 OWO327680:OWP327680 PGK327680:PGL327680 PQG327680:PQH327680 QAC327680:QAD327680 QJY327680:QJZ327680 QTU327680:QTV327680 RDQ327680:RDR327680 RNM327680:RNN327680 RXI327680:RXJ327680 SHE327680:SHF327680 SRA327680:SRB327680 TAW327680:TAX327680 TKS327680:TKT327680 TUO327680:TUP327680 UEK327680:UEL327680 UOG327680:UOH327680 UYC327680:UYD327680 VHY327680:VHZ327680 VRU327680:VRV327680 WBQ327680:WBR327680 WLM327680:WLN327680 WVI327680:WVJ327680 A393216:B393216 IW393216:IX393216 SS393216:ST393216 ACO393216:ACP393216 AMK393216:AML393216 AWG393216:AWH393216 BGC393216:BGD393216 BPY393216:BPZ393216 BZU393216:BZV393216 CJQ393216:CJR393216 CTM393216:CTN393216 DDI393216:DDJ393216 DNE393216:DNF393216 DXA393216:DXB393216 EGW393216:EGX393216 EQS393216:EQT393216 FAO393216:FAP393216 FKK393216:FKL393216 FUG393216:FUH393216 GEC393216:GED393216 GNY393216:GNZ393216 GXU393216:GXV393216 HHQ393216:HHR393216 HRM393216:HRN393216 IBI393216:IBJ393216 ILE393216:ILF393216 IVA393216:IVB393216 JEW393216:JEX393216 JOS393216:JOT393216 JYO393216:JYP393216 KIK393216:KIL393216 KSG393216:KSH393216 LCC393216:LCD393216 LLY393216:LLZ393216 LVU393216:LVV393216 MFQ393216:MFR393216 MPM393216:MPN393216 MZI393216:MZJ393216 NJE393216:NJF393216 NTA393216:NTB393216 OCW393216:OCX393216 OMS393216:OMT393216 OWO393216:OWP393216 PGK393216:PGL393216 PQG393216:PQH393216 QAC393216:QAD393216 QJY393216:QJZ393216 QTU393216:QTV393216 RDQ393216:RDR393216 RNM393216:RNN393216 RXI393216:RXJ393216 SHE393216:SHF393216 SRA393216:SRB393216 TAW393216:TAX393216 TKS393216:TKT393216 TUO393216:TUP393216 UEK393216:UEL393216 UOG393216:UOH393216 UYC393216:UYD393216 VHY393216:VHZ393216 VRU393216:VRV393216 WBQ393216:WBR393216 WLM393216:WLN393216 WVI393216:WVJ393216 A458752:B458752 IW458752:IX458752 SS458752:ST458752 ACO458752:ACP458752 AMK458752:AML458752 AWG458752:AWH458752 BGC458752:BGD458752 BPY458752:BPZ458752 BZU458752:BZV458752 CJQ458752:CJR458752 CTM458752:CTN458752 DDI458752:DDJ458752 DNE458752:DNF458752 DXA458752:DXB458752 EGW458752:EGX458752 EQS458752:EQT458752 FAO458752:FAP458752 FKK458752:FKL458752 FUG458752:FUH458752 GEC458752:GED458752 GNY458752:GNZ458752 GXU458752:GXV458752 HHQ458752:HHR458752 HRM458752:HRN458752 IBI458752:IBJ458752 ILE458752:ILF458752 IVA458752:IVB458752 JEW458752:JEX458752 JOS458752:JOT458752 JYO458752:JYP458752 KIK458752:KIL458752 KSG458752:KSH458752 LCC458752:LCD458752 LLY458752:LLZ458752 LVU458752:LVV458752 MFQ458752:MFR458752 MPM458752:MPN458752 MZI458752:MZJ458752 NJE458752:NJF458752 NTA458752:NTB458752 OCW458752:OCX458752 OMS458752:OMT458752 OWO458752:OWP458752 PGK458752:PGL458752 PQG458752:PQH458752 QAC458752:QAD458752 QJY458752:QJZ458752 QTU458752:QTV458752 RDQ458752:RDR458752 RNM458752:RNN458752 RXI458752:RXJ458752 SHE458752:SHF458752 SRA458752:SRB458752 TAW458752:TAX458752 TKS458752:TKT458752 TUO458752:TUP458752 UEK458752:UEL458752 UOG458752:UOH458752 UYC458752:UYD458752 VHY458752:VHZ458752 VRU458752:VRV458752 WBQ458752:WBR458752 WLM458752:WLN458752 WVI458752:WVJ458752 A524288:B524288 IW524288:IX524288 SS524288:ST524288 ACO524288:ACP524288 AMK524288:AML524288 AWG524288:AWH524288 BGC524288:BGD524288 BPY524288:BPZ524288 BZU524288:BZV524288 CJQ524288:CJR524288 CTM524288:CTN524288 DDI524288:DDJ524288 DNE524288:DNF524288 DXA524288:DXB524288 EGW524288:EGX524288 EQS524288:EQT524288 FAO524288:FAP524288 FKK524288:FKL524288 FUG524288:FUH524288 GEC524288:GED524288 GNY524288:GNZ524288 GXU524288:GXV524288 HHQ524288:HHR524288 HRM524288:HRN524288 IBI524288:IBJ524288 ILE524288:ILF524288 IVA524288:IVB524288 JEW524288:JEX524288 JOS524288:JOT524288 JYO524288:JYP524288 KIK524288:KIL524288 KSG524288:KSH524288 LCC524288:LCD524288 LLY524288:LLZ524288 LVU524288:LVV524288 MFQ524288:MFR524288 MPM524288:MPN524288 MZI524288:MZJ524288 NJE524288:NJF524288 NTA524288:NTB524288 OCW524288:OCX524288 OMS524288:OMT524288 OWO524288:OWP524288 PGK524288:PGL524288 PQG524288:PQH524288 QAC524288:QAD524288 QJY524288:QJZ524288 QTU524288:QTV524288 RDQ524288:RDR524288 RNM524288:RNN524288 RXI524288:RXJ524288 SHE524288:SHF524288 SRA524288:SRB524288 TAW524288:TAX524288 TKS524288:TKT524288 TUO524288:TUP524288 UEK524288:UEL524288 UOG524288:UOH524288 UYC524288:UYD524288 VHY524288:VHZ524288 VRU524288:VRV524288 WBQ524288:WBR524288 WLM524288:WLN524288 WVI524288:WVJ524288 A589824:B589824 IW589824:IX589824 SS589824:ST589824 ACO589824:ACP589824 AMK589824:AML589824 AWG589824:AWH589824 BGC589824:BGD589824 BPY589824:BPZ589824 BZU589824:BZV589824 CJQ589824:CJR589824 CTM589824:CTN589824 DDI589824:DDJ589824 DNE589824:DNF589824 DXA589824:DXB589824 EGW589824:EGX589824 EQS589824:EQT589824 FAO589824:FAP589824 FKK589824:FKL589824 FUG589824:FUH589824 GEC589824:GED589824 GNY589824:GNZ589824 GXU589824:GXV589824 HHQ589824:HHR589824 HRM589824:HRN589824 IBI589824:IBJ589824 ILE589824:ILF589824 IVA589824:IVB589824 JEW589824:JEX589824 JOS589824:JOT589824 JYO589824:JYP589824 KIK589824:KIL589824 KSG589824:KSH589824 LCC589824:LCD589824 LLY589824:LLZ589824 LVU589824:LVV589824 MFQ589824:MFR589824 MPM589824:MPN589824 MZI589824:MZJ589824 NJE589824:NJF589824 NTA589824:NTB589824 OCW589824:OCX589824 OMS589824:OMT589824 OWO589824:OWP589824 PGK589824:PGL589824 PQG589824:PQH589824 QAC589824:QAD589824 QJY589824:QJZ589824 QTU589824:QTV589824 RDQ589824:RDR589824 RNM589824:RNN589824 RXI589824:RXJ589824 SHE589824:SHF589824 SRA589824:SRB589824 TAW589824:TAX589824 TKS589824:TKT589824 TUO589824:TUP589824 UEK589824:UEL589824 UOG589824:UOH589824 UYC589824:UYD589824 VHY589824:VHZ589824 VRU589824:VRV589824 WBQ589824:WBR589824 WLM589824:WLN589824 WVI589824:WVJ589824 A655360:B655360 IW655360:IX655360 SS655360:ST655360 ACO655360:ACP655360 AMK655360:AML655360 AWG655360:AWH655360 BGC655360:BGD655360 BPY655360:BPZ655360 BZU655360:BZV655360 CJQ655360:CJR655360 CTM655360:CTN655360 DDI655360:DDJ655360 DNE655360:DNF655360 DXA655360:DXB655360 EGW655360:EGX655360 EQS655360:EQT655360 FAO655360:FAP655360 FKK655360:FKL655360 FUG655360:FUH655360 GEC655360:GED655360 GNY655360:GNZ655360 GXU655360:GXV655360 HHQ655360:HHR655360 HRM655360:HRN655360 IBI655360:IBJ655360 ILE655360:ILF655360 IVA655360:IVB655360 JEW655360:JEX655360 JOS655360:JOT655360 JYO655360:JYP655360 KIK655360:KIL655360 KSG655360:KSH655360 LCC655360:LCD655360 LLY655360:LLZ655360 LVU655360:LVV655360 MFQ655360:MFR655360 MPM655360:MPN655360 MZI655360:MZJ655360 NJE655360:NJF655360 NTA655360:NTB655360 OCW655360:OCX655360 OMS655360:OMT655360 OWO655360:OWP655360 PGK655360:PGL655360 PQG655360:PQH655360 QAC655360:QAD655360 QJY655360:QJZ655360 QTU655360:QTV655360 RDQ655360:RDR655360 RNM655360:RNN655360 RXI655360:RXJ655360 SHE655360:SHF655360 SRA655360:SRB655360 TAW655360:TAX655360 TKS655360:TKT655360 TUO655360:TUP655360 UEK655360:UEL655360 UOG655360:UOH655360 UYC655360:UYD655360 VHY655360:VHZ655360 VRU655360:VRV655360 WBQ655360:WBR655360 WLM655360:WLN655360 WVI655360:WVJ655360 A720896:B720896 IW720896:IX720896 SS720896:ST720896 ACO720896:ACP720896 AMK720896:AML720896 AWG720896:AWH720896 BGC720896:BGD720896 BPY720896:BPZ720896 BZU720896:BZV720896 CJQ720896:CJR720896 CTM720896:CTN720896 DDI720896:DDJ720896 DNE720896:DNF720896 DXA720896:DXB720896 EGW720896:EGX720896 EQS720896:EQT720896 FAO720896:FAP720896 FKK720896:FKL720896 FUG720896:FUH720896 GEC720896:GED720896 GNY720896:GNZ720896 GXU720896:GXV720896 HHQ720896:HHR720896 HRM720896:HRN720896 IBI720896:IBJ720896 ILE720896:ILF720896 IVA720896:IVB720896 JEW720896:JEX720896 JOS720896:JOT720896 JYO720896:JYP720896 KIK720896:KIL720896 KSG720896:KSH720896 LCC720896:LCD720896 LLY720896:LLZ720896 LVU720896:LVV720896 MFQ720896:MFR720896 MPM720896:MPN720896 MZI720896:MZJ720896 NJE720896:NJF720896 NTA720896:NTB720896 OCW720896:OCX720896 OMS720896:OMT720896 OWO720896:OWP720896 PGK720896:PGL720896 PQG720896:PQH720896 QAC720896:QAD720896 QJY720896:QJZ720896 QTU720896:QTV720896 RDQ720896:RDR720896 RNM720896:RNN720896 RXI720896:RXJ720896 SHE720896:SHF720896 SRA720896:SRB720896 TAW720896:TAX720896 TKS720896:TKT720896 TUO720896:TUP720896 UEK720896:UEL720896 UOG720896:UOH720896 UYC720896:UYD720896 VHY720896:VHZ720896 VRU720896:VRV720896 WBQ720896:WBR720896 WLM720896:WLN720896 WVI720896:WVJ720896 A786432:B786432 IW786432:IX786432 SS786432:ST786432 ACO786432:ACP786432 AMK786432:AML786432 AWG786432:AWH786432 BGC786432:BGD786432 BPY786432:BPZ786432 BZU786432:BZV786432 CJQ786432:CJR786432 CTM786432:CTN786432 DDI786432:DDJ786432 DNE786432:DNF786432 DXA786432:DXB786432 EGW786432:EGX786432 EQS786432:EQT786432 FAO786432:FAP786432 FKK786432:FKL786432 FUG786432:FUH786432 GEC786432:GED786432 GNY786432:GNZ786432 GXU786432:GXV786432 HHQ786432:HHR786432 HRM786432:HRN786432 IBI786432:IBJ786432 ILE786432:ILF786432 IVA786432:IVB786432 JEW786432:JEX786432 JOS786432:JOT786432 JYO786432:JYP786432 KIK786432:KIL786432 KSG786432:KSH786432 LCC786432:LCD786432 LLY786432:LLZ786432 LVU786432:LVV786432 MFQ786432:MFR786432 MPM786432:MPN786432 MZI786432:MZJ786432 NJE786432:NJF786432 NTA786432:NTB786432 OCW786432:OCX786432 OMS786432:OMT786432 OWO786432:OWP786432 PGK786432:PGL786432 PQG786432:PQH786432 QAC786432:QAD786432 QJY786432:QJZ786432 QTU786432:QTV786432 RDQ786432:RDR786432 RNM786432:RNN786432 RXI786432:RXJ786432 SHE786432:SHF786432 SRA786432:SRB786432 TAW786432:TAX786432 TKS786432:TKT786432 TUO786432:TUP786432 UEK786432:UEL786432 UOG786432:UOH786432 UYC786432:UYD786432 VHY786432:VHZ786432 VRU786432:VRV786432 WBQ786432:WBR786432 WLM786432:WLN786432 WVI786432:WVJ786432 A851968:B851968 IW851968:IX851968 SS851968:ST851968 ACO851968:ACP851968 AMK851968:AML851968 AWG851968:AWH851968 BGC851968:BGD851968 BPY851968:BPZ851968 BZU851968:BZV851968 CJQ851968:CJR851968 CTM851968:CTN851968 DDI851968:DDJ851968 DNE851968:DNF851968 DXA851968:DXB851968 EGW851968:EGX851968 EQS851968:EQT851968 FAO851968:FAP851968 FKK851968:FKL851968 FUG851968:FUH851968 GEC851968:GED851968 GNY851968:GNZ851968 GXU851968:GXV851968 HHQ851968:HHR851968 HRM851968:HRN851968 IBI851968:IBJ851968 ILE851968:ILF851968 IVA851968:IVB851968 JEW851968:JEX851968 JOS851968:JOT851968 JYO851968:JYP851968 KIK851968:KIL851968 KSG851968:KSH851968 LCC851968:LCD851968 LLY851968:LLZ851968 LVU851968:LVV851968 MFQ851968:MFR851968 MPM851968:MPN851968 MZI851968:MZJ851968 NJE851968:NJF851968 NTA851968:NTB851968 OCW851968:OCX851968 OMS851968:OMT851968 OWO851968:OWP851968 PGK851968:PGL851968 PQG851968:PQH851968 QAC851968:QAD851968 QJY851968:QJZ851968 QTU851968:QTV851968 RDQ851968:RDR851968 RNM851968:RNN851968 RXI851968:RXJ851968 SHE851968:SHF851968 SRA851968:SRB851968 TAW851968:TAX851968 TKS851968:TKT851968 TUO851968:TUP851968 UEK851968:UEL851968 UOG851968:UOH851968 UYC851968:UYD851968 VHY851968:VHZ851968 VRU851968:VRV851968 WBQ851968:WBR851968 WLM851968:WLN851968 WVI851968:WVJ851968 A917504:B917504 IW917504:IX917504 SS917504:ST917504 ACO917504:ACP917504 AMK917504:AML917504 AWG917504:AWH917504 BGC917504:BGD917504 BPY917504:BPZ917504 BZU917504:BZV917504 CJQ917504:CJR917504 CTM917504:CTN917504 DDI917504:DDJ917504 DNE917504:DNF917504 DXA917504:DXB917504 EGW917504:EGX917504 EQS917504:EQT917504 FAO917504:FAP917504 FKK917504:FKL917504 FUG917504:FUH917504 GEC917504:GED917504 GNY917504:GNZ917504 GXU917504:GXV917504 HHQ917504:HHR917504 HRM917504:HRN917504 IBI917504:IBJ917504 ILE917504:ILF917504 IVA917504:IVB917504 JEW917504:JEX917504 JOS917504:JOT917504 JYO917504:JYP917504 KIK917504:KIL917504 KSG917504:KSH917504 LCC917504:LCD917504 LLY917504:LLZ917504 LVU917504:LVV917504 MFQ917504:MFR917504 MPM917504:MPN917504 MZI917504:MZJ917504 NJE917504:NJF917504 NTA917504:NTB917504 OCW917504:OCX917504 OMS917504:OMT917504 OWO917504:OWP917504 PGK917504:PGL917504 PQG917504:PQH917504 QAC917504:QAD917504 QJY917504:QJZ917504 QTU917504:QTV917504 RDQ917504:RDR917504 RNM917504:RNN917504 RXI917504:RXJ917504 SHE917504:SHF917504 SRA917504:SRB917504 TAW917504:TAX917504 TKS917504:TKT917504 TUO917504:TUP917504 UEK917504:UEL917504 UOG917504:UOH917504 UYC917504:UYD917504 VHY917504:VHZ917504 VRU917504:VRV917504 WBQ917504:WBR917504 WLM917504:WLN917504 WVI917504:WVJ917504 A983040:B983040 IW983040:IX983040 SS983040:ST983040 ACO983040:ACP983040 AMK983040:AML983040 AWG983040:AWH983040 BGC983040:BGD983040 BPY983040:BPZ983040 BZU983040:BZV983040 CJQ983040:CJR983040 CTM983040:CTN983040 DDI983040:DDJ983040 DNE983040:DNF983040 DXA983040:DXB983040 EGW983040:EGX983040 EQS983040:EQT983040 FAO983040:FAP983040 FKK983040:FKL983040 FUG983040:FUH983040 GEC983040:GED983040 GNY983040:GNZ983040 GXU983040:GXV983040 HHQ983040:HHR983040 HRM983040:HRN983040 IBI983040:IBJ983040 ILE983040:ILF983040 IVA983040:IVB983040 JEW983040:JEX983040 JOS983040:JOT983040 JYO983040:JYP983040 KIK983040:KIL983040 KSG983040:KSH983040 LCC983040:LCD983040 LLY983040:LLZ983040 LVU983040:LVV983040 MFQ983040:MFR983040 MPM983040:MPN983040 MZI983040:MZJ983040 NJE983040:NJF983040 NTA983040:NTB983040 OCW983040:OCX983040 OMS983040:OMT983040 OWO983040:OWP983040 PGK983040:PGL983040 PQG983040:PQH983040 QAC983040:QAD983040 QJY983040:QJZ983040 QTU983040:QTV983040 RDQ983040:RDR983040 RNM983040:RNN983040 RXI983040:RXJ983040 SHE983040:SHF983040 SRA983040:SRB983040 TAW983040:TAX983040 TKS983040:TKT983040 TUO983040:TUP983040 UEK983040:UEL983040 UOG983040:UOH983040 UYC983040:UYD983040 VHY983040:VHZ983040 VRU983040:VRV983040 WBQ983040:WBR983040 WLM983040:WLN983040 A1:B1" xr:uid="{00000000-0002-0000-0300-000001000000}">
      <formula1>0</formula1>
      <formula2>60</formula2>
    </dataValidation>
    <dataValidation type="textLength" allowBlank="1" showInputMessage="1" showErrorMessage="1" sqref="WVK983040:WVP983040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6:I65536 IY65536:JD65536 SU65536:SZ65536 ACQ65536:ACV65536 AMM65536:AMR65536 AWI65536:AWN65536 BGE65536:BGJ65536 BQA65536:BQF65536 BZW65536:CAB65536 CJS65536:CJX65536 CTO65536:CTT65536 DDK65536:DDP65536 DNG65536:DNL65536 DXC65536:DXH65536 EGY65536:EHD65536 EQU65536:EQZ65536 FAQ65536:FAV65536 FKM65536:FKR65536 FUI65536:FUN65536 GEE65536:GEJ65536 GOA65536:GOF65536 GXW65536:GYB65536 HHS65536:HHX65536 HRO65536:HRT65536 IBK65536:IBP65536 ILG65536:ILL65536 IVC65536:IVH65536 JEY65536:JFD65536 JOU65536:JOZ65536 JYQ65536:JYV65536 KIM65536:KIR65536 KSI65536:KSN65536 LCE65536:LCJ65536 LMA65536:LMF65536 LVW65536:LWB65536 MFS65536:MFX65536 MPO65536:MPT65536 MZK65536:MZP65536 NJG65536:NJL65536 NTC65536:NTH65536 OCY65536:ODD65536 OMU65536:OMZ65536 OWQ65536:OWV65536 PGM65536:PGR65536 PQI65536:PQN65536 QAE65536:QAJ65536 QKA65536:QKF65536 QTW65536:QUB65536 RDS65536:RDX65536 RNO65536:RNT65536 RXK65536:RXP65536 SHG65536:SHL65536 SRC65536:SRH65536 TAY65536:TBD65536 TKU65536:TKZ65536 TUQ65536:TUV65536 UEM65536:UER65536 UOI65536:UON65536 UYE65536:UYJ65536 VIA65536:VIF65536 VRW65536:VSB65536 WBS65536:WBX65536 WLO65536:WLT65536 WVK65536:WVP65536 C131072:I131072 IY131072:JD131072 SU131072:SZ131072 ACQ131072:ACV131072 AMM131072:AMR131072 AWI131072:AWN131072 BGE131072:BGJ131072 BQA131072:BQF131072 BZW131072:CAB131072 CJS131072:CJX131072 CTO131072:CTT131072 DDK131072:DDP131072 DNG131072:DNL131072 DXC131072:DXH131072 EGY131072:EHD131072 EQU131072:EQZ131072 FAQ131072:FAV131072 FKM131072:FKR131072 FUI131072:FUN131072 GEE131072:GEJ131072 GOA131072:GOF131072 GXW131072:GYB131072 HHS131072:HHX131072 HRO131072:HRT131072 IBK131072:IBP131072 ILG131072:ILL131072 IVC131072:IVH131072 JEY131072:JFD131072 JOU131072:JOZ131072 JYQ131072:JYV131072 KIM131072:KIR131072 KSI131072:KSN131072 LCE131072:LCJ131072 LMA131072:LMF131072 LVW131072:LWB131072 MFS131072:MFX131072 MPO131072:MPT131072 MZK131072:MZP131072 NJG131072:NJL131072 NTC131072:NTH131072 OCY131072:ODD131072 OMU131072:OMZ131072 OWQ131072:OWV131072 PGM131072:PGR131072 PQI131072:PQN131072 QAE131072:QAJ131072 QKA131072:QKF131072 QTW131072:QUB131072 RDS131072:RDX131072 RNO131072:RNT131072 RXK131072:RXP131072 SHG131072:SHL131072 SRC131072:SRH131072 TAY131072:TBD131072 TKU131072:TKZ131072 TUQ131072:TUV131072 UEM131072:UER131072 UOI131072:UON131072 UYE131072:UYJ131072 VIA131072:VIF131072 VRW131072:VSB131072 WBS131072:WBX131072 WLO131072:WLT131072 WVK131072:WVP131072 C196608:I196608 IY196608:JD196608 SU196608:SZ196608 ACQ196608:ACV196608 AMM196608:AMR196608 AWI196608:AWN196608 BGE196608:BGJ196608 BQA196608:BQF196608 BZW196608:CAB196608 CJS196608:CJX196608 CTO196608:CTT196608 DDK196608:DDP196608 DNG196608:DNL196608 DXC196608:DXH196608 EGY196608:EHD196608 EQU196608:EQZ196608 FAQ196608:FAV196608 FKM196608:FKR196608 FUI196608:FUN196608 GEE196608:GEJ196608 GOA196608:GOF196608 GXW196608:GYB196608 HHS196608:HHX196608 HRO196608:HRT196608 IBK196608:IBP196608 ILG196608:ILL196608 IVC196608:IVH196608 JEY196608:JFD196608 JOU196608:JOZ196608 JYQ196608:JYV196608 KIM196608:KIR196608 KSI196608:KSN196608 LCE196608:LCJ196608 LMA196608:LMF196608 LVW196608:LWB196608 MFS196608:MFX196608 MPO196608:MPT196608 MZK196608:MZP196608 NJG196608:NJL196608 NTC196608:NTH196608 OCY196608:ODD196608 OMU196608:OMZ196608 OWQ196608:OWV196608 PGM196608:PGR196608 PQI196608:PQN196608 QAE196608:QAJ196608 QKA196608:QKF196608 QTW196608:QUB196608 RDS196608:RDX196608 RNO196608:RNT196608 RXK196608:RXP196608 SHG196608:SHL196608 SRC196608:SRH196608 TAY196608:TBD196608 TKU196608:TKZ196608 TUQ196608:TUV196608 UEM196608:UER196608 UOI196608:UON196608 UYE196608:UYJ196608 VIA196608:VIF196608 VRW196608:VSB196608 WBS196608:WBX196608 WLO196608:WLT196608 WVK196608:WVP196608 C262144:I262144 IY262144:JD262144 SU262144:SZ262144 ACQ262144:ACV262144 AMM262144:AMR262144 AWI262144:AWN262144 BGE262144:BGJ262144 BQA262144:BQF262144 BZW262144:CAB262144 CJS262144:CJX262144 CTO262144:CTT262144 DDK262144:DDP262144 DNG262144:DNL262144 DXC262144:DXH262144 EGY262144:EHD262144 EQU262144:EQZ262144 FAQ262144:FAV262144 FKM262144:FKR262144 FUI262144:FUN262144 GEE262144:GEJ262144 GOA262144:GOF262144 GXW262144:GYB262144 HHS262144:HHX262144 HRO262144:HRT262144 IBK262144:IBP262144 ILG262144:ILL262144 IVC262144:IVH262144 JEY262144:JFD262144 JOU262144:JOZ262144 JYQ262144:JYV262144 KIM262144:KIR262144 KSI262144:KSN262144 LCE262144:LCJ262144 LMA262144:LMF262144 LVW262144:LWB262144 MFS262144:MFX262144 MPO262144:MPT262144 MZK262144:MZP262144 NJG262144:NJL262144 NTC262144:NTH262144 OCY262144:ODD262144 OMU262144:OMZ262144 OWQ262144:OWV262144 PGM262144:PGR262144 PQI262144:PQN262144 QAE262144:QAJ262144 QKA262144:QKF262144 QTW262144:QUB262144 RDS262144:RDX262144 RNO262144:RNT262144 RXK262144:RXP262144 SHG262144:SHL262144 SRC262144:SRH262144 TAY262144:TBD262144 TKU262144:TKZ262144 TUQ262144:TUV262144 UEM262144:UER262144 UOI262144:UON262144 UYE262144:UYJ262144 VIA262144:VIF262144 VRW262144:VSB262144 WBS262144:WBX262144 WLO262144:WLT262144 WVK262144:WVP262144 C327680:I327680 IY327680:JD327680 SU327680:SZ327680 ACQ327680:ACV327680 AMM327680:AMR327680 AWI327680:AWN327680 BGE327680:BGJ327680 BQA327680:BQF327680 BZW327680:CAB327680 CJS327680:CJX327680 CTO327680:CTT327680 DDK327680:DDP327680 DNG327680:DNL327680 DXC327680:DXH327680 EGY327680:EHD327680 EQU327680:EQZ327680 FAQ327680:FAV327680 FKM327680:FKR327680 FUI327680:FUN327680 GEE327680:GEJ327680 GOA327680:GOF327680 GXW327680:GYB327680 HHS327680:HHX327680 HRO327680:HRT327680 IBK327680:IBP327680 ILG327680:ILL327680 IVC327680:IVH327680 JEY327680:JFD327680 JOU327680:JOZ327680 JYQ327680:JYV327680 KIM327680:KIR327680 KSI327680:KSN327680 LCE327680:LCJ327680 LMA327680:LMF327680 LVW327680:LWB327680 MFS327680:MFX327680 MPO327680:MPT327680 MZK327680:MZP327680 NJG327680:NJL327680 NTC327680:NTH327680 OCY327680:ODD327680 OMU327680:OMZ327680 OWQ327680:OWV327680 PGM327680:PGR327680 PQI327680:PQN327680 QAE327680:QAJ327680 QKA327680:QKF327680 QTW327680:QUB327680 RDS327680:RDX327680 RNO327680:RNT327680 RXK327680:RXP327680 SHG327680:SHL327680 SRC327680:SRH327680 TAY327680:TBD327680 TKU327680:TKZ327680 TUQ327680:TUV327680 UEM327680:UER327680 UOI327680:UON327680 UYE327680:UYJ327680 VIA327680:VIF327680 VRW327680:VSB327680 WBS327680:WBX327680 WLO327680:WLT327680 WVK327680:WVP327680 C393216:I393216 IY393216:JD393216 SU393216:SZ393216 ACQ393216:ACV393216 AMM393216:AMR393216 AWI393216:AWN393216 BGE393216:BGJ393216 BQA393216:BQF393216 BZW393216:CAB393216 CJS393216:CJX393216 CTO393216:CTT393216 DDK393216:DDP393216 DNG393216:DNL393216 DXC393216:DXH393216 EGY393216:EHD393216 EQU393216:EQZ393216 FAQ393216:FAV393216 FKM393216:FKR393216 FUI393216:FUN393216 GEE393216:GEJ393216 GOA393216:GOF393216 GXW393216:GYB393216 HHS393216:HHX393216 HRO393216:HRT393216 IBK393216:IBP393216 ILG393216:ILL393216 IVC393216:IVH393216 JEY393216:JFD393216 JOU393216:JOZ393216 JYQ393216:JYV393216 KIM393216:KIR393216 KSI393216:KSN393216 LCE393216:LCJ393216 LMA393216:LMF393216 LVW393216:LWB393216 MFS393216:MFX393216 MPO393216:MPT393216 MZK393216:MZP393216 NJG393216:NJL393216 NTC393216:NTH393216 OCY393216:ODD393216 OMU393216:OMZ393216 OWQ393216:OWV393216 PGM393216:PGR393216 PQI393216:PQN393216 QAE393216:QAJ393216 QKA393216:QKF393216 QTW393216:QUB393216 RDS393216:RDX393216 RNO393216:RNT393216 RXK393216:RXP393216 SHG393216:SHL393216 SRC393216:SRH393216 TAY393216:TBD393216 TKU393216:TKZ393216 TUQ393216:TUV393216 UEM393216:UER393216 UOI393216:UON393216 UYE393216:UYJ393216 VIA393216:VIF393216 VRW393216:VSB393216 WBS393216:WBX393216 WLO393216:WLT393216 WVK393216:WVP393216 C458752:I458752 IY458752:JD458752 SU458752:SZ458752 ACQ458752:ACV458752 AMM458752:AMR458752 AWI458752:AWN458752 BGE458752:BGJ458752 BQA458752:BQF458752 BZW458752:CAB458752 CJS458752:CJX458752 CTO458752:CTT458752 DDK458752:DDP458752 DNG458752:DNL458752 DXC458752:DXH458752 EGY458752:EHD458752 EQU458752:EQZ458752 FAQ458752:FAV458752 FKM458752:FKR458752 FUI458752:FUN458752 GEE458752:GEJ458752 GOA458752:GOF458752 GXW458752:GYB458752 HHS458752:HHX458752 HRO458752:HRT458752 IBK458752:IBP458752 ILG458752:ILL458752 IVC458752:IVH458752 JEY458752:JFD458752 JOU458752:JOZ458752 JYQ458752:JYV458752 KIM458752:KIR458752 KSI458752:KSN458752 LCE458752:LCJ458752 LMA458752:LMF458752 LVW458752:LWB458752 MFS458752:MFX458752 MPO458752:MPT458752 MZK458752:MZP458752 NJG458752:NJL458752 NTC458752:NTH458752 OCY458752:ODD458752 OMU458752:OMZ458752 OWQ458752:OWV458752 PGM458752:PGR458752 PQI458752:PQN458752 QAE458752:QAJ458752 QKA458752:QKF458752 QTW458752:QUB458752 RDS458752:RDX458752 RNO458752:RNT458752 RXK458752:RXP458752 SHG458752:SHL458752 SRC458752:SRH458752 TAY458752:TBD458752 TKU458752:TKZ458752 TUQ458752:TUV458752 UEM458752:UER458752 UOI458752:UON458752 UYE458752:UYJ458752 VIA458752:VIF458752 VRW458752:VSB458752 WBS458752:WBX458752 WLO458752:WLT458752 WVK458752:WVP458752 C524288:I524288 IY524288:JD524288 SU524288:SZ524288 ACQ524288:ACV524288 AMM524288:AMR524288 AWI524288:AWN524288 BGE524288:BGJ524288 BQA524288:BQF524288 BZW524288:CAB524288 CJS524288:CJX524288 CTO524288:CTT524288 DDK524288:DDP524288 DNG524288:DNL524288 DXC524288:DXH524288 EGY524288:EHD524288 EQU524288:EQZ524288 FAQ524288:FAV524288 FKM524288:FKR524288 FUI524288:FUN524288 GEE524288:GEJ524288 GOA524288:GOF524288 GXW524288:GYB524288 HHS524288:HHX524288 HRO524288:HRT524288 IBK524288:IBP524288 ILG524288:ILL524288 IVC524288:IVH524288 JEY524288:JFD524288 JOU524288:JOZ524288 JYQ524288:JYV524288 KIM524288:KIR524288 KSI524288:KSN524288 LCE524288:LCJ524288 LMA524288:LMF524288 LVW524288:LWB524288 MFS524288:MFX524288 MPO524288:MPT524288 MZK524288:MZP524288 NJG524288:NJL524288 NTC524288:NTH524288 OCY524288:ODD524288 OMU524288:OMZ524288 OWQ524288:OWV524288 PGM524288:PGR524288 PQI524288:PQN524288 QAE524288:QAJ524288 QKA524288:QKF524288 QTW524288:QUB524288 RDS524288:RDX524288 RNO524288:RNT524288 RXK524288:RXP524288 SHG524288:SHL524288 SRC524288:SRH524288 TAY524288:TBD524288 TKU524288:TKZ524288 TUQ524288:TUV524288 UEM524288:UER524288 UOI524288:UON524288 UYE524288:UYJ524288 VIA524288:VIF524288 VRW524288:VSB524288 WBS524288:WBX524288 WLO524288:WLT524288 WVK524288:WVP524288 C589824:I589824 IY589824:JD589824 SU589824:SZ589824 ACQ589824:ACV589824 AMM589824:AMR589824 AWI589824:AWN589824 BGE589824:BGJ589824 BQA589824:BQF589824 BZW589824:CAB589824 CJS589824:CJX589824 CTO589824:CTT589824 DDK589824:DDP589824 DNG589824:DNL589824 DXC589824:DXH589824 EGY589824:EHD589824 EQU589824:EQZ589824 FAQ589824:FAV589824 FKM589824:FKR589824 FUI589824:FUN589824 GEE589824:GEJ589824 GOA589824:GOF589824 GXW589824:GYB589824 HHS589824:HHX589824 HRO589824:HRT589824 IBK589824:IBP589824 ILG589824:ILL589824 IVC589824:IVH589824 JEY589824:JFD589824 JOU589824:JOZ589824 JYQ589824:JYV589824 KIM589824:KIR589824 KSI589824:KSN589824 LCE589824:LCJ589824 LMA589824:LMF589824 LVW589824:LWB589824 MFS589824:MFX589824 MPO589824:MPT589824 MZK589824:MZP589824 NJG589824:NJL589824 NTC589824:NTH589824 OCY589824:ODD589824 OMU589824:OMZ589824 OWQ589824:OWV589824 PGM589824:PGR589824 PQI589824:PQN589824 QAE589824:QAJ589824 QKA589824:QKF589824 QTW589824:QUB589824 RDS589824:RDX589824 RNO589824:RNT589824 RXK589824:RXP589824 SHG589824:SHL589824 SRC589824:SRH589824 TAY589824:TBD589824 TKU589824:TKZ589824 TUQ589824:TUV589824 UEM589824:UER589824 UOI589824:UON589824 UYE589824:UYJ589824 VIA589824:VIF589824 VRW589824:VSB589824 WBS589824:WBX589824 WLO589824:WLT589824 WVK589824:WVP589824 C655360:I655360 IY655360:JD655360 SU655360:SZ655360 ACQ655360:ACV655360 AMM655360:AMR655360 AWI655360:AWN655360 BGE655360:BGJ655360 BQA655360:BQF655360 BZW655360:CAB655360 CJS655360:CJX655360 CTO655360:CTT655360 DDK655360:DDP655360 DNG655360:DNL655360 DXC655360:DXH655360 EGY655360:EHD655360 EQU655360:EQZ655360 FAQ655360:FAV655360 FKM655360:FKR655360 FUI655360:FUN655360 GEE655360:GEJ655360 GOA655360:GOF655360 GXW655360:GYB655360 HHS655360:HHX655360 HRO655360:HRT655360 IBK655360:IBP655360 ILG655360:ILL655360 IVC655360:IVH655360 JEY655360:JFD655360 JOU655360:JOZ655360 JYQ655360:JYV655360 KIM655360:KIR655360 KSI655360:KSN655360 LCE655360:LCJ655360 LMA655360:LMF655360 LVW655360:LWB655360 MFS655360:MFX655360 MPO655360:MPT655360 MZK655360:MZP655360 NJG655360:NJL655360 NTC655360:NTH655360 OCY655360:ODD655360 OMU655360:OMZ655360 OWQ655360:OWV655360 PGM655360:PGR655360 PQI655360:PQN655360 QAE655360:QAJ655360 QKA655360:QKF655360 QTW655360:QUB655360 RDS655360:RDX655360 RNO655360:RNT655360 RXK655360:RXP655360 SHG655360:SHL655360 SRC655360:SRH655360 TAY655360:TBD655360 TKU655360:TKZ655360 TUQ655360:TUV655360 UEM655360:UER655360 UOI655360:UON655360 UYE655360:UYJ655360 VIA655360:VIF655360 VRW655360:VSB655360 WBS655360:WBX655360 WLO655360:WLT655360 WVK655360:WVP655360 C720896:I720896 IY720896:JD720896 SU720896:SZ720896 ACQ720896:ACV720896 AMM720896:AMR720896 AWI720896:AWN720896 BGE720896:BGJ720896 BQA720896:BQF720896 BZW720896:CAB720896 CJS720896:CJX720896 CTO720896:CTT720896 DDK720896:DDP720896 DNG720896:DNL720896 DXC720896:DXH720896 EGY720896:EHD720896 EQU720896:EQZ720896 FAQ720896:FAV720896 FKM720896:FKR720896 FUI720896:FUN720896 GEE720896:GEJ720896 GOA720896:GOF720896 GXW720896:GYB720896 HHS720896:HHX720896 HRO720896:HRT720896 IBK720896:IBP720896 ILG720896:ILL720896 IVC720896:IVH720896 JEY720896:JFD720896 JOU720896:JOZ720896 JYQ720896:JYV720896 KIM720896:KIR720896 KSI720896:KSN720896 LCE720896:LCJ720896 LMA720896:LMF720896 LVW720896:LWB720896 MFS720896:MFX720896 MPO720896:MPT720896 MZK720896:MZP720896 NJG720896:NJL720896 NTC720896:NTH720896 OCY720896:ODD720896 OMU720896:OMZ720896 OWQ720896:OWV720896 PGM720896:PGR720896 PQI720896:PQN720896 QAE720896:QAJ720896 QKA720896:QKF720896 QTW720896:QUB720896 RDS720896:RDX720896 RNO720896:RNT720896 RXK720896:RXP720896 SHG720896:SHL720896 SRC720896:SRH720896 TAY720896:TBD720896 TKU720896:TKZ720896 TUQ720896:TUV720896 UEM720896:UER720896 UOI720896:UON720896 UYE720896:UYJ720896 VIA720896:VIF720896 VRW720896:VSB720896 WBS720896:WBX720896 WLO720896:WLT720896 WVK720896:WVP720896 C786432:I786432 IY786432:JD786432 SU786432:SZ786432 ACQ786432:ACV786432 AMM786432:AMR786432 AWI786432:AWN786432 BGE786432:BGJ786432 BQA786432:BQF786432 BZW786432:CAB786432 CJS786432:CJX786432 CTO786432:CTT786432 DDK786432:DDP786432 DNG786432:DNL786432 DXC786432:DXH786432 EGY786432:EHD786432 EQU786432:EQZ786432 FAQ786432:FAV786432 FKM786432:FKR786432 FUI786432:FUN786432 GEE786432:GEJ786432 GOA786432:GOF786432 GXW786432:GYB786432 HHS786432:HHX786432 HRO786432:HRT786432 IBK786432:IBP786432 ILG786432:ILL786432 IVC786432:IVH786432 JEY786432:JFD786432 JOU786432:JOZ786432 JYQ786432:JYV786432 KIM786432:KIR786432 KSI786432:KSN786432 LCE786432:LCJ786432 LMA786432:LMF786432 LVW786432:LWB786432 MFS786432:MFX786432 MPO786432:MPT786432 MZK786432:MZP786432 NJG786432:NJL786432 NTC786432:NTH786432 OCY786432:ODD786432 OMU786432:OMZ786432 OWQ786432:OWV786432 PGM786432:PGR786432 PQI786432:PQN786432 QAE786432:QAJ786432 QKA786432:QKF786432 QTW786432:QUB786432 RDS786432:RDX786432 RNO786432:RNT786432 RXK786432:RXP786432 SHG786432:SHL786432 SRC786432:SRH786432 TAY786432:TBD786432 TKU786432:TKZ786432 TUQ786432:TUV786432 UEM786432:UER786432 UOI786432:UON786432 UYE786432:UYJ786432 VIA786432:VIF786432 VRW786432:VSB786432 WBS786432:WBX786432 WLO786432:WLT786432 WVK786432:WVP786432 C851968:I851968 IY851968:JD851968 SU851968:SZ851968 ACQ851968:ACV851968 AMM851968:AMR851968 AWI851968:AWN851968 BGE851968:BGJ851968 BQA851968:BQF851968 BZW851968:CAB851968 CJS851968:CJX851968 CTO851968:CTT851968 DDK851968:DDP851968 DNG851968:DNL851968 DXC851968:DXH851968 EGY851968:EHD851968 EQU851968:EQZ851968 FAQ851968:FAV851968 FKM851968:FKR851968 FUI851968:FUN851968 GEE851968:GEJ851968 GOA851968:GOF851968 GXW851968:GYB851968 HHS851968:HHX851968 HRO851968:HRT851968 IBK851968:IBP851968 ILG851968:ILL851968 IVC851968:IVH851968 JEY851968:JFD851968 JOU851968:JOZ851968 JYQ851968:JYV851968 KIM851968:KIR851968 KSI851968:KSN851968 LCE851968:LCJ851968 LMA851968:LMF851968 LVW851968:LWB851968 MFS851968:MFX851968 MPO851968:MPT851968 MZK851968:MZP851968 NJG851968:NJL851968 NTC851968:NTH851968 OCY851968:ODD851968 OMU851968:OMZ851968 OWQ851968:OWV851968 PGM851968:PGR851968 PQI851968:PQN851968 QAE851968:QAJ851968 QKA851968:QKF851968 QTW851968:QUB851968 RDS851968:RDX851968 RNO851968:RNT851968 RXK851968:RXP851968 SHG851968:SHL851968 SRC851968:SRH851968 TAY851968:TBD851968 TKU851968:TKZ851968 TUQ851968:TUV851968 UEM851968:UER851968 UOI851968:UON851968 UYE851968:UYJ851968 VIA851968:VIF851968 VRW851968:VSB851968 WBS851968:WBX851968 WLO851968:WLT851968 WVK851968:WVP851968 C917504:I917504 IY917504:JD917504 SU917504:SZ917504 ACQ917504:ACV917504 AMM917504:AMR917504 AWI917504:AWN917504 BGE917504:BGJ917504 BQA917504:BQF917504 BZW917504:CAB917504 CJS917504:CJX917504 CTO917504:CTT917504 DDK917504:DDP917504 DNG917504:DNL917504 DXC917504:DXH917504 EGY917504:EHD917504 EQU917504:EQZ917504 FAQ917504:FAV917504 FKM917504:FKR917504 FUI917504:FUN917504 GEE917504:GEJ917504 GOA917504:GOF917504 GXW917504:GYB917504 HHS917504:HHX917504 HRO917504:HRT917504 IBK917504:IBP917504 ILG917504:ILL917504 IVC917504:IVH917504 JEY917504:JFD917504 JOU917504:JOZ917504 JYQ917504:JYV917504 KIM917504:KIR917504 KSI917504:KSN917504 LCE917504:LCJ917504 LMA917504:LMF917504 LVW917504:LWB917504 MFS917504:MFX917504 MPO917504:MPT917504 MZK917504:MZP917504 NJG917504:NJL917504 NTC917504:NTH917504 OCY917504:ODD917504 OMU917504:OMZ917504 OWQ917504:OWV917504 PGM917504:PGR917504 PQI917504:PQN917504 QAE917504:QAJ917504 QKA917504:QKF917504 QTW917504:QUB917504 RDS917504:RDX917504 RNO917504:RNT917504 RXK917504:RXP917504 SHG917504:SHL917504 SRC917504:SRH917504 TAY917504:TBD917504 TKU917504:TKZ917504 TUQ917504:TUV917504 UEM917504:UER917504 UOI917504:UON917504 UYE917504:UYJ917504 VIA917504:VIF917504 VRW917504:VSB917504 WBS917504:WBX917504 WLO917504:WLT917504 WVK917504:WVP917504 C983040:I983040 IY983040:JD983040 SU983040:SZ983040 ACQ983040:ACV983040 AMM983040:AMR983040 AWI983040:AWN983040 BGE983040:BGJ983040 BQA983040:BQF983040 BZW983040:CAB983040 CJS983040:CJX983040 CTO983040:CTT983040 DDK983040:DDP983040 DNG983040:DNL983040 DXC983040:DXH983040 EGY983040:EHD983040 EQU983040:EQZ983040 FAQ983040:FAV983040 FKM983040:FKR983040 FUI983040:FUN983040 GEE983040:GEJ983040 GOA983040:GOF983040 GXW983040:GYB983040 HHS983040:HHX983040 HRO983040:HRT983040 IBK983040:IBP983040 ILG983040:ILL983040 IVC983040:IVH983040 JEY983040:JFD983040 JOU983040:JOZ983040 JYQ983040:JYV983040 KIM983040:KIR983040 KSI983040:KSN983040 LCE983040:LCJ983040 LMA983040:LMF983040 LVW983040:LWB983040 MFS983040:MFX983040 MPO983040:MPT983040 MZK983040:MZP983040 NJG983040:NJL983040 NTC983040:NTH983040 OCY983040:ODD983040 OMU983040:OMZ983040 OWQ983040:OWV983040 PGM983040:PGR983040 PQI983040:PQN983040 QAE983040:QAJ983040 QKA983040:QKF983040 QTW983040:QUB983040 RDS983040:RDX983040 RNO983040:RNT983040 RXK983040:RXP983040 SHG983040:SHL983040 SRC983040:SRH983040 TAY983040:TBD983040 TKU983040:TKZ983040 TUQ983040:TUV983040 UEM983040:UER983040 UOI983040:UON983040 UYE983040:UYJ983040 VIA983040:VIF983040 VRW983040:VSB983040 WBS983040:WBX983040 WLO983040:WLT983040 C1:I1" xr:uid="{00000000-0002-0000-0300-000002000000}">
      <formula1>0</formula1>
      <formula2>30</formula2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2"/>
  <dimension ref="A1:O595"/>
  <sheetViews>
    <sheetView workbookViewId="0">
      <selection activeCell="B1" sqref="B1"/>
    </sheetView>
  </sheetViews>
  <sheetFormatPr defaultRowHeight="15" x14ac:dyDescent="0.25"/>
  <cols>
    <col min="1" max="1" width="38.140625" style="5" bestFit="1" customWidth="1"/>
    <col min="2" max="2" width="10.5703125" style="5" bestFit="1" customWidth="1"/>
    <col min="3" max="3" width="24.85546875" style="7" bestFit="1" customWidth="1"/>
    <col min="4" max="4" width="31.28515625" style="7" hidden="1" customWidth="1"/>
    <col min="5" max="5" width="7.140625" style="7" bestFit="1" customWidth="1"/>
    <col min="6" max="6" width="13.140625" style="7" hidden="1" customWidth="1"/>
    <col min="7" max="7" width="31.28515625" style="7" hidden="1" customWidth="1"/>
    <col min="8" max="8" width="24.85546875" style="7" hidden="1" customWidth="1"/>
    <col min="9" max="9" width="30.28515625" style="12" hidden="1" customWidth="1"/>
    <col min="10" max="10" width="26.28515625" style="5" hidden="1" customWidth="1"/>
    <col min="11" max="11" width="24.5703125" style="5" hidden="1" customWidth="1"/>
    <col min="12" max="12" width="5" bestFit="1" customWidth="1"/>
    <col min="13" max="13" width="17" bestFit="1" customWidth="1"/>
    <col min="14" max="14" width="23" bestFit="1" customWidth="1"/>
    <col min="257" max="257" width="37.140625" bestFit="1" customWidth="1"/>
    <col min="258" max="258" width="37.140625" customWidth="1"/>
    <col min="259" max="260" width="30.5703125" bestFit="1" customWidth="1"/>
    <col min="261" max="261" width="30.5703125" customWidth="1"/>
    <col min="262" max="263" width="30.5703125" bestFit="1" customWidth="1"/>
    <col min="264" max="264" width="37.28515625" bestFit="1" customWidth="1"/>
    <col min="265" max="265" width="32" bestFit="1" customWidth="1"/>
    <col min="266" max="266" width="27" customWidth="1"/>
    <col min="268" max="268" width="24.5703125" customWidth="1"/>
    <col min="269" max="269" width="31.28515625" bestFit="1" customWidth="1"/>
    <col min="513" max="513" width="37.140625" bestFit="1" customWidth="1"/>
    <col min="514" max="514" width="37.140625" customWidth="1"/>
    <col min="515" max="516" width="30.5703125" bestFit="1" customWidth="1"/>
    <col min="517" max="517" width="30.5703125" customWidth="1"/>
    <col min="518" max="519" width="30.5703125" bestFit="1" customWidth="1"/>
    <col min="520" max="520" width="37.28515625" bestFit="1" customWidth="1"/>
    <col min="521" max="521" width="32" bestFit="1" customWidth="1"/>
    <col min="522" max="522" width="27" customWidth="1"/>
    <col min="524" max="524" width="24.5703125" customWidth="1"/>
    <col min="525" max="525" width="31.28515625" bestFit="1" customWidth="1"/>
    <col min="769" max="769" width="37.140625" bestFit="1" customWidth="1"/>
    <col min="770" max="770" width="37.140625" customWidth="1"/>
    <col min="771" max="772" width="30.5703125" bestFit="1" customWidth="1"/>
    <col min="773" max="773" width="30.5703125" customWidth="1"/>
    <col min="774" max="775" width="30.5703125" bestFit="1" customWidth="1"/>
    <col min="776" max="776" width="37.28515625" bestFit="1" customWidth="1"/>
    <col min="777" max="777" width="32" bestFit="1" customWidth="1"/>
    <col min="778" max="778" width="27" customWidth="1"/>
    <col min="780" max="780" width="24.5703125" customWidth="1"/>
    <col min="781" max="781" width="31.28515625" bestFit="1" customWidth="1"/>
    <col min="1025" max="1025" width="37.140625" bestFit="1" customWidth="1"/>
    <col min="1026" max="1026" width="37.140625" customWidth="1"/>
    <col min="1027" max="1028" width="30.5703125" bestFit="1" customWidth="1"/>
    <col min="1029" max="1029" width="30.5703125" customWidth="1"/>
    <col min="1030" max="1031" width="30.5703125" bestFit="1" customWidth="1"/>
    <col min="1032" max="1032" width="37.28515625" bestFit="1" customWidth="1"/>
    <col min="1033" max="1033" width="32" bestFit="1" customWidth="1"/>
    <col min="1034" max="1034" width="27" customWidth="1"/>
    <col min="1036" max="1036" width="24.5703125" customWidth="1"/>
    <col min="1037" max="1037" width="31.28515625" bestFit="1" customWidth="1"/>
    <col min="1281" max="1281" width="37.140625" bestFit="1" customWidth="1"/>
    <col min="1282" max="1282" width="37.140625" customWidth="1"/>
    <col min="1283" max="1284" width="30.5703125" bestFit="1" customWidth="1"/>
    <col min="1285" max="1285" width="30.5703125" customWidth="1"/>
    <col min="1286" max="1287" width="30.5703125" bestFit="1" customWidth="1"/>
    <col min="1288" max="1288" width="37.28515625" bestFit="1" customWidth="1"/>
    <col min="1289" max="1289" width="32" bestFit="1" customWidth="1"/>
    <col min="1290" max="1290" width="27" customWidth="1"/>
    <col min="1292" max="1292" width="24.5703125" customWidth="1"/>
    <col min="1293" max="1293" width="31.28515625" bestFit="1" customWidth="1"/>
    <col min="1537" max="1537" width="37.140625" bestFit="1" customWidth="1"/>
    <col min="1538" max="1538" width="37.140625" customWidth="1"/>
    <col min="1539" max="1540" width="30.5703125" bestFit="1" customWidth="1"/>
    <col min="1541" max="1541" width="30.5703125" customWidth="1"/>
    <col min="1542" max="1543" width="30.5703125" bestFit="1" customWidth="1"/>
    <col min="1544" max="1544" width="37.28515625" bestFit="1" customWidth="1"/>
    <col min="1545" max="1545" width="32" bestFit="1" customWidth="1"/>
    <col min="1546" max="1546" width="27" customWidth="1"/>
    <col min="1548" max="1548" width="24.5703125" customWidth="1"/>
    <col min="1549" max="1549" width="31.28515625" bestFit="1" customWidth="1"/>
    <col min="1793" max="1793" width="37.140625" bestFit="1" customWidth="1"/>
    <col min="1794" max="1794" width="37.140625" customWidth="1"/>
    <col min="1795" max="1796" width="30.5703125" bestFit="1" customWidth="1"/>
    <col min="1797" max="1797" width="30.5703125" customWidth="1"/>
    <col min="1798" max="1799" width="30.5703125" bestFit="1" customWidth="1"/>
    <col min="1800" max="1800" width="37.28515625" bestFit="1" customWidth="1"/>
    <col min="1801" max="1801" width="32" bestFit="1" customWidth="1"/>
    <col min="1802" max="1802" width="27" customWidth="1"/>
    <col min="1804" max="1804" width="24.5703125" customWidth="1"/>
    <col min="1805" max="1805" width="31.28515625" bestFit="1" customWidth="1"/>
    <col min="2049" max="2049" width="37.140625" bestFit="1" customWidth="1"/>
    <col min="2050" max="2050" width="37.140625" customWidth="1"/>
    <col min="2051" max="2052" width="30.5703125" bestFit="1" customWidth="1"/>
    <col min="2053" max="2053" width="30.5703125" customWidth="1"/>
    <col min="2054" max="2055" width="30.5703125" bestFit="1" customWidth="1"/>
    <col min="2056" max="2056" width="37.28515625" bestFit="1" customWidth="1"/>
    <col min="2057" max="2057" width="32" bestFit="1" customWidth="1"/>
    <col min="2058" max="2058" width="27" customWidth="1"/>
    <col min="2060" max="2060" width="24.5703125" customWidth="1"/>
    <col min="2061" max="2061" width="31.28515625" bestFit="1" customWidth="1"/>
    <col min="2305" max="2305" width="37.140625" bestFit="1" customWidth="1"/>
    <col min="2306" max="2306" width="37.140625" customWidth="1"/>
    <col min="2307" max="2308" width="30.5703125" bestFit="1" customWidth="1"/>
    <col min="2309" max="2309" width="30.5703125" customWidth="1"/>
    <col min="2310" max="2311" width="30.5703125" bestFit="1" customWidth="1"/>
    <col min="2312" max="2312" width="37.28515625" bestFit="1" customWidth="1"/>
    <col min="2313" max="2313" width="32" bestFit="1" customWidth="1"/>
    <col min="2314" max="2314" width="27" customWidth="1"/>
    <col min="2316" max="2316" width="24.5703125" customWidth="1"/>
    <col min="2317" max="2317" width="31.28515625" bestFit="1" customWidth="1"/>
    <col min="2561" max="2561" width="37.140625" bestFit="1" customWidth="1"/>
    <col min="2562" max="2562" width="37.140625" customWidth="1"/>
    <col min="2563" max="2564" width="30.5703125" bestFit="1" customWidth="1"/>
    <col min="2565" max="2565" width="30.5703125" customWidth="1"/>
    <col min="2566" max="2567" width="30.5703125" bestFit="1" customWidth="1"/>
    <col min="2568" max="2568" width="37.28515625" bestFit="1" customWidth="1"/>
    <col min="2569" max="2569" width="32" bestFit="1" customWidth="1"/>
    <col min="2570" max="2570" width="27" customWidth="1"/>
    <col min="2572" max="2572" width="24.5703125" customWidth="1"/>
    <col min="2573" max="2573" width="31.28515625" bestFit="1" customWidth="1"/>
    <col min="2817" max="2817" width="37.140625" bestFit="1" customWidth="1"/>
    <col min="2818" max="2818" width="37.140625" customWidth="1"/>
    <col min="2819" max="2820" width="30.5703125" bestFit="1" customWidth="1"/>
    <col min="2821" max="2821" width="30.5703125" customWidth="1"/>
    <col min="2822" max="2823" width="30.5703125" bestFit="1" customWidth="1"/>
    <col min="2824" max="2824" width="37.28515625" bestFit="1" customWidth="1"/>
    <col min="2825" max="2825" width="32" bestFit="1" customWidth="1"/>
    <col min="2826" max="2826" width="27" customWidth="1"/>
    <col min="2828" max="2828" width="24.5703125" customWidth="1"/>
    <col min="2829" max="2829" width="31.28515625" bestFit="1" customWidth="1"/>
    <col min="3073" max="3073" width="37.140625" bestFit="1" customWidth="1"/>
    <col min="3074" max="3074" width="37.140625" customWidth="1"/>
    <col min="3075" max="3076" width="30.5703125" bestFit="1" customWidth="1"/>
    <col min="3077" max="3077" width="30.5703125" customWidth="1"/>
    <col min="3078" max="3079" width="30.5703125" bestFit="1" customWidth="1"/>
    <col min="3080" max="3080" width="37.28515625" bestFit="1" customWidth="1"/>
    <col min="3081" max="3081" width="32" bestFit="1" customWidth="1"/>
    <col min="3082" max="3082" width="27" customWidth="1"/>
    <col min="3084" max="3084" width="24.5703125" customWidth="1"/>
    <col min="3085" max="3085" width="31.28515625" bestFit="1" customWidth="1"/>
    <col min="3329" max="3329" width="37.140625" bestFit="1" customWidth="1"/>
    <col min="3330" max="3330" width="37.140625" customWidth="1"/>
    <col min="3331" max="3332" width="30.5703125" bestFit="1" customWidth="1"/>
    <col min="3333" max="3333" width="30.5703125" customWidth="1"/>
    <col min="3334" max="3335" width="30.5703125" bestFit="1" customWidth="1"/>
    <col min="3336" max="3336" width="37.28515625" bestFit="1" customWidth="1"/>
    <col min="3337" max="3337" width="32" bestFit="1" customWidth="1"/>
    <col min="3338" max="3338" width="27" customWidth="1"/>
    <col min="3340" max="3340" width="24.5703125" customWidth="1"/>
    <col min="3341" max="3341" width="31.28515625" bestFit="1" customWidth="1"/>
    <col min="3585" max="3585" width="37.140625" bestFit="1" customWidth="1"/>
    <col min="3586" max="3586" width="37.140625" customWidth="1"/>
    <col min="3587" max="3588" width="30.5703125" bestFit="1" customWidth="1"/>
    <col min="3589" max="3589" width="30.5703125" customWidth="1"/>
    <col min="3590" max="3591" width="30.5703125" bestFit="1" customWidth="1"/>
    <col min="3592" max="3592" width="37.28515625" bestFit="1" customWidth="1"/>
    <col min="3593" max="3593" width="32" bestFit="1" customWidth="1"/>
    <col min="3594" max="3594" width="27" customWidth="1"/>
    <col min="3596" max="3596" width="24.5703125" customWidth="1"/>
    <col min="3597" max="3597" width="31.28515625" bestFit="1" customWidth="1"/>
    <col min="3841" max="3841" width="37.140625" bestFit="1" customWidth="1"/>
    <col min="3842" max="3842" width="37.140625" customWidth="1"/>
    <col min="3843" max="3844" width="30.5703125" bestFit="1" customWidth="1"/>
    <col min="3845" max="3845" width="30.5703125" customWidth="1"/>
    <col min="3846" max="3847" width="30.5703125" bestFit="1" customWidth="1"/>
    <col min="3848" max="3848" width="37.28515625" bestFit="1" customWidth="1"/>
    <col min="3849" max="3849" width="32" bestFit="1" customWidth="1"/>
    <col min="3850" max="3850" width="27" customWidth="1"/>
    <col min="3852" max="3852" width="24.5703125" customWidth="1"/>
    <col min="3853" max="3853" width="31.28515625" bestFit="1" customWidth="1"/>
    <col min="4097" max="4097" width="37.140625" bestFit="1" customWidth="1"/>
    <col min="4098" max="4098" width="37.140625" customWidth="1"/>
    <col min="4099" max="4100" width="30.5703125" bestFit="1" customWidth="1"/>
    <col min="4101" max="4101" width="30.5703125" customWidth="1"/>
    <col min="4102" max="4103" width="30.5703125" bestFit="1" customWidth="1"/>
    <col min="4104" max="4104" width="37.28515625" bestFit="1" customWidth="1"/>
    <col min="4105" max="4105" width="32" bestFit="1" customWidth="1"/>
    <col min="4106" max="4106" width="27" customWidth="1"/>
    <col min="4108" max="4108" width="24.5703125" customWidth="1"/>
    <col min="4109" max="4109" width="31.28515625" bestFit="1" customWidth="1"/>
    <col min="4353" max="4353" width="37.140625" bestFit="1" customWidth="1"/>
    <col min="4354" max="4354" width="37.140625" customWidth="1"/>
    <col min="4355" max="4356" width="30.5703125" bestFit="1" customWidth="1"/>
    <col min="4357" max="4357" width="30.5703125" customWidth="1"/>
    <col min="4358" max="4359" width="30.5703125" bestFit="1" customWidth="1"/>
    <col min="4360" max="4360" width="37.28515625" bestFit="1" customWidth="1"/>
    <col min="4361" max="4361" width="32" bestFit="1" customWidth="1"/>
    <col min="4362" max="4362" width="27" customWidth="1"/>
    <col min="4364" max="4364" width="24.5703125" customWidth="1"/>
    <col min="4365" max="4365" width="31.28515625" bestFit="1" customWidth="1"/>
    <col min="4609" max="4609" width="37.140625" bestFit="1" customWidth="1"/>
    <col min="4610" max="4610" width="37.140625" customWidth="1"/>
    <col min="4611" max="4612" width="30.5703125" bestFit="1" customWidth="1"/>
    <col min="4613" max="4613" width="30.5703125" customWidth="1"/>
    <col min="4614" max="4615" width="30.5703125" bestFit="1" customWidth="1"/>
    <col min="4616" max="4616" width="37.28515625" bestFit="1" customWidth="1"/>
    <col min="4617" max="4617" width="32" bestFit="1" customWidth="1"/>
    <col min="4618" max="4618" width="27" customWidth="1"/>
    <col min="4620" max="4620" width="24.5703125" customWidth="1"/>
    <col min="4621" max="4621" width="31.28515625" bestFit="1" customWidth="1"/>
    <col min="4865" max="4865" width="37.140625" bestFit="1" customWidth="1"/>
    <col min="4866" max="4866" width="37.140625" customWidth="1"/>
    <col min="4867" max="4868" width="30.5703125" bestFit="1" customWidth="1"/>
    <col min="4869" max="4869" width="30.5703125" customWidth="1"/>
    <col min="4870" max="4871" width="30.5703125" bestFit="1" customWidth="1"/>
    <col min="4872" max="4872" width="37.28515625" bestFit="1" customWidth="1"/>
    <col min="4873" max="4873" width="32" bestFit="1" customWidth="1"/>
    <col min="4874" max="4874" width="27" customWidth="1"/>
    <col min="4876" max="4876" width="24.5703125" customWidth="1"/>
    <col min="4877" max="4877" width="31.28515625" bestFit="1" customWidth="1"/>
    <col min="5121" max="5121" width="37.140625" bestFit="1" customWidth="1"/>
    <col min="5122" max="5122" width="37.140625" customWidth="1"/>
    <col min="5123" max="5124" width="30.5703125" bestFit="1" customWidth="1"/>
    <col min="5125" max="5125" width="30.5703125" customWidth="1"/>
    <col min="5126" max="5127" width="30.5703125" bestFit="1" customWidth="1"/>
    <col min="5128" max="5128" width="37.28515625" bestFit="1" customWidth="1"/>
    <col min="5129" max="5129" width="32" bestFit="1" customWidth="1"/>
    <col min="5130" max="5130" width="27" customWidth="1"/>
    <col min="5132" max="5132" width="24.5703125" customWidth="1"/>
    <col min="5133" max="5133" width="31.28515625" bestFit="1" customWidth="1"/>
    <col min="5377" max="5377" width="37.140625" bestFit="1" customWidth="1"/>
    <col min="5378" max="5378" width="37.140625" customWidth="1"/>
    <col min="5379" max="5380" width="30.5703125" bestFit="1" customWidth="1"/>
    <col min="5381" max="5381" width="30.5703125" customWidth="1"/>
    <col min="5382" max="5383" width="30.5703125" bestFit="1" customWidth="1"/>
    <col min="5384" max="5384" width="37.28515625" bestFit="1" customWidth="1"/>
    <col min="5385" max="5385" width="32" bestFit="1" customWidth="1"/>
    <col min="5386" max="5386" width="27" customWidth="1"/>
    <col min="5388" max="5388" width="24.5703125" customWidth="1"/>
    <col min="5389" max="5389" width="31.28515625" bestFit="1" customWidth="1"/>
    <col min="5633" max="5633" width="37.140625" bestFit="1" customWidth="1"/>
    <col min="5634" max="5634" width="37.140625" customWidth="1"/>
    <col min="5635" max="5636" width="30.5703125" bestFit="1" customWidth="1"/>
    <col min="5637" max="5637" width="30.5703125" customWidth="1"/>
    <col min="5638" max="5639" width="30.5703125" bestFit="1" customWidth="1"/>
    <col min="5640" max="5640" width="37.28515625" bestFit="1" customWidth="1"/>
    <col min="5641" max="5641" width="32" bestFit="1" customWidth="1"/>
    <col min="5642" max="5642" width="27" customWidth="1"/>
    <col min="5644" max="5644" width="24.5703125" customWidth="1"/>
    <col min="5645" max="5645" width="31.28515625" bestFit="1" customWidth="1"/>
    <col min="5889" max="5889" width="37.140625" bestFit="1" customWidth="1"/>
    <col min="5890" max="5890" width="37.140625" customWidth="1"/>
    <col min="5891" max="5892" width="30.5703125" bestFit="1" customWidth="1"/>
    <col min="5893" max="5893" width="30.5703125" customWidth="1"/>
    <col min="5894" max="5895" width="30.5703125" bestFit="1" customWidth="1"/>
    <col min="5896" max="5896" width="37.28515625" bestFit="1" customWidth="1"/>
    <col min="5897" max="5897" width="32" bestFit="1" customWidth="1"/>
    <col min="5898" max="5898" width="27" customWidth="1"/>
    <col min="5900" max="5900" width="24.5703125" customWidth="1"/>
    <col min="5901" max="5901" width="31.28515625" bestFit="1" customWidth="1"/>
    <col min="6145" max="6145" width="37.140625" bestFit="1" customWidth="1"/>
    <col min="6146" max="6146" width="37.140625" customWidth="1"/>
    <col min="6147" max="6148" width="30.5703125" bestFit="1" customWidth="1"/>
    <col min="6149" max="6149" width="30.5703125" customWidth="1"/>
    <col min="6150" max="6151" width="30.5703125" bestFit="1" customWidth="1"/>
    <col min="6152" max="6152" width="37.28515625" bestFit="1" customWidth="1"/>
    <col min="6153" max="6153" width="32" bestFit="1" customWidth="1"/>
    <col min="6154" max="6154" width="27" customWidth="1"/>
    <col min="6156" max="6156" width="24.5703125" customWidth="1"/>
    <col min="6157" max="6157" width="31.28515625" bestFit="1" customWidth="1"/>
    <col min="6401" max="6401" width="37.140625" bestFit="1" customWidth="1"/>
    <col min="6402" max="6402" width="37.140625" customWidth="1"/>
    <col min="6403" max="6404" width="30.5703125" bestFit="1" customWidth="1"/>
    <col min="6405" max="6405" width="30.5703125" customWidth="1"/>
    <col min="6406" max="6407" width="30.5703125" bestFit="1" customWidth="1"/>
    <col min="6408" max="6408" width="37.28515625" bestFit="1" customWidth="1"/>
    <col min="6409" max="6409" width="32" bestFit="1" customWidth="1"/>
    <col min="6410" max="6410" width="27" customWidth="1"/>
    <col min="6412" max="6412" width="24.5703125" customWidth="1"/>
    <col min="6413" max="6413" width="31.28515625" bestFit="1" customWidth="1"/>
    <col min="6657" max="6657" width="37.140625" bestFit="1" customWidth="1"/>
    <col min="6658" max="6658" width="37.140625" customWidth="1"/>
    <col min="6659" max="6660" width="30.5703125" bestFit="1" customWidth="1"/>
    <col min="6661" max="6661" width="30.5703125" customWidth="1"/>
    <col min="6662" max="6663" width="30.5703125" bestFit="1" customWidth="1"/>
    <col min="6664" max="6664" width="37.28515625" bestFit="1" customWidth="1"/>
    <col min="6665" max="6665" width="32" bestFit="1" customWidth="1"/>
    <col min="6666" max="6666" width="27" customWidth="1"/>
    <col min="6668" max="6668" width="24.5703125" customWidth="1"/>
    <col min="6669" max="6669" width="31.28515625" bestFit="1" customWidth="1"/>
    <col min="6913" max="6913" width="37.140625" bestFit="1" customWidth="1"/>
    <col min="6914" max="6914" width="37.140625" customWidth="1"/>
    <col min="6915" max="6916" width="30.5703125" bestFit="1" customWidth="1"/>
    <col min="6917" max="6917" width="30.5703125" customWidth="1"/>
    <col min="6918" max="6919" width="30.5703125" bestFit="1" customWidth="1"/>
    <col min="6920" max="6920" width="37.28515625" bestFit="1" customWidth="1"/>
    <col min="6921" max="6921" width="32" bestFit="1" customWidth="1"/>
    <col min="6922" max="6922" width="27" customWidth="1"/>
    <col min="6924" max="6924" width="24.5703125" customWidth="1"/>
    <col min="6925" max="6925" width="31.28515625" bestFit="1" customWidth="1"/>
    <col min="7169" max="7169" width="37.140625" bestFit="1" customWidth="1"/>
    <col min="7170" max="7170" width="37.140625" customWidth="1"/>
    <col min="7171" max="7172" width="30.5703125" bestFit="1" customWidth="1"/>
    <col min="7173" max="7173" width="30.5703125" customWidth="1"/>
    <col min="7174" max="7175" width="30.5703125" bestFit="1" customWidth="1"/>
    <col min="7176" max="7176" width="37.28515625" bestFit="1" customWidth="1"/>
    <col min="7177" max="7177" width="32" bestFit="1" customWidth="1"/>
    <col min="7178" max="7178" width="27" customWidth="1"/>
    <col min="7180" max="7180" width="24.5703125" customWidth="1"/>
    <col min="7181" max="7181" width="31.28515625" bestFit="1" customWidth="1"/>
    <col min="7425" max="7425" width="37.140625" bestFit="1" customWidth="1"/>
    <col min="7426" max="7426" width="37.140625" customWidth="1"/>
    <col min="7427" max="7428" width="30.5703125" bestFit="1" customWidth="1"/>
    <col min="7429" max="7429" width="30.5703125" customWidth="1"/>
    <col min="7430" max="7431" width="30.5703125" bestFit="1" customWidth="1"/>
    <col min="7432" max="7432" width="37.28515625" bestFit="1" customWidth="1"/>
    <col min="7433" max="7433" width="32" bestFit="1" customWidth="1"/>
    <col min="7434" max="7434" width="27" customWidth="1"/>
    <col min="7436" max="7436" width="24.5703125" customWidth="1"/>
    <col min="7437" max="7437" width="31.28515625" bestFit="1" customWidth="1"/>
    <col min="7681" max="7681" width="37.140625" bestFit="1" customWidth="1"/>
    <col min="7682" max="7682" width="37.140625" customWidth="1"/>
    <col min="7683" max="7684" width="30.5703125" bestFit="1" customWidth="1"/>
    <col min="7685" max="7685" width="30.5703125" customWidth="1"/>
    <col min="7686" max="7687" width="30.5703125" bestFit="1" customWidth="1"/>
    <col min="7688" max="7688" width="37.28515625" bestFit="1" customWidth="1"/>
    <col min="7689" max="7689" width="32" bestFit="1" customWidth="1"/>
    <col min="7690" max="7690" width="27" customWidth="1"/>
    <col min="7692" max="7692" width="24.5703125" customWidth="1"/>
    <col min="7693" max="7693" width="31.28515625" bestFit="1" customWidth="1"/>
    <col min="7937" max="7937" width="37.140625" bestFit="1" customWidth="1"/>
    <col min="7938" max="7938" width="37.140625" customWidth="1"/>
    <col min="7939" max="7940" width="30.5703125" bestFit="1" customWidth="1"/>
    <col min="7941" max="7941" width="30.5703125" customWidth="1"/>
    <col min="7942" max="7943" width="30.5703125" bestFit="1" customWidth="1"/>
    <col min="7944" max="7944" width="37.28515625" bestFit="1" customWidth="1"/>
    <col min="7945" max="7945" width="32" bestFit="1" customWidth="1"/>
    <col min="7946" max="7946" width="27" customWidth="1"/>
    <col min="7948" max="7948" width="24.5703125" customWidth="1"/>
    <col min="7949" max="7949" width="31.28515625" bestFit="1" customWidth="1"/>
    <col min="8193" max="8193" width="37.140625" bestFit="1" customWidth="1"/>
    <col min="8194" max="8194" width="37.140625" customWidth="1"/>
    <col min="8195" max="8196" width="30.5703125" bestFit="1" customWidth="1"/>
    <col min="8197" max="8197" width="30.5703125" customWidth="1"/>
    <col min="8198" max="8199" width="30.5703125" bestFit="1" customWidth="1"/>
    <col min="8200" max="8200" width="37.28515625" bestFit="1" customWidth="1"/>
    <col min="8201" max="8201" width="32" bestFit="1" customWidth="1"/>
    <col min="8202" max="8202" width="27" customWidth="1"/>
    <col min="8204" max="8204" width="24.5703125" customWidth="1"/>
    <col min="8205" max="8205" width="31.28515625" bestFit="1" customWidth="1"/>
    <col min="8449" max="8449" width="37.140625" bestFit="1" customWidth="1"/>
    <col min="8450" max="8450" width="37.140625" customWidth="1"/>
    <col min="8451" max="8452" width="30.5703125" bestFit="1" customWidth="1"/>
    <col min="8453" max="8453" width="30.5703125" customWidth="1"/>
    <col min="8454" max="8455" width="30.5703125" bestFit="1" customWidth="1"/>
    <col min="8456" max="8456" width="37.28515625" bestFit="1" customWidth="1"/>
    <col min="8457" max="8457" width="32" bestFit="1" customWidth="1"/>
    <col min="8458" max="8458" width="27" customWidth="1"/>
    <col min="8460" max="8460" width="24.5703125" customWidth="1"/>
    <col min="8461" max="8461" width="31.28515625" bestFit="1" customWidth="1"/>
    <col min="8705" max="8705" width="37.140625" bestFit="1" customWidth="1"/>
    <col min="8706" max="8706" width="37.140625" customWidth="1"/>
    <col min="8707" max="8708" width="30.5703125" bestFit="1" customWidth="1"/>
    <col min="8709" max="8709" width="30.5703125" customWidth="1"/>
    <col min="8710" max="8711" width="30.5703125" bestFit="1" customWidth="1"/>
    <col min="8712" max="8712" width="37.28515625" bestFit="1" customWidth="1"/>
    <col min="8713" max="8713" width="32" bestFit="1" customWidth="1"/>
    <col min="8714" max="8714" width="27" customWidth="1"/>
    <col min="8716" max="8716" width="24.5703125" customWidth="1"/>
    <col min="8717" max="8717" width="31.28515625" bestFit="1" customWidth="1"/>
    <col min="8961" max="8961" width="37.140625" bestFit="1" customWidth="1"/>
    <col min="8962" max="8962" width="37.140625" customWidth="1"/>
    <col min="8963" max="8964" width="30.5703125" bestFit="1" customWidth="1"/>
    <col min="8965" max="8965" width="30.5703125" customWidth="1"/>
    <col min="8966" max="8967" width="30.5703125" bestFit="1" customWidth="1"/>
    <col min="8968" max="8968" width="37.28515625" bestFit="1" customWidth="1"/>
    <col min="8969" max="8969" width="32" bestFit="1" customWidth="1"/>
    <col min="8970" max="8970" width="27" customWidth="1"/>
    <col min="8972" max="8972" width="24.5703125" customWidth="1"/>
    <col min="8973" max="8973" width="31.28515625" bestFit="1" customWidth="1"/>
    <col min="9217" max="9217" width="37.140625" bestFit="1" customWidth="1"/>
    <col min="9218" max="9218" width="37.140625" customWidth="1"/>
    <col min="9219" max="9220" width="30.5703125" bestFit="1" customWidth="1"/>
    <col min="9221" max="9221" width="30.5703125" customWidth="1"/>
    <col min="9222" max="9223" width="30.5703125" bestFit="1" customWidth="1"/>
    <col min="9224" max="9224" width="37.28515625" bestFit="1" customWidth="1"/>
    <col min="9225" max="9225" width="32" bestFit="1" customWidth="1"/>
    <col min="9226" max="9226" width="27" customWidth="1"/>
    <col min="9228" max="9228" width="24.5703125" customWidth="1"/>
    <col min="9229" max="9229" width="31.28515625" bestFit="1" customWidth="1"/>
    <col min="9473" max="9473" width="37.140625" bestFit="1" customWidth="1"/>
    <col min="9474" max="9474" width="37.140625" customWidth="1"/>
    <col min="9475" max="9476" width="30.5703125" bestFit="1" customWidth="1"/>
    <col min="9477" max="9477" width="30.5703125" customWidth="1"/>
    <col min="9478" max="9479" width="30.5703125" bestFit="1" customWidth="1"/>
    <col min="9480" max="9480" width="37.28515625" bestFit="1" customWidth="1"/>
    <col min="9481" max="9481" width="32" bestFit="1" customWidth="1"/>
    <col min="9482" max="9482" width="27" customWidth="1"/>
    <col min="9484" max="9484" width="24.5703125" customWidth="1"/>
    <col min="9485" max="9485" width="31.28515625" bestFit="1" customWidth="1"/>
    <col min="9729" max="9729" width="37.140625" bestFit="1" customWidth="1"/>
    <col min="9730" max="9730" width="37.140625" customWidth="1"/>
    <col min="9731" max="9732" width="30.5703125" bestFit="1" customWidth="1"/>
    <col min="9733" max="9733" width="30.5703125" customWidth="1"/>
    <col min="9734" max="9735" width="30.5703125" bestFit="1" customWidth="1"/>
    <col min="9736" max="9736" width="37.28515625" bestFit="1" customWidth="1"/>
    <col min="9737" max="9737" width="32" bestFit="1" customWidth="1"/>
    <col min="9738" max="9738" width="27" customWidth="1"/>
    <col min="9740" max="9740" width="24.5703125" customWidth="1"/>
    <col min="9741" max="9741" width="31.28515625" bestFit="1" customWidth="1"/>
    <col min="9985" max="9985" width="37.140625" bestFit="1" customWidth="1"/>
    <col min="9986" max="9986" width="37.140625" customWidth="1"/>
    <col min="9987" max="9988" width="30.5703125" bestFit="1" customWidth="1"/>
    <col min="9989" max="9989" width="30.5703125" customWidth="1"/>
    <col min="9990" max="9991" width="30.5703125" bestFit="1" customWidth="1"/>
    <col min="9992" max="9992" width="37.28515625" bestFit="1" customWidth="1"/>
    <col min="9993" max="9993" width="32" bestFit="1" customWidth="1"/>
    <col min="9994" max="9994" width="27" customWidth="1"/>
    <col min="9996" max="9996" width="24.5703125" customWidth="1"/>
    <col min="9997" max="9997" width="31.28515625" bestFit="1" customWidth="1"/>
    <col min="10241" max="10241" width="37.140625" bestFit="1" customWidth="1"/>
    <col min="10242" max="10242" width="37.140625" customWidth="1"/>
    <col min="10243" max="10244" width="30.5703125" bestFit="1" customWidth="1"/>
    <col min="10245" max="10245" width="30.5703125" customWidth="1"/>
    <col min="10246" max="10247" width="30.5703125" bestFit="1" customWidth="1"/>
    <col min="10248" max="10248" width="37.28515625" bestFit="1" customWidth="1"/>
    <col min="10249" max="10249" width="32" bestFit="1" customWidth="1"/>
    <col min="10250" max="10250" width="27" customWidth="1"/>
    <col min="10252" max="10252" width="24.5703125" customWidth="1"/>
    <col min="10253" max="10253" width="31.28515625" bestFit="1" customWidth="1"/>
    <col min="10497" max="10497" width="37.140625" bestFit="1" customWidth="1"/>
    <col min="10498" max="10498" width="37.140625" customWidth="1"/>
    <col min="10499" max="10500" width="30.5703125" bestFit="1" customWidth="1"/>
    <col min="10501" max="10501" width="30.5703125" customWidth="1"/>
    <col min="10502" max="10503" width="30.5703125" bestFit="1" customWidth="1"/>
    <col min="10504" max="10504" width="37.28515625" bestFit="1" customWidth="1"/>
    <col min="10505" max="10505" width="32" bestFit="1" customWidth="1"/>
    <col min="10506" max="10506" width="27" customWidth="1"/>
    <col min="10508" max="10508" width="24.5703125" customWidth="1"/>
    <col min="10509" max="10509" width="31.28515625" bestFit="1" customWidth="1"/>
    <col min="10753" max="10753" width="37.140625" bestFit="1" customWidth="1"/>
    <col min="10754" max="10754" width="37.140625" customWidth="1"/>
    <col min="10755" max="10756" width="30.5703125" bestFit="1" customWidth="1"/>
    <col min="10757" max="10757" width="30.5703125" customWidth="1"/>
    <col min="10758" max="10759" width="30.5703125" bestFit="1" customWidth="1"/>
    <col min="10760" max="10760" width="37.28515625" bestFit="1" customWidth="1"/>
    <col min="10761" max="10761" width="32" bestFit="1" customWidth="1"/>
    <col min="10762" max="10762" width="27" customWidth="1"/>
    <col min="10764" max="10764" width="24.5703125" customWidth="1"/>
    <col min="10765" max="10765" width="31.28515625" bestFit="1" customWidth="1"/>
    <col min="11009" max="11009" width="37.140625" bestFit="1" customWidth="1"/>
    <col min="11010" max="11010" width="37.140625" customWidth="1"/>
    <col min="11011" max="11012" width="30.5703125" bestFit="1" customWidth="1"/>
    <col min="11013" max="11013" width="30.5703125" customWidth="1"/>
    <col min="11014" max="11015" width="30.5703125" bestFit="1" customWidth="1"/>
    <col min="11016" max="11016" width="37.28515625" bestFit="1" customWidth="1"/>
    <col min="11017" max="11017" width="32" bestFit="1" customWidth="1"/>
    <col min="11018" max="11018" width="27" customWidth="1"/>
    <col min="11020" max="11020" width="24.5703125" customWidth="1"/>
    <col min="11021" max="11021" width="31.28515625" bestFit="1" customWidth="1"/>
    <col min="11265" max="11265" width="37.140625" bestFit="1" customWidth="1"/>
    <col min="11266" max="11266" width="37.140625" customWidth="1"/>
    <col min="11267" max="11268" width="30.5703125" bestFit="1" customWidth="1"/>
    <col min="11269" max="11269" width="30.5703125" customWidth="1"/>
    <col min="11270" max="11271" width="30.5703125" bestFit="1" customWidth="1"/>
    <col min="11272" max="11272" width="37.28515625" bestFit="1" customWidth="1"/>
    <col min="11273" max="11273" width="32" bestFit="1" customWidth="1"/>
    <col min="11274" max="11274" width="27" customWidth="1"/>
    <col min="11276" max="11276" width="24.5703125" customWidth="1"/>
    <col min="11277" max="11277" width="31.28515625" bestFit="1" customWidth="1"/>
    <col min="11521" max="11521" width="37.140625" bestFit="1" customWidth="1"/>
    <col min="11522" max="11522" width="37.140625" customWidth="1"/>
    <col min="11523" max="11524" width="30.5703125" bestFit="1" customWidth="1"/>
    <col min="11525" max="11525" width="30.5703125" customWidth="1"/>
    <col min="11526" max="11527" width="30.5703125" bestFit="1" customWidth="1"/>
    <col min="11528" max="11528" width="37.28515625" bestFit="1" customWidth="1"/>
    <col min="11529" max="11529" width="32" bestFit="1" customWidth="1"/>
    <col min="11530" max="11530" width="27" customWidth="1"/>
    <col min="11532" max="11532" width="24.5703125" customWidth="1"/>
    <col min="11533" max="11533" width="31.28515625" bestFit="1" customWidth="1"/>
    <col min="11777" max="11777" width="37.140625" bestFit="1" customWidth="1"/>
    <col min="11778" max="11778" width="37.140625" customWidth="1"/>
    <col min="11779" max="11780" width="30.5703125" bestFit="1" customWidth="1"/>
    <col min="11781" max="11781" width="30.5703125" customWidth="1"/>
    <col min="11782" max="11783" width="30.5703125" bestFit="1" customWidth="1"/>
    <col min="11784" max="11784" width="37.28515625" bestFit="1" customWidth="1"/>
    <col min="11785" max="11785" width="32" bestFit="1" customWidth="1"/>
    <col min="11786" max="11786" width="27" customWidth="1"/>
    <col min="11788" max="11788" width="24.5703125" customWidth="1"/>
    <col min="11789" max="11789" width="31.28515625" bestFit="1" customWidth="1"/>
    <col min="12033" max="12033" width="37.140625" bestFit="1" customWidth="1"/>
    <col min="12034" max="12034" width="37.140625" customWidth="1"/>
    <col min="12035" max="12036" width="30.5703125" bestFit="1" customWidth="1"/>
    <col min="12037" max="12037" width="30.5703125" customWidth="1"/>
    <col min="12038" max="12039" width="30.5703125" bestFit="1" customWidth="1"/>
    <col min="12040" max="12040" width="37.28515625" bestFit="1" customWidth="1"/>
    <col min="12041" max="12041" width="32" bestFit="1" customWidth="1"/>
    <col min="12042" max="12042" width="27" customWidth="1"/>
    <col min="12044" max="12044" width="24.5703125" customWidth="1"/>
    <col min="12045" max="12045" width="31.28515625" bestFit="1" customWidth="1"/>
    <col min="12289" max="12289" width="37.140625" bestFit="1" customWidth="1"/>
    <col min="12290" max="12290" width="37.140625" customWidth="1"/>
    <col min="12291" max="12292" width="30.5703125" bestFit="1" customWidth="1"/>
    <col min="12293" max="12293" width="30.5703125" customWidth="1"/>
    <col min="12294" max="12295" width="30.5703125" bestFit="1" customWidth="1"/>
    <col min="12296" max="12296" width="37.28515625" bestFit="1" customWidth="1"/>
    <col min="12297" max="12297" width="32" bestFit="1" customWidth="1"/>
    <col min="12298" max="12298" width="27" customWidth="1"/>
    <col min="12300" max="12300" width="24.5703125" customWidth="1"/>
    <col min="12301" max="12301" width="31.28515625" bestFit="1" customWidth="1"/>
    <col min="12545" max="12545" width="37.140625" bestFit="1" customWidth="1"/>
    <col min="12546" max="12546" width="37.140625" customWidth="1"/>
    <col min="12547" max="12548" width="30.5703125" bestFit="1" customWidth="1"/>
    <col min="12549" max="12549" width="30.5703125" customWidth="1"/>
    <col min="12550" max="12551" width="30.5703125" bestFit="1" customWidth="1"/>
    <col min="12552" max="12552" width="37.28515625" bestFit="1" customWidth="1"/>
    <col min="12553" max="12553" width="32" bestFit="1" customWidth="1"/>
    <col min="12554" max="12554" width="27" customWidth="1"/>
    <col min="12556" max="12556" width="24.5703125" customWidth="1"/>
    <col min="12557" max="12557" width="31.28515625" bestFit="1" customWidth="1"/>
    <col min="12801" max="12801" width="37.140625" bestFit="1" customWidth="1"/>
    <col min="12802" max="12802" width="37.140625" customWidth="1"/>
    <col min="12803" max="12804" width="30.5703125" bestFit="1" customWidth="1"/>
    <col min="12805" max="12805" width="30.5703125" customWidth="1"/>
    <col min="12806" max="12807" width="30.5703125" bestFit="1" customWidth="1"/>
    <col min="12808" max="12808" width="37.28515625" bestFit="1" customWidth="1"/>
    <col min="12809" max="12809" width="32" bestFit="1" customWidth="1"/>
    <col min="12810" max="12810" width="27" customWidth="1"/>
    <col min="12812" max="12812" width="24.5703125" customWidth="1"/>
    <col min="12813" max="12813" width="31.28515625" bestFit="1" customWidth="1"/>
    <col min="13057" max="13057" width="37.140625" bestFit="1" customWidth="1"/>
    <col min="13058" max="13058" width="37.140625" customWidth="1"/>
    <col min="13059" max="13060" width="30.5703125" bestFit="1" customWidth="1"/>
    <col min="13061" max="13061" width="30.5703125" customWidth="1"/>
    <col min="13062" max="13063" width="30.5703125" bestFit="1" customWidth="1"/>
    <col min="13064" max="13064" width="37.28515625" bestFit="1" customWidth="1"/>
    <col min="13065" max="13065" width="32" bestFit="1" customWidth="1"/>
    <col min="13066" max="13066" width="27" customWidth="1"/>
    <col min="13068" max="13068" width="24.5703125" customWidth="1"/>
    <col min="13069" max="13069" width="31.28515625" bestFit="1" customWidth="1"/>
    <col min="13313" max="13313" width="37.140625" bestFit="1" customWidth="1"/>
    <col min="13314" max="13314" width="37.140625" customWidth="1"/>
    <col min="13315" max="13316" width="30.5703125" bestFit="1" customWidth="1"/>
    <col min="13317" max="13317" width="30.5703125" customWidth="1"/>
    <col min="13318" max="13319" width="30.5703125" bestFit="1" customWidth="1"/>
    <col min="13320" max="13320" width="37.28515625" bestFit="1" customWidth="1"/>
    <col min="13321" max="13321" width="32" bestFit="1" customWidth="1"/>
    <col min="13322" max="13322" width="27" customWidth="1"/>
    <col min="13324" max="13324" width="24.5703125" customWidth="1"/>
    <col min="13325" max="13325" width="31.28515625" bestFit="1" customWidth="1"/>
    <col min="13569" max="13569" width="37.140625" bestFit="1" customWidth="1"/>
    <col min="13570" max="13570" width="37.140625" customWidth="1"/>
    <col min="13571" max="13572" width="30.5703125" bestFit="1" customWidth="1"/>
    <col min="13573" max="13573" width="30.5703125" customWidth="1"/>
    <col min="13574" max="13575" width="30.5703125" bestFit="1" customWidth="1"/>
    <col min="13576" max="13576" width="37.28515625" bestFit="1" customWidth="1"/>
    <col min="13577" max="13577" width="32" bestFit="1" customWidth="1"/>
    <col min="13578" max="13578" width="27" customWidth="1"/>
    <col min="13580" max="13580" width="24.5703125" customWidth="1"/>
    <col min="13581" max="13581" width="31.28515625" bestFit="1" customWidth="1"/>
    <col min="13825" max="13825" width="37.140625" bestFit="1" customWidth="1"/>
    <col min="13826" max="13826" width="37.140625" customWidth="1"/>
    <col min="13827" max="13828" width="30.5703125" bestFit="1" customWidth="1"/>
    <col min="13829" max="13829" width="30.5703125" customWidth="1"/>
    <col min="13830" max="13831" width="30.5703125" bestFit="1" customWidth="1"/>
    <col min="13832" max="13832" width="37.28515625" bestFit="1" customWidth="1"/>
    <col min="13833" max="13833" width="32" bestFit="1" customWidth="1"/>
    <col min="13834" max="13834" width="27" customWidth="1"/>
    <col min="13836" max="13836" width="24.5703125" customWidth="1"/>
    <col min="13837" max="13837" width="31.28515625" bestFit="1" customWidth="1"/>
    <col min="14081" max="14081" width="37.140625" bestFit="1" customWidth="1"/>
    <col min="14082" max="14082" width="37.140625" customWidth="1"/>
    <col min="14083" max="14084" width="30.5703125" bestFit="1" customWidth="1"/>
    <col min="14085" max="14085" width="30.5703125" customWidth="1"/>
    <col min="14086" max="14087" width="30.5703125" bestFit="1" customWidth="1"/>
    <col min="14088" max="14088" width="37.28515625" bestFit="1" customWidth="1"/>
    <col min="14089" max="14089" width="32" bestFit="1" customWidth="1"/>
    <col min="14090" max="14090" width="27" customWidth="1"/>
    <col min="14092" max="14092" width="24.5703125" customWidth="1"/>
    <col min="14093" max="14093" width="31.28515625" bestFit="1" customWidth="1"/>
    <col min="14337" max="14337" width="37.140625" bestFit="1" customWidth="1"/>
    <col min="14338" max="14338" width="37.140625" customWidth="1"/>
    <col min="14339" max="14340" width="30.5703125" bestFit="1" customWidth="1"/>
    <col min="14341" max="14341" width="30.5703125" customWidth="1"/>
    <col min="14342" max="14343" width="30.5703125" bestFit="1" customWidth="1"/>
    <col min="14344" max="14344" width="37.28515625" bestFit="1" customWidth="1"/>
    <col min="14345" max="14345" width="32" bestFit="1" customWidth="1"/>
    <col min="14346" max="14346" width="27" customWidth="1"/>
    <col min="14348" max="14348" width="24.5703125" customWidth="1"/>
    <col min="14349" max="14349" width="31.28515625" bestFit="1" customWidth="1"/>
    <col min="14593" max="14593" width="37.140625" bestFit="1" customWidth="1"/>
    <col min="14594" max="14594" width="37.140625" customWidth="1"/>
    <col min="14595" max="14596" width="30.5703125" bestFit="1" customWidth="1"/>
    <col min="14597" max="14597" width="30.5703125" customWidth="1"/>
    <col min="14598" max="14599" width="30.5703125" bestFit="1" customWidth="1"/>
    <col min="14600" max="14600" width="37.28515625" bestFit="1" customWidth="1"/>
    <col min="14601" max="14601" width="32" bestFit="1" customWidth="1"/>
    <col min="14602" max="14602" width="27" customWidth="1"/>
    <col min="14604" max="14604" width="24.5703125" customWidth="1"/>
    <col min="14605" max="14605" width="31.28515625" bestFit="1" customWidth="1"/>
    <col min="14849" max="14849" width="37.140625" bestFit="1" customWidth="1"/>
    <col min="14850" max="14850" width="37.140625" customWidth="1"/>
    <col min="14851" max="14852" width="30.5703125" bestFit="1" customWidth="1"/>
    <col min="14853" max="14853" width="30.5703125" customWidth="1"/>
    <col min="14854" max="14855" width="30.5703125" bestFit="1" customWidth="1"/>
    <col min="14856" max="14856" width="37.28515625" bestFit="1" customWidth="1"/>
    <col min="14857" max="14857" width="32" bestFit="1" customWidth="1"/>
    <col min="14858" max="14858" width="27" customWidth="1"/>
    <col min="14860" max="14860" width="24.5703125" customWidth="1"/>
    <col min="14861" max="14861" width="31.28515625" bestFit="1" customWidth="1"/>
    <col min="15105" max="15105" width="37.140625" bestFit="1" customWidth="1"/>
    <col min="15106" max="15106" width="37.140625" customWidth="1"/>
    <col min="15107" max="15108" width="30.5703125" bestFit="1" customWidth="1"/>
    <col min="15109" max="15109" width="30.5703125" customWidth="1"/>
    <col min="15110" max="15111" width="30.5703125" bestFit="1" customWidth="1"/>
    <col min="15112" max="15112" width="37.28515625" bestFit="1" customWidth="1"/>
    <col min="15113" max="15113" width="32" bestFit="1" customWidth="1"/>
    <col min="15114" max="15114" width="27" customWidth="1"/>
    <col min="15116" max="15116" width="24.5703125" customWidth="1"/>
    <col min="15117" max="15117" width="31.28515625" bestFit="1" customWidth="1"/>
    <col min="15361" max="15361" width="37.140625" bestFit="1" customWidth="1"/>
    <col min="15362" max="15362" width="37.140625" customWidth="1"/>
    <col min="15363" max="15364" width="30.5703125" bestFit="1" customWidth="1"/>
    <col min="15365" max="15365" width="30.5703125" customWidth="1"/>
    <col min="15366" max="15367" width="30.5703125" bestFit="1" customWidth="1"/>
    <col min="15368" max="15368" width="37.28515625" bestFit="1" customWidth="1"/>
    <col min="15369" max="15369" width="32" bestFit="1" customWidth="1"/>
    <col min="15370" max="15370" width="27" customWidth="1"/>
    <col min="15372" max="15372" width="24.5703125" customWidth="1"/>
    <col min="15373" max="15373" width="31.28515625" bestFit="1" customWidth="1"/>
    <col min="15617" max="15617" width="37.140625" bestFit="1" customWidth="1"/>
    <col min="15618" max="15618" width="37.140625" customWidth="1"/>
    <col min="15619" max="15620" width="30.5703125" bestFit="1" customWidth="1"/>
    <col min="15621" max="15621" width="30.5703125" customWidth="1"/>
    <col min="15622" max="15623" width="30.5703125" bestFit="1" customWidth="1"/>
    <col min="15624" max="15624" width="37.28515625" bestFit="1" customWidth="1"/>
    <col min="15625" max="15625" width="32" bestFit="1" customWidth="1"/>
    <col min="15626" max="15626" width="27" customWidth="1"/>
    <col min="15628" max="15628" width="24.5703125" customWidth="1"/>
    <col min="15629" max="15629" width="31.28515625" bestFit="1" customWidth="1"/>
    <col min="15873" max="15873" width="37.140625" bestFit="1" customWidth="1"/>
    <col min="15874" max="15874" width="37.140625" customWidth="1"/>
    <col min="15875" max="15876" width="30.5703125" bestFit="1" customWidth="1"/>
    <col min="15877" max="15877" width="30.5703125" customWidth="1"/>
    <col min="15878" max="15879" width="30.5703125" bestFit="1" customWidth="1"/>
    <col min="15880" max="15880" width="37.28515625" bestFit="1" customWidth="1"/>
    <col min="15881" max="15881" width="32" bestFit="1" customWidth="1"/>
    <col min="15882" max="15882" width="27" customWidth="1"/>
    <col min="15884" max="15884" width="24.5703125" customWidth="1"/>
    <col min="15885" max="15885" width="31.28515625" bestFit="1" customWidth="1"/>
    <col min="16129" max="16129" width="37.140625" bestFit="1" customWidth="1"/>
    <col min="16130" max="16130" width="37.140625" customWidth="1"/>
    <col min="16131" max="16132" width="30.5703125" bestFit="1" customWidth="1"/>
    <col min="16133" max="16133" width="30.5703125" customWidth="1"/>
    <col min="16134" max="16135" width="30.5703125" bestFit="1" customWidth="1"/>
    <col min="16136" max="16136" width="37.28515625" bestFit="1" customWidth="1"/>
    <col min="16137" max="16137" width="32" bestFit="1" customWidth="1"/>
    <col min="16138" max="16138" width="27" customWidth="1"/>
    <col min="16140" max="16140" width="24.5703125" customWidth="1"/>
    <col min="16141" max="16141" width="31.28515625" bestFit="1" customWidth="1"/>
  </cols>
  <sheetData>
    <row r="1" spans="1:15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" t="s">
        <v>12</v>
      </c>
      <c r="L1" s="3"/>
      <c r="M1" s="36">
        <v>160.5</v>
      </c>
      <c r="N1" s="3"/>
      <c r="O1" s="41" t="s">
        <v>185</v>
      </c>
    </row>
    <row r="2" spans="1:15" x14ac:dyDescent="0.25">
      <c r="A2" s="5" t="s">
        <v>505</v>
      </c>
      <c r="B2" s="42">
        <f>J2/1000</f>
        <v>0</v>
      </c>
      <c r="C2" s="7" t="s">
        <v>842</v>
      </c>
      <c r="D2" s="7" t="s">
        <v>15</v>
      </c>
      <c r="E2" s="7" t="s">
        <v>826</v>
      </c>
      <c r="F2" s="17">
        <v>0</v>
      </c>
      <c r="G2" s="7" t="s">
        <v>506</v>
      </c>
      <c r="H2" s="7" t="s">
        <v>507</v>
      </c>
      <c r="I2" s="10">
        <v>79.400000000000006</v>
      </c>
      <c r="J2" s="10">
        <v>0</v>
      </c>
      <c r="K2" s="6">
        <f>J593</f>
        <v>321695.29000000004</v>
      </c>
      <c r="L2" s="37"/>
      <c r="M2" s="37" t="str">
        <f>VLOOKUP($M1,B2:D593,2)</f>
        <v>TORRE 296</v>
      </c>
      <c r="N2" s="37" t="str">
        <f>VLOOKUP($M1,B2:D593,3)</f>
        <v>TORRE 297</v>
      </c>
      <c r="O2" s="37" t="str">
        <f>VLOOKUP($M1,$B2:$K593,4)</f>
        <v>BAC</v>
      </c>
    </row>
    <row r="3" spans="1:15" x14ac:dyDescent="0.25">
      <c r="A3" s="5" t="s">
        <v>505</v>
      </c>
      <c r="B3" s="42">
        <f t="shared" ref="B3:B66" si="0">J3/1000</f>
        <v>7.9400000000000012E-2</v>
      </c>
      <c r="C3" s="7" t="s">
        <v>15</v>
      </c>
      <c r="D3" s="7" t="s">
        <v>20</v>
      </c>
      <c r="E3" s="7" t="s">
        <v>826</v>
      </c>
      <c r="F3" s="17">
        <v>7.9999999999862612E-2</v>
      </c>
      <c r="G3" s="7" t="s">
        <v>507</v>
      </c>
      <c r="H3" s="7" t="s">
        <v>508</v>
      </c>
      <c r="I3" s="10">
        <v>307.39999999999998</v>
      </c>
      <c r="J3" s="10">
        <f>I2</f>
        <v>79.400000000000006</v>
      </c>
      <c r="K3" s="39">
        <f>K2-I2</f>
        <v>321615.89</v>
      </c>
      <c r="L3" s="37"/>
      <c r="M3" s="37" t="s">
        <v>860</v>
      </c>
      <c r="N3" s="11" t="s">
        <v>862</v>
      </c>
    </row>
    <row r="4" spans="1:15" x14ac:dyDescent="0.25">
      <c r="A4" s="5" t="s">
        <v>505</v>
      </c>
      <c r="B4" s="42">
        <f t="shared" si="0"/>
        <v>0.38679999999999998</v>
      </c>
      <c r="C4" s="7" t="s">
        <v>20</v>
      </c>
      <c r="D4" s="7" t="s">
        <v>23</v>
      </c>
      <c r="E4" s="7" t="s">
        <v>826</v>
      </c>
      <c r="F4" s="17">
        <v>0.4984399999998626</v>
      </c>
      <c r="G4" s="7" t="s">
        <v>508</v>
      </c>
      <c r="H4" s="7" t="s">
        <v>509</v>
      </c>
      <c r="I4" s="10">
        <v>472.83</v>
      </c>
      <c r="J4" s="10">
        <f>J3+I3</f>
        <v>386.79999999999995</v>
      </c>
      <c r="K4" s="6">
        <f>K3-I3</f>
        <v>321308.49</v>
      </c>
      <c r="M4" s="37" t="s">
        <v>860</v>
      </c>
    </row>
    <row r="5" spans="1:15" x14ac:dyDescent="0.25">
      <c r="A5" s="5" t="s">
        <v>505</v>
      </c>
      <c r="B5" s="42">
        <f t="shared" si="0"/>
        <v>0.85962999999999989</v>
      </c>
      <c r="C5" s="7" t="s">
        <v>23</v>
      </c>
      <c r="D5" s="7" t="s">
        <v>25</v>
      </c>
      <c r="E5" s="7" t="s">
        <v>826</v>
      </c>
      <c r="F5" s="17">
        <v>0.98208999999986257</v>
      </c>
      <c r="G5" s="7" t="s">
        <v>509</v>
      </c>
      <c r="H5" s="7" t="s">
        <v>510</v>
      </c>
      <c r="I5" s="10">
        <v>571.13</v>
      </c>
      <c r="J5" s="10">
        <f>J4+I4</f>
        <v>859.62999999999988</v>
      </c>
      <c r="K5" s="6">
        <f>K4-I4</f>
        <v>320835.65999999997</v>
      </c>
    </row>
    <row r="6" spans="1:15" x14ac:dyDescent="0.25">
      <c r="A6" s="5" t="s">
        <v>505</v>
      </c>
      <c r="B6" s="42">
        <f t="shared" si="0"/>
        <v>1.4307599999999998</v>
      </c>
      <c r="C6" s="7" t="s">
        <v>25</v>
      </c>
      <c r="D6" s="7" t="s">
        <v>27</v>
      </c>
      <c r="E6" s="7" t="s">
        <v>826</v>
      </c>
      <c r="F6" s="17">
        <v>1.4238299999998625</v>
      </c>
      <c r="G6" s="7" t="s">
        <v>510</v>
      </c>
      <c r="H6" s="7" t="s">
        <v>511</v>
      </c>
      <c r="I6" s="10">
        <v>571.32000000000005</v>
      </c>
      <c r="J6" s="10">
        <f t="shared" ref="J6:J69" si="1">J5+I5</f>
        <v>1430.7599999999998</v>
      </c>
      <c r="K6" s="6">
        <f t="shared" ref="K6:K69" si="2">K5-I5</f>
        <v>320264.52999999997</v>
      </c>
    </row>
    <row r="7" spans="1:15" x14ac:dyDescent="0.25">
      <c r="A7" s="5" t="s">
        <v>505</v>
      </c>
      <c r="B7" s="42">
        <f t="shared" si="0"/>
        <v>2.0020799999999999</v>
      </c>
      <c r="C7" s="7" t="s">
        <v>27</v>
      </c>
      <c r="D7" s="7" t="s">
        <v>29</v>
      </c>
      <c r="E7" s="7" t="s">
        <v>826</v>
      </c>
      <c r="F7" s="17">
        <v>1.9454199999998627</v>
      </c>
      <c r="G7" s="7" t="s">
        <v>511</v>
      </c>
      <c r="H7" s="7" t="s">
        <v>512</v>
      </c>
      <c r="I7" s="10">
        <v>560.42999999999995</v>
      </c>
      <c r="J7" s="10">
        <f t="shared" si="1"/>
        <v>2002.08</v>
      </c>
      <c r="K7" s="6">
        <f t="shared" si="2"/>
        <v>319693.20999999996</v>
      </c>
    </row>
    <row r="8" spans="1:15" x14ac:dyDescent="0.25">
      <c r="A8" s="5" t="s">
        <v>505</v>
      </c>
      <c r="B8" s="42">
        <f t="shared" si="0"/>
        <v>2.5625099999999996</v>
      </c>
      <c r="C8" s="7" t="s">
        <v>29</v>
      </c>
      <c r="D8" s="7" t="s">
        <v>31</v>
      </c>
      <c r="E8" s="7" t="s">
        <v>826</v>
      </c>
      <c r="F8" s="17">
        <v>2.5183099999998628</v>
      </c>
      <c r="G8" s="7" t="s">
        <v>512</v>
      </c>
      <c r="H8" s="7" t="s">
        <v>513</v>
      </c>
      <c r="I8" s="10">
        <v>571.05999999999995</v>
      </c>
      <c r="J8" s="10">
        <f t="shared" si="1"/>
        <v>2562.5099999999998</v>
      </c>
      <c r="K8" s="6">
        <f t="shared" si="2"/>
        <v>319132.77999999997</v>
      </c>
    </row>
    <row r="9" spans="1:15" x14ac:dyDescent="0.25">
      <c r="A9" s="5" t="s">
        <v>505</v>
      </c>
      <c r="B9" s="42">
        <f t="shared" si="0"/>
        <v>3.1335699999999997</v>
      </c>
      <c r="C9" s="7" t="s">
        <v>31</v>
      </c>
      <c r="D9" s="7" t="s">
        <v>33</v>
      </c>
      <c r="E9" s="7" t="s">
        <v>826</v>
      </c>
      <c r="F9" s="17">
        <v>3.0079299999998623</v>
      </c>
      <c r="G9" s="7" t="s">
        <v>513</v>
      </c>
      <c r="H9" s="7" t="s">
        <v>514</v>
      </c>
      <c r="I9" s="10">
        <v>542.87</v>
      </c>
      <c r="J9" s="10">
        <f t="shared" si="1"/>
        <v>3133.5699999999997</v>
      </c>
      <c r="K9" s="6">
        <f t="shared" si="2"/>
        <v>318561.71999999997</v>
      </c>
    </row>
    <row r="10" spans="1:15" x14ac:dyDescent="0.25">
      <c r="A10" s="5" t="s">
        <v>505</v>
      </c>
      <c r="B10" s="42">
        <f t="shared" si="0"/>
        <v>3.6764399999999995</v>
      </c>
      <c r="C10" s="7" t="s">
        <v>33</v>
      </c>
      <c r="D10" s="7" t="s">
        <v>35</v>
      </c>
      <c r="E10" s="7" t="s">
        <v>826</v>
      </c>
      <c r="F10" s="17">
        <v>3.5832899999998626</v>
      </c>
      <c r="G10" s="7" t="s">
        <v>514</v>
      </c>
      <c r="H10" s="7" t="s">
        <v>515</v>
      </c>
      <c r="I10" s="10">
        <v>547.66</v>
      </c>
      <c r="J10" s="10">
        <f t="shared" si="1"/>
        <v>3676.4399999999996</v>
      </c>
      <c r="K10" s="6">
        <f t="shared" si="2"/>
        <v>318018.84999999998</v>
      </c>
    </row>
    <row r="11" spans="1:15" x14ac:dyDescent="0.25">
      <c r="A11" s="5" t="s">
        <v>505</v>
      </c>
      <c r="B11" s="42">
        <f t="shared" si="0"/>
        <v>4.2240999999999991</v>
      </c>
      <c r="C11" s="7" t="s">
        <v>35</v>
      </c>
      <c r="D11" s="7" t="s">
        <v>37</v>
      </c>
      <c r="E11" s="7" t="s">
        <v>826</v>
      </c>
      <c r="F11" s="17">
        <v>4.1607099999998631</v>
      </c>
      <c r="G11" s="7" t="s">
        <v>515</v>
      </c>
      <c r="H11" s="7" t="s">
        <v>516</v>
      </c>
      <c r="I11" s="10">
        <v>575.75</v>
      </c>
      <c r="J11" s="10">
        <f t="shared" si="1"/>
        <v>4224.0999999999995</v>
      </c>
      <c r="K11" s="6">
        <f t="shared" si="2"/>
        <v>317471.19</v>
      </c>
    </row>
    <row r="12" spans="1:15" x14ac:dyDescent="0.25">
      <c r="A12" s="5" t="s">
        <v>505</v>
      </c>
      <c r="B12" s="42">
        <f t="shared" si="0"/>
        <v>4.7998499999999993</v>
      </c>
      <c r="C12" s="7" t="s">
        <v>37</v>
      </c>
      <c r="D12" s="7" t="s">
        <v>39</v>
      </c>
      <c r="E12" s="7" t="s">
        <v>826</v>
      </c>
      <c r="F12" s="17">
        <v>4.7288999999998635</v>
      </c>
      <c r="G12" s="7" t="s">
        <v>516</v>
      </c>
      <c r="H12" s="7" t="s">
        <v>517</v>
      </c>
      <c r="I12" s="10">
        <v>577.97</v>
      </c>
      <c r="J12" s="10">
        <f t="shared" si="1"/>
        <v>4799.8499999999995</v>
      </c>
      <c r="K12" s="6">
        <f t="shared" si="2"/>
        <v>316895.44</v>
      </c>
    </row>
    <row r="13" spans="1:15" x14ac:dyDescent="0.25">
      <c r="A13" s="5" t="s">
        <v>505</v>
      </c>
      <c r="B13" s="42">
        <f t="shared" si="0"/>
        <v>5.3778199999999998</v>
      </c>
      <c r="C13" s="7" t="s">
        <v>39</v>
      </c>
      <c r="D13" s="7" t="s">
        <v>41</v>
      </c>
      <c r="E13" s="7" t="s">
        <v>826</v>
      </c>
      <c r="F13" s="17">
        <v>5.3096199999998639</v>
      </c>
      <c r="G13" s="7" t="s">
        <v>517</v>
      </c>
      <c r="H13" s="7" t="s">
        <v>518</v>
      </c>
      <c r="I13" s="10">
        <v>546.28</v>
      </c>
      <c r="J13" s="10">
        <f t="shared" si="1"/>
        <v>5377.82</v>
      </c>
      <c r="K13" s="6">
        <f t="shared" si="2"/>
        <v>316317.47000000003</v>
      </c>
    </row>
    <row r="14" spans="1:15" x14ac:dyDescent="0.25">
      <c r="A14" s="5" t="s">
        <v>505</v>
      </c>
      <c r="B14" s="42">
        <f t="shared" si="0"/>
        <v>5.9240999999999993</v>
      </c>
      <c r="C14" s="7" t="s">
        <v>41</v>
      </c>
      <c r="D14" s="7" t="s">
        <v>43</v>
      </c>
      <c r="E14" s="7" t="s">
        <v>826</v>
      </c>
      <c r="F14" s="17">
        <v>5.8811599999998636</v>
      </c>
      <c r="G14" s="7" t="s">
        <v>518</v>
      </c>
      <c r="H14" s="7" t="s">
        <v>519</v>
      </c>
      <c r="I14" s="10">
        <v>512.16999999999996</v>
      </c>
      <c r="J14" s="10">
        <f t="shared" si="1"/>
        <v>5924.0999999999995</v>
      </c>
      <c r="K14" s="6">
        <f t="shared" si="2"/>
        <v>315771.19</v>
      </c>
    </row>
    <row r="15" spans="1:15" x14ac:dyDescent="0.25">
      <c r="A15" s="5" t="s">
        <v>505</v>
      </c>
      <c r="B15" s="42">
        <f t="shared" si="0"/>
        <v>6.4362699999999995</v>
      </c>
      <c r="C15" s="7" t="s">
        <v>43</v>
      </c>
      <c r="D15" s="7" t="s">
        <v>45</v>
      </c>
      <c r="E15" s="7" t="s">
        <v>826</v>
      </c>
      <c r="F15" s="17">
        <v>6.4247199999998639</v>
      </c>
      <c r="G15" s="7" t="s">
        <v>519</v>
      </c>
      <c r="H15" s="7" t="s">
        <v>520</v>
      </c>
      <c r="I15" s="10">
        <v>510.57</v>
      </c>
      <c r="J15" s="10">
        <f t="shared" si="1"/>
        <v>6436.2699999999995</v>
      </c>
      <c r="K15" s="6">
        <f t="shared" si="2"/>
        <v>315259.02</v>
      </c>
    </row>
    <row r="16" spans="1:15" x14ac:dyDescent="0.25">
      <c r="A16" s="5" t="s">
        <v>505</v>
      </c>
      <c r="B16" s="42">
        <f t="shared" si="0"/>
        <v>6.946839999999999</v>
      </c>
      <c r="C16" s="7" t="s">
        <v>45</v>
      </c>
      <c r="D16" s="7" t="s">
        <v>47</v>
      </c>
      <c r="E16" s="7" t="s">
        <v>826</v>
      </c>
      <c r="F16" s="17">
        <v>6.9905699999998641</v>
      </c>
      <c r="G16" s="7" t="s">
        <v>520</v>
      </c>
      <c r="H16" s="7" t="s">
        <v>521</v>
      </c>
      <c r="I16" s="10">
        <v>515.09</v>
      </c>
      <c r="J16" s="10">
        <f t="shared" si="1"/>
        <v>6946.8399999999992</v>
      </c>
      <c r="K16" s="6">
        <f t="shared" si="2"/>
        <v>314748.45</v>
      </c>
    </row>
    <row r="17" spans="1:11" x14ac:dyDescent="0.25">
      <c r="A17" s="5" t="s">
        <v>505</v>
      </c>
      <c r="B17" s="42">
        <f t="shared" si="0"/>
        <v>7.4619299999999997</v>
      </c>
      <c r="C17" s="7" t="s">
        <v>47</v>
      </c>
      <c r="D17" s="7" t="s">
        <v>49</v>
      </c>
      <c r="E17" s="7" t="s">
        <v>826</v>
      </c>
      <c r="F17" s="17">
        <v>7.473279999999864</v>
      </c>
      <c r="G17" s="7" t="s">
        <v>521</v>
      </c>
      <c r="H17" s="7" t="s">
        <v>522</v>
      </c>
      <c r="I17" s="10">
        <v>506.59</v>
      </c>
      <c r="J17" s="10">
        <f t="shared" si="1"/>
        <v>7461.9299999999994</v>
      </c>
      <c r="K17" s="6">
        <f t="shared" si="2"/>
        <v>314233.36</v>
      </c>
    </row>
    <row r="18" spans="1:11" x14ac:dyDescent="0.25">
      <c r="A18" s="5" t="s">
        <v>505</v>
      </c>
      <c r="B18" s="42">
        <f t="shared" si="0"/>
        <v>7.9685199999999998</v>
      </c>
      <c r="C18" s="7" t="s">
        <v>49</v>
      </c>
      <c r="D18" s="7" t="s">
        <v>51</v>
      </c>
      <c r="E18" s="7" t="s">
        <v>826</v>
      </c>
      <c r="F18" s="17">
        <v>7.9537799999998642</v>
      </c>
      <c r="G18" s="7" t="s">
        <v>522</v>
      </c>
      <c r="H18" s="7" t="s">
        <v>523</v>
      </c>
      <c r="I18" s="10">
        <v>491.03</v>
      </c>
      <c r="J18" s="10">
        <f t="shared" si="1"/>
        <v>7968.5199999999995</v>
      </c>
      <c r="K18" s="6">
        <f t="shared" si="2"/>
        <v>313726.76999999996</v>
      </c>
    </row>
    <row r="19" spans="1:11" x14ac:dyDescent="0.25">
      <c r="A19" s="5" t="s">
        <v>505</v>
      </c>
      <c r="B19" s="42">
        <f t="shared" si="0"/>
        <v>8.4595500000000001</v>
      </c>
      <c r="C19" s="7" t="s">
        <v>51</v>
      </c>
      <c r="D19" s="7" t="s">
        <v>53</v>
      </c>
      <c r="E19" s="7" t="s">
        <v>826</v>
      </c>
      <c r="F19" s="17">
        <v>8.532589999999864</v>
      </c>
      <c r="G19" s="7" t="s">
        <v>523</v>
      </c>
      <c r="H19" s="7" t="s">
        <v>524</v>
      </c>
      <c r="I19" s="10">
        <v>527.88</v>
      </c>
      <c r="J19" s="10">
        <f t="shared" si="1"/>
        <v>8459.5499999999993</v>
      </c>
      <c r="K19" s="6">
        <f t="shared" si="2"/>
        <v>313235.73999999993</v>
      </c>
    </row>
    <row r="20" spans="1:11" x14ac:dyDescent="0.25">
      <c r="A20" s="5" t="s">
        <v>505</v>
      </c>
      <c r="B20" s="42">
        <f t="shared" si="0"/>
        <v>8.987429999999998</v>
      </c>
      <c r="C20" s="7" t="s">
        <v>53</v>
      </c>
      <c r="D20" s="7" t="s">
        <v>55</v>
      </c>
      <c r="E20" s="7" t="s">
        <v>826</v>
      </c>
      <c r="F20" s="17">
        <v>9.1181799999998638</v>
      </c>
      <c r="G20" s="7" t="s">
        <v>524</v>
      </c>
      <c r="H20" s="7" t="s">
        <v>525</v>
      </c>
      <c r="I20" s="10">
        <v>534.87</v>
      </c>
      <c r="J20" s="10">
        <f t="shared" si="1"/>
        <v>8987.4299999999985</v>
      </c>
      <c r="K20" s="6">
        <f t="shared" si="2"/>
        <v>312707.85999999993</v>
      </c>
    </row>
    <row r="21" spans="1:11" x14ac:dyDescent="0.25">
      <c r="A21" s="5" t="s">
        <v>505</v>
      </c>
      <c r="B21" s="42">
        <f t="shared" si="0"/>
        <v>9.5222999999999995</v>
      </c>
      <c r="C21" s="7" t="s">
        <v>55</v>
      </c>
      <c r="D21" s="7" t="s">
        <v>57</v>
      </c>
      <c r="E21" s="7" t="s">
        <v>826</v>
      </c>
      <c r="F21" s="17">
        <v>9.7104599999998644</v>
      </c>
      <c r="G21" s="7" t="s">
        <v>525</v>
      </c>
      <c r="H21" s="7" t="s">
        <v>526</v>
      </c>
      <c r="I21" s="10">
        <v>498.01</v>
      </c>
      <c r="J21" s="10">
        <f t="shared" si="1"/>
        <v>9522.2999999999993</v>
      </c>
      <c r="K21" s="6">
        <f t="shared" si="2"/>
        <v>312172.98999999993</v>
      </c>
    </row>
    <row r="22" spans="1:11" x14ac:dyDescent="0.25">
      <c r="A22" s="5" t="s">
        <v>505</v>
      </c>
      <c r="B22" s="42">
        <f t="shared" si="0"/>
        <v>10.02031</v>
      </c>
      <c r="C22" s="7" t="s">
        <v>57</v>
      </c>
      <c r="D22" s="7" t="s">
        <v>59</v>
      </c>
      <c r="E22" s="7" t="s">
        <v>826</v>
      </c>
      <c r="F22" s="17">
        <v>10.309509999999865</v>
      </c>
      <c r="G22" s="7" t="s">
        <v>526</v>
      </c>
      <c r="H22" s="7" t="s">
        <v>527</v>
      </c>
      <c r="I22" s="10">
        <v>505.79</v>
      </c>
      <c r="J22" s="10">
        <f t="shared" si="1"/>
        <v>10020.31</v>
      </c>
      <c r="K22" s="6">
        <f t="shared" si="2"/>
        <v>311674.97999999992</v>
      </c>
    </row>
    <row r="23" spans="1:11" x14ac:dyDescent="0.25">
      <c r="A23" s="5" t="s">
        <v>505</v>
      </c>
      <c r="B23" s="42">
        <f t="shared" si="0"/>
        <v>10.5261</v>
      </c>
      <c r="C23" s="7" t="s">
        <v>59</v>
      </c>
      <c r="D23" s="7" t="s">
        <v>61</v>
      </c>
      <c r="E23" s="7" t="s">
        <v>826</v>
      </c>
      <c r="F23" s="17">
        <v>10.908549999999863</v>
      </c>
      <c r="G23" s="7" t="s">
        <v>527</v>
      </c>
      <c r="H23" s="7" t="s">
        <v>528</v>
      </c>
      <c r="I23" s="10">
        <v>513.89</v>
      </c>
      <c r="J23" s="10">
        <f t="shared" si="1"/>
        <v>10526.1</v>
      </c>
      <c r="K23" s="6">
        <f t="shared" si="2"/>
        <v>311169.18999999994</v>
      </c>
    </row>
    <row r="24" spans="1:11" x14ac:dyDescent="0.25">
      <c r="A24" s="5" t="s">
        <v>505</v>
      </c>
      <c r="B24" s="42">
        <f t="shared" si="0"/>
        <v>11.03999</v>
      </c>
      <c r="C24" s="7" t="s">
        <v>61</v>
      </c>
      <c r="D24" s="7" t="s">
        <v>63</v>
      </c>
      <c r="E24" s="7" t="s">
        <v>826</v>
      </c>
      <c r="F24" s="17">
        <v>11.507569999999863</v>
      </c>
      <c r="G24" s="7" t="s">
        <v>528</v>
      </c>
      <c r="H24" s="7" t="s">
        <v>529</v>
      </c>
      <c r="I24" s="10">
        <v>543.57000000000005</v>
      </c>
      <c r="J24" s="10">
        <f t="shared" si="1"/>
        <v>11039.99</v>
      </c>
      <c r="K24" s="6">
        <f t="shared" si="2"/>
        <v>310655.29999999993</v>
      </c>
    </row>
    <row r="25" spans="1:11" x14ac:dyDescent="0.25">
      <c r="A25" s="5" t="s">
        <v>505</v>
      </c>
      <c r="B25" s="42">
        <f t="shared" si="0"/>
        <v>11.58356</v>
      </c>
      <c r="C25" s="7" t="s">
        <v>63</v>
      </c>
      <c r="D25" s="7" t="s">
        <v>65</v>
      </c>
      <c r="E25" s="7" t="s">
        <v>826</v>
      </c>
      <c r="F25" s="17">
        <v>12.106589999999864</v>
      </c>
      <c r="G25" s="7" t="s">
        <v>529</v>
      </c>
      <c r="H25" s="7" t="s">
        <v>530</v>
      </c>
      <c r="I25" s="10">
        <v>572.65</v>
      </c>
      <c r="J25" s="10">
        <f t="shared" si="1"/>
        <v>11583.56</v>
      </c>
      <c r="K25" s="6">
        <f t="shared" si="2"/>
        <v>310111.72999999992</v>
      </c>
    </row>
    <row r="26" spans="1:11" x14ac:dyDescent="0.25">
      <c r="A26" s="5" t="s">
        <v>505</v>
      </c>
      <c r="B26" s="42">
        <f t="shared" si="0"/>
        <v>12.15621</v>
      </c>
      <c r="C26" s="7" t="s">
        <v>65</v>
      </c>
      <c r="D26" s="7" t="s">
        <v>67</v>
      </c>
      <c r="E26" s="7" t="s">
        <v>826</v>
      </c>
      <c r="F26" s="17">
        <v>12.698889999999864</v>
      </c>
      <c r="G26" s="7" t="s">
        <v>530</v>
      </c>
      <c r="H26" s="7" t="s">
        <v>531</v>
      </c>
      <c r="I26" s="10">
        <v>572.79</v>
      </c>
      <c r="J26" s="10">
        <f t="shared" si="1"/>
        <v>12156.21</v>
      </c>
      <c r="K26" s="6">
        <f t="shared" si="2"/>
        <v>309539.0799999999</v>
      </c>
    </row>
    <row r="27" spans="1:11" x14ac:dyDescent="0.25">
      <c r="A27" s="5" t="s">
        <v>505</v>
      </c>
      <c r="B27" s="42">
        <f t="shared" si="0"/>
        <v>12.728999999999999</v>
      </c>
      <c r="C27" s="7" t="s">
        <v>67</v>
      </c>
      <c r="D27" s="7" t="s">
        <v>69</v>
      </c>
      <c r="E27" s="7" t="s">
        <v>826</v>
      </c>
      <c r="F27" s="17">
        <v>13.224309999999862</v>
      </c>
      <c r="G27" s="7" t="s">
        <v>531</v>
      </c>
      <c r="H27" s="7" t="s">
        <v>532</v>
      </c>
      <c r="I27" s="10">
        <v>573.59</v>
      </c>
      <c r="J27" s="10">
        <f t="shared" si="1"/>
        <v>12729</v>
      </c>
      <c r="K27" s="6">
        <f t="shared" si="2"/>
        <v>308966.28999999992</v>
      </c>
    </row>
    <row r="28" spans="1:11" x14ac:dyDescent="0.25">
      <c r="A28" s="5" t="s">
        <v>505</v>
      </c>
      <c r="B28" s="42">
        <f t="shared" si="0"/>
        <v>13.30259</v>
      </c>
      <c r="C28" s="7" t="s">
        <v>69</v>
      </c>
      <c r="D28" s="7" t="s">
        <v>71</v>
      </c>
      <c r="E28" s="7" t="s">
        <v>826</v>
      </c>
      <c r="F28" s="17">
        <v>13.862319999999864</v>
      </c>
      <c r="G28" s="7" t="s">
        <v>532</v>
      </c>
      <c r="H28" s="7" t="s">
        <v>533</v>
      </c>
      <c r="I28" s="10">
        <v>572.86</v>
      </c>
      <c r="J28" s="10">
        <f t="shared" si="1"/>
        <v>13302.59</v>
      </c>
      <c r="K28" s="6">
        <f t="shared" si="2"/>
        <v>308392.6999999999</v>
      </c>
    </row>
    <row r="29" spans="1:11" x14ac:dyDescent="0.25">
      <c r="A29" s="5" t="s">
        <v>505</v>
      </c>
      <c r="B29" s="42">
        <f t="shared" si="0"/>
        <v>13.875450000000001</v>
      </c>
      <c r="C29" s="7" t="s">
        <v>71</v>
      </c>
      <c r="D29" s="7" t="s">
        <v>73</v>
      </c>
      <c r="E29" s="7" t="s">
        <v>826</v>
      </c>
      <c r="F29" s="17">
        <v>14.615569999999863</v>
      </c>
      <c r="G29" s="7" t="s">
        <v>533</v>
      </c>
      <c r="H29" s="7" t="s">
        <v>534</v>
      </c>
      <c r="I29" s="10">
        <v>570.58000000000004</v>
      </c>
      <c r="J29" s="10">
        <f t="shared" si="1"/>
        <v>13875.45</v>
      </c>
      <c r="K29" s="6">
        <f t="shared" si="2"/>
        <v>307819.83999999991</v>
      </c>
    </row>
    <row r="30" spans="1:11" x14ac:dyDescent="0.25">
      <c r="A30" s="5" t="s">
        <v>505</v>
      </c>
      <c r="B30" s="42">
        <f t="shared" si="0"/>
        <v>14.44603</v>
      </c>
      <c r="C30" s="7" t="s">
        <v>73</v>
      </c>
      <c r="D30" s="7" t="s">
        <v>75</v>
      </c>
      <c r="E30" s="7" t="s">
        <v>826</v>
      </c>
      <c r="F30" s="17">
        <v>15.319539999999863</v>
      </c>
      <c r="G30" s="7" t="s">
        <v>534</v>
      </c>
      <c r="H30" s="7" t="s">
        <v>535</v>
      </c>
      <c r="I30" s="10">
        <v>560.17999999999995</v>
      </c>
      <c r="J30" s="10">
        <f t="shared" si="1"/>
        <v>14446.03</v>
      </c>
      <c r="K30" s="6">
        <f t="shared" si="2"/>
        <v>307249.25999999989</v>
      </c>
    </row>
    <row r="31" spans="1:11" x14ac:dyDescent="0.25">
      <c r="A31" s="5" t="s">
        <v>505</v>
      </c>
      <c r="B31" s="42">
        <f t="shared" si="0"/>
        <v>15.006210000000001</v>
      </c>
      <c r="C31" s="7" t="s">
        <v>75</v>
      </c>
      <c r="D31" s="7" t="s">
        <v>77</v>
      </c>
      <c r="E31" s="7" t="s">
        <v>826</v>
      </c>
      <c r="F31" s="17">
        <v>15.925439999999861</v>
      </c>
      <c r="G31" s="7" t="s">
        <v>535</v>
      </c>
      <c r="H31" s="7" t="s">
        <v>536</v>
      </c>
      <c r="I31" s="10">
        <v>542.12</v>
      </c>
      <c r="J31" s="10">
        <f t="shared" si="1"/>
        <v>15006.210000000001</v>
      </c>
      <c r="K31" s="6">
        <f t="shared" si="2"/>
        <v>306689.0799999999</v>
      </c>
    </row>
    <row r="32" spans="1:11" x14ac:dyDescent="0.25">
      <c r="A32" s="5" t="s">
        <v>505</v>
      </c>
      <c r="B32" s="42">
        <f t="shared" si="0"/>
        <v>15.548330000000002</v>
      </c>
      <c r="C32" s="7" t="s">
        <v>77</v>
      </c>
      <c r="D32" s="7" t="s">
        <v>79</v>
      </c>
      <c r="E32" s="7" t="s">
        <v>826</v>
      </c>
      <c r="F32" s="17">
        <v>16.499629999999861</v>
      </c>
      <c r="G32" s="7" t="s">
        <v>536</v>
      </c>
      <c r="H32" s="7" t="s">
        <v>537</v>
      </c>
      <c r="I32" s="10">
        <v>535.95000000000005</v>
      </c>
      <c r="J32" s="10">
        <f t="shared" si="1"/>
        <v>15548.330000000002</v>
      </c>
      <c r="K32" s="6">
        <f t="shared" si="2"/>
        <v>306146.9599999999</v>
      </c>
    </row>
    <row r="33" spans="1:11" x14ac:dyDescent="0.25">
      <c r="A33" s="5" t="s">
        <v>505</v>
      </c>
      <c r="B33" s="42">
        <f t="shared" si="0"/>
        <v>16.084280000000003</v>
      </c>
      <c r="C33" s="7" t="s">
        <v>79</v>
      </c>
      <c r="D33" s="7" t="s">
        <v>81</v>
      </c>
      <c r="E33" s="7" t="s">
        <v>826</v>
      </c>
      <c r="F33" s="17">
        <v>17.071969999999862</v>
      </c>
      <c r="G33" s="7" t="s">
        <v>537</v>
      </c>
      <c r="H33" s="7" t="s">
        <v>538</v>
      </c>
      <c r="I33" s="10">
        <v>522.71</v>
      </c>
      <c r="J33" s="10">
        <f t="shared" si="1"/>
        <v>16084.280000000002</v>
      </c>
      <c r="K33" s="6">
        <f t="shared" si="2"/>
        <v>305611.00999999989</v>
      </c>
    </row>
    <row r="34" spans="1:11" x14ac:dyDescent="0.25">
      <c r="A34" s="5" t="s">
        <v>505</v>
      </c>
      <c r="B34" s="42">
        <f t="shared" si="0"/>
        <v>16.606990000000003</v>
      </c>
      <c r="C34" s="7" t="s">
        <v>81</v>
      </c>
      <c r="D34" s="7" t="s">
        <v>83</v>
      </c>
      <c r="E34" s="7" t="s">
        <v>826</v>
      </c>
      <c r="F34" s="17">
        <v>17.635439999999864</v>
      </c>
      <c r="G34" s="7" t="s">
        <v>538</v>
      </c>
      <c r="H34" s="7" t="s">
        <v>539</v>
      </c>
      <c r="I34" s="10">
        <v>519.32000000000005</v>
      </c>
      <c r="J34" s="10">
        <f t="shared" si="1"/>
        <v>16606.990000000002</v>
      </c>
      <c r="K34" s="6">
        <f t="shared" si="2"/>
        <v>305088.29999999987</v>
      </c>
    </row>
    <row r="35" spans="1:11" x14ac:dyDescent="0.25">
      <c r="A35" s="5" t="s">
        <v>505</v>
      </c>
      <c r="B35" s="42">
        <f t="shared" si="0"/>
        <v>17.12631</v>
      </c>
      <c r="C35" s="7" t="s">
        <v>83</v>
      </c>
      <c r="D35" s="7" t="s">
        <v>85</v>
      </c>
      <c r="E35" s="7" t="s">
        <v>826</v>
      </c>
      <c r="F35" s="17">
        <v>18.222059999999864</v>
      </c>
      <c r="G35" s="7" t="s">
        <v>539</v>
      </c>
      <c r="H35" s="7" t="s">
        <v>540</v>
      </c>
      <c r="I35" s="10">
        <v>446.42</v>
      </c>
      <c r="J35" s="10">
        <f t="shared" si="1"/>
        <v>17126.310000000001</v>
      </c>
      <c r="K35" s="6">
        <f t="shared" si="2"/>
        <v>304568.97999999986</v>
      </c>
    </row>
    <row r="36" spans="1:11" x14ac:dyDescent="0.25">
      <c r="A36" s="5" t="s">
        <v>505</v>
      </c>
      <c r="B36" s="42">
        <f t="shared" si="0"/>
        <v>17.57273</v>
      </c>
      <c r="C36" s="7" t="s">
        <v>85</v>
      </c>
      <c r="D36" s="7" t="s">
        <v>87</v>
      </c>
      <c r="E36" s="7" t="s">
        <v>826</v>
      </c>
      <c r="F36" s="17">
        <v>18.785069999999862</v>
      </c>
      <c r="G36" s="7" t="s">
        <v>540</v>
      </c>
      <c r="H36" s="7" t="s">
        <v>541</v>
      </c>
      <c r="I36" s="10">
        <v>445.23</v>
      </c>
      <c r="J36" s="10">
        <f t="shared" si="1"/>
        <v>17572.73</v>
      </c>
      <c r="K36" s="6">
        <f t="shared" si="2"/>
        <v>304122.55999999988</v>
      </c>
    </row>
    <row r="37" spans="1:11" x14ac:dyDescent="0.25">
      <c r="A37" s="5" t="s">
        <v>505</v>
      </c>
      <c r="B37" s="42">
        <f t="shared" si="0"/>
        <v>18.017959999999999</v>
      </c>
      <c r="C37" s="7" t="s">
        <v>87</v>
      </c>
      <c r="D37" s="7" t="s">
        <v>89</v>
      </c>
      <c r="E37" s="7" t="s">
        <v>826</v>
      </c>
      <c r="F37" s="17">
        <v>19.275529999999861</v>
      </c>
      <c r="G37" s="7" t="s">
        <v>541</v>
      </c>
      <c r="H37" s="7" t="s">
        <v>542</v>
      </c>
      <c r="I37" s="10">
        <v>544.14</v>
      </c>
      <c r="J37" s="10">
        <f t="shared" si="1"/>
        <v>18017.96</v>
      </c>
      <c r="K37" s="6">
        <f t="shared" si="2"/>
        <v>303677.3299999999</v>
      </c>
    </row>
    <row r="38" spans="1:11" x14ac:dyDescent="0.25">
      <c r="A38" s="5" t="s">
        <v>505</v>
      </c>
      <c r="B38" s="42">
        <f t="shared" si="0"/>
        <v>18.562099999999997</v>
      </c>
      <c r="C38" s="7" t="s">
        <v>89</v>
      </c>
      <c r="D38" s="7" t="s">
        <v>91</v>
      </c>
      <c r="E38" s="7" t="s">
        <v>826</v>
      </c>
      <c r="F38" s="17">
        <v>19.77855999999986</v>
      </c>
      <c r="G38" s="7" t="s">
        <v>542</v>
      </c>
      <c r="H38" s="7" t="s">
        <v>543</v>
      </c>
      <c r="I38" s="10">
        <v>572.87</v>
      </c>
      <c r="J38" s="10">
        <f t="shared" si="1"/>
        <v>18562.099999999999</v>
      </c>
      <c r="K38" s="6">
        <f t="shared" si="2"/>
        <v>303133.18999999989</v>
      </c>
    </row>
    <row r="39" spans="1:11" x14ac:dyDescent="0.25">
      <c r="A39" s="5" t="s">
        <v>505</v>
      </c>
      <c r="B39" s="42">
        <f t="shared" si="0"/>
        <v>19.134969999999999</v>
      </c>
      <c r="C39" s="7" t="s">
        <v>91</v>
      </c>
      <c r="D39" s="7" t="s">
        <v>93</v>
      </c>
      <c r="E39" s="7" t="s">
        <v>826</v>
      </c>
      <c r="F39" s="17">
        <v>20.343149999999859</v>
      </c>
      <c r="G39" s="7" t="s">
        <v>543</v>
      </c>
      <c r="H39" s="7" t="s">
        <v>544</v>
      </c>
      <c r="I39" s="10">
        <v>572.34</v>
      </c>
      <c r="J39" s="10">
        <f t="shared" si="1"/>
        <v>19134.969999999998</v>
      </c>
      <c r="K39" s="6">
        <f t="shared" si="2"/>
        <v>302560.31999999989</v>
      </c>
    </row>
    <row r="40" spans="1:11" x14ac:dyDescent="0.25">
      <c r="A40" s="5" t="s">
        <v>505</v>
      </c>
      <c r="B40" s="42">
        <f t="shared" si="0"/>
        <v>19.707309999999996</v>
      </c>
      <c r="C40" s="7" t="s">
        <v>93</v>
      </c>
      <c r="D40" s="7" t="s">
        <v>95</v>
      </c>
      <c r="E40" s="7" t="s">
        <v>826</v>
      </c>
      <c r="F40" s="17">
        <v>20.917589999999858</v>
      </c>
      <c r="G40" s="7" t="s">
        <v>544</v>
      </c>
      <c r="H40" s="7" t="s">
        <v>545</v>
      </c>
      <c r="I40" s="10">
        <v>572.86</v>
      </c>
      <c r="J40" s="10">
        <f t="shared" si="1"/>
        <v>19707.309999999998</v>
      </c>
      <c r="K40" s="6">
        <f t="shared" si="2"/>
        <v>301987.97999999986</v>
      </c>
    </row>
    <row r="41" spans="1:11" x14ac:dyDescent="0.25">
      <c r="A41" s="5" t="s">
        <v>505</v>
      </c>
      <c r="B41" s="42">
        <f t="shared" si="0"/>
        <v>20.280169999999998</v>
      </c>
      <c r="C41" s="7" t="s">
        <v>95</v>
      </c>
      <c r="D41" s="7" t="s">
        <v>97</v>
      </c>
      <c r="E41" s="7" t="s">
        <v>826</v>
      </c>
      <c r="F41" s="17">
        <v>21.515729999999859</v>
      </c>
      <c r="G41" s="7" t="s">
        <v>545</v>
      </c>
      <c r="H41" s="7" t="s">
        <v>546</v>
      </c>
      <c r="I41" s="10">
        <v>560.08000000000004</v>
      </c>
      <c r="J41" s="10">
        <f t="shared" si="1"/>
        <v>20280.169999999998</v>
      </c>
      <c r="K41" s="6">
        <f t="shared" si="2"/>
        <v>301415.11999999988</v>
      </c>
    </row>
    <row r="42" spans="1:11" x14ac:dyDescent="0.25">
      <c r="A42" s="5" t="s">
        <v>505</v>
      </c>
      <c r="B42" s="42">
        <f t="shared" si="0"/>
        <v>20.840250000000001</v>
      </c>
      <c r="C42" s="7" t="s">
        <v>97</v>
      </c>
      <c r="D42" s="7" t="s">
        <v>99</v>
      </c>
      <c r="E42" s="7" t="s">
        <v>826</v>
      </c>
      <c r="F42" s="17">
        <v>22.08646999999986</v>
      </c>
      <c r="G42" s="7" t="s">
        <v>546</v>
      </c>
      <c r="H42" s="7" t="s">
        <v>547</v>
      </c>
      <c r="I42" s="10">
        <v>557.77</v>
      </c>
      <c r="J42" s="10">
        <f t="shared" si="1"/>
        <v>20840.25</v>
      </c>
      <c r="K42" s="6">
        <f t="shared" si="2"/>
        <v>300855.03999999986</v>
      </c>
    </row>
    <row r="43" spans="1:11" x14ac:dyDescent="0.25">
      <c r="A43" s="5" t="s">
        <v>505</v>
      </c>
      <c r="B43" s="42">
        <f t="shared" si="0"/>
        <v>21.398019999999999</v>
      </c>
      <c r="C43" s="7" t="s">
        <v>99</v>
      </c>
      <c r="D43" s="7" t="s">
        <v>101</v>
      </c>
      <c r="E43" s="7" t="s">
        <v>826</v>
      </c>
      <c r="F43" s="17">
        <v>22.641119999999862</v>
      </c>
      <c r="G43" s="7" t="s">
        <v>547</v>
      </c>
      <c r="H43" s="7" t="s">
        <v>548</v>
      </c>
      <c r="I43" s="10">
        <v>561.75</v>
      </c>
      <c r="J43" s="10">
        <f t="shared" si="1"/>
        <v>21398.02</v>
      </c>
      <c r="K43" s="6">
        <f t="shared" si="2"/>
        <v>300297.26999999984</v>
      </c>
    </row>
    <row r="44" spans="1:11" x14ac:dyDescent="0.25">
      <c r="A44" s="5" t="s">
        <v>505</v>
      </c>
      <c r="B44" s="42">
        <f t="shared" si="0"/>
        <v>21.959769999999999</v>
      </c>
      <c r="C44" s="7" t="s">
        <v>101</v>
      </c>
      <c r="D44" s="7" t="s">
        <v>103</v>
      </c>
      <c r="E44" s="7" t="s">
        <v>826</v>
      </c>
      <c r="F44" s="17">
        <v>23.103719999999861</v>
      </c>
      <c r="G44" s="7" t="s">
        <v>548</v>
      </c>
      <c r="H44" s="7" t="s">
        <v>549</v>
      </c>
      <c r="I44" s="10">
        <v>573.25</v>
      </c>
      <c r="J44" s="10">
        <f t="shared" si="1"/>
        <v>21959.77</v>
      </c>
      <c r="K44" s="6">
        <f t="shared" si="2"/>
        <v>299735.51999999984</v>
      </c>
    </row>
    <row r="45" spans="1:11" x14ac:dyDescent="0.25">
      <c r="A45" s="5" t="s">
        <v>505</v>
      </c>
      <c r="B45" s="42">
        <f t="shared" si="0"/>
        <v>22.53302</v>
      </c>
      <c r="C45" s="7" t="s">
        <v>103</v>
      </c>
      <c r="D45" s="7" t="s">
        <v>105</v>
      </c>
      <c r="E45" s="7" t="s">
        <v>826</v>
      </c>
      <c r="F45" s="17">
        <v>23.563549999999861</v>
      </c>
      <c r="G45" s="7" t="s">
        <v>549</v>
      </c>
      <c r="H45" s="7" t="s">
        <v>550</v>
      </c>
      <c r="I45" s="10">
        <v>571.75</v>
      </c>
      <c r="J45" s="10">
        <f t="shared" si="1"/>
        <v>22533.02</v>
      </c>
      <c r="K45" s="6">
        <f t="shared" si="2"/>
        <v>299162.26999999984</v>
      </c>
    </row>
    <row r="46" spans="1:11" x14ac:dyDescent="0.25">
      <c r="A46" s="5" t="s">
        <v>505</v>
      </c>
      <c r="B46" s="42">
        <f t="shared" si="0"/>
        <v>23.104770000000002</v>
      </c>
      <c r="C46" s="7" t="s">
        <v>105</v>
      </c>
      <c r="D46" s="7" t="s">
        <v>107</v>
      </c>
      <c r="E46" s="7" t="s">
        <v>826</v>
      </c>
      <c r="F46" s="17">
        <v>24.100529999999861</v>
      </c>
      <c r="G46" s="7" t="s">
        <v>550</v>
      </c>
      <c r="H46" s="7" t="s">
        <v>551</v>
      </c>
      <c r="I46" s="10">
        <v>570.64</v>
      </c>
      <c r="J46" s="10">
        <f t="shared" si="1"/>
        <v>23104.77</v>
      </c>
      <c r="K46" s="6">
        <f t="shared" si="2"/>
        <v>298590.51999999984</v>
      </c>
    </row>
    <row r="47" spans="1:11" x14ac:dyDescent="0.25">
      <c r="A47" s="5" t="s">
        <v>505</v>
      </c>
      <c r="B47" s="42">
        <f t="shared" si="0"/>
        <v>23.675409999999999</v>
      </c>
      <c r="C47" s="7" t="s">
        <v>107</v>
      </c>
      <c r="D47" s="7" t="s">
        <v>109</v>
      </c>
      <c r="E47" s="7" t="s">
        <v>826</v>
      </c>
      <c r="F47" s="17">
        <v>24.679779999999859</v>
      </c>
      <c r="G47" s="7" t="s">
        <v>551</v>
      </c>
      <c r="H47" s="7" t="s">
        <v>552</v>
      </c>
      <c r="I47" s="10">
        <v>570.77</v>
      </c>
      <c r="J47" s="10">
        <f t="shared" si="1"/>
        <v>23675.41</v>
      </c>
      <c r="K47" s="6">
        <f t="shared" si="2"/>
        <v>298019.87999999983</v>
      </c>
    </row>
    <row r="48" spans="1:11" x14ac:dyDescent="0.25">
      <c r="A48" s="5" t="s">
        <v>505</v>
      </c>
      <c r="B48" s="42">
        <f t="shared" si="0"/>
        <v>24.246179999999999</v>
      </c>
      <c r="C48" s="7" t="s">
        <v>109</v>
      </c>
      <c r="D48" s="7" t="s">
        <v>111</v>
      </c>
      <c r="E48" s="7" t="s">
        <v>826</v>
      </c>
      <c r="F48" s="17">
        <v>25.254359999999863</v>
      </c>
      <c r="G48" s="7" t="s">
        <v>552</v>
      </c>
      <c r="H48" s="7" t="s">
        <v>553</v>
      </c>
      <c r="I48" s="10">
        <v>571.38</v>
      </c>
      <c r="J48" s="10">
        <f t="shared" si="1"/>
        <v>24246.18</v>
      </c>
      <c r="K48" s="6">
        <f t="shared" si="2"/>
        <v>297449.10999999981</v>
      </c>
    </row>
    <row r="49" spans="1:11" x14ac:dyDescent="0.25">
      <c r="A49" s="5" t="s">
        <v>505</v>
      </c>
      <c r="B49" s="42">
        <f t="shared" si="0"/>
        <v>24.81756</v>
      </c>
      <c r="C49" s="7" t="s">
        <v>111</v>
      </c>
      <c r="D49" s="7" t="s">
        <v>113</v>
      </c>
      <c r="E49" s="7" t="s">
        <v>826</v>
      </c>
      <c r="F49" s="17">
        <v>25.822749999999861</v>
      </c>
      <c r="G49" s="7" t="s">
        <v>553</v>
      </c>
      <c r="H49" s="7" t="s">
        <v>554</v>
      </c>
      <c r="I49" s="10">
        <v>572.37</v>
      </c>
      <c r="J49" s="10">
        <f t="shared" si="1"/>
        <v>24817.56</v>
      </c>
      <c r="K49" s="6">
        <f t="shared" si="2"/>
        <v>296877.72999999981</v>
      </c>
    </row>
    <row r="50" spans="1:11" x14ac:dyDescent="0.25">
      <c r="A50" s="5" t="s">
        <v>505</v>
      </c>
      <c r="B50" s="42">
        <f t="shared" si="0"/>
        <v>25.38993</v>
      </c>
      <c r="C50" s="7" t="s">
        <v>113</v>
      </c>
      <c r="D50" s="7" t="s">
        <v>115</v>
      </c>
      <c r="E50" s="7" t="s">
        <v>826</v>
      </c>
      <c r="F50" s="17">
        <v>26.395699999999863</v>
      </c>
      <c r="G50" s="7" t="s">
        <v>554</v>
      </c>
      <c r="H50" s="7" t="s">
        <v>555</v>
      </c>
      <c r="I50" s="10">
        <v>557.16999999999996</v>
      </c>
      <c r="J50" s="10">
        <f t="shared" si="1"/>
        <v>25389.93</v>
      </c>
      <c r="K50" s="6">
        <f t="shared" si="2"/>
        <v>296305.35999999981</v>
      </c>
    </row>
    <row r="51" spans="1:11" x14ac:dyDescent="0.25">
      <c r="A51" s="5" t="s">
        <v>505</v>
      </c>
      <c r="B51" s="42">
        <f t="shared" si="0"/>
        <v>25.947099999999999</v>
      </c>
      <c r="C51" s="7" t="s">
        <v>115</v>
      </c>
      <c r="D51" s="7" t="s">
        <v>18</v>
      </c>
      <c r="E51" s="7" t="s">
        <v>826</v>
      </c>
      <c r="F51" s="17">
        <v>26.96897999999986</v>
      </c>
      <c r="G51" s="7" t="s">
        <v>555</v>
      </c>
      <c r="H51" s="7" t="s">
        <v>556</v>
      </c>
      <c r="I51" s="10">
        <v>544.15</v>
      </c>
      <c r="J51" s="10">
        <f t="shared" si="1"/>
        <v>25947.1</v>
      </c>
      <c r="K51" s="6">
        <f t="shared" si="2"/>
        <v>295748.18999999983</v>
      </c>
    </row>
    <row r="52" spans="1:11" x14ac:dyDescent="0.25">
      <c r="A52" s="5" t="s">
        <v>505</v>
      </c>
      <c r="B52" s="42">
        <f t="shared" si="0"/>
        <v>26.491250000000001</v>
      </c>
      <c r="C52" s="7" t="s">
        <v>18</v>
      </c>
      <c r="D52" s="7" t="s">
        <v>19</v>
      </c>
      <c r="E52" s="7" t="s">
        <v>826</v>
      </c>
      <c r="F52" s="17">
        <v>27.545289999999863</v>
      </c>
      <c r="G52" s="7" t="s">
        <v>556</v>
      </c>
      <c r="H52" s="7" t="s">
        <v>557</v>
      </c>
      <c r="I52" s="10">
        <v>513.66999999999996</v>
      </c>
      <c r="J52" s="10">
        <f t="shared" si="1"/>
        <v>26491.25</v>
      </c>
      <c r="K52" s="6">
        <f t="shared" si="2"/>
        <v>295204.0399999998</v>
      </c>
    </row>
    <row r="53" spans="1:11" x14ac:dyDescent="0.25">
      <c r="A53" s="5" t="s">
        <v>505</v>
      </c>
      <c r="B53" s="42">
        <f t="shared" si="0"/>
        <v>27.004919999999998</v>
      </c>
      <c r="C53" s="7" t="s">
        <v>19</v>
      </c>
      <c r="D53" s="7" t="s">
        <v>119</v>
      </c>
      <c r="E53" s="7" t="s">
        <v>826</v>
      </c>
      <c r="F53" s="17">
        <v>28.121129999999862</v>
      </c>
      <c r="G53" s="7" t="s">
        <v>557</v>
      </c>
      <c r="H53" s="7" t="s">
        <v>558</v>
      </c>
      <c r="I53" s="10">
        <v>527.35</v>
      </c>
      <c r="J53" s="10">
        <f t="shared" si="1"/>
        <v>27004.92</v>
      </c>
      <c r="K53" s="6">
        <f t="shared" si="2"/>
        <v>294690.36999999982</v>
      </c>
    </row>
    <row r="54" spans="1:11" x14ac:dyDescent="0.25">
      <c r="A54" s="5" t="s">
        <v>505</v>
      </c>
      <c r="B54" s="42">
        <f t="shared" si="0"/>
        <v>27.532269999999997</v>
      </c>
      <c r="C54" s="7" t="s">
        <v>119</v>
      </c>
      <c r="D54" s="7" t="s">
        <v>121</v>
      </c>
      <c r="E54" s="7" t="s">
        <v>826</v>
      </c>
      <c r="F54" s="17">
        <v>28.697119999999863</v>
      </c>
      <c r="G54" s="7" t="s">
        <v>558</v>
      </c>
      <c r="H54" s="7" t="s">
        <v>559</v>
      </c>
      <c r="I54" s="10">
        <v>551.52</v>
      </c>
      <c r="J54" s="10">
        <f t="shared" si="1"/>
        <v>27532.269999999997</v>
      </c>
      <c r="K54" s="6">
        <f t="shared" si="2"/>
        <v>294163.01999999984</v>
      </c>
    </row>
    <row r="55" spans="1:11" x14ac:dyDescent="0.25">
      <c r="A55" s="5" t="s">
        <v>505</v>
      </c>
      <c r="B55" s="42">
        <f t="shared" si="0"/>
        <v>28.083789999999997</v>
      </c>
      <c r="C55" s="7" t="s">
        <v>121</v>
      </c>
      <c r="D55" s="7" t="s">
        <v>123</v>
      </c>
      <c r="E55" s="7" t="s">
        <v>826</v>
      </c>
      <c r="F55" s="17">
        <v>29.254689999999865</v>
      </c>
      <c r="G55" s="7" t="s">
        <v>559</v>
      </c>
      <c r="H55" s="7" t="s">
        <v>560</v>
      </c>
      <c r="I55" s="10">
        <v>532.51</v>
      </c>
      <c r="J55" s="10">
        <f t="shared" si="1"/>
        <v>28083.789999999997</v>
      </c>
      <c r="K55" s="6">
        <f t="shared" si="2"/>
        <v>293611.49999999983</v>
      </c>
    </row>
    <row r="56" spans="1:11" x14ac:dyDescent="0.25">
      <c r="A56" s="5" t="s">
        <v>505</v>
      </c>
      <c r="B56" s="42">
        <f t="shared" si="0"/>
        <v>28.616299999999995</v>
      </c>
      <c r="C56" s="7" t="s">
        <v>123</v>
      </c>
      <c r="D56" s="7" t="s">
        <v>125</v>
      </c>
      <c r="E56" s="7" t="s">
        <v>826</v>
      </c>
      <c r="F56" s="17">
        <v>29.818829999999863</v>
      </c>
      <c r="G56" s="7" t="s">
        <v>560</v>
      </c>
      <c r="H56" s="7" t="s">
        <v>561</v>
      </c>
      <c r="I56" s="10">
        <v>530.87</v>
      </c>
      <c r="J56" s="10">
        <f t="shared" si="1"/>
        <v>28616.299999999996</v>
      </c>
      <c r="K56" s="6">
        <f t="shared" si="2"/>
        <v>293078.98999999982</v>
      </c>
    </row>
    <row r="57" spans="1:11" x14ac:dyDescent="0.25">
      <c r="A57" s="5" t="s">
        <v>505</v>
      </c>
      <c r="B57" s="42">
        <f t="shared" si="0"/>
        <v>29.147169999999996</v>
      </c>
      <c r="C57" s="7" t="s">
        <v>125</v>
      </c>
      <c r="D57" s="7" t="s">
        <v>127</v>
      </c>
      <c r="E57" s="7" t="s">
        <v>826</v>
      </c>
      <c r="F57" s="17">
        <v>30.379279999999863</v>
      </c>
      <c r="G57" s="7" t="s">
        <v>561</v>
      </c>
      <c r="H57" s="7" t="s">
        <v>562</v>
      </c>
      <c r="I57" s="10">
        <v>538.86</v>
      </c>
      <c r="J57" s="10">
        <f t="shared" si="1"/>
        <v>29147.169999999995</v>
      </c>
      <c r="K57" s="6">
        <f t="shared" si="2"/>
        <v>292548.11999999982</v>
      </c>
    </row>
    <row r="58" spans="1:11" x14ac:dyDescent="0.25">
      <c r="A58" s="5" t="s">
        <v>505</v>
      </c>
      <c r="B58" s="42">
        <f t="shared" si="0"/>
        <v>29.686029999999995</v>
      </c>
      <c r="C58" s="7" t="s">
        <v>127</v>
      </c>
      <c r="D58" s="7" t="s">
        <v>129</v>
      </c>
      <c r="E58" s="7" t="s">
        <v>826</v>
      </c>
      <c r="F58" s="17">
        <v>30.949899999999865</v>
      </c>
      <c r="G58" s="7" t="s">
        <v>562</v>
      </c>
      <c r="H58" s="7" t="s">
        <v>563</v>
      </c>
      <c r="I58" s="10">
        <v>526.15</v>
      </c>
      <c r="J58" s="10">
        <f t="shared" si="1"/>
        <v>29686.029999999995</v>
      </c>
      <c r="K58" s="6">
        <f t="shared" si="2"/>
        <v>292009.25999999983</v>
      </c>
    </row>
    <row r="59" spans="1:11" x14ac:dyDescent="0.25">
      <c r="A59" s="5" t="s">
        <v>505</v>
      </c>
      <c r="B59" s="42">
        <f t="shared" si="0"/>
        <v>30.212179999999996</v>
      </c>
      <c r="C59" s="7" t="s">
        <v>129</v>
      </c>
      <c r="D59" s="7" t="s">
        <v>131</v>
      </c>
      <c r="E59" s="7" t="s">
        <v>826</v>
      </c>
      <c r="F59" s="17">
        <v>31.474389999999865</v>
      </c>
      <c r="G59" s="7" t="s">
        <v>563</v>
      </c>
      <c r="H59" s="7" t="s">
        <v>564</v>
      </c>
      <c r="I59" s="10">
        <v>516.21</v>
      </c>
      <c r="J59" s="10">
        <f t="shared" si="1"/>
        <v>30212.179999999997</v>
      </c>
      <c r="K59" s="6">
        <f t="shared" si="2"/>
        <v>291483.10999999981</v>
      </c>
    </row>
    <row r="60" spans="1:11" x14ac:dyDescent="0.25">
      <c r="A60" s="5" t="s">
        <v>505</v>
      </c>
      <c r="B60" s="42">
        <f t="shared" si="0"/>
        <v>30.728389999999997</v>
      </c>
      <c r="C60" s="7" t="s">
        <v>131</v>
      </c>
      <c r="D60" s="7" t="s">
        <v>133</v>
      </c>
      <c r="E60" s="7" t="s">
        <v>826</v>
      </c>
      <c r="F60" s="17">
        <v>31.960649999999863</v>
      </c>
      <c r="G60" s="7" t="s">
        <v>564</v>
      </c>
      <c r="H60" s="7" t="s">
        <v>565</v>
      </c>
      <c r="I60" s="10">
        <v>516.99</v>
      </c>
      <c r="J60" s="10">
        <f t="shared" si="1"/>
        <v>30728.389999999996</v>
      </c>
      <c r="K60" s="6">
        <f t="shared" si="2"/>
        <v>290966.89999999979</v>
      </c>
    </row>
    <row r="61" spans="1:11" x14ac:dyDescent="0.25">
      <c r="A61" s="5" t="s">
        <v>505</v>
      </c>
      <c r="B61" s="42">
        <f t="shared" si="0"/>
        <v>31.245379999999997</v>
      </c>
      <c r="C61" s="7" t="s">
        <v>133</v>
      </c>
      <c r="D61" s="7" t="s">
        <v>135</v>
      </c>
      <c r="E61" s="7" t="s">
        <v>826</v>
      </c>
      <c r="F61" s="17">
        <v>32.515149999999863</v>
      </c>
      <c r="G61" s="7" t="s">
        <v>565</v>
      </c>
      <c r="H61" s="7" t="s">
        <v>566</v>
      </c>
      <c r="I61" s="10">
        <v>518.65</v>
      </c>
      <c r="J61" s="10">
        <f t="shared" si="1"/>
        <v>31245.379999999997</v>
      </c>
      <c r="K61" s="6">
        <f t="shared" si="2"/>
        <v>290449.9099999998</v>
      </c>
    </row>
    <row r="62" spans="1:11" x14ac:dyDescent="0.25">
      <c r="A62" s="5" t="s">
        <v>505</v>
      </c>
      <c r="B62" s="42">
        <f t="shared" si="0"/>
        <v>31.764029999999998</v>
      </c>
      <c r="C62" s="7" t="s">
        <v>135</v>
      </c>
      <c r="D62" s="7" t="s">
        <v>137</v>
      </c>
      <c r="E62" s="7" t="s">
        <v>826</v>
      </c>
      <c r="F62" s="17">
        <v>33.070929999999862</v>
      </c>
      <c r="G62" s="7" t="s">
        <v>566</v>
      </c>
      <c r="H62" s="7" t="s">
        <v>567</v>
      </c>
      <c r="I62" s="10">
        <v>446.12</v>
      </c>
      <c r="J62" s="10">
        <f t="shared" si="1"/>
        <v>31764.03</v>
      </c>
      <c r="K62" s="6">
        <f t="shared" si="2"/>
        <v>289931.25999999978</v>
      </c>
    </row>
    <row r="63" spans="1:11" x14ac:dyDescent="0.25">
      <c r="A63" s="5" t="s">
        <v>505</v>
      </c>
      <c r="B63" s="42">
        <f t="shared" si="0"/>
        <v>32.210149999999999</v>
      </c>
      <c r="C63" s="7" t="s">
        <v>137</v>
      </c>
      <c r="D63" s="7" t="s">
        <v>139</v>
      </c>
      <c r="E63" s="7" t="s">
        <v>826</v>
      </c>
      <c r="F63" s="17">
        <v>33.63516999999986</v>
      </c>
      <c r="G63" s="7" t="s">
        <v>567</v>
      </c>
      <c r="H63" s="7" t="s">
        <v>568</v>
      </c>
      <c r="I63" s="10">
        <v>481.87</v>
      </c>
      <c r="J63" s="10">
        <f t="shared" si="1"/>
        <v>32210.149999999998</v>
      </c>
      <c r="K63" s="6">
        <f t="shared" si="2"/>
        <v>289485.13999999978</v>
      </c>
    </row>
    <row r="64" spans="1:11" x14ac:dyDescent="0.25">
      <c r="A64" s="5" t="s">
        <v>505</v>
      </c>
      <c r="B64" s="42">
        <f t="shared" si="0"/>
        <v>32.692019999999999</v>
      </c>
      <c r="C64" s="7" t="s">
        <v>139</v>
      </c>
      <c r="D64" s="7" t="s">
        <v>141</v>
      </c>
      <c r="E64" s="7" t="s">
        <v>826</v>
      </c>
      <c r="F64" s="17">
        <v>34.23135999999986</v>
      </c>
      <c r="G64" s="7" t="s">
        <v>568</v>
      </c>
      <c r="H64" s="7" t="s">
        <v>569</v>
      </c>
      <c r="I64" s="10">
        <v>570.54999999999995</v>
      </c>
      <c r="J64" s="10">
        <f t="shared" si="1"/>
        <v>32692.019999999997</v>
      </c>
      <c r="K64" s="6">
        <f t="shared" si="2"/>
        <v>289003.26999999979</v>
      </c>
    </row>
    <row r="65" spans="1:11" x14ac:dyDescent="0.25">
      <c r="A65" s="5" t="s">
        <v>505</v>
      </c>
      <c r="B65" s="42">
        <f t="shared" si="0"/>
        <v>33.262569999999997</v>
      </c>
      <c r="C65" s="7" t="s">
        <v>141</v>
      </c>
      <c r="D65" s="7" t="s">
        <v>143</v>
      </c>
      <c r="E65" s="7" t="s">
        <v>826</v>
      </c>
      <c r="F65" s="17">
        <v>34.799769999999867</v>
      </c>
      <c r="G65" s="7" t="s">
        <v>569</v>
      </c>
      <c r="H65" s="7" t="s">
        <v>570</v>
      </c>
      <c r="I65" s="10">
        <v>564.66</v>
      </c>
      <c r="J65" s="10">
        <f t="shared" si="1"/>
        <v>33262.57</v>
      </c>
      <c r="K65" s="6">
        <f t="shared" si="2"/>
        <v>288432.7199999998</v>
      </c>
    </row>
    <row r="66" spans="1:11" x14ac:dyDescent="0.25">
      <c r="A66" s="5" t="s">
        <v>505</v>
      </c>
      <c r="B66" s="42">
        <f t="shared" si="0"/>
        <v>33.82723</v>
      </c>
      <c r="C66" s="7" t="s">
        <v>143</v>
      </c>
      <c r="D66" s="7" t="s">
        <v>145</v>
      </c>
      <c r="E66" s="7" t="s">
        <v>826</v>
      </c>
      <c r="F66" s="17">
        <v>35.356109999999859</v>
      </c>
      <c r="G66" s="7" t="s">
        <v>570</v>
      </c>
      <c r="H66" s="7" t="s">
        <v>571</v>
      </c>
      <c r="I66" s="10">
        <v>566.57000000000005</v>
      </c>
      <c r="J66" s="10">
        <f t="shared" si="1"/>
        <v>33827.230000000003</v>
      </c>
      <c r="K66" s="6">
        <f t="shared" si="2"/>
        <v>287868.05999999982</v>
      </c>
    </row>
    <row r="67" spans="1:11" x14ac:dyDescent="0.25">
      <c r="A67" s="5" t="s">
        <v>505</v>
      </c>
      <c r="B67" s="42">
        <f t="shared" ref="B67:B130" si="3">J67/1000</f>
        <v>34.393800000000006</v>
      </c>
      <c r="C67" s="7" t="s">
        <v>145</v>
      </c>
      <c r="D67" s="7" t="s">
        <v>147</v>
      </c>
      <c r="E67" s="7" t="s">
        <v>826</v>
      </c>
      <c r="F67" s="17">
        <v>35.912899999999865</v>
      </c>
      <c r="G67" s="7" t="s">
        <v>571</v>
      </c>
      <c r="H67" s="7" t="s">
        <v>572</v>
      </c>
      <c r="I67" s="10">
        <v>546.16999999999996</v>
      </c>
      <c r="J67" s="10">
        <f t="shared" si="1"/>
        <v>34393.800000000003</v>
      </c>
      <c r="K67" s="6">
        <f t="shared" si="2"/>
        <v>287301.48999999982</v>
      </c>
    </row>
    <row r="68" spans="1:11" x14ac:dyDescent="0.25">
      <c r="A68" s="5" t="s">
        <v>505</v>
      </c>
      <c r="B68" s="42">
        <f t="shared" si="3"/>
        <v>34.939970000000002</v>
      </c>
      <c r="C68" s="7" t="s">
        <v>147</v>
      </c>
      <c r="D68" s="7" t="s">
        <v>149</v>
      </c>
      <c r="E68" s="7" t="s">
        <v>826</v>
      </c>
      <c r="F68" s="17">
        <v>36.444679999999863</v>
      </c>
      <c r="G68" s="7" t="s">
        <v>572</v>
      </c>
      <c r="H68" s="7" t="s">
        <v>573</v>
      </c>
      <c r="I68" s="10">
        <v>546.64</v>
      </c>
      <c r="J68" s="10">
        <f t="shared" si="1"/>
        <v>34939.97</v>
      </c>
      <c r="K68" s="6">
        <f t="shared" si="2"/>
        <v>286755.31999999983</v>
      </c>
    </row>
    <row r="69" spans="1:11" x14ac:dyDescent="0.25">
      <c r="A69" s="5" t="s">
        <v>505</v>
      </c>
      <c r="B69" s="42">
        <f t="shared" si="3"/>
        <v>35.486609999999999</v>
      </c>
      <c r="C69" s="7" t="s">
        <v>149</v>
      </c>
      <c r="D69" s="7" t="s">
        <v>151</v>
      </c>
      <c r="E69" s="7" t="s">
        <v>826</v>
      </c>
      <c r="F69" s="17">
        <v>37.007509999999861</v>
      </c>
      <c r="G69" s="7" t="s">
        <v>573</v>
      </c>
      <c r="H69" s="7" t="s">
        <v>574</v>
      </c>
      <c r="I69" s="10">
        <v>572.62</v>
      </c>
      <c r="J69" s="10">
        <f t="shared" si="1"/>
        <v>35486.61</v>
      </c>
      <c r="K69" s="6">
        <f t="shared" si="2"/>
        <v>286208.67999999982</v>
      </c>
    </row>
    <row r="70" spans="1:11" x14ac:dyDescent="0.25">
      <c r="A70" s="5" t="s">
        <v>505</v>
      </c>
      <c r="B70" s="42">
        <f t="shared" si="3"/>
        <v>36.059230000000007</v>
      </c>
      <c r="C70" s="7" t="s">
        <v>151</v>
      </c>
      <c r="D70" s="7" t="s">
        <v>153</v>
      </c>
      <c r="E70" s="7" t="s">
        <v>826</v>
      </c>
      <c r="F70" s="17">
        <v>37.590319999999863</v>
      </c>
      <c r="G70" s="7" t="s">
        <v>574</v>
      </c>
      <c r="H70" s="7" t="s">
        <v>575</v>
      </c>
      <c r="I70" s="10">
        <v>572.57000000000005</v>
      </c>
      <c r="J70" s="10">
        <f t="shared" ref="J70:J133" si="4">J69+I69</f>
        <v>36059.230000000003</v>
      </c>
      <c r="K70" s="6">
        <f t="shared" ref="K70:K133" si="5">K69-I69</f>
        <v>285636.05999999982</v>
      </c>
    </row>
    <row r="71" spans="1:11" x14ac:dyDescent="0.25">
      <c r="A71" s="5" t="s">
        <v>505</v>
      </c>
      <c r="B71" s="42">
        <f t="shared" si="3"/>
        <v>36.631800000000005</v>
      </c>
      <c r="C71" s="7" t="s">
        <v>153</v>
      </c>
      <c r="D71" s="7" t="s">
        <v>155</v>
      </c>
      <c r="E71" s="7" t="s">
        <v>826</v>
      </c>
      <c r="F71" s="17">
        <v>38.145609999999863</v>
      </c>
      <c r="G71" s="7" t="s">
        <v>575</v>
      </c>
      <c r="H71" s="7" t="s">
        <v>576</v>
      </c>
      <c r="I71" s="10">
        <v>572.30999999999995</v>
      </c>
      <c r="J71" s="10">
        <f t="shared" si="4"/>
        <v>36631.800000000003</v>
      </c>
      <c r="K71" s="6">
        <f t="shared" si="5"/>
        <v>285063.48999999982</v>
      </c>
    </row>
    <row r="72" spans="1:11" x14ac:dyDescent="0.25">
      <c r="A72" s="5" t="s">
        <v>505</v>
      </c>
      <c r="B72" s="42">
        <f t="shared" si="3"/>
        <v>37.20411</v>
      </c>
      <c r="C72" s="7" t="s">
        <v>155</v>
      </c>
      <c r="D72" s="7" t="s">
        <v>157</v>
      </c>
      <c r="E72" s="7" t="s">
        <v>826</v>
      </c>
      <c r="F72" s="17">
        <v>38.67682999999986</v>
      </c>
      <c r="G72" s="7" t="s">
        <v>576</v>
      </c>
      <c r="H72" s="7" t="s">
        <v>577</v>
      </c>
      <c r="I72" s="10">
        <v>571.91</v>
      </c>
      <c r="J72" s="10">
        <f t="shared" si="4"/>
        <v>37204.11</v>
      </c>
      <c r="K72" s="6">
        <f t="shared" si="5"/>
        <v>284491.17999999982</v>
      </c>
    </row>
    <row r="73" spans="1:11" x14ac:dyDescent="0.25">
      <c r="A73" s="5" t="s">
        <v>505</v>
      </c>
      <c r="B73" s="42">
        <f t="shared" si="3"/>
        <v>37.776020000000003</v>
      </c>
      <c r="C73" s="7" t="s">
        <v>157</v>
      </c>
      <c r="D73" s="7" t="s">
        <v>159</v>
      </c>
      <c r="E73" s="7" t="s">
        <v>826</v>
      </c>
      <c r="F73" s="17">
        <v>39.239019999999869</v>
      </c>
      <c r="G73" s="7" t="s">
        <v>577</v>
      </c>
      <c r="H73" s="7" t="s">
        <v>578</v>
      </c>
      <c r="I73" s="10">
        <v>571.47</v>
      </c>
      <c r="J73" s="10">
        <f t="shared" si="4"/>
        <v>37776.020000000004</v>
      </c>
      <c r="K73" s="6">
        <f t="shared" si="5"/>
        <v>283919.26999999984</v>
      </c>
    </row>
    <row r="74" spans="1:11" x14ac:dyDescent="0.25">
      <c r="A74" s="5" t="s">
        <v>505</v>
      </c>
      <c r="B74" s="42">
        <f t="shared" si="3"/>
        <v>38.347490000000008</v>
      </c>
      <c r="C74" s="7" t="s">
        <v>159</v>
      </c>
      <c r="D74" s="7" t="s">
        <v>161</v>
      </c>
      <c r="E74" s="7" t="s">
        <v>826</v>
      </c>
      <c r="F74" s="17">
        <v>39.78485999999986</v>
      </c>
      <c r="G74" s="7" t="s">
        <v>578</v>
      </c>
      <c r="H74" s="7" t="s">
        <v>579</v>
      </c>
      <c r="I74" s="10">
        <v>573.48</v>
      </c>
      <c r="J74" s="10">
        <f t="shared" si="4"/>
        <v>38347.490000000005</v>
      </c>
      <c r="K74" s="6">
        <f t="shared" si="5"/>
        <v>283347.79999999987</v>
      </c>
    </row>
    <row r="75" spans="1:11" x14ac:dyDescent="0.25">
      <c r="A75" s="5" t="s">
        <v>505</v>
      </c>
      <c r="B75" s="42">
        <f t="shared" si="3"/>
        <v>38.920970000000011</v>
      </c>
      <c r="C75" s="7" t="s">
        <v>161</v>
      </c>
      <c r="D75" s="7" t="s">
        <v>163</v>
      </c>
      <c r="E75" s="7" t="s">
        <v>826</v>
      </c>
      <c r="F75" s="17">
        <v>40.237129999999858</v>
      </c>
      <c r="G75" s="7" t="s">
        <v>579</v>
      </c>
      <c r="H75" s="7" t="s">
        <v>580</v>
      </c>
      <c r="I75" s="10">
        <v>571.55999999999995</v>
      </c>
      <c r="J75" s="10">
        <f t="shared" si="4"/>
        <v>38920.970000000008</v>
      </c>
      <c r="K75" s="6">
        <f t="shared" si="5"/>
        <v>282774.31999999989</v>
      </c>
    </row>
    <row r="76" spans="1:11" x14ac:dyDescent="0.25">
      <c r="A76" s="5" t="s">
        <v>505</v>
      </c>
      <c r="B76" s="42">
        <f t="shared" si="3"/>
        <v>39.492530000000009</v>
      </c>
      <c r="C76" s="7" t="s">
        <v>163</v>
      </c>
      <c r="D76" s="7" t="s">
        <v>165</v>
      </c>
      <c r="E76" s="7" t="s">
        <v>826</v>
      </c>
      <c r="F76" s="17">
        <v>40.669649999999855</v>
      </c>
      <c r="G76" s="7" t="s">
        <v>580</v>
      </c>
      <c r="H76" s="7" t="s">
        <v>581</v>
      </c>
      <c r="I76" s="10">
        <v>571.94000000000005</v>
      </c>
      <c r="J76" s="10">
        <f t="shared" si="4"/>
        <v>39492.530000000006</v>
      </c>
      <c r="K76" s="6">
        <f t="shared" si="5"/>
        <v>282202.75999999989</v>
      </c>
    </row>
    <row r="77" spans="1:11" x14ac:dyDescent="0.25">
      <c r="A77" s="5" t="s">
        <v>505</v>
      </c>
      <c r="B77" s="42">
        <f t="shared" si="3"/>
        <v>40.064470000000007</v>
      </c>
      <c r="C77" s="7" t="s">
        <v>165</v>
      </c>
      <c r="D77" s="7" t="s">
        <v>167</v>
      </c>
      <c r="E77" s="7" t="s">
        <v>826</v>
      </c>
      <c r="F77" s="17">
        <v>41.209849999999854</v>
      </c>
      <c r="G77" s="7" t="s">
        <v>581</v>
      </c>
      <c r="H77" s="7" t="s">
        <v>582</v>
      </c>
      <c r="I77" s="10">
        <v>572.63</v>
      </c>
      <c r="J77" s="10">
        <f t="shared" si="4"/>
        <v>40064.470000000008</v>
      </c>
      <c r="K77" s="6">
        <f t="shared" si="5"/>
        <v>281630.81999999989</v>
      </c>
    </row>
    <row r="78" spans="1:11" x14ac:dyDescent="0.25">
      <c r="A78" s="5" t="s">
        <v>505</v>
      </c>
      <c r="B78" s="42">
        <f t="shared" si="3"/>
        <v>40.637100000000004</v>
      </c>
      <c r="C78" s="7" t="s">
        <v>167</v>
      </c>
      <c r="D78" s="7" t="s">
        <v>169</v>
      </c>
      <c r="E78" s="7" t="s">
        <v>826</v>
      </c>
      <c r="F78" s="17">
        <v>41.753479999999847</v>
      </c>
      <c r="G78" s="7" t="s">
        <v>582</v>
      </c>
      <c r="H78" s="7" t="s">
        <v>583</v>
      </c>
      <c r="I78" s="10">
        <v>573.04999999999995</v>
      </c>
      <c r="J78" s="10">
        <f t="shared" si="4"/>
        <v>40637.100000000006</v>
      </c>
      <c r="K78" s="6">
        <f t="shared" si="5"/>
        <v>281058.18999999989</v>
      </c>
    </row>
    <row r="79" spans="1:11" x14ac:dyDescent="0.25">
      <c r="A79" s="5" t="s">
        <v>505</v>
      </c>
      <c r="B79" s="42">
        <f t="shared" si="3"/>
        <v>41.210150000000006</v>
      </c>
      <c r="C79" s="7" t="s">
        <v>169</v>
      </c>
      <c r="D79" s="7" t="s">
        <v>171</v>
      </c>
      <c r="E79" s="7" t="s">
        <v>826</v>
      </c>
      <c r="F79" s="17">
        <v>42.326389999999854</v>
      </c>
      <c r="G79" s="7" t="s">
        <v>583</v>
      </c>
      <c r="H79" s="7" t="s">
        <v>584</v>
      </c>
      <c r="I79" s="10">
        <v>570.64</v>
      </c>
      <c r="J79" s="10">
        <f t="shared" si="4"/>
        <v>41210.150000000009</v>
      </c>
      <c r="K79" s="6">
        <f t="shared" si="5"/>
        <v>280485.1399999999</v>
      </c>
    </row>
    <row r="80" spans="1:11" x14ac:dyDescent="0.25">
      <c r="A80" s="5" t="s">
        <v>505</v>
      </c>
      <c r="B80" s="42">
        <f t="shared" si="3"/>
        <v>41.78079000000001</v>
      </c>
      <c r="C80" s="7" t="s">
        <v>171</v>
      </c>
      <c r="D80" s="7" t="s">
        <v>173</v>
      </c>
      <c r="E80" s="7" t="s">
        <v>826</v>
      </c>
      <c r="F80" s="17">
        <v>42.894619999999854</v>
      </c>
      <c r="G80" s="7" t="s">
        <v>584</v>
      </c>
      <c r="H80" s="7" t="s">
        <v>585</v>
      </c>
      <c r="I80" s="10">
        <v>570.72</v>
      </c>
      <c r="J80" s="10">
        <f t="shared" si="4"/>
        <v>41780.790000000008</v>
      </c>
      <c r="K80" s="6">
        <f t="shared" si="5"/>
        <v>279914.49999999988</v>
      </c>
    </row>
    <row r="81" spans="1:11" x14ac:dyDescent="0.25">
      <c r="A81" s="5" t="s">
        <v>505</v>
      </c>
      <c r="B81" s="42">
        <f t="shared" si="3"/>
        <v>42.351510000000012</v>
      </c>
      <c r="C81" s="7" t="s">
        <v>173</v>
      </c>
      <c r="D81" s="7" t="s">
        <v>175</v>
      </c>
      <c r="E81" s="7" t="s">
        <v>826</v>
      </c>
      <c r="F81" s="17">
        <v>43.460499999999854</v>
      </c>
      <c r="G81" s="7" t="s">
        <v>585</v>
      </c>
      <c r="H81" s="7" t="s">
        <v>586</v>
      </c>
      <c r="I81" s="10">
        <v>581.57000000000005</v>
      </c>
      <c r="J81" s="10">
        <f t="shared" si="4"/>
        <v>42351.510000000009</v>
      </c>
      <c r="K81" s="6">
        <f t="shared" si="5"/>
        <v>279343.77999999991</v>
      </c>
    </row>
    <row r="82" spans="1:11" x14ac:dyDescent="0.25">
      <c r="A82" s="5" t="s">
        <v>505</v>
      </c>
      <c r="B82" s="42">
        <f t="shared" si="3"/>
        <v>42.933080000000011</v>
      </c>
      <c r="C82" s="7" t="s">
        <v>175</v>
      </c>
      <c r="D82" s="7" t="s">
        <v>177</v>
      </c>
      <c r="E82" s="7" t="s">
        <v>826</v>
      </c>
      <c r="F82" s="17">
        <v>44.024499999999854</v>
      </c>
      <c r="G82" s="7" t="s">
        <v>586</v>
      </c>
      <c r="H82" s="7" t="s">
        <v>587</v>
      </c>
      <c r="I82" s="10">
        <v>573.01</v>
      </c>
      <c r="J82" s="10">
        <f t="shared" si="4"/>
        <v>42933.080000000009</v>
      </c>
      <c r="K82" s="6">
        <f t="shared" si="5"/>
        <v>278762.2099999999</v>
      </c>
    </row>
    <row r="83" spans="1:11" x14ac:dyDescent="0.25">
      <c r="A83" s="5" t="s">
        <v>505</v>
      </c>
      <c r="B83" s="42">
        <f t="shared" si="3"/>
        <v>43.506090000000015</v>
      </c>
      <c r="C83" s="7" t="s">
        <v>177</v>
      </c>
      <c r="D83" s="7" t="s">
        <v>179</v>
      </c>
      <c r="E83" s="7" t="s">
        <v>826</v>
      </c>
      <c r="F83" s="17">
        <v>44.560819999999858</v>
      </c>
      <c r="G83" s="7" t="s">
        <v>587</v>
      </c>
      <c r="H83" s="7" t="s">
        <v>588</v>
      </c>
      <c r="I83" s="10">
        <v>573.12</v>
      </c>
      <c r="J83" s="10">
        <f t="shared" si="4"/>
        <v>43506.090000000011</v>
      </c>
      <c r="K83" s="6">
        <f t="shared" si="5"/>
        <v>278189.1999999999</v>
      </c>
    </row>
    <row r="84" spans="1:11" x14ac:dyDescent="0.25">
      <c r="A84" s="5" t="s">
        <v>505</v>
      </c>
      <c r="B84" s="42">
        <f t="shared" si="3"/>
        <v>44.07921000000001</v>
      </c>
      <c r="C84" s="7" t="s">
        <v>179</v>
      </c>
      <c r="D84" s="7" t="s">
        <v>181</v>
      </c>
      <c r="E84" s="7" t="s">
        <v>826</v>
      </c>
      <c r="F84" s="17">
        <v>45.115179999999853</v>
      </c>
      <c r="G84" s="7" t="s">
        <v>588</v>
      </c>
      <c r="H84" s="7" t="s">
        <v>589</v>
      </c>
      <c r="I84" s="10">
        <v>575.01</v>
      </c>
      <c r="J84" s="10">
        <f t="shared" si="4"/>
        <v>44079.210000000014</v>
      </c>
      <c r="K84" s="6">
        <f t="shared" si="5"/>
        <v>277616.0799999999</v>
      </c>
    </row>
    <row r="85" spans="1:11" x14ac:dyDescent="0.25">
      <c r="A85" s="5" t="s">
        <v>505</v>
      </c>
      <c r="B85" s="42">
        <f t="shared" si="3"/>
        <v>44.654220000000016</v>
      </c>
      <c r="C85" s="7" t="s">
        <v>181</v>
      </c>
      <c r="D85" s="7" t="s">
        <v>183</v>
      </c>
      <c r="E85" s="7" t="s">
        <v>826</v>
      </c>
      <c r="F85" s="17">
        <v>45.681389999999851</v>
      </c>
      <c r="G85" s="7" t="s">
        <v>589</v>
      </c>
      <c r="H85" s="7" t="s">
        <v>590</v>
      </c>
      <c r="I85" s="10">
        <v>574.75</v>
      </c>
      <c r="J85" s="10">
        <f t="shared" si="4"/>
        <v>44654.220000000016</v>
      </c>
      <c r="K85" s="6">
        <f t="shared" si="5"/>
        <v>277041.06999999989</v>
      </c>
    </row>
    <row r="86" spans="1:11" x14ac:dyDescent="0.25">
      <c r="A86" s="5" t="s">
        <v>505</v>
      </c>
      <c r="B86" s="42">
        <f t="shared" si="3"/>
        <v>45.228970000000018</v>
      </c>
      <c r="C86" s="7" t="s">
        <v>183</v>
      </c>
      <c r="D86" s="7" t="s">
        <v>272</v>
      </c>
      <c r="E86" s="7" t="s">
        <v>826</v>
      </c>
      <c r="F86" s="17">
        <v>46.220829999999857</v>
      </c>
      <c r="G86" s="7" t="s">
        <v>590</v>
      </c>
      <c r="H86" s="7" t="s">
        <v>591</v>
      </c>
      <c r="I86" s="10">
        <v>574.07000000000005</v>
      </c>
      <c r="J86" s="10">
        <f t="shared" si="4"/>
        <v>45228.970000000016</v>
      </c>
      <c r="K86" s="6">
        <f t="shared" si="5"/>
        <v>276466.31999999989</v>
      </c>
    </row>
    <row r="87" spans="1:11" x14ac:dyDescent="0.25">
      <c r="A87" s="5" t="s">
        <v>505</v>
      </c>
      <c r="B87" s="42">
        <f t="shared" si="3"/>
        <v>45.803040000000017</v>
      </c>
      <c r="C87" s="7" t="s">
        <v>272</v>
      </c>
      <c r="D87" s="7" t="s">
        <v>274</v>
      </c>
      <c r="E87" s="7" t="s">
        <v>826</v>
      </c>
      <c r="F87" s="17">
        <v>46.730019999999861</v>
      </c>
      <c r="G87" s="7" t="s">
        <v>591</v>
      </c>
      <c r="H87" s="7" t="s">
        <v>592</v>
      </c>
      <c r="I87" s="10">
        <v>573.15</v>
      </c>
      <c r="J87" s="10">
        <f t="shared" si="4"/>
        <v>45803.040000000015</v>
      </c>
      <c r="K87" s="6">
        <f t="shared" si="5"/>
        <v>275892.24999999988</v>
      </c>
    </row>
    <row r="88" spans="1:11" x14ac:dyDescent="0.25">
      <c r="A88" s="5" t="s">
        <v>505</v>
      </c>
      <c r="B88" s="42">
        <f t="shared" si="3"/>
        <v>46.376190000000015</v>
      </c>
      <c r="C88" s="7" t="s">
        <v>274</v>
      </c>
      <c r="D88" s="7" t="s">
        <v>276</v>
      </c>
      <c r="E88" s="7" t="s">
        <v>826</v>
      </c>
      <c r="F88" s="17">
        <v>47.276369999999858</v>
      </c>
      <c r="G88" s="7" t="s">
        <v>592</v>
      </c>
      <c r="H88" s="7" t="s">
        <v>593</v>
      </c>
      <c r="I88" s="10">
        <v>570.30999999999995</v>
      </c>
      <c r="J88" s="10">
        <f t="shared" si="4"/>
        <v>46376.190000000017</v>
      </c>
      <c r="K88" s="6">
        <f t="shared" si="5"/>
        <v>275319.09999999986</v>
      </c>
    </row>
    <row r="89" spans="1:11" x14ac:dyDescent="0.25">
      <c r="A89" s="5" t="s">
        <v>505</v>
      </c>
      <c r="B89" s="42">
        <f t="shared" si="3"/>
        <v>46.946500000000015</v>
      </c>
      <c r="C89" s="7" t="s">
        <v>276</v>
      </c>
      <c r="D89" s="7" t="s">
        <v>278</v>
      </c>
      <c r="E89" s="7" t="s">
        <v>826</v>
      </c>
      <c r="F89" s="17">
        <v>47.836529999999861</v>
      </c>
      <c r="G89" s="7" t="s">
        <v>593</v>
      </c>
      <c r="H89" s="7" t="s">
        <v>594</v>
      </c>
      <c r="I89" s="10">
        <v>572.79</v>
      </c>
      <c r="J89" s="10">
        <f t="shared" si="4"/>
        <v>46946.500000000015</v>
      </c>
      <c r="K89" s="6">
        <f t="shared" si="5"/>
        <v>274748.78999999986</v>
      </c>
    </row>
    <row r="90" spans="1:11" x14ac:dyDescent="0.25">
      <c r="A90" s="5" t="s">
        <v>505</v>
      </c>
      <c r="B90" s="42">
        <f t="shared" si="3"/>
        <v>47.519290000000012</v>
      </c>
      <c r="C90" s="7" t="s">
        <v>278</v>
      </c>
      <c r="D90" s="7" t="s">
        <v>280</v>
      </c>
      <c r="E90" s="7" t="s">
        <v>826</v>
      </c>
      <c r="F90" s="17">
        <v>48.395799999999859</v>
      </c>
      <c r="G90" s="7" t="s">
        <v>594</v>
      </c>
      <c r="H90" s="7" t="s">
        <v>595</v>
      </c>
      <c r="I90" s="10">
        <v>574.36</v>
      </c>
      <c r="J90" s="10">
        <f t="shared" si="4"/>
        <v>47519.290000000015</v>
      </c>
      <c r="K90" s="6">
        <f t="shared" si="5"/>
        <v>274175.99999999988</v>
      </c>
    </row>
    <row r="91" spans="1:11" x14ac:dyDescent="0.25">
      <c r="A91" s="5" t="s">
        <v>505</v>
      </c>
      <c r="B91" s="42">
        <f t="shared" si="3"/>
        <v>48.093650000000018</v>
      </c>
      <c r="C91" s="7" t="s">
        <v>280</v>
      </c>
      <c r="D91" s="7" t="s">
        <v>282</v>
      </c>
      <c r="E91" s="7" t="s">
        <v>826</v>
      </c>
      <c r="F91" s="17">
        <v>48.942979999999856</v>
      </c>
      <c r="G91" s="7" t="s">
        <v>595</v>
      </c>
      <c r="H91" s="7" t="s">
        <v>596</v>
      </c>
      <c r="I91" s="10">
        <v>573.49</v>
      </c>
      <c r="J91" s="10">
        <f t="shared" si="4"/>
        <v>48093.650000000016</v>
      </c>
      <c r="K91" s="6">
        <f t="shared" si="5"/>
        <v>273601.6399999999</v>
      </c>
    </row>
    <row r="92" spans="1:11" x14ac:dyDescent="0.25">
      <c r="A92" s="5" t="s">
        <v>505</v>
      </c>
      <c r="B92" s="42">
        <f t="shared" si="3"/>
        <v>48.667140000000011</v>
      </c>
      <c r="C92" s="7" t="s">
        <v>282</v>
      </c>
      <c r="D92" s="7" t="s">
        <v>284</v>
      </c>
      <c r="E92" s="7" t="s">
        <v>826</v>
      </c>
      <c r="F92" s="17">
        <v>49.481069999999853</v>
      </c>
      <c r="G92" s="7" t="s">
        <v>596</v>
      </c>
      <c r="H92" s="7" t="s">
        <v>597</v>
      </c>
      <c r="I92" s="10">
        <v>571.1</v>
      </c>
      <c r="J92" s="10">
        <f t="shared" si="4"/>
        <v>48667.140000000014</v>
      </c>
      <c r="K92" s="6">
        <f t="shared" si="5"/>
        <v>273028.14999999991</v>
      </c>
    </row>
    <row r="93" spans="1:11" x14ac:dyDescent="0.25">
      <c r="A93" s="5" t="s">
        <v>505</v>
      </c>
      <c r="B93" s="42">
        <f t="shared" si="3"/>
        <v>49.238240000000012</v>
      </c>
      <c r="C93" s="7" t="s">
        <v>284</v>
      </c>
      <c r="D93" s="7" t="s">
        <v>286</v>
      </c>
      <c r="E93" s="7" t="s">
        <v>826</v>
      </c>
      <c r="F93" s="17">
        <v>50.031799999999855</v>
      </c>
      <c r="G93" s="7" t="s">
        <v>597</v>
      </c>
      <c r="H93" s="7" t="s">
        <v>598</v>
      </c>
      <c r="I93" s="10">
        <v>572.80999999999995</v>
      </c>
      <c r="J93" s="10">
        <f t="shared" si="4"/>
        <v>49238.240000000013</v>
      </c>
      <c r="K93" s="6">
        <f t="shared" si="5"/>
        <v>272457.04999999993</v>
      </c>
    </row>
    <row r="94" spans="1:11" x14ac:dyDescent="0.25">
      <c r="A94" s="5" t="s">
        <v>505</v>
      </c>
      <c r="B94" s="42">
        <f t="shared" si="3"/>
        <v>49.811050000000009</v>
      </c>
      <c r="C94" s="7" t="s">
        <v>286</v>
      </c>
      <c r="D94" s="7" t="s">
        <v>288</v>
      </c>
      <c r="E94" s="7" t="s">
        <v>826</v>
      </c>
      <c r="F94" s="17">
        <v>50.471159999999855</v>
      </c>
      <c r="G94" s="7" t="s">
        <v>598</v>
      </c>
      <c r="H94" s="7" t="s">
        <v>599</v>
      </c>
      <c r="I94" s="10">
        <v>573.08000000000004</v>
      </c>
      <c r="J94" s="10">
        <f t="shared" si="4"/>
        <v>49811.05000000001</v>
      </c>
      <c r="K94" s="6">
        <f t="shared" si="5"/>
        <v>271884.23999999993</v>
      </c>
    </row>
    <row r="95" spans="1:11" x14ac:dyDescent="0.25">
      <c r="A95" s="5" t="s">
        <v>505</v>
      </c>
      <c r="B95" s="42">
        <f t="shared" si="3"/>
        <v>50.384130000000013</v>
      </c>
      <c r="C95" s="7" t="s">
        <v>288</v>
      </c>
      <c r="D95" s="7" t="s">
        <v>290</v>
      </c>
      <c r="E95" s="7" t="s">
        <v>826</v>
      </c>
      <c r="F95" s="17">
        <v>50.888849999999863</v>
      </c>
      <c r="G95" s="7" t="s">
        <v>599</v>
      </c>
      <c r="H95" s="7" t="s">
        <v>600</v>
      </c>
      <c r="I95" s="10">
        <v>573.48</v>
      </c>
      <c r="J95" s="10">
        <f t="shared" si="4"/>
        <v>50384.130000000012</v>
      </c>
      <c r="K95" s="6">
        <f t="shared" si="5"/>
        <v>271311.15999999992</v>
      </c>
    </row>
    <row r="96" spans="1:11" x14ac:dyDescent="0.25">
      <c r="A96" s="5" t="s">
        <v>505</v>
      </c>
      <c r="B96" s="42">
        <f t="shared" si="3"/>
        <v>50.957610000000017</v>
      </c>
      <c r="C96" s="7" t="s">
        <v>290</v>
      </c>
      <c r="D96" s="7" t="s">
        <v>292</v>
      </c>
      <c r="E96" s="7" t="s">
        <v>826</v>
      </c>
      <c r="F96" s="17">
        <v>51.384109999999865</v>
      </c>
      <c r="G96" s="7" t="s">
        <v>600</v>
      </c>
      <c r="H96" s="7" t="s">
        <v>601</v>
      </c>
      <c r="I96" s="10">
        <v>559.49</v>
      </c>
      <c r="J96" s="10">
        <f t="shared" si="4"/>
        <v>50957.610000000015</v>
      </c>
      <c r="K96" s="6">
        <f t="shared" si="5"/>
        <v>270737.67999999993</v>
      </c>
    </row>
    <row r="97" spans="1:11" x14ac:dyDescent="0.25">
      <c r="A97" s="5" t="s">
        <v>505</v>
      </c>
      <c r="B97" s="42">
        <f t="shared" si="3"/>
        <v>51.517100000000013</v>
      </c>
      <c r="C97" s="7" t="s">
        <v>292</v>
      </c>
      <c r="D97" s="7" t="s">
        <v>294</v>
      </c>
      <c r="E97" s="7" t="s">
        <v>826</v>
      </c>
      <c r="F97" s="17">
        <v>51.858429999999863</v>
      </c>
      <c r="G97" s="7" t="s">
        <v>601</v>
      </c>
      <c r="H97" s="7" t="s">
        <v>602</v>
      </c>
      <c r="I97" s="10">
        <v>552.66999999999996</v>
      </c>
      <c r="J97" s="10">
        <f t="shared" si="4"/>
        <v>51517.100000000013</v>
      </c>
      <c r="K97" s="6">
        <f t="shared" si="5"/>
        <v>270178.18999999994</v>
      </c>
    </row>
    <row r="98" spans="1:11" x14ac:dyDescent="0.25">
      <c r="A98" s="5" t="s">
        <v>505</v>
      </c>
      <c r="B98" s="42">
        <f t="shared" si="3"/>
        <v>52.069770000000013</v>
      </c>
      <c r="C98" s="7" t="s">
        <v>294</v>
      </c>
      <c r="D98" s="7" t="s">
        <v>296</v>
      </c>
      <c r="E98" s="7" t="s">
        <v>826</v>
      </c>
      <c r="F98" s="17">
        <v>52.369279999999861</v>
      </c>
      <c r="G98" s="7" t="s">
        <v>602</v>
      </c>
      <c r="H98" s="7" t="s">
        <v>603</v>
      </c>
      <c r="I98" s="10">
        <v>566.05999999999995</v>
      </c>
      <c r="J98" s="10">
        <f t="shared" si="4"/>
        <v>52069.770000000011</v>
      </c>
      <c r="K98" s="6">
        <f t="shared" si="5"/>
        <v>269625.51999999996</v>
      </c>
    </row>
    <row r="99" spans="1:11" x14ac:dyDescent="0.25">
      <c r="A99" s="5" t="s">
        <v>505</v>
      </c>
      <c r="B99" s="42">
        <f t="shared" si="3"/>
        <v>52.635830000000006</v>
      </c>
      <c r="C99" s="7" t="s">
        <v>296</v>
      </c>
      <c r="D99" s="7" t="s">
        <v>298</v>
      </c>
      <c r="E99" s="7" t="s">
        <v>826</v>
      </c>
      <c r="F99" s="17">
        <v>52.945719999999866</v>
      </c>
      <c r="G99" s="7" t="s">
        <v>603</v>
      </c>
      <c r="H99" s="7" t="s">
        <v>604</v>
      </c>
      <c r="I99" s="10">
        <v>571.51</v>
      </c>
      <c r="J99" s="10">
        <f t="shared" si="4"/>
        <v>52635.830000000009</v>
      </c>
      <c r="K99" s="6">
        <f t="shared" si="5"/>
        <v>269059.45999999996</v>
      </c>
    </row>
    <row r="100" spans="1:11" x14ac:dyDescent="0.25">
      <c r="A100" s="5" t="s">
        <v>505</v>
      </c>
      <c r="B100" s="42">
        <f t="shared" si="3"/>
        <v>53.207340000000009</v>
      </c>
      <c r="C100" s="7" t="s">
        <v>298</v>
      </c>
      <c r="D100" s="7" t="s">
        <v>300</v>
      </c>
      <c r="E100" s="7" t="s">
        <v>826</v>
      </c>
      <c r="F100" s="17">
        <v>53.509339999999867</v>
      </c>
      <c r="G100" s="7" t="s">
        <v>604</v>
      </c>
      <c r="H100" s="7" t="s">
        <v>605</v>
      </c>
      <c r="I100" s="10">
        <v>480.98</v>
      </c>
      <c r="J100" s="10">
        <f t="shared" si="4"/>
        <v>53207.340000000011</v>
      </c>
      <c r="K100" s="6">
        <f t="shared" si="5"/>
        <v>268487.94999999995</v>
      </c>
    </row>
    <row r="101" spans="1:11" x14ac:dyDescent="0.25">
      <c r="A101" s="5" t="s">
        <v>505</v>
      </c>
      <c r="B101" s="42">
        <f t="shared" si="3"/>
        <v>53.688320000000012</v>
      </c>
      <c r="C101" s="7" t="s">
        <v>300</v>
      </c>
      <c r="D101" s="7" t="s">
        <v>302</v>
      </c>
      <c r="E101" s="7" t="s">
        <v>827</v>
      </c>
      <c r="F101" s="17">
        <v>54.06949999999987</v>
      </c>
      <c r="G101" s="7" t="s">
        <v>605</v>
      </c>
      <c r="H101" s="7" t="s">
        <v>606</v>
      </c>
      <c r="I101" s="10">
        <v>482.25</v>
      </c>
      <c r="J101" s="10">
        <f t="shared" si="4"/>
        <v>53688.320000000014</v>
      </c>
      <c r="K101" s="6">
        <f t="shared" si="5"/>
        <v>268006.96999999997</v>
      </c>
    </row>
    <row r="102" spans="1:11" x14ac:dyDescent="0.25">
      <c r="A102" s="5" t="s">
        <v>505</v>
      </c>
      <c r="B102" s="42">
        <f t="shared" si="3"/>
        <v>54.170570000000012</v>
      </c>
      <c r="C102" s="7" t="s">
        <v>302</v>
      </c>
      <c r="D102" s="7" t="s">
        <v>304</v>
      </c>
      <c r="E102" s="7" t="s">
        <v>0</v>
      </c>
      <c r="F102" s="17">
        <v>54.660649999999869</v>
      </c>
      <c r="G102" s="7" t="s">
        <v>606</v>
      </c>
      <c r="H102" s="7" t="s">
        <v>607</v>
      </c>
      <c r="I102" s="10">
        <v>576.89</v>
      </c>
      <c r="J102" s="10">
        <f t="shared" si="4"/>
        <v>54170.570000000014</v>
      </c>
      <c r="K102" s="6">
        <f t="shared" si="5"/>
        <v>267524.71999999997</v>
      </c>
    </row>
    <row r="103" spans="1:11" x14ac:dyDescent="0.25">
      <c r="A103" s="5" t="s">
        <v>505</v>
      </c>
      <c r="B103" s="42">
        <f t="shared" si="3"/>
        <v>54.747460000000011</v>
      </c>
      <c r="C103" s="7" t="s">
        <v>304</v>
      </c>
      <c r="D103" s="7" t="s">
        <v>306</v>
      </c>
      <c r="E103" s="7" t="s">
        <v>0</v>
      </c>
      <c r="F103" s="17">
        <v>55.228449999999874</v>
      </c>
      <c r="G103" s="7" t="s">
        <v>607</v>
      </c>
      <c r="H103" s="7" t="s">
        <v>608</v>
      </c>
      <c r="I103" s="10">
        <v>573.45000000000005</v>
      </c>
      <c r="J103" s="10">
        <f t="shared" si="4"/>
        <v>54747.460000000014</v>
      </c>
      <c r="K103" s="6">
        <f t="shared" si="5"/>
        <v>266947.82999999996</v>
      </c>
    </row>
    <row r="104" spans="1:11" x14ac:dyDescent="0.25">
      <c r="A104" s="5" t="s">
        <v>505</v>
      </c>
      <c r="B104" s="42">
        <f t="shared" si="3"/>
        <v>55.320910000000012</v>
      </c>
      <c r="C104" s="7" t="s">
        <v>306</v>
      </c>
      <c r="D104" s="7" t="s">
        <v>308</v>
      </c>
      <c r="E104" s="7" t="s">
        <v>0</v>
      </c>
      <c r="F104" s="17">
        <v>55.776809999999877</v>
      </c>
      <c r="G104" s="7" t="s">
        <v>608</v>
      </c>
      <c r="H104" s="7" t="s">
        <v>609</v>
      </c>
      <c r="I104" s="10">
        <v>544.45000000000005</v>
      </c>
      <c r="J104" s="10">
        <f t="shared" si="4"/>
        <v>55320.910000000011</v>
      </c>
      <c r="K104" s="6">
        <f t="shared" si="5"/>
        <v>266374.37999999995</v>
      </c>
    </row>
    <row r="105" spans="1:11" x14ac:dyDescent="0.25">
      <c r="A105" s="5" t="s">
        <v>505</v>
      </c>
      <c r="B105" s="42">
        <f t="shared" si="3"/>
        <v>55.86536000000001</v>
      </c>
      <c r="C105" s="7" t="s">
        <v>308</v>
      </c>
      <c r="D105" s="7" t="s">
        <v>310</v>
      </c>
      <c r="E105" s="7" t="s">
        <v>0</v>
      </c>
      <c r="F105" s="17">
        <v>56.299809999999873</v>
      </c>
      <c r="G105" s="7" t="s">
        <v>609</v>
      </c>
      <c r="H105" s="7" t="s">
        <v>610</v>
      </c>
      <c r="I105" s="10">
        <v>515.95000000000005</v>
      </c>
      <c r="J105" s="10">
        <f t="shared" si="4"/>
        <v>55865.360000000008</v>
      </c>
      <c r="K105" s="6">
        <f t="shared" si="5"/>
        <v>265829.92999999993</v>
      </c>
    </row>
    <row r="106" spans="1:11" x14ac:dyDescent="0.25">
      <c r="A106" s="5" t="s">
        <v>505</v>
      </c>
      <c r="B106" s="42">
        <f t="shared" si="3"/>
        <v>56.381310000000006</v>
      </c>
      <c r="C106" s="7" t="s">
        <v>310</v>
      </c>
      <c r="D106" s="7" t="s">
        <v>312</v>
      </c>
      <c r="E106" s="7" t="s">
        <v>0</v>
      </c>
      <c r="F106" s="17">
        <v>56.849229999999871</v>
      </c>
      <c r="G106" s="7" t="s">
        <v>610</v>
      </c>
      <c r="H106" s="7" t="s">
        <v>611</v>
      </c>
      <c r="I106" s="10">
        <v>515.98</v>
      </c>
      <c r="J106" s="10">
        <f t="shared" si="4"/>
        <v>56381.310000000005</v>
      </c>
      <c r="K106" s="6">
        <f t="shared" si="5"/>
        <v>265313.97999999992</v>
      </c>
    </row>
    <row r="107" spans="1:11" x14ac:dyDescent="0.25">
      <c r="A107" s="5" t="s">
        <v>505</v>
      </c>
      <c r="B107" s="42">
        <f t="shared" si="3"/>
        <v>56.897290000000005</v>
      </c>
      <c r="C107" s="7" t="s">
        <v>312</v>
      </c>
      <c r="D107" s="7" t="s">
        <v>314</v>
      </c>
      <c r="E107" s="7" t="s">
        <v>0</v>
      </c>
      <c r="F107" s="17">
        <v>57.412059999999876</v>
      </c>
      <c r="G107" s="7" t="s">
        <v>611</v>
      </c>
      <c r="H107" s="7" t="s">
        <v>612</v>
      </c>
      <c r="I107" s="10">
        <v>515.98</v>
      </c>
      <c r="J107" s="10">
        <f t="shared" si="4"/>
        <v>56897.290000000008</v>
      </c>
      <c r="K107" s="6">
        <f t="shared" si="5"/>
        <v>264797.99999999994</v>
      </c>
    </row>
    <row r="108" spans="1:11" x14ac:dyDescent="0.25">
      <c r="A108" s="5" t="s">
        <v>505</v>
      </c>
      <c r="B108" s="42">
        <f t="shared" si="3"/>
        <v>57.413270000000011</v>
      </c>
      <c r="C108" s="7" t="s">
        <v>314</v>
      </c>
      <c r="D108" s="7" t="s">
        <v>316</v>
      </c>
      <c r="E108" s="7" t="s">
        <v>0</v>
      </c>
      <c r="F108" s="17">
        <v>57.957229999999875</v>
      </c>
      <c r="G108" s="7" t="s">
        <v>612</v>
      </c>
      <c r="H108" s="7" t="s">
        <v>613</v>
      </c>
      <c r="I108" s="10">
        <v>508.96</v>
      </c>
      <c r="J108" s="10">
        <f t="shared" si="4"/>
        <v>57413.270000000011</v>
      </c>
      <c r="K108" s="6">
        <f t="shared" si="5"/>
        <v>264282.01999999996</v>
      </c>
    </row>
    <row r="109" spans="1:11" x14ac:dyDescent="0.25">
      <c r="A109" s="5" t="s">
        <v>505</v>
      </c>
      <c r="B109" s="42">
        <f t="shared" si="3"/>
        <v>57.922230000000013</v>
      </c>
      <c r="C109" s="7" t="s">
        <v>316</v>
      </c>
      <c r="D109" s="7" t="s">
        <v>318</v>
      </c>
      <c r="E109" s="7" t="s">
        <v>0</v>
      </c>
      <c r="F109" s="17">
        <v>58.471919999999876</v>
      </c>
      <c r="G109" s="7" t="s">
        <v>613</v>
      </c>
      <c r="H109" s="7" t="s">
        <v>614</v>
      </c>
      <c r="I109" s="10">
        <v>507.61</v>
      </c>
      <c r="J109" s="10">
        <f t="shared" si="4"/>
        <v>57922.23000000001</v>
      </c>
      <c r="K109" s="6">
        <f t="shared" si="5"/>
        <v>263773.05999999994</v>
      </c>
    </row>
    <row r="110" spans="1:11" x14ac:dyDescent="0.25">
      <c r="A110" s="5" t="s">
        <v>505</v>
      </c>
      <c r="B110" s="42">
        <f t="shared" si="3"/>
        <v>58.429840000000013</v>
      </c>
      <c r="C110" s="7" t="s">
        <v>318</v>
      </c>
      <c r="D110" s="7" t="s">
        <v>320</v>
      </c>
      <c r="E110" s="7" t="s">
        <v>0</v>
      </c>
      <c r="F110" s="17">
        <v>58.936299999999875</v>
      </c>
      <c r="G110" s="7" t="s">
        <v>614</v>
      </c>
      <c r="H110" s="7" t="s">
        <v>615</v>
      </c>
      <c r="I110" s="10">
        <v>514.19000000000005</v>
      </c>
      <c r="J110" s="10">
        <f t="shared" si="4"/>
        <v>58429.840000000011</v>
      </c>
      <c r="K110" s="6">
        <f t="shared" si="5"/>
        <v>263265.44999999995</v>
      </c>
    </row>
    <row r="111" spans="1:11" x14ac:dyDescent="0.25">
      <c r="A111" s="5" t="s">
        <v>505</v>
      </c>
      <c r="B111" s="42">
        <f t="shared" si="3"/>
        <v>58.944030000000012</v>
      </c>
      <c r="C111" s="7" t="s">
        <v>320</v>
      </c>
      <c r="D111" s="7" t="s">
        <v>322</v>
      </c>
      <c r="E111" s="7" t="s">
        <v>0</v>
      </c>
      <c r="F111" s="17">
        <v>59.454099999999876</v>
      </c>
      <c r="G111" s="7" t="s">
        <v>615</v>
      </c>
      <c r="H111" s="7" t="s">
        <v>616</v>
      </c>
      <c r="I111" s="10">
        <v>515</v>
      </c>
      <c r="J111" s="10">
        <f t="shared" si="4"/>
        <v>58944.030000000013</v>
      </c>
      <c r="K111" s="6">
        <f t="shared" si="5"/>
        <v>262751.25999999995</v>
      </c>
    </row>
    <row r="112" spans="1:11" x14ac:dyDescent="0.25">
      <c r="A112" s="5" t="s">
        <v>505</v>
      </c>
      <c r="B112" s="42">
        <f t="shared" si="3"/>
        <v>59.459030000000013</v>
      </c>
      <c r="C112" s="7" t="s">
        <v>322</v>
      </c>
      <c r="D112" s="7" t="s">
        <v>324</v>
      </c>
      <c r="E112" s="7" t="s">
        <v>0</v>
      </c>
      <c r="F112" s="17">
        <v>59.976989999999873</v>
      </c>
      <c r="G112" s="7" t="s">
        <v>616</v>
      </c>
      <c r="H112" s="7" t="s">
        <v>617</v>
      </c>
      <c r="I112" s="10">
        <v>514.53</v>
      </c>
      <c r="J112" s="10">
        <f t="shared" si="4"/>
        <v>59459.030000000013</v>
      </c>
      <c r="K112" s="6">
        <f t="shared" si="5"/>
        <v>262236.25999999995</v>
      </c>
    </row>
    <row r="113" spans="1:11" x14ac:dyDescent="0.25">
      <c r="A113" s="5" t="s">
        <v>505</v>
      </c>
      <c r="B113" s="42">
        <f t="shared" si="3"/>
        <v>59.973560000000013</v>
      </c>
      <c r="C113" s="7" t="s">
        <v>324</v>
      </c>
      <c r="D113" s="7" t="s">
        <v>326</v>
      </c>
      <c r="E113" s="7" t="s">
        <v>0</v>
      </c>
      <c r="F113" s="17">
        <v>60.514649999999875</v>
      </c>
      <c r="G113" s="7" t="s">
        <v>617</v>
      </c>
      <c r="H113" s="7" t="s">
        <v>618</v>
      </c>
      <c r="I113" s="10">
        <v>508.92</v>
      </c>
      <c r="J113" s="10">
        <f t="shared" si="4"/>
        <v>59973.560000000012</v>
      </c>
      <c r="K113" s="6">
        <f t="shared" si="5"/>
        <v>261721.72999999995</v>
      </c>
    </row>
    <row r="114" spans="1:11" x14ac:dyDescent="0.25">
      <c r="A114" s="5" t="s">
        <v>505</v>
      </c>
      <c r="B114" s="42">
        <f t="shared" si="3"/>
        <v>60.48248000000001</v>
      </c>
      <c r="C114" s="7" t="s">
        <v>326</v>
      </c>
      <c r="D114" s="7" t="s">
        <v>328</v>
      </c>
      <c r="E114" s="7" t="s">
        <v>0</v>
      </c>
      <c r="F114" s="17">
        <v>61.093359999999876</v>
      </c>
      <c r="G114" s="7" t="s">
        <v>618</v>
      </c>
      <c r="H114" s="7" t="s">
        <v>619</v>
      </c>
      <c r="I114" s="10">
        <v>508.28</v>
      </c>
      <c r="J114" s="10">
        <f t="shared" si="4"/>
        <v>60482.48000000001</v>
      </c>
      <c r="K114" s="6">
        <f t="shared" si="5"/>
        <v>261212.80999999994</v>
      </c>
    </row>
    <row r="115" spans="1:11" x14ac:dyDescent="0.25">
      <c r="A115" s="5" t="s">
        <v>505</v>
      </c>
      <c r="B115" s="42">
        <f t="shared" si="3"/>
        <v>60.990760000000009</v>
      </c>
      <c r="C115" s="7" t="s">
        <v>328</v>
      </c>
      <c r="D115" s="7" t="s">
        <v>330</v>
      </c>
      <c r="E115" s="7" t="s">
        <v>0</v>
      </c>
      <c r="F115" s="17">
        <v>61.675979999999882</v>
      </c>
      <c r="G115" s="7" t="s">
        <v>619</v>
      </c>
      <c r="H115" s="7" t="s">
        <v>620</v>
      </c>
      <c r="I115" s="10">
        <v>516.88</v>
      </c>
      <c r="J115" s="10">
        <f t="shared" si="4"/>
        <v>60990.760000000009</v>
      </c>
      <c r="K115" s="6">
        <f t="shared" si="5"/>
        <v>260704.52999999994</v>
      </c>
    </row>
    <row r="116" spans="1:11" x14ac:dyDescent="0.25">
      <c r="A116" s="5" t="s">
        <v>505</v>
      </c>
      <c r="B116" s="42">
        <f t="shared" si="3"/>
        <v>61.507640000000009</v>
      </c>
      <c r="C116" s="7" t="s">
        <v>330</v>
      </c>
      <c r="D116" s="7" t="s">
        <v>332</v>
      </c>
      <c r="E116" s="7" t="s">
        <v>0</v>
      </c>
      <c r="F116" s="17">
        <v>62.245869999999876</v>
      </c>
      <c r="G116" s="7" t="s">
        <v>620</v>
      </c>
      <c r="H116" s="7" t="s">
        <v>621</v>
      </c>
      <c r="I116" s="10">
        <v>515.94000000000005</v>
      </c>
      <c r="J116" s="10">
        <f t="shared" si="4"/>
        <v>61507.640000000007</v>
      </c>
      <c r="K116" s="6">
        <f t="shared" si="5"/>
        <v>260187.64999999994</v>
      </c>
    </row>
    <row r="117" spans="1:11" x14ac:dyDescent="0.25">
      <c r="A117" s="5" t="s">
        <v>505</v>
      </c>
      <c r="B117" s="42">
        <f t="shared" si="3"/>
        <v>62.02358000000001</v>
      </c>
      <c r="C117" s="7" t="s">
        <v>332</v>
      </c>
      <c r="D117" s="7" t="s">
        <v>334</v>
      </c>
      <c r="E117" s="7" t="s">
        <v>0</v>
      </c>
      <c r="F117" s="17">
        <v>62.750259999999876</v>
      </c>
      <c r="G117" s="7" t="s">
        <v>621</v>
      </c>
      <c r="H117" s="7" t="s">
        <v>622</v>
      </c>
      <c r="I117" s="10">
        <v>543.30999999999995</v>
      </c>
      <c r="J117" s="10">
        <f t="shared" si="4"/>
        <v>62023.580000000009</v>
      </c>
      <c r="K117" s="6">
        <f t="shared" si="5"/>
        <v>259671.70999999993</v>
      </c>
    </row>
    <row r="118" spans="1:11" x14ac:dyDescent="0.25">
      <c r="A118" s="5" t="s">
        <v>505</v>
      </c>
      <c r="B118" s="42">
        <f t="shared" si="3"/>
        <v>62.566890000000008</v>
      </c>
      <c r="C118" s="7" t="s">
        <v>334</v>
      </c>
      <c r="D118" s="7" t="s">
        <v>336</v>
      </c>
      <c r="E118" s="7" t="s">
        <v>0</v>
      </c>
      <c r="F118" s="17">
        <v>63.231379999999881</v>
      </c>
      <c r="G118" s="7" t="s">
        <v>622</v>
      </c>
      <c r="H118" s="7" t="s">
        <v>623</v>
      </c>
      <c r="I118" s="10">
        <v>534.37</v>
      </c>
      <c r="J118" s="10">
        <f t="shared" si="4"/>
        <v>62566.890000000007</v>
      </c>
      <c r="K118" s="6">
        <f t="shared" si="5"/>
        <v>259128.39999999994</v>
      </c>
    </row>
    <row r="119" spans="1:11" x14ac:dyDescent="0.25">
      <c r="A119" s="5" t="s">
        <v>505</v>
      </c>
      <c r="B119" s="42">
        <f t="shared" si="3"/>
        <v>63.101260000000011</v>
      </c>
      <c r="C119" s="7" t="s">
        <v>336</v>
      </c>
      <c r="D119" s="7" t="s">
        <v>338</v>
      </c>
      <c r="E119" s="7" t="s">
        <v>0</v>
      </c>
      <c r="F119" s="17">
        <v>63.742899999999878</v>
      </c>
      <c r="G119" s="7" t="s">
        <v>623</v>
      </c>
      <c r="H119" s="7" t="s">
        <v>624</v>
      </c>
      <c r="I119" s="10">
        <v>508.37</v>
      </c>
      <c r="J119" s="10">
        <f t="shared" si="4"/>
        <v>63101.260000000009</v>
      </c>
      <c r="K119" s="6">
        <f t="shared" si="5"/>
        <v>258594.02999999994</v>
      </c>
    </row>
    <row r="120" spans="1:11" x14ac:dyDescent="0.25">
      <c r="A120" s="5" t="s">
        <v>505</v>
      </c>
      <c r="B120" s="42">
        <f t="shared" si="3"/>
        <v>63.60963000000001</v>
      </c>
      <c r="C120" s="7" t="s">
        <v>338</v>
      </c>
      <c r="D120" s="7" t="s">
        <v>340</v>
      </c>
      <c r="E120" s="7" t="s">
        <v>0</v>
      </c>
      <c r="F120" s="17">
        <v>64.312759999999884</v>
      </c>
      <c r="G120" s="7" t="s">
        <v>624</v>
      </c>
      <c r="H120" s="7" t="s">
        <v>625</v>
      </c>
      <c r="I120" s="10">
        <v>504.74</v>
      </c>
      <c r="J120" s="10">
        <f t="shared" si="4"/>
        <v>63609.630000000012</v>
      </c>
      <c r="K120" s="6">
        <f t="shared" si="5"/>
        <v>258085.65999999995</v>
      </c>
    </row>
    <row r="121" spans="1:11" x14ac:dyDescent="0.25">
      <c r="A121" s="5" t="s">
        <v>505</v>
      </c>
      <c r="B121" s="42">
        <f t="shared" si="3"/>
        <v>64.114370000000008</v>
      </c>
      <c r="C121" s="7" t="s">
        <v>340</v>
      </c>
      <c r="D121" s="7" t="s">
        <v>342</v>
      </c>
      <c r="E121" s="7" t="s">
        <v>0</v>
      </c>
      <c r="F121" s="17">
        <v>64.885089999999877</v>
      </c>
      <c r="G121" s="7" t="s">
        <v>625</v>
      </c>
      <c r="H121" s="7" t="s">
        <v>626</v>
      </c>
      <c r="I121" s="10">
        <v>483.32</v>
      </c>
      <c r="J121" s="10">
        <f t="shared" si="4"/>
        <v>64114.37000000001</v>
      </c>
      <c r="K121" s="6">
        <f t="shared" si="5"/>
        <v>257580.91999999995</v>
      </c>
    </row>
    <row r="122" spans="1:11" x14ac:dyDescent="0.25">
      <c r="A122" s="5" t="s">
        <v>505</v>
      </c>
      <c r="B122" s="42">
        <f t="shared" si="3"/>
        <v>64.597690000000014</v>
      </c>
      <c r="C122" s="7" t="s">
        <v>342</v>
      </c>
      <c r="D122" s="7" t="s">
        <v>344</v>
      </c>
      <c r="E122" s="7" t="s">
        <v>0</v>
      </c>
      <c r="F122" s="17">
        <v>65.45905999999988</v>
      </c>
      <c r="G122" s="7" t="s">
        <v>626</v>
      </c>
      <c r="H122" s="7" t="s">
        <v>627</v>
      </c>
      <c r="I122" s="10">
        <v>477.67</v>
      </c>
      <c r="J122" s="10">
        <f t="shared" si="4"/>
        <v>64597.69000000001</v>
      </c>
      <c r="K122" s="6">
        <f t="shared" si="5"/>
        <v>257097.59999999995</v>
      </c>
    </row>
    <row r="123" spans="1:11" x14ac:dyDescent="0.25">
      <c r="A123" s="5" t="s">
        <v>505</v>
      </c>
      <c r="B123" s="42">
        <f t="shared" si="3"/>
        <v>65.075360000000003</v>
      </c>
      <c r="C123" s="7" t="s">
        <v>344</v>
      </c>
      <c r="D123" s="7" t="s">
        <v>346</v>
      </c>
      <c r="E123" s="7" t="s">
        <v>0</v>
      </c>
      <c r="F123" s="17">
        <v>66.02946999999989</v>
      </c>
      <c r="G123" s="7" t="s">
        <v>627</v>
      </c>
      <c r="H123" s="7" t="s">
        <v>628</v>
      </c>
      <c r="I123" s="10">
        <v>415.72</v>
      </c>
      <c r="J123" s="10">
        <f t="shared" si="4"/>
        <v>65075.360000000008</v>
      </c>
      <c r="K123" s="6">
        <f t="shared" si="5"/>
        <v>256619.92999999993</v>
      </c>
    </row>
    <row r="124" spans="1:11" x14ac:dyDescent="0.25">
      <c r="A124" s="5" t="s">
        <v>505</v>
      </c>
      <c r="B124" s="42">
        <f t="shared" si="3"/>
        <v>65.491080000000011</v>
      </c>
      <c r="C124" s="7" t="s">
        <v>346</v>
      </c>
      <c r="D124" s="7" t="s">
        <v>348</v>
      </c>
      <c r="E124" s="7" t="s">
        <v>0</v>
      </c>
      <c r="F124" s="17">
        <v>66.604479999999882</v>
      </c>
      <c r="G124" s="7" t="s">
        <v>628</v>
      </c>
      <c r="H124" s="7" t="s">
        <v>629</v>
      </c>
      <c r="I124" s="10">
        <v>472.23</v>
      </c>
      <c r="J124" s="10">
        <f t="shared" si="4"/>
        <v>65491.080000000009</v>
      </c>
      <c r="K124" s="6">
        <f t="shared" si="5"/>
        <v>256204.20999999993</v>
      </c>
    </row>
    <row r="125" spans="1:11" x14ac:dyDescent="0.25">
      <c r="A125" s="5" t="s">
        <v>505</v>
      </c>
      <c r="B125" s="42">
        <f t="shared" si="3"/>
        <v>65.963310000000007</v>
      </c>
      <c r="C125" s="7" t="s">
        <v>348</v>
      </c>
      <c r="D125" s="7" t="s">
        <v>350</v>
      </c>
      <c r="E125" s="7" t="s">
        <v>0</v>
      </c>
      <c r="F125" s="17">
        <v>67.183929999999876</v>
      </c>
      <c r="G125" s="7" t="s">
        <v>629</v>
      </c>
      <c r="H125" s="7" t="s">
        <v>630</v>
      </c>
      <c r="I125" s="10">
        <v>505.73</v>
      </c>
      <c r="J125" s="10">
        <f t="shared" si="4"/>
        <v>65963.310000000012</v>
      </c>
      <c r="K125" s="6">
        <f t="shared" si="5"/>
        <v>255731.97999999992</v>
      </c>
    </row>
    <row r="126" spans="1:11" x14ac:dyDescent="0.25">
      <c r="A126" s="5" t="s">
        <v>505</v>
      </c>
      <c r="B126" s="42">
        <f t="shared" si="3"/>
        <v>66.469040000000007</v>
      </c>
      <c r="C126" s="7" t="s">
        <v>350</v>
      </c>
      <c r="D126" s="7" t="s">
        <v>352</v>
      </c>
      <c r="E126" s="7" t="s">
        <v>0</v>
      </c>
      <c r="F126" s="17">
        <v>67.734899999999882</v>
      </c>
      <c r="G126" s="7" t="s">
        <v>630</v>
      </c>
      <c r="H126" s="7" t="s">
        <v>631</v>
      </c>
      <c r="I126" s="10">
        <v>512.80999999999995</v>
      </c>
      <c r="J126" s="10">
        <f t="shared" si="4"/>
        <v>66469.040000000008</v>
      </c>
      <c r="K126" s="6">
        <f t="shared" si="5"/>
        <v>255226.24999999991</v>
      </c>
    </row>
    <row r="127" spans="1:11" x14ac:dyDescent="0.25">
      <c r="A127" s="5" t="s">
        <v>505</v>
      </c>
      <c r="B127" s="42">
        <f t="shared" si="3"/>
        <v>66.981850000000009</v>
      </c>
      <c r="C127" s="7" t="s">
        <v>352</v>
      </c>
      <c r="D127" s="7" t="s">
        <v>354</v>
      </c>
      <c r="E127" s="7" t="s">
        <v>0</v>
      </c>
      <c r="F127" s="17">
        <v>68.324039999999883</v>
      </c>
      <c r="G127" s="7" t="s">
        <v>631</v>
      </c>
      <c r="H127" s="7" t="s">
        <v>632</v>
      </c>
      <c r="I127" s="10">
        <v>514.63</v>
      </c>
      <c r="J127" s="10">
        <f t="shared" si="4"/>
        <v>66981.850000000006</v>
      </c>
      <c r="K127" s="6">
        <f t="shared" si="5"/>
        <v>254713.43999999992</v>
      </c>
    </row>
    <row r="128" spans="1:11" x14ac:dyDescent="0.25">
      <c r="A128" s="5" t="s">
        <v>505</v>
      </c>
      <c r="B128" s="42">
        <f t="shared" si="3"/>
        <v>67.496480000000005</v>
      </c>
      <c r="C128" s="7" t="s">
        <v>354</v>
      </c>
      <c r="D128" s="7" t="s">
        <v>356</v>
      </c>
      <c r="E128" s="7" t="s">
        <v>0</v>
      </c>
      <c r="F128" s="17">
        <v>68.897859999999881</v>
      </c>
      <c r="G128" s="7" t="s">
        <v>632</v>
      </c>
      <c r="H128" s="7" t="s">
        <v>633</v>
      </c>
      <c r="I128" s="10">
        <v>445.45</v>
      </c>
      <c r="J128" s="10">
        <f t="shared" si="4"/>
        <v>67496.48000000001</v>
      </c>
      <c r="K128" s="6">
        <f t="shared" si="5"/>
        <v>254198.80999999991</v>
      </c>
    </row>
    <row r="129" spans="1:11" x14ac:dyDescent="0.25">
      <c r="A129" s="5" t="s">
        <v>505</v>
      </c>
      <c r="B129" s="42">
        <f t="shared" si="3"/>
        <v>67.941930000000013</v>
      </c>
      <c r="C129" s="7" t="s">
        <v>356</v>
      </c>
      <c r="D129" s="7" t="s">
        <v>358</v>
      </c>
      <c r="E129" s="7" t="s">
        <v>0</v>
      </c>
      <c r="F129" s="17">
        <v>69.470719999999886</v>
      </c>
      <c r="G129" s="7" t="s">
        <v>633</v>
      </c>
      <c r="H129" s="7" t="s">
        <v>634</v>
      </c>
      <c r="I129" s="10">
        <v>474.93</v>
      </c>
      <c r="J129" s="10">
        <f t="shared" si="4"/>
        <v>67941.930000000008</v>
      </c>
      <c r="K129" s="6">
        <f t="shared" si="5"/>
        <v>253753.3599999999</v>
      </c>
    </row>
    <row r="130" spans="1:11" x14ac:dyDescent="0.25">
      <c r="A130" s="5" t="s">
        <v>505</v>
      </c>
      <c r="B130" s="42">
        <f t="shared" si="3"/>
        <v>68.41686</v>
      </c>
      <c r="C130" s="7" t="s">
        <v>358</v>
      </c>
      <c r="D130" s="7" t="s">
        <v>360</v>
      </c>
      <c r="E130" s="7" t="s">
        <v>0</v>
      </c>
      <c r="F130" s="17">
        <v>70.070279999999883</v>
      </c>
      <c r="G130" s="7" t="s">
        <v>634</v>
      </c>
      <c r="H130" s="7" t="s">
        <v>635</v>
      </c>
      <c r="I130" s="10">
        <v>574.04999999999995</v>
      </c>
      <c r="J130" s="10">
        <f t="shared" si="4"/>
        <v>68416.86</v>
      </c>
      <c r="K130" s="6">
        <f t="shared" si="5"/>
        <v>253278.42999999991</v>
      </c>
    </row>
    <row r="131" spans="1:11" x14ac:dyDescent="0.25">
      <c r="A131" s="5" t="s">
        <v>505</v>
      </c>
      <c r="B131" s="42">
        <f t="shared" ref="B131:B194" si="6">J131/1000</f>
        <v>68.99091</v>
      </c>
      <c r="C131" s="7" t="s">
        <v>360</v>
      </c>
      <c r="D131" s="7" t="s">
        <v>362</v>
      </c>
      <c r="E131" s="7" t="s">
        <v>0</v>
      </c>
      <c r="F131" s="17">
        <v>70.499019999999888</v>
      </c>
      <c r="G131" s="7" t="s">
        <v>635</v>
      </c>
      <c r="H131" s="7" t="s">
        <v>636</v>
      </c>
      <c r="I131" s="10">
        <v>565.65</v>
      </c>
      <c r="J131" s="10">
        <f t="shared" si="4"/>
        <v>68990.91</v>
      </c>
      <c r="K131" s="6">
        <f t="shared" si="5"/>
        <v>252704.37999999992</v>
      </c>
    </row>
    <row r="132" spans="1:11" x14ac:dyDescent="0.25">
      <c r="A132" s="5" t="s">
        <v>505</v>
      </c>
      <c r="B132" s="42">
        <f t="shared" si="6"/>
        <v>69.556560000000005</v>
      </c>
      <c r="C132" s="7" t="s">
        <v>362</v>
      </c>
      <c r="D132" s="7" t="s">
        <v>364</v>
      </c>
      <c r="E132" s="7" t="s">
        <v>0</v>
      </c>
      <c r="F132" s="17">
        <v>71.045429999999897</v>
      </c>
      <c r="G132" s="7" t="s">
        <v>636</v>
      </c>
      <c r="H132" s="7" t="s">
        <v>637</v>
      </c>
      <c r="I132" s="10">
        <v>520.21</v>
      </c>
      <c r="J132" s="10">
        <f t="shared" si="4"/>
        <v>69556.56</v>
      </c>
      <c r="K132" s="6">
        <f t="shared" si="5"/>
        <v>252138.72999999992</v>
      </c>
    </row>
    <row r="133" spans="1:11" x14ac:dyDescent="0.25">
      <c r="A133" s="5" t="s">
        <v>505</v>
      </c>
      <c r="B133" s="42">
        <f t="shared" si="6"/>
        <v>70.07677000000001</v>
      </c>
      <c r="C133" s="7" t="s">
        <v>364</v>
      </c>
      <c r="D133" s="7" t="s">
        <v>366</v>
      </c>
      <c r="E133" s="7" t="s">
        <v>0</v>
      </c>
      <c r="F133" s="17">
        <v>71.52740999999989</v>
      </c>
      <c r="G133" s="7" t="s">
        <v>637</v>
      </c>
      <c r="H133" s="7" t="s">
        <v>638</v>
      </c>
      <c r="I133" s="10">
        <v>526.85</v>
      </c>
      <c r="J133" s="10">
        <f t="shared" si="4"/>
        <v>70076.77</v>
      </c>
      <c r="K133" s="6">
        <f t="shared" si="5"/>
        <v>251618.51999999993</v>
      </c>
    </row>
    <row r="134" spans="1:11" x14ac:dyDescent="0.25">
      <c r="A134" s="5" t="s">
        <v>505</v>
      </c>
      <c r="B134" s="42">
        <f t="shared" si="6"/>
        <v>70.603620000000006</v>
      </c>
      <c r="C134" s="7" t="s">
        <v>366</v>
      </c>
      <c r="D134" s="7" t="s">
        <v>368</v>
      </c>
      <c r="E134" s="7" t="s">
        <v>0</v>
      </c>
      <c r="F134" s="17">
        <v>72.043449999999879</v>
      </c>
      <c r="G134" s="7" t="s">
        <v>638</v>
      </c>
      <c r="H134" s="7" t="s">
        <v>639</v>
      </c>
      <c r="I134" s="10">
        <v>570.79999999999995</v>
      </c>
      <c r="J134" s="10">
        <f t="shared" ref="J134:J197" si="7">J133+I133</f>
        <v>70603.62000000001</v>
      </c>
      <c r="K134" s="6">
        <f t="shared" ref="K134:K197" si="8">K133-I133</f>
        <v>251091.66999999993</v>
      </c>
    </row>
    <row r="135" spans="1:11" x14ac:dyDescent="0.25">
      <c r="A135" s="5" t="s">
        <v>505</v>
      </c>
      <c r="B135" s="42">
        <f t="shared" si="6"/>
        <v>71.174420000000012</v>
      </c>
      <c r="C135" s="7" t="s">
        <v>368</v>
      </c>
      <c r="D135" s="7" t="s">
        <v>370</v>
      </c>
      <c r="E135" s="7" t="s">
        <v>0</v>
      </c>
      <c r="F135" s="17">
        <v>72.607289999999878</v>
      </c>
      <c r="G135" s="7" t="s">
        <v>639</v>
      </c>
      <c r="H135" s="7" t="s">
        <v>640</v>
      </c>
      <c r="I135" s="10">
        <v>562.95000000000005</v>
      </c>
      <c r="J135" s="10">
        <f t="shared" si="7"/>
        <v>71174.420000000013</v>
      </c>
      <c r="K135" s="6">
        <f t="shared" si="8"/>
        <v>250520.86999999994</v>
      </c>
    </row>
    <row r="136" spans="1:11" x14ac:dyDescent="0.25">
      <c r="A136" s="5" t="s">
        <v>505</v>
      </c>
      <c r="B136" s="42">
        <f t="shared" si="6"/>
        <v>71.737370000000013</v>
      </c>
      <c r="C136" s="7" t="s">
        <v>370</v>
      </c>
      <c r="D136" s="7" t="s">
        <v>372</v>
      </c>
      <c r="E136" s="7" t="s">
        <v>0</v>
      </c>
      <c r="F136" s="17">
        <v>73.178069999999877</v>
      </c>
      <c r="G136" s="7" t="s">
        <v>640</v>
      </c>
      <c r="H136" s="7" t="s">
        <v>641</v>
      </c>
      <c r="I136" s="10">
        <v>520.63</v>
      </c>
      <c r="J136" s="10">
        <f t="shared" si="7"/>
        <v>71737.37000000001</v>
      </c>
      <c r="K136" s="6">
        <f t="shared" si="8"/>
        <v>249957.91999999993</v>
      </c>
    </row>
    <row r="137" spans="1:11" x14ac:dyDescent="0.25">
      <c r="A137" s="5" t="s">
        <v>505</v>
      </c>
      <c r="B137" s="42">
        <f t="shared" si="6"/>
        <v>72.25800000000001</v>
      </c>
      <c r="C137" s="7" t="s">
        <v>372</v>
      </c>
      <c r="D137" s="7" t="s">
        <v>374</v>
      </c>
      <c r="E137" s="7" t="s">
        <v>0</v>
      </c>
      <c r="F137" s="17">
        <v>73.750619999999884</v>
      </c>
      <c r="G137" s="7" t="s">
        <v>641</v>
      </c>
      <c r="H137" s="7" t="s">
        <v>642</v>
      </c>
      <c r="I137" s="10">
        <v>517.78</v>
      </c>
      <c r="J137" s="10">
        <f t="shared" si="7"/>
        <v>72258.000000000015</v>
      </c>
      <c r="K137" s="6">
        <f t="shared" si="8"/>
        <v>249437.28999999992</v>
      </c>
    </row>
    <row r="138" spans="1:11" x14ac:dyDescent="0.25">
      <c r="A138" s="5" t="s">
        <v>505</v>
      </c>
      <c r="B138" s="42">
        <f t="shared" si="6"/>
        <v>72.775780000000012</v>
      </c>
      <c r="C138" s="7" t="s">
        <v>374</v>
      </c>
      <c r="D138" s="7" t="s">
        <v>376</v>
      </c>
      <c r="E138" s="7" t="s">
        <v>0</v>
      </c>
      <c r="F138" s="17">
        <v>74.325309999999888</v>
      </c>
      <c r="G138" s="7" t="s">
        <v>642</v>
      </c>
      <c r="H138" s="7" t="s">
        <v>643</v>
      </c>
      <c r="I138" s="10">
        <v>592.36</v>
      </c>
      <c r="J138" s="10">
        <f t="shared" si="7"/>
        <v>72775.780000000013</v>
      </c>
      <c r="K138" s="6">
        <f t="shared" si="8"/>
        <v>248919.50999999992</v>
      </c>
    </row>
    <row r="139" spans="1:11" x14ac:dyDescent="0.25">
      <c r="A139" s="5" t="s">
        <v>505</v>
      </c>
      <c r="B139" s="42">
        <f t="shared" si="6"/>
        <v>73.368140000000011</v>
      </c>
      <c r="C139" s="7" t="s">
        <v>376</v>
      </c>
      <c r="D139" s="7" t="s">
        <v>378</v>
      </c>
      <c r="E139" s="7" t="s">
        <v>0</v>
      </c>
      <c r="F139" s="17">
        <v>74.921019999999885</v>
      </c>
      <c r="G139" s="7" t="s">
        <v>643</v>
      </c>
      <c r="H139" s="7" t="s">
        <v>644</v>
      </c>
      <c r="I139" s="10">
        <v>574.08000000000004</v>
      </c>
      <c r="J139" s="10">
        <f t="shared" si="7"/>
        <v>73368.140000000014</v>
      </c>
      <c r="K139" s="6">
        <f t="shared" si="8"/>
        <v>248327.14999999994</v>
      </c>
    </row>
    <row r="140" spans="1:11" x14ac:dyDescent="0.25">
      <c r="A140" s="5" t="s">
        <v>505</v>
      </c>
      <c r="B140" s="42">
        <f t="shared" si="6"/>
        <v>73.94222000000002</v>
      </c>
      <c r="C140" s="7" t="s">
        <v>378</v>
      </c>
      <c r="D140" s="7" t="s">
        <v>380</v>
      </c>
      <c r="E140" s="7" t="s">
        <v>0</v>
      </c>
      <c r="F140" s="17">
        <v>75.505649999999889</v>
      </c>
      <c r="G140" s="7" t="s">
        <v>644</v>
      </c>
      <c r="H140" s="7" t="s">
        <v>645</v>
      </c>
      <c r="I140" s="10">
        <v>572.49</v>
      </c>
      <c r="J140" s="10">
        <f t="shared" si="7"/>
        <v>73942.220000000016</v>
      </c>
      <c r="K140" s="6">
        <f t="shared" si="8"/>
        <v>247753.06999999995</v>
      </c>
    </row>
    <row r="141" spans="1:11" x14ac:dyDescent="0.25">
      <c r="A141" s="5" t="s">
        <v>505</v>
      </c>
      <c r="B141" s="42">
        <f t="shared" si="6"/>
        <v>74.514710000000022</v>
      </c>
      <c r="C141" s="7" t="s">
        <v>380</v>
      </c>
      <c r="D141" s="7" t="s">
        <v>382</v>
      </c>
      <c r="E141" s="7" t="s">
        <v>0</v>
      </c>
      <c r="F141" s="17">
        <v>75.960169999999891</v>
      </c>
      <c r="G141" s="7" t="s">
        <v>645</v>
      </c>
      <c r="H141" s="7" t="s">
        <v>646</v>
      </c>
      <c r="I141" s="10">
        <v>574.05999999999995</v>
      </c>
      <c r="J141" s="10">
        <f t="shared" si="7"/>
        <v>74514.710000000021</v>
      </c>
      <c r="K141" s="6">
        <f t="shared" si="8"/>
        <v>247180.57999999996</v>
      </c>
    </row>
    <row r="142" spans="1:11" x14ac:dyDescent="0.25">
      <c r="A142" s="5" t="s">
        <v>505</v>
      </c>
      <c r="B142" s="42">
        <f t="shared" si="6"/>
        <v>75.088770000000025</v>
      </c>
      <c r="C142" s="7" t="s">
        <v>382</v>
      </c>
      <c r="D142" s="7" t="s">
        <v>384</v>
      </c>
      <c r="E142" s="7" t="s">
        <v>0</v>
      </c>
      <c r="F142" s="17">
        <v>76.558799999999906</v>
      </c>
      <c r="G142" s="7" t="s">
        <v>646</v>
      </c>
      <c r="H142" s="7" t="s">
        <v>647</v>
      </c>
      <c r="I142" s="10">
        <v>565.91</v>
      </c>
      <c r="J142" s="10">
        <f t="shared" si="7"/>
        <v>75088.770000000019</v>
      </c>
      <c r="K142" s="6">
        <f t="shared" si="8"/>
        <v>246606.51999999996</v>
      </c>
    </row>
    <row r="143" spans="1:11" x14ac:dyDescent="0.25">
      <c r="A143" s="5" t="s">
        <v>505</v>
      </c>
      <c r="B143" s="42">
        <f t="shared" si="6"/>
        <v>75.654680000000027</v>
      </c>
      <c r="C143" s="7" t="s">
        <v>384</v>
      </c>
      <c r="D143" s="7" t="s">
        <v>386</v>
      </c>
      <c r="E143" s="7" t="s">
        <v>0</v>
      </c>
      <c r="F143" s="17">
        <v>76.9469899999999</v>
      </c>
      <c r="G143" s="7" t="s">
        <v>647</v>
      </c>
      <c r="H143" s="7" t="s">
        <v>648</v>
      </c>
      <c r="I143" s="10">
        <v>529.91</v>
      </c>
      <c r="J143" s="10">
        <f t="shared" si="7"/>
        <v>75654.680000000022</v>
      </c>
      <c r="K143" s="6">
        <f t="shared" si="8"/>
        <v>246040.60999999996</v>
      </c>
    </row>
    <row r="144" spans="1:11" x14ac:dyDescent="0.25">
      <c r="A144" s="5" t="s">
        <v>505</v>
      </c>
      <c r="B144" s="42">
        <f t="shared" si="6"/>
        <v>76.184590000000028</v>
      </c>
      <c r="C144" s="7" t="s">
        <v>386</v>
      </c>
      <c r="D144" s="7" t="s">
        <v>388</v>
      </c>
      <c r="E144" s="7" t="s">
        <v>0</v>
      </c>
      <c r="F144" s="17">
        <v>77.4814199999999</v>
      </c>
      <c r="G144" s="7" t="s">
        <v>648</v>
      </c>
      <c r="H144" s="7" t="s">
        <v>649</v>
      </c>
      <c r="I144" s="10">
        <v>448.6</v>
      </c>
      <c r="J144" s="10">
        <f t="shared" si="7"/>
        <v>76184.590000000026</v>
      </c>
      <c r="K144" s="6">
        <f t="shared" si="8"/>
        <v>245510.69999999995</v>
      </c>
    </row>
    <row r="145" spans="1:11" x14ac:dyDescent="0.25">
      <c r="A145" s="5" t="s">
        <v>505</v>
      </c>
      <c r="B145" s="42">
        <f t="shared" si="6"/>
        <v>76.633190000000027</v>
      </c>
      <c r="C145" s="7" t="s">
        <v>388</v>
      </c>
      <c r="D145" s="7" t="s">
        <v>390</v>
      </c>
      <c r="E145" s="7" t="s">
        <v>0</v>
      </c>
      <c r="F145" s="17">
        <v>77.965079999999901</v>
      </c>
      <c r="G145" s="7" t="s">
        <v>649</v>
      </c>
      <c r="H145" s="7" t="s">
        <v>650</v>
      </c>
      <c r="I145" s="10">
        <v>476.12</v>
      </c>
      <c r="J145" s="10">
        <f t="shared" si="7"/>
        <v>76633.190000000031</v>
      </c>
      <c r="K145" s="6">
        <f t="shared" si="8"/>
        <v>245062.09999999995</v>
      </c>
    </row>
    <row r="146" spans="1:11" x14ac:dyDescent="0.25">
      <c r="A146" s="5" t="s">
        <v>505</v>
      </c>
      <c r="B146" s="42">
        <f t="shared" si="6"/>
        <v>77.109310000000022</v>
      </c>
      <c r="C146" s="7" t="s">
        <v>390</v>
      </c>
      <c r="D146" s="7" t="s">
        <v>392</v>
      </c>
      <c r="E146" s="7" t="s">
        <v>0</v>
      </c>
      <c r="F146" s="17">
        <v>78.553359999999898</v>
      </c>
      <c r="G146" s="7" t="s">
        <v>650</v>
      </c>
      <c r="H146" s="7" t="s">
        <v>651</v>
      </c>
      <c r="I146" s="10">
        <v>461.2</v>
      </c>
      <c r="J146" s="10">
        <f t="shared" si="7"/>
        <v>77109.310000000027</v>
      </c>
      <c r="K146" s="6">
        <f t="shared" si="8"/>
        <v>244585.97999999995</v>
      </c>
    </row>
    <row r="147" spans="1:11" x14ac:dyDescent="0.25">
      <c r="A147" s="5" t="s">
        <v>505</v>
      </c>
      <c r="B147" s="42">
        <f t="shared" si="6"/>
        <v>77.570510000000027</v>
      </c>
      <c r="C147" s="7" t="s">
        <v>392</v>
      </c>
      <c r="D147" s="7" t="s">
        <v>394</v>
      </c>
      <c r="E147" s="7" t="s">
        <v>0</v>
      </c>
      <c r="F147" s="17">
        <v>79.092869999999891</v>
      </c>
      <c r="G147" s="7" t="s">
        <v>651</v>
      </c>
      <c r="H147" s="7" t="s">
        <v>652</v>
      </c>
      <c r="I147" s="10">
        <v>459.6</v>
      </c>
      <c r="J147" s="10">
        <f t="shared" si="7"/>
        <v>77570.510000000024</v>
      </c>
      <c r="K147" s="6">
        <f t="shared" si="8"/>
        <v>244124.77999999994</v>
      </c>
    </row>
    <row r="148" spans="1:11" x14ac:dyDescent="0.25">
      <c r="A148" s="5" t="s">
        <v>505</v>
      </c>
      <c r="B148" s="42">
        <f t="shared" si="6"/>
        <v>78.030110000000036</v>
      </c>
      <c r="C148" s="7" t="s">
        <v>394</v>
      </c>
      <c r="D148" s="7" t="s">
        <v>396</v>
      </c>
      <c r="E148" s="7" t="s">
        <v>0</v>
      </c>
      <c r="F148" s="17">
        <v>79.660709999999895</v>
      </c>
      <c r="G148" s="7" t="s">
        <v>652</v>
      </c>
      <c r="H148" s="7" t="s">
        <v>653</v>
      </c>
      <c r="I148" s="10">
        <v>556.28</v>
      </c>
      <c r="J148" s="10">
        <f t="shared" si="7"/>
        <v>78030.11000000003</v>
      </c>
      <c r="K148" s="6">
        <f t="shared" si="8"/>
        <v>243665.17999999993</v>
      </c>
    </row>
    <row r="149" spans="1:11" x14ac:dyDescent="0.25">
      <c r="A149" s="5" t="s">
        <v>505</v>
      </c>
      <c r="B149" s="42">
        <f t="shared" si="6"/>
        <v>78.586390000000023</v>
      </c>
      <c r="C149" s="7" t="s">
        <v>396</v>
      </c>
      <c r="D149" s="7" t="s">
        <v>398</v>
      </c>
      <c r="E149" s="7" t="s">
        <v>0</v>
      </c>
      <c r="F149" s="17">
        <v>80.243659999999892</v>
      </c>
      <c r="G149" s="7" t="s">
        <v>653</v>
      </c>
      <c r="H149" s="7" t="s">
        <v>654</v>
      </c>
      <c r="I149" s="10">
        <v>581.41999999999996</v>
      </c>
      <c r="J149" s="10">
        <f t="shared" si="7"/>
        <v>78586.390000000029</v>
      </c>
      <c r="K149" s="6">
        <f t="shared" si="8"/>
        <v>243108.89999999994</v>
      </c>
    </row>
    <row r="150" spans="1:11" x14ac:dyDescent="0.25">
      <c r="A150" s="5" t="s">
        <v>505</v>
      </c>
      <c r="B150" s="42">
        <f t="shared" si="6"/>
        <v>79.167810000000031</v>
      </c>
      <c r="C150" s="7" t="s">
        <v>398</v>
      </c>
      <c r="D150" s="7" t="s">
        <v>400</v>
      </c>
      <c r="E150" s="7" t="s">
        <v>0</v>
      </c>
      <c r="F150" s="17">
        <v>80.779889999999881</v>
      </c>
      <c r="G150" s="7" t="s">
        <v>654</v>
      </c>
      <c r="H150" s="7" t="s">
        <v>655</v>
      </c>
      <c r="I150" s="10">
        <v>570.92999999999995</v>
      </c>
      <c r="J150" s="10">
        <f t="shared" si="7"/>
        <v>79167.810000000027</v>
      </c>
      <c r="K150" s="6">
        <f t="shared" si="8"/>
        <v>242527.47999999992</v>
      </c>
    </row>
    <row r="151" spans="1:11" x14ac:dyDescent="0.25">
      <c r="A151" s="5" t="s">
        <v>505</v>
      </c>
      <c r="B151" s="42">
        <f t="shared" si="6"/>
        <v>79.738740000000021</v>
      </c>
      <c r="C151" s="7" t="s">
        <v>400</v>
      </c>
      <c r="D151" s="7" t="s">
        <v>402</v>
      </c>
      <c r="E151" s="7" t="s">
        <v>0</v>
      </c>
      <c r="F151" s="17">
        <v>81.323309999999879</v>
      </c>
      <c r="G151" s="7" t="s">
        <v>655</v>
      </c>
      <c r="H151" s="7" t="s">
        <v>656</v>
      </c>
      <c r="I151" s="10">
        <v>573.73</v>
      </c>
      <c r="J151" s="10">
        <f t="shared" si="7"/>
        <v>79738.74000000002</v>
      </c>
      <c r="K151" s="6">
        <f t="shared" si="8"/>
        <v>241956.54999999993</v>
      </c>
    </row>
    <row r="152" spans="1:11" x14ac:dyDescent="0.25">
      <c r="A152" s="5" t="s">
        <v>505</v>
      </c>
      <c r="B152" s="42">
        <f t="shared" si="6"/>
        <v>80.312470000000019</v>
      </c>
      <c r="C152" s="7" t="s">
        <v>402</v>
      </c>
      <c r="D152" s="7" t="s">
        <v>404</v>
      </c>
      <c r="E152" s="7" t="s">
        <v>0</v>
      </c>
      <c r="F152" s="17">
        <v>81.878899999999874</v>
      </c>
      <c r="G152" s="7" t="s">
        <v>656</v>
      </c>
      <c r="H152" s="7" t="s">
        <v>657</v>
      </c>
      <c r="I152" s="10">
        <v>575.91999999999996</v>
      </c>
      <c r="J152" s="10">
        <f t="shared" si="7"/>
        <v>80312.470000000016</v>
      </c>
      <c r="K152" s="6">
        <f t="shared" si="8"/>
        <v>241382.81999999992</v>
      </c>
    </row>
    <row r="153" spans="1:11" x14ac:dyDescent="0.25">
      <c r="A153" s="5" t="s">
        <v>505</v>
      </c>
      <c r="B153" s="42">
        <f t="shared" si="6"/>
        <v>80.888390000000015</v>
      </c>
      <c r="C153" s="7" t="s">
        <v>404</v>
      </c>
      <c r="D153" s="7" t="s">
        <v>406</v>
      </c>
      <c r="E153" s="7" t="s">
        <v>0</v>
      </c>
      <c r="F153" s="17">
        <v>82.416429999999878</v>
      </c>
      <c r="G153" s="7" t="s">
        <v>657</v>
      </c>
      <c r="H153" s="7" t="s">
        <v>658</v>
      </c>
      <c r="I153" s="10">
        <v>574.03</v>
      </c>
      <c r="J153" s="10">
        <f t="shared" si="7"/>
        <v>80888.390000000014</v>
      </c>
      <c r="K153" s="6">
        <f t="shared" si="8"/>
        <v>240806.89999999991</v>
      </c>
    </row>
    <row r="154" spans="1:11" x14ac:dyDescent="0.25">
      <c r="A154" s="5" t="s">
        <v>505</v>
      </c>
      <c r="B154" s="42">
        <f t="shared" si="6"/>
        <v>81.462420000000009</v>
      </c>
      <c r="C154" s="7" t="s">
        <v>406</v>
      </c>
      <c r="D154" s="7" t="s">
        <v>408</v>
      </c>
      <c r="E154" s="7" t="s">
        <v>0</v>
      </c>
      <c r="F154" s="17">
        <v>82.971919999999884</v>
      </c>
      <c r="G154" s="7" t="s">
        <v>658</v>
      </c>
      <c r="H154" s="7" t="s">
        <v>659</v>
      </c>
      <c r="I154" s="10">
        <v>574</v>
      </c>
      <c r="J154" s="10">
        <f t="shared" si="7"/>
        <v>81462.420000000013</v>
      </c>
      <c r="K154" s="6">
        <f t="shared" si="8"/>
        <v>240232.86999999991</v>
      </c>
    </row>
    <row r="155" spans="1:11" x14ac:dyDescent="0.25">
      <c r="A155" s="5" t="s">
        <v>505</v>
      </c>
      <c r="B155" s="42">
        <f t="shared" si="6"/>
        <v>82.036420000000007</v>
      </c>
      <c r="C155" s="7" t="s">
        <v>408</v>
      </c>
      <c r="D155" s="7" t="s">
        <v>410</v>
      </c>
      <c r="E155" s="7" t="s">
        <v>0</v>
      </c>
      <c r="F155" s="17">
        <v>83.53019999999988</v>
      </c>
      <c r="G155" s="7" t="s">
        <v>659</v>
      </c>
      <c r="H155" s="7" t="s">
        <v>660</v>
      </c>
      <c r="I155" s="10">
        <v>573.74</v>
      </c>
      <c r="J155" s="10">
        <f t="shared" si="7"/>
        <v>82036.420000000013</v>
      </c>
      <c r="K155" s="6">
        <f t="shared" si="8"/>
        <v>239658.86999999991</v>
      </c>
    </row>
    <row r="156" spans="1:11" x14ac:dyDescent="0.25">
      <c r="A156" s="5" t="s">
        <v>505</v>
      </c>
      <c r="B156" s="42">
        <f t="shared" si="6"/>
        <v>82.610160000000022</v>
      </c>
      <c r="C156" s="7" t="s">
        <v>410</v>
      </c>
      <c r="D156" s="7" t="s">
        <v>412</v>
      </c>
      <c r="E156" s="7" t="s">
        <v>0</v>
      </c>
      <c r="F156" s="17">
        <v>84.083649999999878</v>
      </c>
      <c r="G156" s="7" t="s">
        <v>660</v>
      </c>
      <c r="H156" s="7" t="s">
        <v>661</v>
      </c>
      <c r="I156" s="10">
        <v>573.17999999999995</v>
      </c>
      <c r="J156" s="10">
        <f t="shared" si="7"/>
        <v>82610.160000000018</v>
      </c>
      <c r="K156" s="6">
        <f t="shared" si="8"/>
        <v>239085.12999999992</v>
      </c>
    </row>
    <row r="157" spans="1:11" x14ac:dyDescent="0.25">
      <c r="A157" s="5" t="s">
        <v>505</v>
      </c>
      <c r="B157" s="42">
        <f t="shared" si="6"/>
        <v>83.183340000000015</v>
      </c>
      <c r="C157" s="7" t="s">
        <v>412</v>
      </c>
      <c r="D157" s="7" t="s">
        <v>414</v>
      </c>
      <c r="E157" s="7" t="s">
        <v>0</v>
      </c>
      <c r="F157" s="17">
        <v>84.641869999999884</v>
      </c>
      <c r="G157" s="7" t="s">
        <v>661</v>
      </c>
      <c r="H157" s="7" t="s">
        <v>662</v>
      </c>
      <c r="I157" s="10">
        <v>572.83000000000004</v>
      </c>
      <c r="J157" s="10">
        <f t="shared" si="7"/>
        <v>83183.340000000011</v>
      </c>
      <c r="K157" s="6">
        <f t="shared" si="8"/>
        <v>238511.94999999992</v>
      </c>
    </row>
    <row r="158" spans="1:11" x14ac:dyDescent="0.25">
      <c r="A158" s="5" t="s">
        <v>505</v>
      </c>
      <c r="B158" s="42">
        <f t="shared" si="6"/>
        <v>83.756170000000012</v>
      </c>
      <c r="C158" s="7" t="s">
        <v>414</v>
      </c>
      <c r="D158" s="7" t="s">
        <v>416</v>
      </c>
      <c r="E158" s="7" t="s">
        <v>0</v>
      </c>
      <c r="F158" s="17">
        <v>85.222259999999878</v>
      </c>
      <c r="G158" s="7" t="s">
        <v>662</v>
      </c>
      <c r="H158" s="7" t="s">
        <v>663</v>
      </c>
      <c r="I158" s="10">
        <v>573.53</v>
      </c>
      <c r="J158" s="10">
        <f t="shared" si="7"/>
        <v>83756.170000000013</v>
      </c>
      <c r="K158" s="6">
        <f t="shared" si="8"/>
        <v>237939.11999999994</v>
      </c>
    </row>
    <row r="159" spans="1:11" x14ac:dyDescent="0.25">
      <c r="A159" s="5" t="s">
        <v>505</v>
      </c>
      <c r="B159" s="42">
        <f t="shared" si="6"/>
        <v>84.329700000000017</v>
      </c>
      <c r="C159" s="7" t="s">
        <v>416</v>
      </c>
      <c r="D159" s="7" t="s">
        <v>418</v>
      </c>
      <c r="E159" s="7" t="s">
        <v>0</v>
      </c>
      <c r="F159" s="17">
        <v>85.669189999999872</v>
      </c>
      <c r="G159" s="7" t="s">
        <v>663</v>
      </c>
      <c r="H159" s="7" t="s">
        <v>664</v>
      </c>
      <c r="I159" s="10">
        <v>572.04</v>
      </c>
      <c r="J159" s="10">
        <f t="shared" si="7"/>
        <v>84329.700000000012</v>
      </c>
      <c r="K159" s="6">
        <f t="shared" si="8"/>
        <v>237365.58999999994</v>
      </c>
    </row>
    <row r="160" spans="1:11" x14ac:dyDescent="0.25">
      <c r="A160" s="5" t="s">
        <v>505</v>
      </c>
      <c r="B160" s="42">
        <f t="shared" si="6"/>
        <v>84.901740000000004</v>
      </c>
      <c r="C160" s="7" t="s">
        <v>418</v>
      </c>
      <c r="D160" s="7" t="s">
        <v>420</v>
      </c>
      <c r="E160" s="7" t="s">
        <v>0</v>
      </c>
      <c r="F160" s="17">
        <v>86.161309999999872</v>
      </c>
      <c r="G160" s="7" t="s">
        <v>664</v>
      </c>
      <c r="H160" s="7" t="s">
        <v>665</v>
      </c>
      <c r="I160" s="10">
        <v>572.36</v>
      </c>
      <c r="J160" s="10">
        <f t="shared" si="7"/>
        <v>84901.74</v>
      </c>
      <c r="K160" s="6">
        <f t="shared" si="8"/>
        <v>236793.54999999993</v>
      </c>
    </row>
    <row r="161" spans="1:11" x14ac:dyDescent="0.25">
      <c r="A161" s="5" t="s">
        <v>505</v>
      </c>
      <c r="B161" s="42">
        <f t="shared" si="6"/>
        <v>85.474100000000007</v>
      </c>
      <c r="C161" s="7" t="s">
        <v>420</v>
      </c>
      <c r="D161" s="7" t="s">
        <v>422</v>
      </c>
      <c r="E161" s="7" t="s">
        <v>0</v>
      </c>
      <c r="F161" s="17">
        <v>86.728839999999863</v>
      </c>
      <c r="G161" s="7" t="s">
        <v>665</v>
      </c>
      <c r="H161" s="7" t="s">
        <v>666</v>
      </c>
      <c r="I161" s="10">
        <v>571.92999999999995</v>
      </c>
      <c r="J161" s="10">
        <f t="shared" si="7"/>
        <v>85474.1</v>
      </c>
      <c r="K161" s="6">
        <f t="shared" si="8"/>
        <v>236221.18999999994</v>
      </c>
    </row>
    <row r="162" spans="1:11" x14ac:dyDescent="0.25">
      <c r="A162" s="5" t="s">
        <v>505</v>
      </c>
      <c r="B162" s="42">
        <f t="shared" si="6"/>
        <v>86.046030000000002</v>
      </c>
      <c r="C162" s="7" t="s">
        <v>422</v>
      </c>
      <c r="D162" s="7" t="s">
        <v>424</v>
      </c>
      <c r="E162" s="7" t="s">
        <v>0</v>
      </c>
      <c r="F162" s="17">
        <v>87.262449999999859</v>
      </c>
      <c r="G162" s="7" t="s">
        <v>666</v>
      </c>
      <c r="H162" s="7" t="s">
        <v>667</v>
      </c>
      <c r="I162" s="10">
        <v>589.38</v>
      </c>
      <c r="J162" s="10">
        <f t="shared" si="7"/>
        <v>86046.03</v>
      </c>
      <c r="K162" s="6">
        <f t="shared" si="8"/>
        <v>235649.25999999995</v>
      </c>
    </row>
    <row r="163" spans="1:11" x14ac:dyDescent="0.25">
      <c r="A163" s="5" t="s">
        <v>505</v>
      </c>
      <c r="B163" s="42">
        <f t="shared" si="6"/>
        <v>86.635410000000007</v>
      </c>
      <c r="C163" s="7" t="s">
        <v>424</v>
      </c>
      <c r="D163" s="7" t="s">
        <v>426</v>
      </c>
      <c r="E163" s="7" t="s">
        <v>0</v>
      </c>
      <c r="F163" s="17">
        <v>87.684529999999867</v>
      </c>
      <c r="G163" s="7" t="s">
        <v>667</v>
      </c>
      <c r="H163" s="7" t="s">
        <v>668</v>
      </c>
      <c r="I163" s="10">
        <v>566.69000000000005</v>
      </c>
      <c r="J163" s="10">
        <f t="shared" si="7"/>
        <v>86635.41</v>
      </c>
      <c r="K163" s="6">
        <f t="shared" si="8"/>
        <v>235059.87999999995</v>
      </c>
    </row>
    <row r="164" spans="1:11" x14ac:dyDescent="0.25">
      <c r="A164" s="5" t="s">
        <v>505</v>
      </c>
      <c r="B164" s="42">
        <f t="shared" si="6"/>
        <v>87.202100000000002</v>
      </c>
      <c r="C164" s="7" t="s">
        <v>426</v>
      </c>
      <c r="D164" s="7" t="s">
        <v>428</v>
      </c>
      <c r="E164" s="7" t="s">
        <v>0</v>
      </c>
      <c r="F164" s="17">
        <v>88.141759999999863</v>
      </c>
      <c r="G164" s="7" t="s">
        <v>668</v>
      </c>
      <c r="H164" s="7" t="s">
        <v>669</v>
      </c>
      <c r="I164" s="10">
        <v>512.03</v>
      </c>
      <c r="J164" s="10">
        <f t="shared" si="7"/>
        <v>87202.1</v>
      </c>
      <c r="K164" s="6">
        <f t="shared" si="8"/>
        <v>234493.18999999994</v>
      </c>
    </row>
    <row r="165" spans="1:11" x14ac:dyDescent="0.25">
      <c r="A165" s="5" t="s">
        <v>505</v>
      </c>
      <c r="B165" s="42">
        <f t="shared" si="6"/>
        <v>87.714130000000011</v>
      </c>
      <c r="C165" s="7" t="s">
        <v>428</v>
      </c>
      <c r="D165" s="7" t="s">
        <v>430</v>
      </c>
      <c r="E165" s="7" t="s">
        <v>0</v>
      </c>
      <c r="F165" s="17">
        <v>88.642479999999864</v>
      </c>
      <c r="G165" s="7" t="s">
        <v>669</v>
      </c>
      <c r="H165" s="7" t="s">
        <v>670</v>
      </c>
      <c r="I165" s="10">
        <v>520.79</v>
      </c>
      <c r="J165" s="10">
        <f t="shared" si="7"/>
        <v>87714.13</v>
      </c>
      <c r="K165" s="6">
        <f t="shared" si="8"/>
        <v>233981.15999999995</v>
      </c>
    </row>
    <row r="166" spans="1:11" x14ac:dyDescent="0.25">
      <c r="A166" s="5" t="s">
        <v>505</v>
      </c>
      <c r="B166" s="42">
        <f t="shared" si="6"/>
        <v>88.234920000000002</v>
      </c>
      <c r="C166" s="7" t="s">
        <v>430</v>
      </c>
      <c r="D166" s="7" t="s">
        <v>432</v>
      </c>
      <c r="E166" s="7" t="s">
        <v>0</v>
      </c>
      <c r="F166" s="17">
        <v>89.140759999999858</v>
      </c>
      <c r="G166" s="7" t="s">
        <v>670</v>
      </c>
      <c r="H166" s="7" t="s">
        <v>671</v>
      </c>
      <c r="I166" s="10">
        <v>573.46</v>
      </c>
      <c r="J166" s="10">
        <f t="shared" si="7"/>
        <v>88234.92</v>
      </c>
      <c r="K166" s="6">
        <f t="shared" si="8"/>
        <v>233460.36999999994</v>
      </c>
    </row>
    <row r="167" spans="1:11" x14ac:dyDescent="0.25">
      <c r="A167" s="5" t="s">
        <v>505</v>
      </c>
      <c r="B167" s="42">
        <f t="shared" si="6"/>
        <v>88.80838</v>
      </c>
      <c r="C167" s="7" t="s">
        <v>432</v>
      </c>
      <c r="D167" s="7" t="s">
        <v>434</v>
      </c>
      <c r="E167" s="7" t="s">
        <v>0</v>
      </c>
      <c r="F167" s="17">
        <v>89.632309999999862</v>
      </c>
      <c r="G167" s="7" t="s">
        <v>671</v>
      </c>
      <c r="H167" s="7" t="s">
        <v>672</v>
      </c>
      <c r="I167" s="10">
        <v>573.61</v>
      </c>
      <c r="J167" s="10">
        <f t="shared" si="7"/>
        <v>88808.38</v>
      </c>
      <c r="K167" s="6">
        <f t="shared" si="8"/>
        <v>232886.90999999995</v>
      </c>
    </row>
    <row r="168" spans="1:11" x14ac:dyDescent="0.25">
      <c r="A168" s="5" t="s">
        <v>505</v>
      </c>
      <c r="B168" s="42">
        <f t="shared" si="6"/>
        <v>89.381990000000002</v>
      </c>
      <c r="C168" s="7" t="s">
        <v>434</v>
      </c>
      <c r="D168" s="7" t="s">
        <v>436</v>
      </c>
      <c r="E168" s="7" t="s">
        <v>0</v>
      </c>
      <c r="F168" s="17">
        <v>90.133349999999865</v>
      </c>
      <c r="G168" s="7" t="s">
        <v>672</v>
      </c>
      <c r="H168" s="7" t="s">
        <v>673</v>
      </c>
      <c r="I168" s="10">
        <v>563.29999999999995</v>
      </c>
      <c r="J168" s="10">
        <f t="shared" si="7"/>
        <v>89381.99</v>
      </c>
      <c r="K168" s="6">
        <f t="shared" si="8"/>
        <v>232313.29999999996</v>
      </c>
    </row>
    <row r="169" spans="1:11" x14ac:dyDescent="0.25">
      <c r="A169" s="5" t="s">
        <v>505</v>
      </c>
      <c r="B169" s="42">
        <f t="shared" si="6"/>
        <v>89.945290000000014</v>
      </c>
      <c r="C169" s="7" t="s">
        <v>436</v>
      </c>
      <c r="D169" s="7" t="s">
        <v>438</v>
      </c>
      <c r="E169" s="7" t="s">
        <v>0</v>
      </c>
      <c r="F169" s="17">
        <v>90.595149999999862</v>
      </c>
      <c r="G169" s="7" t="s">
        <v>673</v>
      </c>
      <c r="H169" s="7" t="s">
        <v>674</v>
      </c>
      <c r="I169" s="10">
        <v>508.61</v>
      </c>
      <c r="J169" s="10">
        <f t="shared" si="7"/>
        <v>89945.290000000008</v>
      </c>
      <c r="K169" s="6">
        <f t="shared" si="8"/>
        <v>231749.99999999997</v>
      </c>
    </row>
    <row r="170" spans="1:11" x14ac:dyDescent="0.25">
      <c r="A170" s="5" t="s">
        <v>505</v>
      </c>
      <c r="B170" s="42">
        <f t="shared" si="6"/>
        <v>90.453900000000004</v>
      </c>
      <c r="C170" s="7" t="s">
        <v>438</v>
      </c>
      <c r="D170" s="7" t="s">
        <v>440</v>
      </c>
      <c r="E170" s="7" t="s">
        <v>0</v>
      </c>
      <c r="F170" s="17">
        <v>91.115699999999862</v>
      </c>
      <c r="G170" s="7" t="s">
        <v>674</v>
      </c>
      <c r="H170" s="7" t="s">
        <v>675</v>
      </c>
      <c r="I170" s="10">
        <v>521.22</v>
      </c>
      <c r="J170" s="10">
        <f t="shared" si="7"/>
        <v>90453.900000000009</v>
      </c>
      <c r="K170" s="6">
        <f t="shared" si="8"/>
        <v>231241.38999999998</v>
      </c>
    </row>
    <row r="171" spans="1:11" x14ac:dyDescent="0.25">
      <c r="A171" s="5" t="s">
        <v>505</v>
      </c>
      <c r="B171" s="42">
        <f t="shared" si="6"/>
        <v>90.975120000000004</v>
      </c>
      <c r="C171" s="7" t="s">
        <v>440</v>
      </c>
      <c r="D171" s="7" t="s">
        <v>442</v>
      </c>
      <c r="E171" s="7" t="s">
        <v>0</v>
      </c>
      <c r="F171" s="17">
        <v>91.745269999999877</v>
      </c>
      <c r="G171" s="7" t="s">
        <v>675</v>
      </c>
      <c r="H171" s="7" t="s">
        <v>676</v>
      </c>
      <c r="I171" s="10">
        <v>572.67999999999995</v>
      </c>
      <c r="J171" s="10">
        <f t="shared" si="7"/>
        <v>90975.12000000001</v>
      </c>
      <c r="K171" s="6">
        <f t="shared" si="8"/>
        <v>230720.16999999998</v>
      </c>
    </row>
    <row r="172" spans="1:11" x14ac:dyDescent="0.25">
      <c r="A172" s="5" t="s">
        <v>505</v>
      </c>
      <c r="B172" s="42">
        <f t="shared" si="6"/>
        <v>91.547800000000009</v>
      </c>
      <c r="C172" s="7" t="s">
        <v>442</v>
      </c>
      <c r="D172" s="7" t="s">
        <v>444</v>
      </c>
      <c r="E172" s="7" t="s">
        <v>0</v>
      </c>
      <c r="F172" s="17">
        <v>92.091719999999867</v>
      </c>
      <c r="G172" s="7" t="s">
        <v>676</v>
      </c>
      <c r="H172" s="7" t="s">
        <v>677</v>
      </c>
      <c r="I172" s="10">
        <v>545.28</v>
      </c>
      <c r="J172" s="10">
        <f t="shared" si="7"/>
        <v>91547.8</v>
      </c>
      <c r="K172" s="6">
        <f t="shared" si="8"/>
        <v>230147.49</v>
      </c>
    </row>
    <row r="173" spans="1:11" x14ac:dyDescent="0.25">
      <c r="A173" s="5" t="s">
        <v>505</v>
      </c>
      <c r="B173" s="42">
        <f t="shared" si="6"/>
        <v>92.09308</v>
      </c>
      <c r="C173" s="7" t="s">
        <v>444</v>
      </c>
      <c r="D173" s="7" t="s">
        <v>446</v>
      </c>
      <c r="E173" s="7" t="s">
        <v>0</v>
      </c>
      <c r="F173" s="17">
        <v>92.526679999999871</v>
      </c>
      <c r="G173" s="7" t="s">
        <v>677</v>
      </c>
      <c r="H173" s="7" t="s">
        <v>678</v>
      </c>
      <c r="I173" s="10">
        <v>544.84</v>
      </c>
      <c r="J173" s="10">
        <f t="shared" si="7"/>
        <v>92093.08</v>
      </c>
      <c r="K173" s="6">
        <f t="shared" si="8"/>
        <v>229602.21</v>
      </c>
    </row>
    <row r="174" spans="1:11" x14ac:dyDescent="0.25">
      <c r="A174" s="5" t="s">
        <v>505</v>
      </c>
      <c r="B174" s="42">
        <f t="shared" si="6"/>
        <v>92.637919999999994</v>
      </c>
      <c r="C174" s="7" t="s">
        <v>446</v>
      </c>
      <c r="D174" s="7" t="s">
        <v>448</v>
      </c>
      <c r="E174" s="7" t="s">
        <v>0</v>
      </c>
      <c r="F174" s="17">
        <v>92.986669999999876</v>
      </c>
      <c r="G174" s="7" t="s">
        <v>678</v>
      </c>
      <c r="H174" s="7" t="s">
        <v>679</v>
      </c>
      <c r="I174" s="10">
        <v>572.97</v>
      </c>
      <c r="J174" s="10">
        <f t="shared" si="7"/>
        <v>92637.92</v>
      </c>
      <c r="K174" s="6">
        <f t="shared" si="8"/>
        <v>229057.37</v>
      </c>
    </row>
    <row r="175" spans="1:11" x14ac:dyDescent="0.25">
      <c r="A175" s="5" t="s">
        <v>505</v>
      </c>
      <c r="B175" s="42">
        <f t="shared" si="6"/>
        <v>93.210890000000006</v>
      </c>
      <c r="C175" s="7" t="s">
        <v>448</v>
      </c>
      <c r="D175" s="7" t="s">
        <v>450</v>
      </c>
      <c r="E175" s="7" t="s">
        <v>0</v>
      </c>
      <c r="F175" s="17">
        <v>93.482099999999875</v>
      </c>
      <c r="G175" s="7" t="s">
        <v>679</v>
      </c>
      <c r="H175" s="7" t="s">
        <v>680</v>
      </c>
      <c r="I175" s="10">
        <v>573.29</v>
      </c>
      <c r="J175" s="10">
        <f t="shared" si="7"/>
        <v>93210.89</v>
      </c>
      <c r="K175" s="6">
        <f t="shared" si="8"/>
        <v>228484.4</v>
      </c>
    </row>
    <row r="176" spans="1:11" x14ac:dyDescent="0.25">
      <c r="A176" s="5" t="s">
        <v>505</v>
      </c>
      <c r="B176" s="42">
        <f t="shared" si="6"/>
        <v>93.784179999999992</v>
      </c>
      <c r="C176" s="7" t="s">
        <v>450</v>
      </c>
      <c r="D176" s="7" t="s">
        <v>452</v>
      </c>
      <c r="E176" s="7" t="s">
        <v>0</v>
      </c>
      <c r="F176" s="17">
        <v>93.966689999999872</v>
      </c>
      <c r="G176" s="7" t="s">
        <v>680</v>
      </c>
      <c r="H176" s="7" t="s">
        <v>681</v>
      </c>
      <c r="I176" s="10">
        <v>566.32000000000005</v>
      </c>
      <c r="J176" s="10">
        <f t="shared" si="7"/>
        <v>93784.18</v>
      </c>
      <c r="K176" s="6">
        <f t="shared" si="8"/>
        <v>227911.11</v>
      </c>
    </row>
    <row r="177" spans="1:11" x14ac:dyDescent="0.25">
      <c r="A177" s="5" t="s">
        <v>505</v>
      </c>
      <c r="B177" s="42">
        <f t="shared" si="6"/>
        <v>94.350499999999997</v>
      </c>
      <c r="C177" s="7" t="s">
        <v>452</v>
      </c>
      <c r="D177" s="7" t="s">
        <v>454</v>
      </c>
      <c r="E177" s="7" t="s">
        <v>0</v>
      </c>
      <c r="F177" s="17">
        <v>94.426179999999874</v>
      </c>
      <c r="G177" s="7" t="s">
        <v>681</v>
      </c>
      <c r="H177" s="7" t="s">
        <v>682</v>
      </c>
      <c r="I177" s="10">
        <v>557.89</v>
      </c>
      <c r="J177" s="10">
        <f t="shared" si="7"/>
        <v>94350.5</v>
      </c>
      <c r="K177" s="6">
        <f t="shared" si="8"/>
        <v>227344.78999999998</v>
      </c>
    </row>
    <row r="178" spans="1:11" x14ac:dyDescent="0.25">
      <c r="A178" s="5" t="s">
        <v>505</v>
      </c>
      <c r="B178" s="42">
        <f t="shared" si="6"/>
        <v>94.908389999999997</v>
      </c>
      <c r="C178" s="7" t="s">
        <v>454</v>
      </c>
      <c r="D178" s="7" t="s">
        <v>456</v>
      </c>
      <c r="E178" s="7" t="s">
        <v>0</v>
      </c>
      <c r="F178" s="17">
        <v>95.02434999999987</v>
      </c>
      <c r="G178" s="7" t="s">
        <v>682</v>
      </c>
      <c r="H178" s="7" t="s">
        <v>683</v>
      </c>
      <c r="I178" s="10">
        <v>566.86</v>
      </c>
      <c r="J178" s="10">
        <f t="shared" si="7"/>
        <v>94908.39</v>
      </c>
      <c r="K178" s="6">
        <f t="shared" si="8"/>
        <v>226786.89999999997</v>
      </c>
    </row>
    <row r="179" spans="1:11" x14ac:dyDescent="0.25">
      <c r="A179" s="5" t="s">
        <v>505</v>
      </c>
      <c r="B179" s="42">
        <f t="shared" si="6"/>
        <v>95.475250000000003</v>
      </c>
      <c r="C179" s="7" t="s">
        <v>456</v>
      </c>
      <c r="D179" s="7" t="s">
        <v>458</v>
      </c>
      <c r="E179" s="7" t="s">
        <v>0</v>
      </c>
      <c r="F179" s="17">
        <v>95.626059999999882</v>
      </c>
      <c r="G179" s="7" t="s">
        <v>683</v>
      </c>
      <c r="H179" s="7" t="s">
        <v>684</v>
      </c>
      <c r="I179" s="10">
        <v>573.38</v>
      </c>
      <c r="J179" s="10">
        <f t="shared" si="7"/>
        <v>95475.25</v>
      </c>
      <c r="K179" s="6">
        <f t="shared" si="8"/>
        <v>226220.03999999998</v>
      </c>
    </row>
    <row r="180" spans="1:11" x14ac:dyDescent="0.25">
      <c r="A180" s="5" t="s">
        <v>505</v>
      </c>
      <c r="B180" s="42">
        <f t="shared" si="6"/>
        <v>96.048630000000003</v>
      </c>
      <c r="C180" s="7" t="s">
        <v>458</v>
      </c>
      <c r="D180" s="7" t="s">
        <v>460</v>
      </c>
      <c r="E180" s="7" t="s">
        <v>0</v>
      </c>
      <c r="F180" s="17">
        <v>96.195529999999877</v>
      </c>
      <c r="G180" s="7" t="s">
        <v>684</v>
      </c>
      <c r="H180" s="7" t="s">
        <v>685</v>
      </c>
      <c r="I180" s="10">
        <v>571.87</v>
      </c>
      <c r="J180" s="10">
        <f t="shared" si="7"/>
        <v>96048.63</v>
      </c>
      <c r="K180" s="6">
        <f t="shared" si="8"/>
        <v>225646.65999999997</v>
      </c>
    </row>
    <row r="181" spans="1:11" x14ac:dyDescent="0.25">
      <c r="A181" s="5" t="s">
        <v>505</v>
      </c>
      <c r="B181" s="42">
        <f t="shared" si="6"/>
        <v>96.620500000000007</v>
      </c>
      <c r="C181" s="7" t="s">
        <v>460</v>
      </c>
      <c r="D181" s="7" t="s">
        <v>462</v>
      </c>
      <c r="E181" s="7" t="s">
        <v>0</v>
      </c>
      <c r="F181" s="17">
        <v>96.449089999999885</v>
      </c>
      <c r="G181" s="7" t="s">
        <v>685</v>
      </c>
      <c r="H181" s="7" t="s">
        <v>686</v>
      </c>
      <c r="I181" s="10">
        <v>557.76</v>
      </c>
      <c r="J181" s="10">
        <f t="shared" si="7"/>
        <v>96620.5</v>
      </c>
      <c r="K181" s="6">
        <f t="shared" si="8"/>
        <v>225074.78999999998</v>
      </c>
    </row>
    <row r="182" spans="1:11" x14ac:dyDescent="0.25">
      <c r="A182" s="5" t="s">
        <v>505</v>
      </c>
      <c r="B182" s="42">
        <f t="shared" si="6"/>
        <v>97.178259999999995</v>
      </c>
      <c r="C182" s="7" t="s">
        <v>462</v>
      </c>
      <c r="D182" s="7" t="s">
        <v>464</v>
      </c>
      <c r="E182" s="7" t="s">
        <v>0</v>
      </c>
      <c r="F182" s="17">
        <v>97.126059999999882</v>
      </c>
      <c r="G182" s="7" t="s">
        <v>686</v>
      </c>
      <c r="H182" s="7" t="s">
        <v>687</v>
      </c>
      <c r="I182" s="10">
        <v>573.23</v>
      </c>
      <c r="J182" s="10">
        <f t="shared" si="7"/>
        <v>97178.26</v>
      </c>
      <c r="K182" s="6">
        <f t="shared" si="8"/>
        <v>224517.02999999997</v>
      </c>
    </row>
    <row r="183" spans="1:11" x14ac:dyDescent="0.25">
      <c r="A183" s="5" t="s">
        <v>505</v>
      </c>
      <c r="B183" s="42">
        <f t="shared" si="6"/>
        <v>97.75148999999999</v>
      </c>
      <c r="C183" s="7" t="s">
        <v>464</v>
      </c>
      <c r="D183" s="7" t="s">
        <v>466</v>
      </c>
      <c r="E183" s="7" t="s">
        <v>0</v>
      </c>
      <c r="F183" s="17">
        <v>97.648589999999885</v>
      </c>
      <c r="G183" s="7" t="s">
        <v>687</v>
      </c>
      <c r="H183" s="7" t="s">
        <v>688</v>
      </c>
      <c r="I183" s="10">
        <v>573.42999999999995</v>
      </c>
      <c r="J183" s="10">
        <f t="shared" si="7"/>
        <v>97751.489999999991</v>
      </c>
      <c r="K183" s="6">
        <f t="shared" si="8"/>
        <v>223943.79999999996</v>
      </c>
    </row>
    <row r="184" spans="1:11" x14ac:dyDescent="0.25">
      <c r="A184" s="5" t="s">
        <v>505</v>
      </c>
      <c r="B184" s="42">
        <f t="shared" si="6"/>
        <v>98.324919999999977</v>
      </c>
      <c r="C184" s="7" t="s">
        <v>466</v>
      </c>
      <c r="D184" s="7" t="s">
        <v>468</v>
      </c>
      <c r="E184" s="7" t="s">
        <v>0</v>
      </c>
      <c r="F184" s="17">
        <v>98.125889999999885</v>
      </c>
      <c r="G184" s="7" t="s">
        <v>688</v>
      </c>
      <c r="H184" s="7" t="s">
        <v>689</v>
      </c>
      <c r="I184" s="10">
        <v>562.4</v>
      </c>
      <c r="J184" s="10">
        <f t="shared" si="7"/>
        <v>98324.919999999984</v>
      </c>
      <c r="K184" s="6">
        <f t="shared" si="8"/>
        <v>223370.36999999997</v>
      </c>
    </row>
    <row r="185" spans="1:11" x14ac:dyDescent="0.25">
      <c r="A185" s="5" t="s">
        <v>505</v>
      </c>
      <c r="B185" s="42">
        <f t="shared" si="6"/>
        <v>98.887319999999974</v>
      </c>
      <c r="C185" s="7" t="s">
        <v>468</v>
      </c>
      <c r="D185" s="7" t="s">
        <v>470</v>
      </c>
      <c r="E185" s="7" t="s">
        <v>0</v>
      </c>
      <c r="F185" s="17">
        <v>98.581579999999889</v>
      </c>
      <c r="G185" s="7" t="s">
        <v>689</v>
      </c>
      <c r="H185" s="7" t="s">
        <v>690</v>
      </c>
      <c r="I185" s="10">
        <v>577.45000000000005</v>
      </c>
      <c r="J185" s="10">
        <f t="shared" si="7"/>
        <v>98887.319999999978</v>
      </c>
      <c r="K185" s="6">
        <f t="shared" si="8"/>
        <v>222807.96999999997</v>
      </c>
    </row>
    <row r="186" spans="1:11" x14ac:dyDescent="0.25">
      <c r="A186" s="5" t="s">
        <v>505</v>
      </c>
      <c r="B186" s="42">
        <f t="shared" si="6"/>
        <v>99.464769999999973</v>
      </c>
      <c r="C186" s="7" t="s">
        <v>470</v>
      </c>
      <c r="D186" s="7" t="s">
        <v>472</v>
      </c>
      <c r="E186" s="7" t="s">
        <v>0</v>
      </c>
      <c r="F186" s="17">
        <v>99.162999999999883</v>
      </c>
      <c r="G186" s="7" t="s">
        <v>690</v>
      </c>
      <c r="H186" s="7" t="s">
        <v>691</v>
      </c>
      <c r="I186" s="10">
        <v>593.55999999999995</v>
      </c>
      <c r="J186" s="10">
        <f t="shared" si="7"/>
        <v>99464.769999999975</v>
      </c>
      <c r="K186" s="6">
        <f t="shared" si="8"/>
        <v>222230.51999999996</v>
      </c>
    </row>
    <row r="187" spans="1:11" x14ac:dyDescent="0.25">
      <c r="A187" s="5" t="s">
        <v>505</v>
      </c>
      <c r="B187" s="42">
        <f t="shared" si="6"/>
        <v>100.05832999999997</v>
      </c>
      <c r="C187" s="7" t="s">
        <v>472</v>
      </c>
      <c r="D187" s="7" t="s">
        <v>474</v>
      </c>
      <c r="E187" s="7" t="s">
        <v>0</v>
      </c>
      <c r="F187" s="17">
        <v>99.616399999999871</v>
      </c>
      <c r="G187" s="7" t="s">
        <v>691</v>
      </c>
      <c r="H187" s="7" t="s">
        <v>692</v>
      </c>
      <c r="I187" s="10">
        <v>578.63</v>
      </c>
      <c r="J187" s="10">
        <f t="shared" si="7"/>
        <v>100058.32999999997</v>
      </c>
      <c r="K187" s="6">
        <f t="shared" si="8"/>
        <v>221636.95999999996</v>
      </c>
    </row>
    <row r="188" spans="1:11" x14ac:dyDescent="0.25">
      <c r="A188" s="5" t="s">
        <v>505</v>
      </c>
      <c r="B188" s="42">
        <f t="shared" si="6"/>
        <v>100.63695999999997</v>
      </c>
      <c r="C188" s="7" t="s">
        <v>474</v>
      </c>
      <c r="D188" s="7" t="s">
        <v>476</v>
      </c>
      <c r="E188" s="7" t="s">
        <v>0</v>
      </c>
      <c r="F188" s="17">
        <v>100.39807999999987</v>
      </c>
      <c r="G188" s="7" t="s">
        <v>692</v>
      </c>
      <c r="H188" s="7" t="s">
        <v>693</v>
      </c>
      <c r="I188" s="10">
        <v>562.11</v>
      </c>
      <c r="J188" s="10">
        <f t="shared" si="7"/>
        <v>100636.95999999998</v>
      </c>
      <c r="K188" s="6">
        <f t="shared" si="8"/>
        <v>221058.32999999996</v>
      </c>
    </row>
    <row r="189" spans="1:11" x14ac:dyDescent="0.25">
      <c r="A189" s="5" t="s">
        <v>505</v>
      </c>
      <c r="B189" s="42">
        <f t="shared" si="6"/>
        <v>101.19906999999998</v>
      </c>
      <c r="C189" s="7" t="s">
        <v>476</v>
      </c>
      <c r="D189" s="7" t="s">
        <v>478</v>
      </c>
      <c r="E189" s="7" t="s">
        <v>0</v>
      </c>
      <c r="F189" s="17">
        <v>100.99193999999987</v>
      </c>
      <c r="G189" s="7" t="s">
        <v>693</v>
      </c>
      <c r="H189" s="7" t="s">
        <v>694</v>
      </c>
      <c r="I189" s="10">
        <v>565.1</v>
      </c>
      <c r="J189" s="10">
        <f t="shared" si="7"/>
        <v>101199.06999999998</v>
      </c>
      <c r="K189" s="6">
        <f t="shared" si="8"/>
        <v>220496.21999999997</v>
      </c>
    </row>
    <row r="190" spans="1:11" x14ac:dyDescent="0.25">
      <c r="A190" s="5" t="s">
        <v>505</v>
      </c>
      <c r="B190" s="42">
        <f t="shared" si="6"/>
        <v>101.76416999999998</v>
      </c>
      <c r="C190" s="7" t="s">
        <v>478</v>
      </c>
      <c r="D190" s="7" t="s">
        <v>480</v>
      </c>
      <c r="E190" s="7" t="s">
        <v>0</v>
      </c>
      <c r="F190" s="17">
        <v>101.70369999999987</v>
      </c>
      <c r="G190" s="7" t="s">
        <v>694</v>
      </c>
      <c r="H190" s="7" t="s">
        <v>695</v>
      </c>
      <c r="I190" s="10">
        <v>563.35</v>
      </c>
      <c r="J190" s="10">
        <f t="shared" si="7"/>
        <v>101764.16999999998</v>
      </c>
      <c r="K190" s="6">
        <f t="shared" si="8"/>
        <v>219931.11999999997</v>
      </c>
    </row>
    <row r="191" spans="1:11" x14ac:dyDescent="0.25">
      <c r="A191" s="5" t="s">
        <v>505</v>
      </c>
      <c r="B191" s="42">
        <f t="shared" si="6"/>
        <v>102.32751999999999</v>
      </c>
      <c r="C191" s="7" t="s">
        <v>480</v>
      </c>
      <c r="D191" s="7" t="s">
        <v>482</v>
      </c>
      <c r="E191" s="7" t="s">
        <v>0</v>
      </c>
      <c r="F191" s="17">
        <v>102.30904999999987</v>
      </c>
      <c r="G191" s="7" t="s">
        <v>695</v>
      </c>
      <c r="H191" s="7" t="s">
        <v>696</v>
      </c>
      <c r="I191" s="10">
        <v>580.04999999999995</v>
      </c>
      <c r="J191" s="10">
        <f t="shared" si="7"/>
        <v>102327.51999999999</v>
      </c>
      <c r="K191" s="6">
        <f t="shared" si="8"/>
        <v>219367.76999999996</v>
      </c>
    </row>
    <row r="192" spans="1:11" x14ac:dyDescent="0.25">
      <c r="A192" s="5" t="s">
        <v>505</v>
      </c>
      <c r="B192" s="42">
        <f t="shared" si="6"/>
        <v>102.90756999999999</v>
      </c>
      <c r="C192" s="7" t="s">
        <v>482</v>
      </c>
      <c r="D192" s="7" t="s">
        <v>484</v>
      </c>
      <c r="E192" s="7" t="s">
        <v>0</v>
      </c>
      <c r="F192" s="17">
        <v>102.86032999999988</v>
      </c>
      <c r="G192" s="7" t="s">
        <v>696</v>
      </c>
      <c r="H192" s="7" t="s">
        <v>188</v>
      </c>
      <c r="I192" s="10">
        <v>535.38</v>
      </c>
      <c r="J192" s="10">
        <f t="shared" si="7"/>
        <v>102907.56999999999</v>
      </c>
      <c r="K192" s="6">
        <f t="shared" si="8"/>
        <v>218787.71999999997</v>
      </c>
    </row>
    <row r="193" spans="1:11" x14ac:dyDescent="0.25">
      <c r="A193" s="5" t="s">
        <v>505</v>
      </c>
      <c r="B193" s="42">
        <f t="shared" si="6"/>
        <v>103.44295</v>
      </c>
      <c r="C193" s="7" t="s">
        <v>484</v>
      </c>
      <c r="D193" s="7" t="s">
        <v>486</v>
      </c>
      <c r="E193" s="7" t="s">
        <v>0</v>
      </c>
      <c r="F193" s="17">
        <v>103.31987999999987</v>
      </c>
      <c r="G193" s="7" t="s">
        <v>188</v>
      </c>
      <c r="H193" s="7" t="s">
        <v>189</v>
      </c>
      <c r="I193" s="10">
        <v>492.26</v>
      </c>
      <c r="J193" s="10">
        <f t="shared" si="7"/>
        <v>103442.95</v>
      </c>
      <c r="K193" s="6">
        <f t="shared" si="8"/>
        <v>218252.33999999997</v>
      </c>
    </row>
    <row r="194" spans="1:11" x14ac:dyDescent="0.25">
      <c r="A194" s="5" t="s">
        <v>505</v>
      </c>
      <c r="B194" s="42">
        <f t="shared" si="6"/>
        <v>103.93521</v>
      </c>
      <c r="C194" s="7" t="s">
        <v>486</v>
      </c>
      <c r="D194" s="7" t="s">
        <v>488</v>
      </c>
      <c r="E194" s="7" t="s">
        <v>0</v>
      </c>
      <c r="F194" s="17">
        <v>103.85914999999987</v>
      </c>
      <c r="G194" s="7" t="s">
        <v>189</v>
      </c>
      <c r="H194" s="7" t="s">
        <v>190</v>
      </c>
      <c r="I194" s="10">
        <v>524.41999999999996</v>
      </c>
      <c r="J194" s="10">
        <f t="shared" si="7"/>
        <v>103935.20999999999</v>
      </c>
      <c r="K194" s="6">
        <f t="shared" si="8"/>
        <v>217760.07999999996</v>
      </c>
    </row>
    <row r="195" spans="1:11" x14ac:dyDescent="0.25">
      <c r="A195" s="5" t="s">
        <v>505</v>
      </c>
      <c r="B195" s="42">
        <f t="shared" ref="B195:B258" si="9">J195/1000</f>
        <v>104.45962999999999</v>
      </c>
      <c r="C195" s="7" t="s">
        <v>488</v>
      </c>
      <c r="D195" s="7" t="s">
        <v>490</v>
      </c>
      <c r="E195" s="7" t="s">
        <v>0</v>
      </c>
      <c r="F195" s="17">
        <v>104.37710999999989</v>
      </c>
      <c r="G195" s="7" t="s">
        <v>190</v>
      </c>
      <c r="H195" s="7" t="s">
        <v>191</v>
      </c>
      <c r="I195" s="10">
        <v>576.89</v>
      </c>
      <c r="J195" s="10">
        <f t="shared" si="7"/>
        <v>104459.62999999999</v>
      </c>
      <c r="K195" s="6">
        <f t="shared" si="8"/>
        <v>217235.65999999995</v>
      </c>
    </row>
    <row r="196" spans="1:11" x14ac:dyDescent="0.25">
      <c r="A196" s="5" t="s">
        <v>505</v>
      </c>
      <c r="B196" s="42">
        <f t="shared" si="9"/>
        <v>105.03652</v>
      </c>
      <c r="C196" s="7" t="s">
        <v>490</v>
      </c>
      <c r="D196" s="7" t="s">
        <v>492</v>
      </c>
      <c r="E196" s="7" t="s">
        <v>0</v>
      </c>
      <c r="F196" s="17">
        <v>105.00624999999988</v>
      </c>
      <c r="G196" s="7" t="s">
        <v>191</v>
      </c>
      <c r="H196" s="7" t="s">
        <v>192</v>
      </c>
      <c r="I196" s="10">
        <v>425.2</v>
      </c>
      <c r="J196" s="10">
        <f t="shared" si="7"/>
        <v>105036.51999999999</v>
      </c>
      <c r="K196" s="6">
        <f t="shared" si="8"/>
        <v>216658.76999999993</v>
      </c>
    </row>
    <row r="197" spans="1:11" x14ac:dyDescent="0.25">
      <c r="A197" s="5" t="s">
        <v>505</v>
      </c>
      <c r="B197" s="42">
        <f t="shared" si="9"/>
        <v>105.46171999999999</v>
      </c>
      <c r="C197" s="7" t="s">
        <v>492</v>
      </c>
      <c r="D197" s="7" t="s">
        <v>494</v>
      </c>
      <c r="E197" s="7" t="s">
        <v>0</v>
      </c>
      <c r="F197" s="17">
        <v>105.44953999999987</v>
      </c>
      <c r="G197" s="7" t="s">
        <v>192</v>
      </c>
      <c r="H197" s="7" t="s">
        <v>193</v>
      </c>
      <c r="I197" s="10">
        <v>510.54</v>
      </c>
      <c r="J197" s="10">
        <f t="shared" si="7"/>
        <v>105461.71999999999</v>
      </c>
      <c r="K197" s="6">
        <f t="shared" si="8"/>
        <v>216233.56999999992</v>
      </c>
    </row>
    <row r="198" spans="1:11" x14ac:dyDescent="0.25">
      <c r="A198" s="5" t="s">
        <v>505</v>
      </c>
      <c r="B198" s="42">
        <f t="shared" si="9"/>
        <v>105.97225999999998</v>
      </c>
      <c r="C198" s="7" t="s">
        <v>494</v>
      </c>
      <c r="D198" s="7" t="s">
        <v>496</v>
      </c>
      <c r="E198" s="7" t="s">
        <v>0</v>
      </c>
      <c r="F198" s="17">
        <v>106.00204999999987</v>
      </c>
      <c r="G198" s="7" t="s">
        <v>193</v>
      </c>
      <c r="H198" s="7" t="s">
        <v>194</v>
      </c>
      <c r="I198" s="10">
        <v>600.37</v>
      </c>
      <c r="J198" s="10">
        <f t="shared" ref="J198:J261" si="10">J197+I197</f>
        <v>105972.25999999998</v>
      </c>
      <c r="K198" s="6">
        <f t="shared" ref="K198:K261" si="11">K197-I197</f>
        <v>215723.02999999991</v>
      </c>
    </row>
    <row r="199" spans="1:11" x14ac:dyDescent="0.25">
      <c r="A199" s="5" t="s">
        <v>505</v>
      </c>
      <c r="B199" s="42">
        <f t="shared" si="9"/>
        <v>106.57262999999998</v>
      </c>
      <c r="C199" s="7" t="s">
        <v>496</v>
      </c>
      <c r="D199" s="7" t="s">
        <v>498</v>
      </c>
      <c r="E199" s="7" t="s">
        <v>0</v>
      </c>
      <c r="F199" s="17">
        <v>106.62200999999988</v>
      </c>
      <c r="G199" s="7" t="s">
        <v>194</v>
      </c>
      <c r="H199" s="7" t="s">
        <v>195</v>
      </c>
      <c r="I199" s="10">
        <v>510.99</v>
      </c>
      <c r="J199" s="10">
        <f t="shared" si="10"/>
        <v>106572.62999999998</v>
      </c>
      <c r="K199" s="6">
        <f t="shared" si="11"/>
        <v>215122.65999999992</v>
      </c>
    </row>
    <row r="200" spans="1:11" x14ac:dyDescent="0.25">
      <c r="A200" s="5" t="s">
        <v>505</v>
      </c>
      <c r="B200" s="42">
        <f t="shared" si="9"/>
        <v>107.08361999999998</v>
      </c>
      <c r="C200" s="7" t="s">
        <v>498</v>
      </c>
      <c r="D200" s="7" t="s">
        <v>500</v>
      </c>
      <c r="E200" s="7" t="s">
        <v>0</v>
      </c>
      <c r="F200" s="17">
        <v>107.14757999999989</v>
      </c>
      <c r="G200" s="7" t="s">
        <v>195</v>
      </c>
      <c r="H200" s="7" t="s">
        <v>196</v>
      </c>
      <c r="I200" s="10">
        <v>576.82000000000005</v>
      </c>
      <c r="J200" s="10">
        <f t="shared" si="10"/>
        <v>107083.61999999998</v>
      </c>
      <c r="K200" s="6">
        <f t="shared" si="11"/>
        <v>214611.66999999993</v>
      </c>
    </row>
    <row r="201" spans="1:11" x14ac:dyDescent="0.25">
      <c r="A201" s="5" t="s">
        <v>505</v>
      </c>
      <c r="B201" s="42">
        <f t="shared" si="9"/>
        <v>107.66043999999999</v>
      </c>
      <c r="C201" s="7" t="s">
        <v>500</v>
      </c>
      <c r="D201" s="7" t="s">
        <v>502</v>
      </c>
      <c r="E201" s="7" t="s">
        <v>0</v>
      </c>
      <c r="F201" s="17">
        <v>107.61688999999988</v>
      </c>
      <c r="G201" s="7" t="s">
        <v>196</v>
      </c>
      <c r="H201" s="7" t="s">
        <v>197</v>
      </c>
      <c r="I201" s="10">
        <v>597.23</v>
      </c>
      <c r="J201" s="10">
        <f t="shared" si="10"/>
        <v>107660.43999999999</v>
      </c>
      <c r="K201" s="6">
        <f t="shared" si="11"/>
        <v>214034.84999999992</v>
      </c>
    </row>
    <row r="202" spans="1:11" x14ac:dyDescent="0.25">
      <c r="A202" s="5" t="s">
        <v>505</v>
      </c>
      <c r="B202" s="42">
        <f t="shared" si="9"/>
        <v>108.25766999999999</v>
      </c>
      <c r="C202" s="7" t="s">
        <v>502</v>
      </c>
      <c r="D202" s="7" t="s">
        <v>503</v>
      </c>
      <c r="E202" s="7" t="s">
        <v>0</v>
      </c>
      <c r="F202" s="17">
        <v>108.18792999999988</v>
      </c>
      <c r="G202" s="7" t="s">
        <v>197</v>
      </c>
      <c r="H202" s="7" t="s">
        <v>198</v>
      </c>
      <c r="I202" s="10">
        <v>415.56</v>
      </c>
      <c r="J202" s="10">
        <f t="shared" si="10"/>
        <v>108257.66999999998</v>
      </c>
      <c r="K202" s="6">
        <f t="shared" si="11"/>
        <v>213437.61999999991</v>
      </c>
    </row>
    <row r="203" spans="1:11" x14ac:dyDescent="0.25">
      <c r="A203" s="5" t="s">
        <v>505</v>
      </c>
      <c r="B203" s="42">
        <f t="shared" si="9"/>
        <v>108.67322999999998</v>
      </c>
      <c r="C203" s="7" t="s">
        <v>503</v>
      </c>
      <c r="D203" s="7" t="s">
        <v>501</v>
      </c>
      <c r="E203" s="7" t="s">
        <v>0</v>
      </c>
      <c r="F203" s="17">
        <v>108.76370999999988</v>
      </c>
      <c r="G203" s="7" t="s">
        <v>198</v>
      </c>
      <c r="H203" s="7" t="s">
        <v>199</v>
      </c>
      <c r="I203" s="10">
        <v>373.65</v>
      </c>
      <c r="J203" s="10">
        <f t="shared" si="10"/>
        <v>108673.22999999998</v>
      </c>
      <c r="K203" s="6">
        <f t="shared" si="11"/>
        <v>213022.05999999991</v>
      </c>
    </row>
    <row r="204" spans="1:11" x14ac:dyDescent="0.25">
      <c r="A204" s="5" t="s">
        <v>505</v>
      </c>
      <c r="B204" s="42">
        <f t="shared" si="9"/>
        <v>109.04687999999997</v>
      </c>
      <c r="C204" s="7" t="s">
        <v>501</v>
      </c>
      <c r="D204" s="7" t="s">
        <v>499</v>
      </c>
      <c r="E204" s="7" t="s">
        <v>0</v>
      </c>
      <c r="F204" s="17">
        <v>109.31730999999988</v>
      </c>
      <c r="G204" s="7" t="s">
        <v>199</v>
      </c>
      <c r="H204" s="7" t="s">
        <v>200</v>
      </c>
      <c r="I204" s="10">
        <v>625.94000000000005</v>
      </c>
      <c r="J204" s="10">
        <f t="shared" si="10"/>
        <v>109046.87999999998</v>
      </c>
      <c r="K204" s="6">
        <f t="shared" si="11"/>
        <v>212648.40999999992</v>
      </c>
    </row>
    <row r="205" spans="1:11" x14ac:dyDescent="0.25">
      <c r="A205" s="5" t="s">
        <v>505</v>
      </c>
      <c r="B205" s="42">
        <f t="shared" si="9"/>
        <v>109.67281999999997</v>
      </c>
      <c r="C205" s="7" t="s">
        <v>499</v>
      </c>
      <c r="D205" s="7" t="s">
        <v>497</v>
      </c>
      <c r="E205" s="7" t="s">
        <v>0</v>
      </c>
      <c r="F205" s="17">
        <v>109.90127999999989</v>
      </c>
      <c r="G205" s="7" t="s">
        <v>200</v>
      </c>
      <c r="H205" s="7" t="s">
        <v>201</v>
      </c>
      <c r="I205" s="10">
        <v>476.95</v>
      </c>
      <c r="J205" s="10">
        <f t="shared" si="10"/>
        <v>109672.81999999998</v>
      </c>
      <c r="K205" s="6">
        <f t="shared" si="11"/>
        <v>212022.46999999991</v>
      </c>
    </row>
    <row r="206" spans="1:11" x14ac:dyDescent="0.25">
      <c r="A206" s="5" t="s">
        <v>505</v>
      </c>
      <c r="B206" s="42">
        <f t="shared" si="9"/>
        <v>110.14976999999998</v>
      </c>
      <c r="C206" s="7" t="s">
        <v>497</v>
      </c>
      <c r="D206" s="7" t="s">
        <v>495</v>
      </c>
      <c r="E206" s="7" t="s">
        <v>0</v>
      </c>
      <c r="F206" s="17">
        <v>110.47207999999989</v>
      </c>
      <c r="G206" s="7" t="s">
        <v>201</v>
      </c>
      <c r="H206" s="7" t="s">
        <v>202</v>
      </c>
      <c r="I206" s="10">
        <v>557.12</v>
      </c>
      <c r="J206" s="10">
        <f t="shared" si="10"/>
        <v>110149.76999999997</v>
      </c>
      <c r="K206" s="6">
        <f t="shared" si="11"/>
        <v>211545.5199999999</v>
      </c>
    </row>
    <row r="207" spans="1:11" x14ac:dyDescent="0.25">
      <c r="A207" s="5" t="s">
        <v>505</v>
      </c>
      <c r="B207" s="42">
        <f t="shared" si="9"/>
        <v>110.70688999999997</v>
      </c>
      <c r="C207" s="7" t="s">
        <v>495</v>
      </c>
      <c r="D207" s="7" t="s">
        <v>493</v>
      </c>
      <c r="E207" s="7" t="s">
        <v>0</v>
      </c>
      <c r="F207" s="17">
        <v>111.04346999999989</v>
      </c>
      <c r="G207" s="7" t="s">
        <v>202</v>
      </c>
      <c r="H207" s="7" t="s">
        <v>203</v>
      </c>
      <c r="I207" s="10">
        <v>560.70000000000005</v>
      </c>
      <c r="J207" s="10">
        <f t="shared" si="10"/>
        <v>110706.88999999997</v>
      </c>
      <c r="K207" s="6">
        <f t="shared" si="11"/>
        <v>210988.39999999991</v>
      </c>
    </row>
    <row r="208" spans="1:11" x14ac:dyDescent="0.25">
      <c r="A208" s="5" t="s">
        <v>505</v>
      </c>
      <c r="B208" s="42">
        <f t="shared" si="9"/>
        <v>111.26758999999997</v>
      </c>
      <c r="C208" s="7" t="s">
        <v>493</v>
      </c>
      <c r="D208" s="7" t="s">
        <v>491</v>
      </c>
      <c r="E208" s="7" t="s">
        <v>0</v>
      </c>
      <c r="F208" s="17">
        <v>111.61811999999988</v>
      </c>
      <c r="G208" s="7" t="s">
        <v>203</v>
      </c>
      <c r="H208" s="7" t="s">
        <v>204</v>
      </c>
      <c r="I208" s="10">
        <v>525.01</v>
      </c>
      <c r="J208" s="10">
        <f t="shared" si="10"/>
        <v>111267.58999999997</v>
      </c>
      <c r="K208" s="6">
        <f t="shared" si="11"/>
        <v>210427.6999999999</v>
      </c>
    </row>
    <row r="209" spans="1:11" x14ac:dyDescent="0.25">
      <c r="A209" s="5" t="s">
        <v>505</v>
      </c>
      <c r="B209" s="42">
        <f t="shared" si="9"/>
        <v>111.79259999999996</v>
      </c>
      <c r="C209" s="7" t="s">
        <v>491</v>
      </c>
      <c r="D209" s="7" t="s">
        <v>489</v>
      </c>
      <c r="E209" s="7" t="s">
        <v>0</v>
      </c>
      <c r="F209" s="17">
        <v>112.17078999999988</v>
      </c>
      <c r="G209" s="7" t="s">
        <v>204</v>
      </c>
      <c r="H209" s="7" t="s">
        <v>205</v>
      </c>
      <c r="I209" s="10">
        <v>439.44</v>
      </c>
      <c r="J209" s="10">
        <f t="shared" si="10"/>
        <v>111792.59999999996</v>
      </c>
      <c r="K209" s="6">
        <f t="shared" si="11"/>
        <v>209902.68999999989</v>
      </c>
    </row>
    <row r="210" spans="1:11" x14ac:dyDescent="0.25">
      <c r="A210" s="5" t="s">
        <v>505</v>
      </c>
      <c r="B210" s="42">
        <f t="shared" si="9"/>
        <v>112.23203999999997</v>
      </c>
      <c r="C210" s="7" t="s">
        <v>489</v>
      </c>
      <c r="D210" s="7" t="s">
        <v>487</v>
      </c>
      <c r="E210" s="7" t="s">
        <v>0</v>
      </c>
      <c r="F210" s="17">
        <v>112.67846999999988</v>
      </c>
      <c r="G210" s="7" t="s">
        <v>205</v>
      </c>
      <c r="H210" s="7" t="s">
        <v>206</v>
      </c>
      <c r="I210" s="10">
        <v>554.94000000000005</v>
      </c>
      <c r="J210" s="10">
        <f t="shared" si="10"/>
        <v>112232.03999999996</v>
      </c>
      <c r="K210" s="6">
        <f t="shared" si="11"/>
        <v>209463.24999999988</v>
      </c>
    </row>
    <row r="211" spans="1:11" x14ac:dyDescent="0.25">
      <c r="A211" s="5" t="s">
        <v>505</v>
      </c>
      <c r="B211" s="42">
        <f t="shared" si="9"/>
        <v>112.78697999999997</v>
      </c>
      <c r="C211" s="7" t="s">
        <v>487</v>
      </c>
      <c r="D211" s="7" t="s">
        <v>485</v>
      </c>
      <c r="E211" s="7" t="s">
        <v>0</v>
      </c>
      <c r="F211" s="17">
        <v>113.12348999999988</v>
      </c>
      <c r="G211" s="7" t="s">
        <v>206</v>
      </c>
      <c r="H211" s="7" t="s">
        <v>207</v>
      </c>
      <c r="I211" s="10">
        <v>539.34</v>
      </c>
      <c r="J211" s="10">
        <f t="shared" si="10"/>
        <v>112786.97999999997</v>
      </c>
      <c r="K211" s="6">
        <f t="shared" si="11"/>
        <v>208908.30999999988</v>
      </c>
    </row>
    <row r="212" spans="1:11" x14ac:dyDescent="0.25">
      <c r="A212" s="5" t="s">
        <v>505</v>
      </c>
      <c r="B212" s="42">
        <f t="shared" si="9"/>
        <v>113.32631999999997</v>
      </c>
      <c r="C212" s="7" t="s">
        <v>485</v>
      </c>
      <c r="D212" s="7" t="s">
        <v>483</v>
      </c>
      <c r="E212" s="7" t="s">
        <v>0</v>
      </c>
      <c r="F212" s="17">
        <v>113.50017999999987</v>
      </c>
      <c r="G212" s="7" t="s">
        <v>207</v>
      </c>
      <c r="H212" s="7" t="s">
        <v>208</v>
      </c>
      <c r="I212" s="10">
        <v>468.03</v>
      </c>
      <c r="J212" s="10">
        <f t="shared" si="10"/>
        <v>113326.31999999996</v>
      </c>
      <c r="K212" s="6">
        <f t="shared" si="11"/>
        <v>208368.96999999988</v>
      </c>
    </row>
    <row r="213" spans="1:11" x14ac:dyDescent="0.25">
      <c r="A213" s="5" t="s">
        <v>505</v>
      </c>
      <c r="B213" s="42">
        <f t="shared" si="9"/>
        <v>113.79434999999997</v>
      </c>
      <c r="C213" s="7" t="s">
        <v>483</v>
      </c>
      <c r="D213" s="7" t="s">
        <v>481</v>
      </c>
      <c r="E213" s="7" t="s">
        <v>0</v>
      </c>
      <c r="F213" s="17">
        <v>113.95297999999988</v>
      </c>
      <c r="G213" s="7" t="s">
        <v>208</v>
      </c>
      <c r="H213" s="7" t="s">
        <v>209</v>
      </c>
      <c r="I213" s="10">
        <v>366.59</v>
      </c>
      <c r="J213" s="10">
        <f t="shared" si="10"/>
        <v>113794.34999999996</v>
      </c>
      <c r="K213" s="6">
        <f t="shared" si="11"/>
        <v>207900.93999999989</v>
      </c>
    </row>
    <row r="214" spans="1:11" x14ac:dyDescent="0.25">
      <c r="A214" s="5" t="s">
        <v>505</v>
      </c>
      <c r="B214" s="42">
        <f t="shared" si="9"/>
        <v>114.16093999999995</v>
      </c>
      <c r="C214" s="7" t="s">
        <v>481</v>
      </c>
      <c r="D214" s="7" t="s">
        <v>479</v>
      </c>
      <c r="E214" s="7" t="s">
        <v>0</v>
      </c>
      <c r="F214" s="17">
        <v>114.49990999999987</v>
      </c>
      <c r="G214" s="7" t="s">
        <v>209</v>
      </c>
      <c r="H214" s="7" t="s">
        <v>210</v>
      </c>
      <c r="I214" s="10">
        <v>559.16999999999996</v>
      </c>
      <c r="J214" s="10">
        <f t="shared" si="10"/>
        <v>114160.93999999996</v>
      </c>
      <c r="K214" s="6">
        <f t="shared" si="11"/>
        <v>207534.34999999989</v>
      </c>
    </row>
    <row r="215" spans="1:11" x14ac:dyDescent="0.25">
      <c r="A215" s="5" t="s">
        <v>505</v>
      </c>
      <c r="B215" s="42">
        <f t="shared" si="9"/>
        <v>114.72010999999996</v>
      </c>
      <c r="C215" s="7" t="s">
        <v>479</v>
      </c>
      <c r="D215" s="7" t="s">
        <v>477</v>
      </c>
      <c r="E215" s="7" t="s">
        <v>0</v>
      </c>
      <c r="F215" s="17">
        <v>115.06601999999987</v>
      </c>
      <c r="G215" s="7" t="s">
        <v>210</v>
      </c>
      <c r="H215" s="7" t="s">
        <v>211</v>
      </c>
      <c r="I215" s="10">
        <v>580.34</v>
      </c>
      <c r="J215" s="10">
        <f t="shared" si="10"/>
        <v>114720.10999999996</v>
      </c>
      <c r="K215" s="6">
        <f t="shared" si="11"/>
        <v>206975.17999999988</v>
      </c>
    </row>
    <row r="216" spans="1:11" x14ac:dyDescent="0.25">
      <c r="A216" s="5" t="s">
        <v>505</v>
      </c>
      <c r="B216" s="42">
        <f t="shared" si="9"/>
        <v>115.30044999999996</v>
      </c>
      <c r="C216" s="7" t="s">
        <v>477</v>
      </c>
      <c r="D216" s="7" t="s">
        <v>475</v>
      </c>
      <c r="E216" s="7" t="s">
        <v>0</v>
      </c>
      <c r="F216" s="17">
        <v>115.61726999999988</v>
      </c>
      <c r="G216" s="7" t="s">
        <v>211</v>
      </c>
      <c r="H216" s="7" t="s">
        <v>212</v>
      </c>
      <c r="I216" s="10">
        <v>502.04</v>
      </c>
      <c r="J216" s="10">
        <f t="shared" si="10"/>
        <v>115300.44999999995</v>
      </c>
      <c r="K216" s="6">
        <f t="shared" si="11"/>
        <v>206394.83999999988</v>
      </c>
    </row>
    <row r="217" spans="1:11" x14ac:dyDescent="0.25">
      <c r="A217" s="5" t="s">
        <v>505</v>
      </c>
      <c r="B217" s="42">
        <f t="shared" si="9"/>
        <v>115.80248999999995</v>
      </c>
      <c r="C217" s="7" t="s">
        <v>475</v>
      </c>
      <c r="D217" s="7" t="s">
        <v>473</v>
      </c>
      <c r="E217" s="7" t="s">
        <v>0</v>
      </c>
      <c r="F217" s="17">
        <v>116.06507999999987</v>
      </c>
      <c r="G217" s="7" t="s">
        <v>212</v>
      </c>
      <c r="H217" s="7" t="s">
        <v>213</v>
      </c>
      <c r="I217" s="10">
        <v>650.92999999999995</v>
      </c>
      <c r="J217" s="10">
        <f t="shared" si="10"/>
        <v>115802.48999999995</v>
      </c>
      <c r="K217" s="6">
        <f t="shared" si="11"/>
        <v>205892.79999999987</v>
      </c>
    </row>
    <row r="218" spans="1:11" x14ac:dyDescent="0.25">
      <c r="A218" s="5" t="s">
        <v>505</v>
      </c>
      <c r="B218" s="42">
        <f t="shared" si="9"/>
        <v>116.45341999999994</v>
      </c>
      <c r="C218" s="7" t="s">
        <v>473</v>
      </c>
      <c r="D218" s="7" t="s">
        <v>471</v>
      </c>
      <c r="E218" s="7" t="s">
        <v>0</v>
      </c>
      <c r="F218" s="17">
        <v>116.54854999999988</v>
      </c>
      <c r="G218" s="7" t="s">
        <v>213</v>
      </c>
      <c r="H218" s="7" t="s">
        <v>214</v>
      </c>
      <c r="I218" s="10">
        <v>522.21</v>
      </c>
      <c r="J218" s="10">
        <f t="shared" si="10"/>
        <v>116453.41999999994</v>
      </c>
      <c r="K218" s="6">
        <f t="shared" si="11"/>
        <v>205241.86999999988</v>
      </c>
    </row>
    <row r="219" spans="1:11" x14ac:dyDescent="0.25">
      <c r="A219" s="5" t="s">
        <v>505</v>
      </c>
      <c r="B219" s="42">
        <f t="shared" si="9"/>
        <v>116.97562999999995</v>
      </c>
      <c r="C219" s="7" t="s">
        <v>471</v>
      </c>
      <c r="D219" s="7" t="s">
        <v>469</v>
      </c>
      <c r="E219" s="7" t="s">
        <v>0</v>
      </c>
      <c r="F219" s="17">
        <v>117.28625999999988</v>
      </c>
      <c r="G219" s="7" t="s">
        <v>214</v>
      </c>
      <c r="H219" s="7" t="s">
        <v>215</v>
      </c>
      <c r="I219" s="10">
        <v>561.02</v>
      </c>
      <c r="J219" s="10">
        <f t="shared" si="10"/>
        <v>116975.62999999995</v>
      </c>
      <c r="K219" s="6">
        <f t="shared" si="11"/>
        <v>204719.65999999989</v>
      </c>
    </row>
    <row r="220" spans="1:11" x14ac:dyDescent="0.25">
      <c r="A220" s="5" t="s">
        <v>505</v>
      </c>
      <c r="B220" s="42">
        <f t="shared" si="9"/>
        <v>117.53664999999995</v>
      </c>
      <c r="C220" s="7" t="s">
        <v>469</v>
      </c>
      <c r="D220" s="7" t="s">
        <v>467</v>
      </c>
      <c r="E220" s="7" t="s">
        <v>0</v>
      </c>
      <c r="F220" s="17">
        <v>118.10425999999988</v>
      </c>
      <c r="G220" s="7" t="s">
        <v>215</v>
      </c>
      <c r="H220" s="7" t="s">
        <v>216</v>
      </c>
      <c r="I220" s="10">
        <v>585.36</v>
      </c>
      <c r="J220" s="10">
        <f t="shared" si="10"/>
        <v>117536.64999999995</v>
      </c>
      <c r="K220" s="6">
        <f t="shared" si="11"/>
        <v>204158.6399999999</v>
      </c>
    </row>
    <row r="221" spans="1:11" x14ac:dyDescent="0.25">
      <c r="A221" s="5" t="s">
        <v>505</v>
      </c>
      <c r="B221" s="42">
        <f t="shared" si="9"/>
        <v>118.12200999999995</v>
      </c>
      <c r="C221" s="7" t="s">
        <v>467</v>
      </c>
      <c r="D221" s="7" t="s">
        <v>465</v>
      </c>
      <c r="E221" s="7" t="s">
        <v>0</v>
      </c>
      <c r="F221" s="17">
        <v>118.65248999999987</v>
      </c>
      <c r="G221" s="7" t="s">
        <v>216</v>
      </c>
      <c r="H221" s="7" t="s">
        <v>217</v>
      </c>
      <c r="I221" s="10">
        <v>586.5</v>
      </c>
      <c r="J221" s="10">
        <f t="shared" si="10"/>
        <v>118122.00999999995</v>
      </c>
      <c r="K221" s="6">
        <f t="shared" si="11"/>
        <v>203573.27999999991</v>
      </c>
    </row>
    <row r="222" spans="1:11" x14ac:dyDescent="0.25">
      <c r="A222" s="5" t="s">
        <v>505</v>
      </c>
      <c r="B222" s="42">
        <f t="shared" si="9"/>
        <v>118.70850999999995</v>
      </c>
      <c r="C222" s="7" t="s">
        <v>465</v>
      </c>
      <c r="D222" s="7" t="s">
        <v>463</v>
      </c>
      <c r="E222" s="7" t="s">
        <v>0</v>
      </c>
      <c r="F222" s="17">
        <v>119.07756999999988</v>
      </c>
      <c r="G222" s="7" t="s">
        <v>217</v>
      </c>
      <c r="H222" s="7" t="s">
        <v>218</v>
      </c>
      <c r="I222" s="10">
        <v>540.37</v>
      </c>
      <c r="J222" s="10">
        <f t="shared" si="10"/>
        <v>118708.50999999995</v>
      </c>
      <c r="K222" s="6">
        <f t="shared" si="11"/>
        <v>202986.77999999991</v>
      </c>
    </row>
    <row r="223" spans="1:11" x14ac:dyDescent="0.25">
      <c r="A223" s="5" t="s">
        <v>505</v>
      </c>
      <c r="B223" s="42">
        <f t="shared" si="9"/>
        <v>119.24887999999994</v>
      </c>
      <c r="C223" s="7" t="s">
        <v>463</v>
      </c>
      <c r="D223" s="7" t="s">
        <v>461</v>
      </c>
      <c r="E223" s="7" t="s">
        <v>0</v>
      </c>
      <c r="F223" s="17">
        <v>119.65119999999987</v>
      </c>
      <c r="G223" s="7" t="s">
        <v>218</v>
      </c>
      <c r="H223" s="7" t="s">
        <v>219</v>
      </c>
      <c r="I223" s="10">
        <v>577.39</v>
      </c>
      <c r="J223" s="10">
        <f t="shared" si="10"/>
        <v>119248.87999999995</v>
      </c>
      <c r="K223" s="6">
        <f t="shared" si="11"/>
        <v>202446.40999999992</v>
      </c>
    </row>
    <row r="224" spans="1:11" x14ac:dyDescent="0.25">
      <c r="A224" s="5" t="s">
        <v>505</v>
      </c>
      <c r="B224" s="42">
        <f t="shared" si="9"/>
        <v>119.82626999999995</v>
      </c>
      <c r="C224" s="7" t="s">
        <v>461</v>
      </c>
      <c r="D224" s="7" t="s">
        <v>459</v>
      </c>
      <c r="E224" s="7" t="s">
        <v>0</v>
      </c>
      <c r="F224" s="17">
        <v>120.09766999999988</v>
      </c>
      <c r="G224" s="7" t="s">
        <v>219</v>
      </c>
      <c r="H224" s="7" t="s">
        <v>220</v>
      </c>
      <c r="I224" s="10">
        <v>592.15</v>
      </c>
      <c r="J224" s="10">
        <f t="shared" si="10"/>
        <v>119826.26999999995</v>
      </c>
      <c r="K224" s="6">
        <f t="shared" si="11"/>
        <v>201869.0199999999</v>
      </c>
    </row>
    <row r="225" spans="1:11" x14ac:dyDescent="0.25">
      <c r="A225" s="5" t="s">
        <v>505</v>
      </c>
      <c r="B225" s="42">
        <f t="shared" si="9"/>
        <v>120.41841999999994</v>
      </c>
      <c r="C225" s="7" t="s">
        <v>459</v>
      </c>
      <c r="D225" s="7" t="s">
        <v>457</v>
      </c>
      <c r="E225" s="7" t="s">
        <v>0</v>
      </c>
      <c r="F225" s="17">
        <v>120.55338999999988</v>
      </c>
      <c r="G225" s="7" t="s">
        <v>220</v>
      </c>
      <c r="H225" s="7" t="s">
        <v>221</v>
      </c>
      <c r="I225" s="10">
        <v>504.8</v>
      </c>
      <c r="J225" s="10">
        <f t="shared" si="10"/>
        <v>120418.41999999994</v>
      </c>
      <c r="K225" s="6">
        <f t="shared" si="11"/>
        <v>201276.86999999991</v>
      </c>
    </row>
    <row r="226" spans="1:11" x14ac:dyDescent="0.25">
      <c r="A226" s="5" t="s">
        <v>505</v>
      </c>
      <c r="B226" s="42">
        <f t="shared" si="9"/>
        <v>120.92321999999994</v>
      </c>
      <c r="C226" s="7" t="s">
        <v>457</v>
      </c>
      <c r="D226" s="7" t="s">
        <v>455</v>
      </c>
      <c r="E226" s="7" t="s">
        <v>0</v>
      </c>
      <c r="F226" s="17">
        <v>121.07031999999988</v>
      </c>
      <c r="G226" s="7" t="s">
        <v>221</v>
      </c>
      <c r="H226" s="7" t="s">
        <v>222</v>
      </c>
      <c r="I226" s="10">
        <v>667.61</v>
      </c>
      <c r="J226" s="10">
        <f t="shared" si="10"/>
        <v>120923.21999999994</v>
      </c>
      <c r="K226" s="6">
        <f t="shared" si="11"/>
        <v>200772.06999999992</v>
      </c>
    </row>
    <row r="227" spans="1:11" x14ac:dyDescent="0.25">
      <c r="A227" s="5" t="s">
        <v>505</v>
      </c>
      <c r="B227" s="42">
        <f t="shared" si="9"/>
        <v>121.59082999999994</v>
      </c>
      <c r="C227" s="7" t="s">
        <v>455</v>
      </c>
      <c r="D227" s="7" t="s">
        <v>453</v>
      </c>
      <c r="E227" s="7" t="s">
        <v>0</v>
      </c>
      <c r="F227" s="17">
        <v>121.65541999999988</v>
      </c>
      <c r="G227" s="7" t="s">
        <v>222</v>
      </c>
      <c r="H227" s="7" t="s">
        <v>223</v>
      </c>
      <c r="I227" s="10">
        <v>488.63</v>
      </c>
      <c r="J227" s="10">
        <f t="shared" si="10"/>
        <v>121590.82999999994</v>
      </c>
      <c r="K227" s="6">
        <f t="shared" si="11"/>
        <v>200104.45999999993</v>
      </c>
    </row>
    <row r="228" spans="1:11" x14ac:dyDescent="0.25">
      <c r="A228" s="5" t="s">
        <v>505</v>
      </c>
      <c r="B228" s="42">
        <f t="shared" si="9"/>
        <v>122.07945999999995</v>
      </c>
      <c r="C228" s="7" t="s">
        <v>453</v>
      </c>
      <c r="D228" s="7" t="s">
        <v>451</v>
      </c>
      <c r="E228" s="7" t="s">
        <v>0</v>
      </c>
      <c r="F228" s="17">
        <v>122.19399999999989</v>
      </c>
      <c r="G228" s="7" t="s">
        <v>223</v>
      </c>
      <c r="H228" s="7" t="s">
        <v>224</v>
      </c>
      <c r="I228" s="10">
        <v>574.91</v>
      </c>
      <c r="J228" s="10">
        <f t="shared" si="10"/>
        <v>122079.45999999995</v>
      </c>
      <c r="K228" s="6">
        <f t="shared" si="11"/>
        <v>199615.82999999993</v>
      </c>
    </row>
    <row r="229" spans="1:11" x14ac:dyDescent="0.25">
      <c r="A229" s="5" t="s">
        <v>505</v>
      </c>
      <c r="B229" s="42">
        <f t="shared" si="9"/>
        <v>122.65436999999996</v>
      </c>
      <c r="C229" s="7" t="s">
        <v>451</v>
      </c>
      <c r="D229" s="7" t="s">
        <v>449</v>
      </c>
      <c r="E229" s="7" t="s">
        <v>0</v>
      </c>
      <c r="F229" s="17">
        <v>122.59908999999988</v>
      </c>
      <c r="G229" s="7" t="s">
        <v>224</v>
      </c>
      <c r="H229" s="7" t="s">
        <v>225</v>
      </c>
      <c r="I229" s="10">
        <v>486.11</v>
      </c>
      <c r="J229" s="10">
        <f t="shared" si="10"/>
        <v>122654.36999999995</v>
      </c>
      <c r="K229" s="6">
        <f t="shared" si="11"/>
        <v>199040.91999999993</v>
      </c>
    </row>
    <row r="230" spans="1:11" x14ac:dyDescent="0.25">
      <c r="A230" s="5" t="s">
        <v>505</v>
      </c>
      <c r="B230" s="42">
        <f t="shared" si="9"/>
        <v>123.14047999999995</v>
      </c>
      <c r="C230" s="7" t="s">
        <v>449</v>
      </c>
      <c r="D230" s="7" t="s">
        <v>447</v>
      </c>
      <c r="E230" s="7" t="s">
        <v>0</v>
      </c>
      <c r="F230" s="17">
        <v>123.05510999999989</v>
      </c>
      <c r="G230" s="7" t="s">
        <v>225</v>
      </c>
      <c r="H230" s="7" t="s">
        <v>226</v>
      </c>
      <c r="I230" s="10">
        <v>561.84</v>
      </c>
      <c r="J230" s="10">
        <f t="shared" si="10"/>
        <v>123140.47999999995</v>
      </c>
      <c r="K230" s="6">
        <f t="shared" si="11"/>
        <v>198554.80999999994</v>
      </c>
    </row>
    <row r="231" spans="1:11" x14ac:dyDescent="0.25">
      <c r="A231" s="5" t="s">
        <v>505</v>
      </c>
      <c r="B231" s="42">
        <f t="shared" si="9"/>
        <v>123.70231999999994</v>
      </c>
      <c r="C231" s="7" t="s">
        <v>447</v>
      </c>
      <c r="D231" s="7" t="s">
        <v>445</v>
      </c>
      <c r="E231" s="7" t="s">
        <v>0</v>
      </c>
      <c r="F231" s="17">
        <v>123.59897999999988</v>
      </c>
      <c r="G231" s="7" t="s">
        <v>226</v>
      </c>
      <c r="H231" s="7" t="s">
        <v>227</v>
      </c>
      <c r="I231" s="10">
        <v>611.19000000000005</v>
      </c>
      <c r="J231" s="10">
        <f t="shared" si="10"/>
        <v>123702.31999999995</v>
      </c>
      <c r="K231" s="6">
        <f t="shared" si="11"/>
        <v>197992.96999999994</v>
      </c>
    </row>
    <row r="232" spans="1:11" x14ac:dyDescent="0.25">
      <c r="A232" s="5" t="s">
        <v>505</v>
      </c>
      <c r="B232" s="42">
        <f t="shared" si="9"/>
        <v>124.31350999999995</v>
      </c>
      <c r="C232" s="7" t="s">
        <v>445</v>
      </c>
      <c r="D232" s="7" t="s">
        <v>443</v>
      </c>
      <c r="E232" s="7" t="s">
        <v>0</v>
      </c>
      <c r="F232" s="17">
        <v>124.13213999999988</v>
      </c>
      <c r="G232" s="7" t="s">
        <v>227</v>
      </c>
      <c r="H232" s="7" t="s">
        <v>228</v>
      </c>
      <c r="I232" s="10">
        <v>542.45000000000005</v>
      </c>
      <c r="J232" s="10">
        <f t="shared" si="10"/>
        <v>124313.50999999995</v>
      </c>
      <c r="K232" s="6">
        <f t="shared" si="11"/>
        <v>197381.77999999994</v>
      </c>
    </row>
    <row r="233" spans="1:11" x14ac:dyDescent="0.25">
      <c r="A233" s="5" t="s">
        <v>505</v>
      </c>
      <c r="B233" s="42">
        <f t="shared" si="9"/>
        <v>124.85595999999995</v>
      </c>
      <c r="C233" s="7" t="s">
        <v>443</v>
      </c>
      <c r="D233" s="7" t="s">
        <v>441</v>
      </c>
      <c r="E233" s="7" t="s">
        <v>0</v>
      </c>
      <c r="F233" s="17">
        <v>124.59847999999988</v>
      </c>
      <c r="G233" s="7" t="s">
        <v>228</v>
      </c>
      <c r="H233" s="7" t="s">
        <v>229</v>
      </c>
      <c r="I233" s="10">
        <v>545.83000000000004</v>
      </c>
      <c r="J233" s="10">
        <f t="shared" si="10"/>
        <v>124855.95999999995</v>
      </c>
      <c r="K233" s="6">
        <f t="shared" si="11"/>
        <v>196839.32999999993</v>
      </c>
    </row>
    <row r="234" spans="1:11" x14ac:dyDescent="0.25">
      <c r="A234" s="5" t="s">
        <v>505</v>
      </c>
      <c r="B234" s="42">
        <f t="shared" si="9"/>
        <v>125.40178999999995</v>
      </c>
      <c r="C234" s="7" t="s">
        <v>441</v>
      </c>
      <c r="D234" s="7" t="s">
        <v>439</v>
      </c>
      <c r="E234" s="7" t="s">
        <v>0</v>
      </c>
      <c r="F234" s="17">
        <v>125.02298999999988</v>
      </c>
      <c r="G234" s="7" t="s">
        <v>229</v>
      </c>
      <c r="H234" s="7" t="s">
        <v>230</v>
      </c>
      <c r="I234" s="10">
        <v>585.59</v>
      </c>
      <c r="J234" s="10">
        <f t="shared" si="10"/>
        <v>125401.78999999995</v>
      </c>
      <c r="K234" s="6">
        <f t="shared" si="11"/>
        <v>196293.49999999994</v>
      </c>
    </row>
    <row r="235" spans="1:11" x14ac:dyDescent="0.25">
      <c r="A235" s="5" t="s">
        <v>505</v>
      </c>
      <c r="B235" s="42">
        <f t="shared" si="9"/>
        <v>125.98737999999994</v>
      </c>
      <c r="C235" s="7" t="s">
        <v>439</v>
      </c>
      <c r="D235" s="7" t="s">
        <v>437</v>
      </c>
      <c r="E235" s="7" t="s">
        <v>0</v>
      </c>
      <c r="F235" s="17">
        <v>125.59628999999988</v>
      </c>
      <c r="G235" s="7" t="s">
        <v>230</v>
      </c>
      <c r="H235" s="7" t="s">
        <v>231</v>
      </c>
      <c r="I235" s="10">
        <v>581.24</v>
      </c>
      <c r="J235" s="10">
        <f t="shared" si="10"/>
        <v>125987.37999999995</v>
      </c>
      <c r="K235" s="6">
        <f t="shared" si="11"/>
        <v>195707.90999999995</v>
      </c>
    </row>
    <row r="236" spans="1:11" x14ac:dyDescent="0.25">
      <c r="A236" s="5" t="s">
        <v>505</v>
      </c>
      <c r="B236" s="42">
        <f t="shared" si="9"/>
        <v>126.56861999999995</v>
      </c>
      <c r="C236" s="7" t="s">
        <v>437</v>
      </c>
      <c r="D236" s="7" t="s">
        <v>435</v>
      </c>
      <c r="E236" s="7" t="s">
        <v>0</v>
      </c>
      <c r="F236" s="17">
        <v>126.14763999999988</v>
      </c>
      <c r="G236" s="7" t="s">
        <v>231</v>
      </c>
      <c r="H236" s="7" t="s">
        <v>232</v>
      </c>
      <c r="I236" s="10">
        <v>546.88</v>
      </c>
      <c r="J236" s="10">
        <f t="shared" si="10"/>
        <v>126568.61999999995</v>
      </c>
      <c r="K236" s="6">
        <f t="shared" si="11"/>
        <v>195126.66999999995</v>
      </c>
    </row>
    <row r="237" spans="1:11" x14ac:dyDescent="0.25">
      <c r="A237" s="5" t="s">
        <v>505</v>
      </c>
      <c r="B237" s="42">
        <f t="shared" si="9"/>
        <v>127.11549999999995</v>
      </c>
      <c r="C237" s="7" t="s">
        <v>435</v>
      </c>
      <c r="D237" s="7" t="s">
        <v>433</v>
      </c>
      <c r="E237" s="7" t="s">
        <v>0</v>
      </c>
      <c r="F237" s="17">
        <v>126.77003999999988</v>
      </c>
      <c r="G237" s="7" t="s">
        <v>232</v>
      </c>
      <c r="H237" s="7" t="s">
        <v>233</v>
      </c>
      <c r="I237" s="10">
        <v>563.20000000000005</v>
      </c>
      <c r="J237" s="10">
        <f t="shared" si="10"/>
        <v>127115.49999999996</v>
      </c>
      <c r="K237" s="6">
        <f t="shared" si="11"/>
        <v>194579.78999999995</v>
      </c>
    </row>
    <row r="238" spans="1:11" x14ac:dyDescent="0.25">
      <c r="A238" s="5" t="s">
        <v>505</v>
      </c>
      <c r="B238" s="42">
        <f t="shared" si="9"/>
        <v>127.67869999999995</v>
      </c>
      <c r="C238" s="7" t="s">
        <v>433</v>
      </c>
      <c r="D238" s="7" t="s">
        <v>431</v>
      </c>
      <c r="E238" s="7" t="s">
        <v>0</v>
      </c>
      <c r="F238" s="17">
        <v>127.34267999999987</v>
      </c>
      <c r="G238" s="7" t="s">
        <v>233</v>
      </c>
      <c r="H238" s="7" t="s">
        <v>234</v>
      </c>
      <c r="I238" s="10">
        <v>517.26</v>
      </c>
      <c r="J238" s="10">
        <f t="shared" si="10"/>
        <v>127678.69999999995</v>
      </c>
      <c r="K238" s="6">
        <f t="shared" si="11"/>
        <v>194016.58999999994</v>
      </c>
    </row>
    <row r="239" spans="1:11" x14ac:dyDescent="0.25">
      <c r="A239" s="5" t="s">
        <v>505</v>
      </c>
      <c r="B239" s="42">
        <f t="shared" si="9"/>
        <v>128.19595999999996</v>
      </c>
      <c r="C239" s="7" t="s">
        <v>431</v>
      </c>
      <c r="D239" s="7" t="s">
        <v>429</v>
      </c>
      <c r="E239" s="7" t="s">
        <v>0</v>
      </c>
      <c r="F239" s="17">
        <v>127.96984999999988</v>
      </c>
      <c r="G239" s="7" t="s">
        <v>234</v>
      </c>
      <c r="H239" s="7" t="s">
        <v>235</v>
      </c>
      <c r="I239" s="10">
        <v>468.89</v>
      </c>
      <c r="J239" s="10">
        <f t="shared" si="10"/>
        <v>128195.95999999995</v>
      </c>
      <c r="K239" s="6">
        <f t="shared" si="11"/>
        <v>193499.32999999993</v>
      </c>
    </row>
    <row r="240" spans="1:11" x14ac:dyDescent="0.25">
      <c r="A240" s="5" t="s">
        <v>505</v>
      </c>
      <c r="B240" s="42">
        <f t="shared" si="9"/>
        <v>128.66484999999994</v>
      </c>
      <c r="C240" s="7" t="s">
        <v>429</v>
      </c>
      <c r="D240" s="7" t="s">
        <v>427</v>
      </c>
      <c r="E240" s="7" t="s">
        <v>0</v>
      </c>
      <c r="F240" s="17">
        <v>128.79786999999988</v>
      </c>
      <c r="G240" s="7" t="s">
        <v>235</v>
      </c>
      <c r="H240" s="7" t="s">
        <v>236</v>
      </c>
      <c r="I240" s="10">
        <v>430.14</v>
      </c>
      <c r="J240" s="10">
        <f t="shared" si="10"/>
        <v>128664.84999999995</v>
      </c>
      <c r="K240" s="6">
        <f t="shared" si="11"/>
        <v>193030.43999999992</v>
      </c>
    </row>
    <row r="241" spans="1:11" x14ac:dyDescent="0.25">
      <c r="A241" s="5" t="s">
        <v>505</v>
      </c>
      <c r="B241" s="42">
        <f t="shared" si="9"/>
        <v>129.09498999999994</v>
      </c>
      <c r="C241" s="7" t="s">
        <v>427</v>
      </c>
      <c r="D241" s="7" t="s">
        <v>425</v>
      </c>
      <c r="E241" s="7" t="s">
        <v>0</v>
      </c>
      <c r="F241" s="17">
        <v>129.38367999999988</v>
      </c>
      <c r="G241" s="7" t="s">
        <v>236</v>
      </c>
      <c r="H241" s="7" t="s">
        <v>237</v>
      </c>
      <c r="I241" s="10">
        <v>387.22</v>
      </c>
      <c r="J241" s="10">
        <f t="shared" si="10"/>
        <v>129094.98999999995</v>
      </c>
      <c r="K241" s="6">
        <f t="shared" si="11"/>
        <v>192600.2999999999</v>
      </c>
    </row>
    <row r="242" spans="1:11" x14ac:dyDescent="0.25">
      <c r="A242" s="5" t="s">
        <v>505</v>
      </c>
      <c r="B242" s="42">
        <f t="shared" si="9"/>
        <v>129.48220999999995</v>
      </c>
      <c r="C242" s="7" t="s">
        <v>425</v>
      </c>
      <c r="D242" s="7" t="s">
        <v>423</v>
      </c>
      <c r="E242" s="7" t="s">
        <v>0</v>
      </c>
      <c r="F242" s="17">
        <v>130.19909999999987</v>
      </c>
      <c r="G242" s="7" t="s">
        <v>237</v>
      </c>
      <c r="H242" s="7" t="s">
        <v>238</v>
      </c>
      <c r="I242" s="10">
        <v>405.92</v>
      </c>
      <c r="J242" s="10">
        <f t="shared" si="10"/>
        <v>129482.20999999995</v>
      </c>
      <c r="K242" s="6">
        <f t="shared" si="11"/>
        <v>192213.0799999999</v>
      </c>
    </row>
    <row r="243" spans="1:11" x14ac:dyDescent="0.25">
      <c r="A243" s="5" t="s">
        <v>505</v>
      </c>
      <c r="B243" s="42">
        <f t="shared" si="9"/>
        <v>129.88812999999993</v>
      </c>
      <c r="C243" s="7" t="s">
        <v>423</v>
      </c>
      <c r="D243" s="7" t="s">
        <v>421</v>
      </c>
      <c r="E243" s="7" t="s">
        <v>0</v>
      </c>
      <c r="F243" s="17">
        <v>131.14773999999989</v>
      </c>
      <c r="G243" s="7" t="s">
        <v>238</v>
      </c>
      <c r="H243" s="7" t="s">
        <v>239</v>
      </c>
      <c r="I243" s="10">
        <v>442.58</v>
      </c>
      <c r="J243" s="10">
        <f t="shared" si="10"/>
        <v>129888.12999999995</v>
      </c>
      <c r="K243" s="6">
        <f t="shared" si="11"/>
        <v>191807.15999999989</v>
      </c>
    </row>
    <row r="244" spans="1:11" x14ac:dyDescent="0.25">
      <c r="A244" s="5" t="s">
        <v>505</v>
      </c>
      <c r="B244" s="42">
        <f t="shared" si="9"/>
        <v>130.33070999999995</v>
      </c>
      <c r="C244" s="7" t="s">
        <v>421</v>
      </c>
      <c r="D244" s="7" t="s">
        <v>419</v>
      </c>
      <c r="E244" s="7" t="s">
        <v>0</v>
      </c>
      <c r="F244" s="17">
        <v>131.75493999999989</v>
      </c>
      <c r="G244" s="7" t="s">
        <v>239</v>
      </c>
      <c r="H244" s="7" t="s">
        <v>240</v>
      </c>
      <c r="I244" s="10">
        <v>589.67999999999995</v>
      </c>
      <c r="J244" s="10">
        <f t="shared" si="10"/>
        <v>130330.70999999995</v>
      </c>
      <c r="K244" s="6">
        <f t="shared" si="11"/>
        <v>191364.5799999999</v>
      </c>
    </row>
    <row r="245" spans="1:11" x14ac:dyDescent="0.25">
      <c r="A245" s="5" t="s">
        <v>505</v>
      </c>
      <c r="B245" s="42">
        <f t="shared" si="9"/>
        <v>130.92038999999994</v>
      </c>
      <c r="C245" s="7" t="s">
        <v>419</v>
      </c>
      <c r="D245" s="7" t="s">
        <v>417</v>
      </c>
      <c r="E245" s="7" t="s">
        <v>0</v>
      </c>
      <c r="F245" s="17">
        <v>132.34504999999987</v>
      </c>
      <c r="G245" s="7" t="s">
        <v>240</v>
      </c>
      <c r="H245" s="7" t="s">
        <v>241</v>
      </c>
      <c r="I245" s="10">
        <v>579.95000000000005</v>
      </c>
      <c r="J245" s="10">
        <f t="shared" si="10"/>
        <v>130920.38999999994</v>
      </c>
      <c r="K245" s="6">
        <f t="shared" si="11"/>
        <v>190774.89999999991</v>
      </c>
    </row>
    <row r="246" spans="1:11" x14ac:dyDescent="0.25">
      <c r="A246" s="5" t="s">
        <v>505</v>
      </c>
      <c r="B246" s="42">
        <f t="shared" si="9"/>
        <v>131.50033999999994</v>
      </c>
      <c r="C246" s="7" t="s">
        <v>417</v>
      </c>
      <c r="D246" s="7" t="s">
        <v>415</v>
      </c>
      <c r="E246" s="7" t="s">
        <v>0</v>
      </c>
      <c r="F246" s="17">
        <v>132.80281999999985</v>
      </c>
      <c r="G246" s="7" t="s">
        <v>241</v>
      </c>
      <c r="H246" s="7" t="s">
        <v>242</v>
      </c>
      <c r="I246" s="10">
        <v>489.22</v>
      </c>
      <c r="J246" s="10">
        <f t="shared" si="10"/>
        <v>131500.33999999994</v>
      </c>
      <c r="K246" s="6">
        <f t="shared" si="11"/>
        <v>190194.9499999999</v>
      </c>
    </row>
    <row r="247" spans="1:11" x14ac:dyDescent="0.25">
      <c r="A247" s="5" t="s">
        <v>505</v>
      </c>
      <c r="B247" s="42">
        <f t="shared" si="9"/>
        <v>131.98955999999993</v>
      </c>
      <c r="C247" s="7" t="s">
        <v>415</v>
      </c>
      <c r="D247" s="7" t="s">
        <v>413</v>
      </c>
      <c r="E247" s="7" t="s">
        <v>0</v>
      </c>
      <c r="F247" s="17">
        <v>133.31106999999986</v>
      </c>
      <c r="G247" s="7" t="s">
        <v>242</v>
      </c>
      <c r="H247" s="7" t="s">
        <v>243</v>
      </c>
      <c r="I247" s="10">
        <v>490.65</v>
      </c>
      <c r="J247" s="10">
        <f t="shared" si="10"/>
        <v>131989.55999999994</v>
      </c>
      <c r="K247" s="6">
        <f t="shared" si="11"/>
        <v>189705.72999999989</v>
      </c>
    </row>
    <row r="248" spans="1:11" x14ac:dyDescent="0.25">
      <c r="A248" s="5" t="s">
        <v>505</v>
      </c>
      <c r="B248" s="42">
        <f t="shared" si="9"/>
        <v>132.48020999999994</v>
      </c>
      <c r="C248" s="7" t="s">
        <v>413</v>
      </c>
      <c r="D248" s="7" t="s">
        <v>411</v>
      </c>
      <c r="E248" s="7" t="s">
        <v>0</v>
      </c>
      <c r="F248" s="17">
        <v>133.82303999999985</v>
      </c>
      <c r="G248" s="7" t="s">
        <v>243</v>
      </c>
      <c r="H248" s="7" t="s">
        <v>244</v>
      </c>
      <c r="I248" s="10">
        <v>628.79999999999995</v>
      </c>
      <c r="J248" s="10">
        <f t="shared" si="10"/>
        <v>132480.20999999993</v>
      </c>
      <c r="K248" s="6">
        <f t="shared" si="11"/>
        <v>189215.0799999999</v>
      </c>
    </row>
    <row r="249" spans="1:11" x14ac:dyDescent="0.25">
      <c r="A249" s="5" t="s">
        <v>505</v>
      </c>
      <c r="B249" s="42">
        <f t="shared" si="9"/>
        <v>133.10900999999993</v>
      </c>
      <c r="C249" s="7" t="s">
        <v>411</v>
      </c>
      <c r="D249" s="7" t="s">
        <v>409</v>
      </c>
      <c r="E249" s="7" t="s">
        <v>0</v>
      </c>
      <c r="F249" s="17">
        <v>134.35344999999987</v>
      </c>
      <c r="G249" s="7" t="s">
        <v>244</v>
      </c>
      <c r="H249" s="7" t="s">
        <v>245</v>
      </c>
      <c r="I249" s="10">
        <v>541.79999999999995</v>
      </c>
      <c r="J249" s="10">
        <f t="shared" si="10"/>
        <v>133109.00999999992</v>
      </c>
      <c r="K249" s="6">
        <f t="shared" si="11"/>
        <v>188586.27999999991</v>
      </c>
    </row>
    <row r="250" spans="1:11" x14ac:dyDescent="0.25">
      <c r="A250" s="5" t="s">
        <v>505</v>
      </c>
      <c r="B250" s="42">
        <f t="shared" si="9"/>
        <v>133.65080999999992</v>
      </c>
      <c r="C250" s="7" t="s">
        <v>409</v>
      </c>
      <c r="D250" s="7" t="s">
        <v>407</v>
      </c>
      <c r="E250" s="7" t="s">
        <v>0</v>
      </c>
      <c r="F250" s="17">
        <v>134.82203999999987</v>
      </c>
      <c r="G250" s="7" t="s">
        <v>245</v>
      </c>
      <c r="H250" s="7" t="s">
        <v>246</v>
      </c>
      <c r="I250" s="10">
        <v>567.14</v>
      </c>
      <c r="J250" s="10">
        <f t="shared" si="10"/>
        <v>133650.80999999991</v>
      </c>
      <c r="K250" s="6">
        <f t="shared" si="11"/>
        <v>188044.47999999992</v>
      </c>
    </row>
    <row r="251" spans="1:11" x14ac:dyDescent="0.25">
      <c r="A251" s="5" t="s">
        <v>505</v>
      </c>
      <c r="B251" s="42">
        <f t="shared" si="9"/>
        <v>134.21794999999992</v>
      </c>
      <c r="C251" s="7" t="s">
        <v>407</v>
      </c>
      <c r="D251" s="7" t="s">
        <v>405</v>
      </c>
      <c r="E251" s="7" t="s">
        <v>0</v>
      </c>
      <c r="F251" s="17">
        <v>135.32704999999987</v>
      </c>
      <c r="G251" s="7" t="s">
        <v>246</v>
      </c>
      <c r="H251" s="7" t="s">
        <v>247</v>
      </c>
      <c r="I251" s="10">
        <v>587.37</v>
      </c>
      <c r="J251" s="10">
        <f t="shared" si="10"/>
        <v>134217.94999999992</v>
      </c>
      <c r="K251" s="6">
        <f t="shared" si="11"/>
        <v>187477.33999999991</v>
      </c>
    </row>
    <row r="252" spans="1:11" x14ac:dyDescent="0.25">
      <c r="A252" s="5" t="s">
        <v>505</v>
      </c>
      <c r="B252" s="42">
        <f t="shared" si="9"/>
        <v>134.80531999999991</v>
      </c>
      <c r="C252" s="7" t="s">
        <v>405</v>
      </c>
      <c r="D252" s="7" t="s">
        <v>403</v>
      </c>
      <c r="E252" s="7" t="s">
        <v>0</v>
      </c>
      <c r="F252" s="17">
        <v>135.74080999999987</v>
      </c>
      <c r="G252" s="7" t="s">
        <v>247</v>
      </c>
      <c r="H252" s="7" t="s">
        <v>248</v>
      </c>
      <c r="I252" s="10">
        <v>587.38</v>
      </c>
      <c r="J252" s="10">
        <f t="shared" si="10"/>
        <v>134805.31999999992</v>
      </c>
      <c r="K252" s="6">
        <f t="shared" si="11"/>
        <v>186889.96999999991</v>
      </c>
    </row>
    <row r="253" spans="1:11" x14ac:dyDescent="0.25">
      <c r="A253" s="5" t="s">
        <v>505</v>
      </c>
      <c r="B253" s="42">
        <f t="shared" si="9"/>
        <v>135.39269999999993</v>
      </c>
      <c r="C253" s="7" t="s">
        <v>403</v>
      </c>
      <c r="D253" s="7" t="s">
        <v>401</v>
      </c>
      <c r="E253" s="7" t="s">
        <v>0</v>
      </c>
      <c r="F253" s="17">
        <v>136.28815999999989</v>
      </c>
      <c r="G253" s="7" t="s">
        <v>248</v>
      </c>
      <c r="H253" s="7" t="s">
        <v>249</v>
      </c>
      <c r="I253" s="10">
        <v>508.22</v>
      </c>
      <c r="J253" s="10">
        <f t="shared" si="10"/>
        <v>135392.69999999992</v>
      </c>
      <c r="K253" s="6">
        <f t="shared" si="11"/>
        <v>186302.58999999991</v>
      </c>
    </row>
    <row r="254" spans="1:11" x14ac:dyDescent="0.25">
      <c r="A254" s="5" t="s">
        <v>505</v>
      </c>
      <c r="B254" s="42">
        <f t="shared" si="9"/>
        <v>135.90091999999993</v>
      </c>
      <c r="C254" s="7" t="s">
        <v>401</v>
      </c>
      <c r="D254" s="7" t="s">
        <v>399</v>
      </c>
      <c r="E254" s="7" t="s">
        <v>0</v>
      </c>
      <c r="F254" s="17">
        <v>136.94080999999989</v>
      </c>
      <c r="G254" s="7" t="s">
        <v>249</v>
      </c>
      <c r="H254" s="7" t="s">
        <v>250</v>
      </c>
      <c r="I254" s="10">
        <v>581.36</v>
      </c>
      <c r="J254" s="10">
        <f t="shared" si="10"/>
        <v>135900.91999999993</v>
      </c>
      <c r="K254" s="6">
        <f t="shared" si="11"/>
        <v>185794.36999999991</v>
      </c>
    </row>
    <row r="255" spans="1:11" x14ac:dyDescent="0.25">
      <c r="A255" s="5" t="s">
        <v>505</v>
      </c>
      <c r="B255" s="42">
        <f t="shared" si="9"/>
        <v>136.48227999999992</v>
      </c>
      <c r="C255" s="7" t="s">
        <v>399</v>
      </c>
      <c r="D255" s="7" t="s">
        <v>397</v>
      </c>
      <c r="E255" s="7" t="s">
        <v>0</v>
      </c>
      <c r="F255" s="17">
        <v>137.60932999999986</v>
      </c>
      <c r="G255" s="7" t="s">
        <v>250</v>
      </c>
      <c r="H255" s="7" t="s">
        <v>251</v>
      </c>
      <c r="I255" s="10">
        <v>538.64</v>
      </c>
      <c r="J255" s="10">
        <f t="shared" si="10"/>
        <v>136482.27999999991</v>
      </c>
      <c r="K255" s="6">
        <f t="shared" si="11"/>
        <v>185213.00999999992</v>
      </c>
    </row>
    <row r="256" spans="1:11" x14ac:dyDescent="0.25">
      <c r="A256" s="5" t="s">
        <v>505</v>
      </c>
      <c r="B256" s="42">
        <f t="shared" si="9"/>
        <v>137.02091999999993</v>
      </c>
      <c r="C256" s="7" t="s">
        <v>397</v>
      </c>
      <c r="D256" s="7" t="s">
        <v>395</v>
      </c>
      <c r="E256" s="7" t="s">
        <v>0</v>
      </c>
      <c r="F256" s="17">
        <v>138.13152999999988</v>
      </c>
      <c r="G256" s="7" t="s">
        <v>251</v>
      </c>
      <c r="H256" s="7" t="s">
        <v>252</v>
      </c>
      <c r="I256" s="10">
        <v>554.29</v>
      </c>
      <c r="J256" s="10">
        <f t="shared" si="10"/>
        <v>137020.91999999993</v>
      </c>
      <c r="K256" s="6">
        <f t="shared" si="11"/>
        <v>184674.36999999991</v>
      </c>
    </row>
    <row r="257" spans="1:11" x14ac:dyDescent="0.25">
      <c r="A257" s="5" t="s">
        <v>505</v>
      </c>
      <c r="B257" s="42">
        <f t="shared" si="9"/>
        <v>137.57520999999994</v>
      </c>
      <c r="C257" s="7" t="s">
        <v>395</v>
      </c>
      <c r="D257" s="7" t="s">
        <v>393</v>
      </c>
      <c r="E257" s="7" t="s">
        <v>0</v>
      </c>
      <c r="F257" s="17">
        <v>138.7265699999999</v>
      </c>
      <c r="G257" s="7" t="s">
        <v>252</v>
      </c>
      <c r="H257" s="7" t="s">
        <v>253</v>
      </c>
      <c r="I257" s="10">
        <v>545.82000000000005</v>
      </c>
      <c r="J257" s="10">
        <f t="shared" si="10"/>
        <v>137575.20999999993</v>
      </c>
      <c r="K257" s="6">
        <f t="shared" si="11"/>
        <v>184120.0799999999</v>
      </c>
    </row>
    <row r="258" spans="1:11" x14ac:dyDescent="0.25">
      <c r="A258" s="5" t="s">
        <v>505</v>
      </c>
      <c r="B258" s="42">
        <f t="shared" si="9"/>
        <v>138.12102999999993</v>
      </c>
      <c r="C258" s="7" t="s">
        <v>393</v>
      </c>
      <c r="D258" s="7" t="s">
        <v>391</v>
      </c>
      <c r="E258" s="7" t="s">
        <v>0</v>
      </c>
      <c r="F258" s="17">
        <v>139.27096999999989</v>
      </c>
      <c r="G258" s="7" t="s">
        <v>253</v>
      </c>
      <c r="H258" s="7" t="s">
        <v>254</v>
      </c>
      <c r="I258" s="10">
        <v>606.46</v>
      </c>
      <c r="J258" s="10">
        <f t="shared" si="10"/>
        <v>138121.02999999994</v>
      </c>
      <c r="K258" s="6">
        <f t="shared" si="11"/>
        <v>183574.25999999989</v>
      </c>
    </row>
    <row r="259" spans="1:11" x14ac:dyDescent="0.25">
      <c r="A259" s="5" t="s">
        <v>505</v>
      </c>
      <c r="B259" s="42">
        <f t="shared" ref="B259:B322" si="12">J259/1000</f>
        <v>138.72748999999993</v>
      </c>
      <c r="C259" s="7" t="s">
        <v>391</v>
      </c>
      <c r="D259" s="7" t="s">
        <v>389</v>
      </c>
      <c r="E259" s="7" t="s">
        <v>0</v>
      </c>
      <c r="F259" s="17">
        <v>139.87161999999987</v>
      </c>
      <c r="G259" s="7" t="s">
        <v>254</v>
      </c>
      <c r="H259" s="7" t="s">
        <v>255</v>
      </c>
      <c r="I259" s="10">
        <v>543.4</v>
      </c>
      <c r="J259" s="10">
        <f t="shared" si="10"/>
        <v>138727.48999999993</v>
      </c>
      <c r="K259" s="6">
        <f t="shared" si="11"/>
        <v>182967.7999999999</v>
      </c>
    </row>
    <row r="260" spans="1:11" x14ac:dyDescent="0.25">
      <c r="A260" s="5" t="s">
        <v>505</v>
      </c>
      <c r="B260" s="42">
        <f t="shared" si="12"/>
        <v>139.27088999999992</v>
      </c>
      <c r="C260" s="7" t="s">
        <v>389</v>
      </c>
      <c r="D260" s="7" t="s">
        <v>387</v>
      </c>
      <c r="E260" s="7" t="s">
        <v>0</v>
      </c>
      <c r="F260" s="17">
        <v>140.46745999999987</v>
      </c>
      <c r="G260" s="7" t="s">
        <v>255</v>
      </c>
      <c r="H260" s="7" t="s">
        <v>256</v>
      </c>
      <c r="I260" s="10">
        <v>571.78</v>
      </c>
      <c r="J260" s="10">
        <f t="shared" si="10"/>
        <v>139270.88999999993</v>
      </c>
      <c r="K260" s="6">
        <f t="shared" si="11"/>
        <v>182424.39999999991</v>
      </c>
    </row>
    <row r="261" spans="1:11" x14ac:dyDescent="0.25">
      <c r="A261" s="5" t="s">
        <v>505</v>
      </c>
      <c r="B261" s="42">
        <f t="shared" si="12"/>
        <v>139.84266999999991</v>
      </c>
      <c r="C261" s="7" t="s">
        <v>387</v>
      </c>
      <c r="D261" s="7" t="s">
        <v>385</v>
      </c>
      <c r="E261" s="7" t="s">
        <v>0</v>
      </c>
      <c r="F261" s="17">
        <v>141.03539999999987</v>
      </c>
      <c r="G261" s="7" t="s">
        <v>256</v>
      </c>
      <c r="H261" s="7" t="s">
        <v>257</v>
      </c>
      <c r="I261" s="10">
        <v>568.76</v>
      </c>
      <c r="J261" s="10">
        <f t="shared" si="10"/>
        <v>139842.66999999993</v>
      </c>
      <c r="K261" s="6">
        <f t="shared" si="11"/>
        <v>181852.61999999991</v>
      </c>
    </row>
    <row r="262" spans="1:11" x14ac:dyDescent="0.25">
      <c r="A262" s="5" t="s">
        <v>505</v>
      </c>
      <c r="B262" s="42">
        <f t="shared" si="12"/>
        <v>140.41142999999994</v>
      </c>
      <c r="C262" s="7" t="s">
        <v>385</v>
      </c>
      <c r="D262" s="7" t="s">
        <v>383</v>
      </c>
      <c r="E262" s="7" t="s">
        <v>0</v>
      </c>
      <c r="F262" s="17">
        <v>141.58301999999986</v>
      </c>
      <c r="G262" s="7" t="s">
        <v>257</v>
      </c>
      <c r="H262" s="7" t="s">
        <v>258</v>
      </c>
      <c r="I262" s="10">
        <v>573.79999999999995</v>
      </c>
      <c r="J262" s="10">
        <f t="shared" ref="J262:J325" si="13">J261+I261</f>
        <v>140411.42999999993</v>
      </c>
      <c r="K262" s="6">
        <f t="shared" ref="K262:K325" si="14">K261-I261</f>
        <v>181283.8599999999</v>
      </c>
    </row>
    <row r="263" spans="1:11" x14ac:dyDescent="0.25">
      <c r="A263" s="5" t="s">
        <v>505</v>
      </c>
      <c r="B263" s="42">
        <f t="shared" si="12"/>
        <v>140.98522999999992</v>
      </c>
      <c r="C263" s="7" t="s">
        <v>383</v>
      </c>
      <c r="D263" s="7" t="s">
        <v>381</v>
      </c>
      <c r="E263" s="7" t="s">
        <v>0</v>
      </c>
      <c r="F263" s="17">
        <v>142.23376999999988</v>
      </c>
      <c r="G263" s="7" t="s">
        <v>258</v>
      </c>
      <c r="H263" s="7" t="s">
        <v>259</v>
      </c>
      <c r="I263" s="10">
        <v>566.98</v>
      </c>
      <c r="J263" s="10">
        <f t="shared" si="13"/>
        <v>140985.22999999992</v>
      </c>
      <c r="K263" s="6">
        <f t="shared" si="14"/>
        <v>180710.05999999991</v>
      </c>
    </row>
    <row r="264" spans="1:11" x14ac:dyDescent="0.25">
      <c r="A264" s="5" t="s">
        <v>505</v>
      </c>
      <c r="B264" s="42">
        <f t="shared" si="12"/>
        <v>141.55220999999995</v>
      </c>
      <c r="C264" s="7" t="s">
        <v>381</v>
      </c>
      <c r="D264" s="7" t="s">
        <v>379</v>
      </c>
      <c r="E264" s="7" t="s">
        <v>0</v>
      </c>
      <c r="F264" s="17">
        <v>142.95691999999985</v>
      </c>
      <c r="G264" s="7" t="s">
        <v>259</v>
      </c>
      <c r="H264" s="7" t="s">
        <v>260</v>
      </c>
      <c r="I264" s="10">
        <v>545.38</v>
      </c>
      <c r="J264" s="10">
        <f t="shared" si="13"/>
        <v>141552.20999999993</v>
      </c>
      <c r="K264" s="6">
        <f t="shared" si="14"/>
        <v>180143.0799999999</v>
      </c>
    </row>
    <row r="265" spans="1:11" x14ac:dyDescent="0.25">
      <c r="A265" s="5" t="s">
        <v>505</v>
      </c>
      <c r="B265" s="42">
        <f t="shared" si="12"/>
        <v>142.09758999999994</v>
      </c>
      <c r="C265" s="7" t="s">
        <v>379</v>
      </c>
      <c r="D265" s="7" t="s">
        <v>377</v>
      </c>
      <c r="E265" s="7" t="s">
        <v>0</v>
      </c>
      <c r="F265" s="17">
        <v>143.58545999999987</v>
      </c>
      <c r="G265" s="7" t="s">
        <v>260</v>
      </c>
      <c r="H265" s="7" t="s">
        <v>261</v>
      </c>
      <c r="I265" s="10">
        <v>626.08000000000004</v>
      </c>
      <c r="J265" s="10">
        <f t="shared" si="13"/>
        <v>142097.58999999994</v>
      </c>
      <c r="K265" s="6">
        <f t="shared" si="14"/>
        <v>179597.6999999999</v>
      </c>
    </row>
    <row r="266" spans="1:11" x14ac:dyDescent="0.25">
      <c r="A266" s="5" t="s">
        <v>505</v>
      </c>
      <c r="B266" s="42">
        <f t="shared" si="12"/>
        <v>142.72366999999991</v>
      </c>
      <c r="C266" s="7" t="s">
        <v>377</v>
      </c>
      <c r="D266" s="7" t="s">
        <v>375</v>
      </c>
      <c r="E266" s="7" t="s">
        <v>0</v>
      </c>
      <c r="F266" s="17">
        <v>144.15689999999987</v>
      </c>
      <c r="G266" s="7" t="s">
        <v>261</v>
      </c>
      <c r="H266" s="7" t="s">
        <v>262</v>
      </c>
      <c r="I266" s="10">
        <v>535.61</v>
      </c>
      <c r="J266" s="10">
        <f t="shared" si="13"/>
        <v>142723.66999999993</v>
      </c>
      <c r="K266" s="6">
        <f t="shared" si="14"/>
        <v>178971.61999999991</v>
      </c>
    </row>
    <row r="267" spans="1:11" x14ac:dyDescent="0.25">
      <c r="A267" s="5" t="s">
        <v>505</v>
      </c>
      <c r="B267" s="42">
        <f t="shared" si="12"/>
        <v>143.2592799999999</v>
      </c>
      <c r="C267" s="7" t="s">
        <v>375</v>
      </c>
      <c r="D267" s="7" t="s">
        <v>373</v>
      </c>
      <c r="E267" s="7" t="s">
        <v>0</v>
      </c>
      <c r="F267" s="17">
        <v>144.69132999999988</v>
      </c>
      <c r="G267" s="7" t="s">
        <v>262</v>
      </c>
      <c r="H267" s="7" t="s">
        <v>263</v>
      </c>
      <c r="I267" s="10">
        <v>568.91999999999996</v>
      </c>
      <c r="J267" s="10">
        <f t="shared" si="13"/>
        <v>143259.27999999991</v>
      </c>
      <c r="K267" s="6">
        <f t="shared" si="14"/>
        <v>178436.00999999992</v>
      </c>
    </row>
    <row r="268" spans="1:11" x14ac:dyDescent="0.25">
      <c r="A268" s="5" t="s">
        <v>505</v>
      </c>
      <c r="B268" s="42">
        <f t="shared" si="12"/>
        <v>143.82819999999992</v>
      </c>
      <c r="C268" s="7" t="s">
        <v>373</v>
      </c>
      <c r="D268" s="7" t="s">
        <v>371</v>
      </c>
      <c r="E268" s="7" t="s">
        <v>0</v>
      </c>
      <c r="F268" s="17">
        <v>145.24445999999986</v>
      </c>
      <c r="G268" s="7" t="s">
        <v>263</v>
      </c>
      <c r="H268" s="7" t="s">
        <v>264</v>
      </c>
      <c r="I268" s="10">
        <v>558.64</v>
      </c>
      <c r="J268" s="10">
        <f t="shared" si="13"/>
        <v>143828.19999999992</v>
      </c>
      <c r="K268" s="6">
        <f t="shared" si="14"/>
        <v>177867.08999999991</v>
      </c>
    </row>
    <row r="269" spans="1:11" x14ac:dyDescent="0.25">
      <c r="A269" s="5" t="s">
        <v>505</v>
      </c>
      <c r="B269" s="42">
        <f t="shared" si="12"/>
        <v>144.38683999999995</v>
      </c>
      <c r="C269" s="7" t="s">
        <v>371</v>
      </c>
      <c r="D269" s="7" t="s">
        <v>369</v>
      </c>
      <c r="E269" s="7" t="s">
        <v>0</v>
      </c>
      <c r="F269" s="17">
        <v>145.8224699999999</v>
      </c>
      <c r="G269" s="7" t="s">
        <v>264</v>
      </c>
      <c r="H269" s="7" t="s">
        <v>265</v>
      </c>
      <c r="I269" s="10">
        <v>557.73</v>
      </c>
      <c r="J269" s="10">
        <f t="shared" si="13"/>
        <v>144386.83999999994</v>
      </c>
      <c r="K269" s="6">
        <f t="shared" si="14"/>
        <v>177308.4499999999</v>
      </c>
    </row>
    <row r="270" spans="1:11" x14ac:dyDescent="0.25">
      <c r="A270" s="5" t="s">
        <v>505</v>
      </c>
      <c r="B270" s="42">
        <f t="shared" si="12"/>
        <v>144.94456999999994</v>
      </c>
      <c r="C270" s="7" t="s">
        <v>369</v>
      </c>
      <c r="D270" s="7" t="s">
        <v>367</v>
      </c>
      <c r="E270" s="7" t="s">
        <v>0</v>
      </c>
      <c r="F270" s="17">
        <v>146.39468999999988</v>
      </c>
      <c r="G270" s="7" t="s">
        <v>265</v>
      </c>
      <c r="H270" s="7" t="s">
        <v>266</v>
      </c>
      <c r="I270" s="10">
        <v>599.03</v>
      </c>
      <c r="J270" s="10">
        <f t="shared" si="13"/>
        <v>144944.56999999995</v>
      </c>
      <c r="K270" s="6">
        <f t="shared" si="14"/>
        <v>176750.71999999988</v>
      </c>
    </row>
    <row r="271" spans="1:11" x14ac:dyDescent="0.25">
      <c r="A271" s="5" t="s">
        <v>505</v>
      </c>
      <c r="B271" s="42">
        <f t="shared" si="12"/>
        <v>145.54359999999994</v>
      </c>
      <c r="C271" s="7" t="s">
        <v>367</v>
      </c>
      <c r="D271" s="7" t="s">
        <v>365</v>
      </c>
      <c r="E271" s="7" t="s">
        <v>0</v>
      </c>
      <c r="F271" s="17">
        <v>146.8507899999999</v>
      </c>
      <c r="G271" s="7" t="s">
        <v>266</v>
      </c>
      <c r="H271" s="7" t="s">
        <v>267</v>
      </c>
      <c r="I271" s="10">
        <v>545.82000000000005</v>
      </c>
      <c r="J271" s="10">
        <f t="shared" si="13"/>
        <v>145543.59999999995</v>
      </c>
      <c r="K271" s="6">
        <f t="shared" si="14"/>
        <v>176151.68999999989</v>
      </c>
    </row>
    <row r="272" spans="1:11" x14ac:dyDescent="0.25">
      <c r="A272" s="5" t="s">
        <v>505</v>
      </c>
      <c r="B272" s="42">
        <f t="shared" si="12"/>
        <v>146.08941999999996</v>
      </c>
      <c r="C272" s="7" t="s">
        <v>365</v>
      </c>
      <c r="D272" s="7" t="s">
        <v>363</v>
      </c>
      <c r="E272" s="7" t="s">
        <v>0</v>
      </c>
      <c r="F272" s="17">
        <v>147.37363999999991</v>
      </c>
      <c r="G272" s="7" t="s">
        <v>267</v>
      </c>
      <c r="H272" s="7" t="s">
        <v>268</v>
      </c>
      <c r="I272" s="10">
        <v>578.05999999999995</v>
      </c>
      <c r="J272" s="10">
        <f t="shared" si="13"/>
        <v>146089.41999999995</v>
      </c>
      <c r="K272" s="6">
        <f t="shared" si="14"/>
        <v>175605.86999999988</v>
      </c>
    </row>
    <row r="273" spans="1:11" x14ac:dyDescent="0.25">
      <c r="A273" s="5" t="s">
        <v>505</v>
      </c>
      <c r="B273" s="42">
        <f t="shared" si="12"/>
        <v>146.66747999999995</v>
      </c>
      <c r="C273" s="7" t="s">
        <v>363</v>
      </c>
      <c r="D273" s="7" t="s">
        <v>361</v>
      </c>
      <c r="E273" s="7" t="s">
        <v>0</v>
      </c>
      <c r="F273" s="17">
        <v>147.92542999999989</v>
      </c>
      <c r="G273" s="7" t="s">
        <v>268</v>
      </c>
      <c r="H273" s="7" t="s">
        <v>269</v>
      </c>
      <c r="I273" s="10">
        <v>552.19000000000005</v>
      </c>
      <c r="J273" s="10">
        <f t="shared" si="13"/>
        <v>146667.47999999995</v>
      </c>
      <c r="K273" s="6">
        <f t="shared" si="14"/>
        <v>175027.80999999988</v>
      </c>
    </row>
    <row r="274" spans="1:11" x14ac:dyDescent="0.25">
      <c r="A274" s="5" t="s">
        <v>505</v>
      </c>
      <c r="B274" s="42">
        <f t="shared" si="12"/>
        <v>147.21966999999995</v>
      </c>
      <c r="C274" s="7" t="s">
        <v>361</v>
      </c>
      <c r="D274" s="7" t="s">
        <v>359</v>
      </c>
      <c r="E274" s="7" t="s">
        <v>0</v>
      </c>
      <c r="F274" s="17">
        <v>148.47984999999991</v>
      </c>
      <c r="G274" s="7" t="s">
        <v>269</v>
      </c>
      <c r="H274" s="7" t="s">
        <v>270</v>
      </c>
      <c r="I274" s="10">
        <v>572.72</v>
      </c>
      <c r="J274" s="10">
        <f t="shared" si="13"/>
        <v>147219.66999999995</v>
      </c>
      <c r="K274" s="6">
        <f t="shared" si="14"/>
        <v>174475.61999999988</v>
      </c>
    </row>
    <row r="275" spans="1:11" x14ac:dyDescent="0.25">
      <c r="A275" s="5" t="s">
        <v>505</v>
      </c>
      <c r="B275" s="42">
        <f t="shared" si="12"/>
        <v>147.79238999999995</v>
      </c>
      <c r="C275" s="7" t="s">
        <v>359</v>
      </c>
      <c r="D275" s="7" t="s">
        <v>357</v>
      </c>
      <c r="E275" s="7" t="s">
        <v>0</v>
      </c>
      <c r="F275" s="17">
        <v>148.94841999999991</v>
      </c>
      <c r="G275" s="7" t="s">
        <v>270</v>
      </c>
      <c r="H275" s="7" t="s">
        <v>271</v>
      </c>
      <c r="I275" s="10">
        <v>560.96</v>
      </c>
      <c r="J275" s="10">
        <f t="shared" si="13"/>
        <v>147792.38999999996</v>
      </c>
      <c r="K275" s="6">
        <f t="shared" si="14"/>
        <v>173902.89999999988</v>
      </c>
    </row>
    <row r="276" spans="1:11" x14ac:dyDescent="0.25">
      <c r="A276" s="5" t="s">
        <v>505</v>
      </c>
      <c r="B276" s="42">
        <f t="shared" si="12"/>
        <v>148.35334999999995</v>
      </c>
      <c r="C276" s="7" t="s">
        <v>357</v>
      </c>
      <c r="D276" s="7" t="s">
        <v>355</v>
      </c>
      <c r="E276" s="7" t="s">
        <v>0</v>
      </c>
      <c r="F276" s="17">
        <v>149.50560999999993</v>
      </c>
      <c r="G276" s="7" t="s">
        <v>271</v>
      </c>
      <c r="H276" s="7" t="s">
        <v>273</v>
      </c>
      <c r="I276" s="10">
        <v>604.69000000000005</v>
      </c>
      <c r="J276" s="10">
        <f t="shared" si="13"/>
        <v>148353.34999999995</v>
      </c>
      <c r="K276" s="6">
        <f t="shared" si="14"/>
        <v>173341.93999999989</v>
      </c>
    </row>
    <row r="277" spans="1:11" x14ac:dyDescent="0.25">
      <c r="A277" s="5" t="s">
        <v>505</v>
      </c>
      <c r="B277" s="42">
        <f t="shared" si="12"/>
        <v>148.95803999999995</v>
      </c>
      <c r="C277" s="7" t="s">
        <v>355</v>
      </c>
      <c r="D277" s="7" t="s">
        <v>353</v>
      </c>
      <c r="E277" s="7" t="s">
        <v>0</v>
      </c>
      <c r="F277" s="17">
        <v>150.05249999999995</v>
      </c>
      <c r="G277" s="7" t="s">
        <v>273</v>
      </c>
      <c r="H277" s="7" t="s">
        <v>275</v>
      </c>
      <c r="I277" s="10">
        <v>542.70000000000005</v>
      </c>
      <c r="J277" s="10">
        <f t="shared" si="13"/>
        <v>148958.03999999995</v>
      </c>
      <c r="K277" s="6">
        <f t="shared" si="14"/>
        <v>172737.24999999988</v>
      </c>
    </row>
    <row r="278" spans="1:11" x14ac:dyDescent="0.25">
      <c r="A278" s="5" t="s">
        <v>505</v>
      </c>
      <c r="B278" s="42">
        <f t="shared" si="12"/>
        <v>149.50073999999995</v>
      </c>
      <c r="C278" s="7" t="s">
        <v>353</v>
      </c>
      <c r="D278" s="7" t="s">
        <v>351</v>
      </c>
      <c r="E278" s="7" t="s">
        <v>0</v>
      </c>
      <c r="F278" s="17">
        <v>150.62002999999993</v>
      </c>
      <c r="G278" s="7" t="s">
        <v>275</v>
      </c>
      <c r="H278" s="7" t="s">
        <v>277</v>
      </c>
      <c r="I278" s="10">
        <v>573.15</v>
      </c>
      <c r="J278" s="10">
        <f t="shared" si="13"/>
        <v>149500.73999999996</v>
      </c>
      <c r="K278" s="6">
        <f t="shared" si="14"/>
        <v>172194.54999999987</v>
      </c>
    </row>
    <row r="279" spans="1:11" x14ac:dyDescent="0.25">
      <c r="A279" s="5" t="s">
        <v>505</v>
      </c>
      <c r="B279" s="42">
        <f t="shared" si="12"/>
        <v>150.07388999999995</v>
      </c>
      <c r="C279" s="7" t="s">
        <v>351</v>
      </c>
      <c r="D279" s="7" t="s">
        <v>349</v>
      </c>
      <c r="E279" s="7" t="s">
        <v>0</v>
      </c>
      <c r="F279" s="17">
        <v>151.25015999999994</v>
      </c>
      <c r="G279" s="7" t="s">
        <v>277</v>
      </c>
      <c r="H279" s="7" t="s">
        <v>279</v>
      </c>
      <c r="I279" s="10">
        <v>559.26</v>
      </c>
      <c r="J279" s="10">
        <f t="shared" si="13"/>
        <v>150073.88999999996</v>
      </c>
      <c r="K279" s="6">
        <f t="shared" si="14"/>
        <v>171621.39999999988</v>
      </c>
    </row>
    <row r="280" spans="1:11" x14ac:dyDescent="0.25">
      <c r="A280" s="5" t="s">
        <v>505</v>
      </c>
      <c r="B280" s="42">
        <f t="shared" si="12"/>
        <v>150.63314999999997</v>
      </c>
      <c r="C280" s="7" t="s">
        <v>349</v>
      </c>
      <c r="D280" s="7" t="s">
        <v>347</v>
      </c>
      <c r="E280" s="7" t="s">
        <v>0</v>
      </c>
      <c r="F280" s="17">
        <v>151.77123999999992</v>
      </c>
      <c r="G280" s="7" t="s">
        <v>279</v>
      </c>
      <c r="H280" s="7" t="s">
        <v>281</v>
      </c>
      <c r="I280" s="10">
        <v>440.46</v>
      </c>
      <c r="J280" s="10">
        <f t="shared" si="13"/>
        <v>150633.14999999997</v>
      </c>
      <c r="K280" s="6">
        <f t="shared" si="14"/>
        <v>171062.13999999987</v>
      </c>
    </row>
    <row r="281" spans="1:11" x14ac:dyDescent="0.25">
      <c r="A281" s="5" t="s">
        <v>505</v>
      </c>
      <c r="B281" s="42">
        <f t="shared" si="12"/>
        <v>151.07360999999995</v>
      </c>
      <c r="C281" s="7" t="s">
        <v>347</v>
      </c>
      <c r="D281" s="7" t="s">
        <v>345</v>
      </c>
      <c r="E281" s="7" t="s">
        <v>0</v>
      </c>
      <c r="F281" s="17">
        <v>152.34827999999993</v>
      </c>
      <c r="G281" s="7" t="s">
        <v>281</v>
      </c>
      <c r="H281" s="7" t="s">
        <v>283</v>
      </c>
      <c r="I281" s="10">
        <v>485.54</v>
      </c>
      <c r="J281" s="10">
        <f t="shared" si="13"/>
        <v>151073.60999999996</v>
      </c>
      <c r="K281" s="6">
        <f t="shared" si="14"/>
        <v>170621.67999999988</v>
      </c>
    </row>
    <row r="282" spans="1:11" x14ac:dyDescent="0.25">
      <c r="A282" s="5" t="s">
        <v>505</v>
      </c>
      <c r="B282" s="42">
        <f t="shared" si="12"/>
        <v>151.55914999999996</v>
      </c>
      <c r="C282" s="7" t="s">
        <v>345</v>
      </c>
      <c r="D282" s="7" t="s">
        <v>343</v>
      </c>
      <c r="E282" s="7" t="s">
        <v>0</v>
      </c>
      <c r="F282" s="17">
        <v>152.89702999999994</v>
      </c>
      <c r="G282" s="7" t="s">
        <v>283</v>
      </c>
      <c r="H282" s="7" t="s">
        <v>285</v>
      </c>
      <c r="I282" s="10">
        <v>569.45000000000005</v>
      </c>
      <c r="J282" s="10">
        <f t="shared" si="13"/>
        <v>151559.14999999997</v>
      </c>
      <c r="K282" s="6">
        <f t="shared" si="14"/>
        <v>170136.13999999987</v>
      </c>
    </row>
    <row r="283" spans="1:11" x14ac:dyDescent="0.25">
      <c r="A283" s="5" t="s">
        <v>505</v>
      </c>
      <c r="B283" s="42">
        <f t="shared" si="12"/>
        <v>152.12859999999998</v>
      </c>
      <c r="C283" s="7" t="s">
        <v>343</v>
      </c>
      <c r="D283" s="7" t="s">
        <v>341</v>
      </c>
      <c r="E283" s="7" t="s">
        <v>0</v>
      </c>
      <c r="F283" s="17">
        <v>153.50733999999994</v>
      </c>
      <c r="G283" s="7" t="s">
        <v>285</v>
      </c>
      <c r="H283" s="7" t="s">
        <v>287</v>
      </c>
      <c r="I283" s="10">
        <v>528.39</v>
      </c>
      <c r="J283" s="10">
        <f t="shared" si="13"/>
        <v>152128.59999999998</v>
      </c>
      <c r="K283" s="6">
        <f t="shared" si="14"/>
        <v>169566.68999999986</v>
      </c>
    </row>
    <row r="284" spans="1:11" x14ac:dyDescent="0.25">
      <c r="A284" s="5" t="s">
        <v>505</v>
      </c>
      <c r="B284" s="42">
        <f t="shared" si="12"/>
        <v>152.65698999999998</v>
      </c>
      <c r="C284" s="7" t="s">
        <v>341</v>
      </c>
      <c r="D284" s="7" t="s">
        <v>339</v>
      </c>
      <c r="E284" s="7" t="s">
        <v>0</v>
      </c>
      <c r="F284" s="17">
        <v>154.08912999999995</v>
      </c>
      <c r="G284" s="7" t="s">
        <v>287</v>
      </c>
      <c r="H284" s="7" t="s">
        <v>289</v>
      </c>
      <c r="I284" s="10">
        <v>588.16</v>
      </c>
      <c r="J284" s="10">
        <f t="shared" si="13"/>
        <v>152656.99</v>
      </c>
      <c r="K284" s="6">
        <f t="shared" si="14"/>
        <v>169038.29999999984</v>
      </c>
    </row>
    <row r="285" spans="1:11" x14ac:dyDescent="0.25">
      <c r="A285" s="5" t="s">
        <v>505</v>
      </c>
      <c r="B285" s="42">
        <f t="shared" si="12"/>
        <v>153.24515</v>
      </c>
      <c r="C285" s="7" t="s">
        <v>339</v>
      </c>
      <c r="D285" s="7" t="s">
        <v>337</v>
      </c>
      <c r="E285" s="7" t="s">
        <v>0</v>
      </c>
      <c r="F285" s="17">
        <v>154.60248999999993</v>
      </c>
      <c r="G285" s="7" t="s">
        <v>289</v>
      </c>
      <c r="H285" s="7" t="s">
        <v>291</v>
      </c>
      <c r="I285" s="10">
        <v>565.02</v>
      </c>
      <c r="J285" s="10">
        <f t="shared" si="13"/>
        <v>153245.15</v>
      </c>
      <c r="K285" s="6">
        <f t="shared" si="14"/>
        <v>168450.13999999984</v>
      </c>
    </row>
    <row r="286" spans="1:11" x14ac:dyDescent="0.25">
      <c r="A286" s="5" t="s">
        <v>505</v>
      </c>
      <c r="B286" s="42">
        <f t="shared" si="12"/>
        <v>153.81016999999997</v>
      </c>
      <c r="C286" s="7" t="s">
        <v>337</v>
      </c>
      <c r="D286" s="7" t="s">
        <v>335</v>
      </c>
      <c r="E286" s="7" t="s">
        <v>0</v>
      </c>
      <c r="F286" s="17">
        <v>155.08912999999995</v>
      </c>
      <c r="G286" s="7" t="s">
        <v>291</v>
      </c>
      <c r="H286" s="7" t="s">
        <v>293</v>
      </c>
      <c r="I286" s="10">
        <v>469.66</v>
      </c>
      <c r="J286" s="10">
        <f t="shared" si="13"/>
        <v>153810.16999999998</v>
      </c>
      <c r="K286" s="6">
        <f t="shared" si="14"/>
        <v>167885.11999999985</v>
      </c>
    </row>
    <row r="287" spans="1:11" x14ac:dyDescent="0.25">
      <c r="A287" s="5" t="s">
        <v>505</v>
      </c>
      <c r="B287" s="42">
        <f t="shared" si="12"/>
        <v>154.27982999999998</v>
      </c>
      <c r="C287" s="7" t="s">
        <v>335</v>
      </c>
      <c r="D287" s="7" t="s">
        <v>333</v>
      </c>
      <c r="E287" s="7" t="s">
        <v>0</v>
      </c>
      <c r="F287" s="17">
        <v>155.58194999999995</v>
      </c>
      <c r="G287" s="7" t="s">
        <v>293</v>
      </c>
      <c r="H287" s="7" t="s">
        <v>295</v>
      </c>
      <c r="I287" s="10">
        <v>495.53</v>
      </c>
      <c r="J287" s="10">
        <f t="shared" si="13"/>
        <v>154279.82999999999</v>
      </c>
      <c r="K287" s="6">
        <f t="shared" si="14"/>
        <v>167415.45999999985</v>
      </c>
    </row>
    <row r="288" spans="1:11" x14ac:dyDescent="0.25">
      <c r="A288" s="5" t="s">
        <v>505</v>
      </c>
      <c r="B288" s="42">
        <f t="shared" si="12"/>
        <v>154.77535999999998</v>
      </c>
      <c r="C288" s="7" t="s">
        <v>333</v>
      </c>
      <c r="D288" s="7" t="s">
        <v>331</v>
      </c>
      <c r="E288" s="7" t="s">
        <v>0</v>
      </c>
      <c r="F288" s="17">
        <v>156.14068999999995</v>
      </c>
      <c r="G288" s="7" t="s">
        <v>295</v>
      </c>
      <c r="H288" s="7" t="s">
        <v>297</v>
      </c>
      <c r="I288" s="10">
        <v>567.08000000000004</v>
      </c>
      <c r="J288" s="10">
        <f t="shared" si="13"/>
        <v>154775.35999999999</v>
      </c>
      <c r="K288" s="6">
        <f t="shared" si="14"/>
        <v>166919.92999999985</v>
      </c>
    </row>
    <row r="289" spans="1:11" x14ac:dyDescent="0.25">
      <c r="A289" s="5" t="s">
        <v>505</v>
      </c>
      <c r="B289" s="42">
        <f t="shared" si="12"/>
        <v>155.34243999999998</v>
      </c>
      <c r="C289" s="7" t="s">
        <v>331</v>
      </c>
      <c r="D289" s="7" t="s">
        <v>329</v>
      </c>
      <c r="E289" s="7" t="s">
        <v>0</v>
      </c>
      <c r="F289" s="17">
        <v>156.69931999999994</v>
      </c>
      <c r="G289" s="7" t="s">
        <v>297</v>
      </c>
      <c r="H289" s="7" t="s">
        <v>299</v>
      </c>
      <c r="I289" s="10">
        <v>548.21</v>
      </c>
      <c r="J289" s="10">
        <f t="shared" si="13"/>
        <v>155342.43999999997</v>
      </c>
      <c r="K289" s="6">
        <f t="shared" si="14"/>
        <v>166352.84999999986</v>
      </c>
    </row>
    <row r="290" spans="1:11" x14ac:dyDescent="0.25">
      <c r="A290" s="5" t="s">
        <v>505</v>
      </c>
      <c r="B290" s="42">
        <f t="shared" si="12"/>
        <v>155.89064999999997</v>
      </c>
      <c r="C290" s="7" t="s">
        <v>329</v>
      </c>
      <c r="D290" s="7" t="s">
        <v>327</v>
      </c>
      <c r="E290" s="7" t="s">
        <v>0</v>
      </c>
      <c r="F290" s="17">
        <v>157.18558999999993</v>
      </c>
      <c r="G290" s="7" t="s">
        <v>299</v>
      </c>
      <c r="H290" s="7" t="s">
        <v>301</v>
      </c>
      <c r="I290" s="10">
        <v>578.46</v>
      </c>
      <c r="J290" s="10">
        <f t="shared" si="13"/>
        <v>155890.64999999997</v>
      </c>
      <c r="K290" s="6">
        <f t="shared" si="14"/>
        <v>165804.63999999987</v>
      </c>
    </row>
    <row r="291" spans="1:11" x14ac:dyDescent="0.25">
      <c r="A291" s="5" t="s">
        <v>505</v>
      </c>
      <c r="B291" s="42">
        <f t="shared" si="12"/>
        <v>156.46910999999994</v>
      </c>
      <c r="C291" s="7" t="s">
        <v>327</v>
      </c>
      <c r="D291" s="7" t="s">
        <v>325</v>
      </c>
      <c r="E291" s="7" t="s">
        <v>0</v>
      </c>
      <c r="F291" s="17">
        <v>157.75745999999992</v>
      </c>
      <c r="G291" s="7" t="s">
        <v>301</v>
      </c>
      <c r="H291" s="7" t="s">
        <v>303</v>
      </c>
      <c r="I291" s="10">
        <v>580.08000000000004</v>
      </c>
      <c r="J291" s="10">
        <f t="shared" si="13"/>
        <v>156469.10999999996</v>
      </c>
      <c r="K291" s="6">
        <f t="shared" si="14"/>
        <v>165226.17999999988</v>
      </c>
    </row>
    <row r="292" spans="1:11" x14ac:dyDescent="0.25">
      <c r="A292" s="5" t="s">
        <v>505</v>
      </c>
      <c r="B292" s="42">
        <f t="shared" si="12"/>
        <v>157.04918999999995</v>
      </c>
      <c r="C292" s="7" t="s">
        <v>325</v>
      </c>
      <c r="D292" s="7" t="s">
        <v>323</v>
      </c>
      <c r="E292" s="7" t="s">
        <v>0</v>
      </c>
      <c r="F292" s="17">
        <v>158.33748999999995</v>
      </c>
      <c r="G292" s="7" t="s">
        <v>303</v>
      </c>
      <c r="H292" s="7" t="s">
        <v>305</v>
      </c>
      <c r="I292" s="10">
        <v>544.16</v>
      </c>
      <c r="J292" s="10">
        <f t="shared" si="13"/>
        <v>157049.18999999994</v>
      </c>
      <c r="K292" s="6">
        <f t="shared" si="14"/>
        <v>164646.09999999989</v>
      </c>
    </row>
    <row r="293" spans="1:11" x14ac:dyDescent="0.25">
      <c r="A293" s="5" t="s">
        <v>505</v>
      </c>
      <c r="B293" s="42">
        <f t="shared" si="12"/>
        <v>157.59334999999996</v>
      </c>
      <c r="C293" s="7" t="s">
        <v>323</v>
      </c>
      <c r="D293" s="7" t="s">
        <v>321</v>
      </c>
      <c r="E293" s="7" t="s">
        <v>0</v>
      </c>
      <c r="F293" s="17">
        <v>158.92300999999992</v>
      </c>
      <c r="G293" s="7" t="s">
        <v>305</v>
      </c>
      <c r="H293" s="7" t="s">
        <v>307</v>
      </c>
      <c r="I293" s="10">
        <v>610.17999999999995</v>
      </c>
      <c r="J293" s="10">
        <f t="shared" si="13"/>
        <v>157593.34999999995</v>
      </c>
      <c r="K293" s="6">
        <f t="shared" si="14"/>
        <v>164101.93999999989</v>
      </c>
    </row>
    <row r="294" spans="1:11" x14ac:dyDescent="0.25">
      <c r="A294" s="5" t="s">
        <v>505</v>
      </c>
      <c r="B294" s="42">
        <f t="shared" si="12"/>
        <v>158.20352999999994</v>
      </c>
      <c r="C294" s="7" t="s">
        <v>321</v>
      </c>
      <c r="D294" s="7" t="s">
        <v>319</v>
      </c>
      <c r="E294" s="7" t="s">
        <v>0</v>
      </c>
      <c r="F294" s="17">
        <v>159.46278999999993</v>
      </c>
      <c r="G294" s="7" t="s">
        <v>307</v>
      </c>
      <c r="H294" s="7" t="s">
        <v>309</v>
      </c>
      <c r="I294" s="10">
        <v>561.02</v>
      </c>
      <c r="J294" s="10">
        <f t="shared" si="13"/>
        <v>158203.52999999994</v>
      </c>
      <c r="K294" s="6">
        <f t="shared" si="14"/>
        <v>163491.75999999989</v>
      </c>
    </row>
    <row r="295" spans="1:11" x14ac:dyDescent="0.25">
      <c r="A295" s="5" t="s">
        <v>505</v>
      </c>
      <c r="B295" s="42">
        <f t="shared" si="12"/>
        <v>158.76454999999993</v>
      </c>
      <c r="C295" s="7" t="s">
        <v>319</v>
      </c>
      <c r="D295" s="7" t="s">
        <v>317</v>
      </c>
      <c r="E295" s="7" t="s">
        <v>0</v>
      </c>
      <c r="F295" s="17">
        <v>160.05732999999992</v>
      </c>
      <c r="G295" s="7" t="s">
        <v>309</v>
      </c>
      <c r="H295" s="7" t="s">
        <v>311</v>
      </c>
      <c r="I295" s="10">
        <v>567.55999999999995</v>
      </c>
      <c r="J295" s="10">
        <f t="shared" si="13"/>
        <v>158764.54999999993</v>
      </c>
      <c r="K295" s="6">
        <f t="shared" si="14"/>
        <v>162930.7399999999</v>
      </c>
    </row>
    <row r="296" spans="1:11" x14ac:dyDescent="0.25">
      <c r="A296" s="5" t="s">
        <v>505</v>
      </c>
      <c r="B296" s="42">
        <f t="shared" si="12"/>
        <v>159.33210999999991</v>
      </c>
      <c r="C296" s="7" t="s">
        <v>317</v>
      </c>
      <c r="D296" s="7" t="s">
        <v>315</v>
      </c>
      <c r="E296" s="7" t="s">
        <v>0</v>
      </c>
      <c r="F296" s="17">
        <v>160.63915999999992</v>
      </c>
      <c r="G296" s="7" t="s">
        <v>311</v>
      </c>
      <c r="H296" s="7" t="s">
        <v>313</v>
      </c>
      <c r="I296" s="10">
        <v>551.46</v>
      </c>
      <c r="J296" s="10">
        <f t="shared" si="13"/>
        <v>159332.10999999993</v>
      </c>
      <c r="K296" s="6">
        <f t="shared" si="14"/>
        <v>162363.17999999991</v>
      </c>
    </row>
    <row r="297" spans="1:11" x14ac:dyDescent="0.25">
      <c r="A297" s="5" t="s">
        <v>505</v>
      </c>
      <c r="B297" s="42">
        <f t="shared" si="12"/>
        <v>159.88356999999991</v>
      </c>
      <c r="C297" s="7" t="s">
        <v>315</v>
      </c>
      <c r="D297" s="7" t="s">
        <v>313</v>
      </c>
      <c r="E297" s="7" t="s">
        <v>0</v>
      </c>
      <c r="F297" s="17">
        <v>161.20500999999993</v>
      </c>
      <c r="G297" s="7" t="s">
        <v>313</v>
      </c>
      <c r="H297" s="7" t="s">
        <v>315</v>
      </c>
      <c r="I297" s="10">
        <v>606.71</v>
      </c>
      <c r="J297" s="10">
        <f t="shared" si="13"/>
        <v>159883.56999999992</v>
      </c>
      <c r="K297" s="6">
        <f t="shared" si="14"/>
        <v>161811.71999999991</v>
      </c>
    </row>
    <row r="298" spans="1:11" x14ac:dyDescent="0.25">
      <c r="A298" s="5" t="s">
        <v>505</v>
      </c>
      <c r="B298" s="42">
        <f t="shared" si="12"/>
        <v>160.4902799999999</v>
      </c>
      <c r="C298" s="7" t="s">
        <v>313</v>
      </c>
      <c r="D298" s="7" t="s">
        <v>311</v>
      </c>
      <c r="E298" s="7" t="s">
        <v>0</v>
      </c>
      <c r="F298" s="17">
        <v>161.81171999999992</v>
      </c>
      <c r="G298" s="7" t="s">
        <v>315</v>
      </c>
      <c r="H298" s="7" t="s">
        <v>317</v>
      </c>
      <c r="I298" s="10">
        <v>565.85</v>
      </c>
      <c r="J298" s="10">
        <f t="shared" si="13"/>
        <v>160490.27999999991</v>
      </c>
      <c r="K298" s="6">
        <f t="shared" si="14"/>
        <v>161205.00999999992</v>
      </c>
    </row>
    <row r="299" spans="1:11" x14ac:dyDescent="0.25">
      <c r="A299" s="5" t="s">
        <v>505</v>
      </c>
      <c r="B299" s="42">
        <f t="shared" si="12"/>
        <v>161.05612999999991</v>
      </c>
      <c r="C299" s="7" t="s">
        <v>311</v>
      </c>
      <c r="D299" s="7" t="s">
        <v>309</v>
      </c>
      <c r="E299" s="7" t="s">
        <v>0</v>
      </c>
      <c r="F299" s="17">
        <v>162.36317999999991</v>
      </c>
      <c r="G299" s="7" t="s">
        <v>317</v>
      </c>
      <c r="H299" s="7" t="s">
        <v>319</v>
      </c>
      <c r="I299" s="10">
        <v>581.83000000000004</v>
      </c>
      <c r="J299" s="10">
        <f t="shared" si="13"/>
        <v>161056.12999999992</v>
      </c>
      <c r="K299" s="6">
        <f t="shared" si="14"/>
        <v>160639.15999999992</v>
      </c>
    </row>
    <row r="300" spans="1:11" x14ac:dyDescent="0.25">
      <c r="A300" s="5" t="s">
        <v>505</v>
      </c>
      <c r="B300" s="42">
        <f t="shared" si="12"/>
        <v>161.63795999999991</v>
      </c>
      <c r="C300" s="7" t="s">
        <v>309</v>
      </c>
      <c r="D300" s="7" t="s">
        <v>307</v>
      </c>
      <c r="E300" s="7" t="s">
        <v>0</v>
      </c>
      <c r="F300" s="17">
        <v>162.9307399999999</v>
      </c>
      <c r="G300" s="7" t="s">
        <v>319</v>
      </c>
      <c r="H300" s="7" t="s">
        <v>321</v>
      </c>
      <c r="I300" s="10">
        <v>594.54</v>
      </c>
      <c r="J300" s="10">
        <f t="shared" si="13"/>
        <v>161637.9599999999</v>
      </c>
      <c r="K300" s="6">
        <f t="shared" si="14"/>
        <v>160057.32999999993</v>
      </c>
    </row>
    <row r="301" spans="1:11" x14ac:dyDescent="0.25">
      <c r="A301" s="5" t="s">
        <v>505</v>
      </c>
      <c r="B301" s="42">
        <f t="shared" si="12"/>
        <v>162.2324999999999</v>
      </c>
      <c r="C301" s="7" t="s">
        <v>307</v>
      </c>
      <c r="D301" s="7" t="s">
        <v>305</v>
      </c>
      <c r="E301" s="7" t="s">
        <v>0</v>
      </c>
      <c r="F301" s="17">
        <v>163.49175999999989</v>
      </c>
      <c r="G301" s="7" t="s">
        <v>321</v>
      </c>
      <c r="H301" s="7" t="s">
        <v>323</v>
      </c>
      <c r="I301" s="10">
        <v>539.78</v>
      </c>
      <c r="J301" s="10">
        <f t="shared" si="13"/>
        <v>162232.49999999991</v>
      </c>
      <c r="K301" s="6">
        <f t="shared" si="14"/>
        <v>159462.78999999992</v>
      </c>
    </row>
    <row r="302" spans="1:11" x14ac:dyDescent="0.25">
      <c r="A302" s="5" t="s">
        <v>505</v>
      </c>
      <c r="B302" s="42">
        <f t="shared" si="12"/>
        <v>162.77227999999991</v>
      </c>
      <c r="C302" s="7" t="s">
        <v>305</v>
      </c>
      <c r="D302" s="7" t="s">
        <v>303</v>
      </c>
      <c r="E302" s="7" t="s">
        <v>0</v>
      </c>
      <c r="F302" s="17">
        <v>164.1019399999999</v>
      </c>
      <c r="G302" s="7" t="s">
        <v>323</v>
      </c>
      <c r="H302" s="7" t="s">
        <v>325</v>
      </c>
      <c r="I302" s="10">
        <v>585.52</v>
      </c>
      <c r="J302" s="10">
        <f t="shared" si="13"/>
        <v>162772.27999999991</v>
      </c>
      <c r="K302" s="6">
        <f t="shared" si="14"/>
        <v>158923.00999999992</v>
      </c>
    </row>
    <row r="303" spans="1:11" x14ac:dyDescent="0.25">
      <c r="A303" s="5" t="s">
        <v>505</v>
      </c>
      <c r="B303" s="42">
        <f t="shared" si="12"/>
        <v>163.35779999999991</v>
      </c>
      <c r="C303" s="7" t="s">
        <v>303</v>
      </c>
      <c r="D303" s="7" t="s">
        <v>301</v>
      </c>
      <c r="E303" s="7" t="s">
        <v>0</v>
      </c>
      <c r="F303" s="17">
        <v>164.64609999999988</v>
      </c>
      <c r="G303" s="7" t="s">
        <v>325</v>
      </c>
      <c r="H303" s="7" t="s">
        <v>327</v>
      </c>
      <c r="I303" s="10">
        <v>580.03</v>
      </c>
      <c r="J303" s="10">
        <f t="shared" si="13"/>
        <v>163357.7999999999</v>
      </c>
      <c r="K303" s="6">
        <f t="shared" si="14"/>
        <v>158337.48999999993</v>
      </c>
    </row>
    <row r="304" spans="1:11" x14ac:dyDescent="0.25">
      <c r="A304" s="5" t="s">
        <v>505</v>
      </c>
      <c r="B304" s="42">
        <f t="shared" si="12"/>
        <v>163.93782999999991</v>
      </c>
      <c r="C304" s="7" t="s">
        <v>301</v>
      </c>
      <c r="D304" s="7" t="s">
        <v>299</v>
      </c>
      <c r="E304" s="7" t="s">
        <v>0</v>
      </c>
      <c r="F304" s="17">
        <v>165.22617999999989</v>
      </c>
      <c r="G304" s="7" t="s">
        <v>327</v>
      </c>
      <c r="H304" s="7" t="s">
        <v>329</v>
      </c>
      <c r="I304" s="10">
        <v>571.87</v>
      </c>
      <c r="J304" s="10">
        <f t="shared" si="13"/>
        <v>163937.8299999999</v>
      </c>
      <c r="K304" s="6">
        <f t="shared" si="14"/>
        <v>157757.45999999993</v>
      </c>
    </row>
    <row r="305" spans="1:11" x14ac:dyDescent="0.25">
      <c r="A305" s="5" t="s">
        <v>505</v>
      </c>
      <c r="B305" s="42">
        <f t="shared" si="12"/>
        <v>164.5096999999999</v>
      </c>
      <c r="C305" s="7" t="s">
        <v>299</v>
      </c>
      <c r="D305" s="7" t="s">
        <v>297</v>
      </c>
      <c r="E305" s="7" t="s">
        <v>828</v>
      </c>
      <c r="F305" s="17">
        <v>165.80463999999986</v>
      </c>
      <c r="G305" s="7" t="s">
        <v>329</v>
      </c>
      <c r="H305" s="7" t="s">
        <v>331</v>
      </c>
      <c r="I305" s="10">
        <v>486.27</v>
      </c>
      <c r="J305" s="10">
        <f t="shared" si="13"/>
        <v>164509.6999999999</v>
      </c>
      <c r="K305" s="6">
        <f t="shared" si="14"/>
        <v>157185.58999999994</v>
      </c>
    </row>
    <row r="306" spans="1:11" x14ac:dyDescent="0.25">
      <c r="A306" s="5" t="s">
        <v>505</v>
      </c>
      <c r="B306" s="42">
        <f t="shared" si="12"/>
        <v>164.99596999999989</v>
      </c>
      <c r="C306" s="7" t="s">
        <v>297</v>
      </c>
      <c r="D306" s="7" t="s">
        <v>295</v>
      </c>
      <c r="E306" s="7" t="s">
        <v>829</v>
      </c>
      <c r="F306" s="17">
        <v>166.35284999999985</v>
      </c>
      <c r="G306" s="7" t="s">
        <v>331</v>
      </c>
      <c r="H306" s="7" t="s">
        <v>333</v>
      </c>
      <c r="I306" s="10">
        <v>558.63</v>
      </c>
      <c r="J306" s="10">
        <f t="shared" si="13"/>
        <v>164995.96999999988</v>
      </c>
      <c r="K306" s="6">
        <f t="shared" si="14"/>
        <v>156699.31999999995</v>
      </c>
    </row>
    <row r="307" spans="1:11" x14ac:dyDescent="0.25">
      <c r="A307" s="5" t="s">
        <v>505</v>
      </c>
      <c r="B307" s="42">
        <f t="shared" si="12"/>
        <v>165.55459999999988</v>
      </c>
      <c r="C307" s="7" t="s">
        <v>295</v>
      </c>
      <c r="D307" s="7" t="s">
        <v>293</v>
      </c>
      <c r="E307" s="7" t="s">
        <v>829</v>
      </c>
      <c r="F307" s="17">
        <v>166.91992999999985</v>
      </c>
      <c r="G307" s="7" t="s">
        <v>333</v>
      </c>
      <c r="H307" s="7" t="s">
        <v>335</v>
      </c>
      <c r="I307" s="10">
        <v>558.74</v>
      </c>
      <c r="J307" s="10">
        <f t="shared" si="13"/>
        <v>165554.59999999989</v>
      </c>
      <c r="K307" s="6">
        <f t="shared" si="14"/>
        <v>156140.68999999994</v>
      </c>
    </row>
    <row r="308" spans="1:11" x14ac:dyDescent="0.25">
      <c r="A308" s="5" t="s">
        <v>505</v>
      </c>
      <c r="B308" s="42">
        <f t="shared" si="12"/>
        <v>166.11333999999988</v>
      </c>
      <c r="C308" s="7" t="s">
        <v>293</v>
      </c>
      <c r="D308" s="7" t="s">
        <v>291</v>
      </c>
      <c r="E308" s="7" t="s">
        <v>829</v>
      </c>
      <c r="F308" s="17">
        <v>167.41545999999985</v>
      </c>
      <c r="G308" s="7" t="s">
        <v>335</v>
      </c>
      <c r="H308" s="7" t="s">
        <v>337</v>
      </c>
      <c r="I308" s="10">
        <v>492.82</v>
      </c>
      <c r="J308" s="10">
        <f t="shared" si="13"/>
        <v>166113.33999999988</v>
      </c>
      <c r="K308" s="6">
        <f t="shared" si="14"/>
        <v>155581.94999999995</v>
      </c>
    </row>
    <row r="309" spans="1:11" x14ac:dyDescent="0.25">
      <c r="A309" s="5" t="s">
        <v>505</v>
      </c>
      <c r="B309" s="42">
        <f t="shared" si="12"/>
        <v>166.60615999999987</v>
      </c>
      <c r="C309" s="7" t="s">
        <v>291</v>
      </c>
      <c r="D309" s="7" t="s">
        <v>289</v>
      </c>
      <c r="E309" s="7" t="s">
        <v>829</v>
      </c>
      <c r="F309" s="17">
        <v>167.88511999999986</v>
      </c>
      <c r="G309" s="7" t="s">
        <v>337</v>
      </c>
      <c r="H309" s="7" t="s">
        <v>339</v>
      </c>
      <c r="I309" s="10">
        <v>486.64</v>
      </c>
      <c r="J309" s="10">
        <f t="shared" si="13"/>
        <v>166606.15999999989</v>
      </c>
      <c r="K309" s="6">
        <f t="shared" si="14"/>
        <v>155089.12999999995</v>
      </c>
    </row>
    <row r="310" spans="1:11" x14ac:dyDescent="0.25">
      <c r="A310" s="5" t="s">
        <v>505</v>
      </c>
      <c r="B310" s="42">
        <f t="shared" si="12"/>
        <v>167.0927999999999</v>
      </c>
      <c r="C310" s="7" t="s">
        <v>289</v>
      </c>
      <c r="D310" s="7" t="s">
        <v>287</v>
      </c>
      <c r="E310" s="7" t="s">
        <v>829</v>
      </c>
      <c r="F310" s="17">
        <v>168.45013999999983</v>
      </c>
      <c r="G310" s="7" t="s">
        <v>339</v>
      </c>
      <c r="H310" s="7" t="s">
        <v>341</v>
      </c>
      <c r="I310" s="10">
        <v>513.36</v>
      </c>
      <c r="J310" s="10">
        <f t="shared" si="13"/>
        <v>167092.7999999999</v>
      </c>
      <c r="K310" s="6">
        <f t="shared" si="14"/>
        <v>154602.48999999993</v>
      </c>
    </row>
    <row r="311" spans="1:11" x14ac:dyDescent="0.25">
      <c r="A311" s="5" t="s">
        <v>505</v>
      </c>
      <c r="B311" s="42">
        <f t="shared" si="12"/>
        <v>167.60615999999987</v>
      </c>
      <c r="C311" s="7" t="s">
        <v>287</v>
      </c>
      <c r="D311" s="7" t="s">
        <v>285</v>
      </c>
      <c r="E311" s="7" t="s">
        <v>829</v>
      </c>
      <c r="F311" s="17">
        <v>169.03829999999985</v>
      </c>
      <c r="G311" s="7" t="s">
        <v>341</v>
      </c>
      <c r="H311" s="7" t="s">
        <v>343</v>
      </c>
      <c r="I311" s="10">
        <v>581.79</v>
      </c>
      <c r="J311" s="10">
        <f t="shared" si="13"/>
        <v>167606.15999999989</v>
      </c>
      <c r="K311" s="6">
        <f t="shared" si="14"/>
        <v>154089.12999999995</v>
      </c>
    </row>
    <row r="312" spans="1:11" x14ac:dyDescent="0.25">
      <c r="A312" s="5" t="s">
        <v>505</v>
      </c>
      <c r="B312" s="42">
        <f t="shared" si="12"/>
        <v>168.18794999999989</v>
      </c>
      <c r="C312" s="7" t="s">
        <v>285</v>
      </c>
      <c r="D312" s="7" t="s">
        <v>283</v>
      </c>
      <c r="E312" s="7" t="s">
        <v>829</v>
      </c>
      <c r="F312" s="17">
        <v>169.56668999999985</v>
      </c>
      <c r="G312" s="7" t="s">
        <v>343</v>
      </c>
      <c r="H312" s="7" t="s">
        <v>345</v>
      </c>
      <c r="I312" s="10">
        <v>610.30999999999995</v>
      </c>
      <c r="J312" s="10">
        <f t="shared" si="13"/>
        <v>168187.9499999999</v>
      </c>
      <c r="K312" s="6">
        <f t="shared" si="14"/>
        <v>153507.33999999994</v>
      </c>
    </row>
    <row r="313" spans="1:11" x14ac:dyDescent="0.25">
      <c r="A313" s="5" t="s">
        <v>505</v>
      </c>
      <c r="B313" s="42">
        <f t="shared" si="12"/>
        <v>168.79825999999989</v>
      </c>
      <c r="C313" s="7" t="s">
        <v>283</v>
      </c>
      <c r="D313" s="7" t="s">
        <v>281</v>
      </c>
      <c r="E313" s="7" t="s">
        <v>829</v>
      </c>
      <c r="F313" s="17">
        <v>170.13613999999987</v>
      </c>
      <c r="G313" s="7" t="s">
        <v>345</v>
      </c>
      <c r="H313" s="7" t="s">
        <v>347</v>
      </c>
      <c r="I313" s="10">
        <v>548.75</v>
      </c>
      <c r="J313" s="10">
        <f t="shared" si="13"/>
        <v>168798.25999999989</v>
      </c>
      <c r="K313" s="6">
        <f t="shared" si="14"/>
        <v>152897.02999999994</v>
      </c>
    </row>
    <row r="314" spans="1:11" x14ac:dyDescent="0.25">
      <c r="A314" s="5" t="s">
        <v>505</v>
      </c>
      <c r="B314" s="42">
        <f t="shared" si="12"/>
        <v>169.3470099999999</v>
      </c>
      <c r="C314" s="7" t="s">
        <v>281</v>
      </c>
      <c r="D314" s="7" t="s">
        <v>279</v>
      </c>
      <c r="E314" s="7" t="s">
        <v>829</v>
      </c>
      <c r="F314" s="17">
        <v>170.62167999999988</v>
      </c>
      <c r="G314" s="7" t="s">
        <v>347</v>
      </c>
      <c r="H314" s="7" t="s">
        <v>349</v>
      </c>
      <c r="I314" s="10">
        <v>577.04</v>
      </c>
      <c r="J314" s="10">
        <f t="shared" si="13"/>
        <v>169347.00999999989</v>
      </c>
      <c r="K314" s="6">
        <f t="shared" si="14"/>
        <v>152348.27999999994</v>
      </c>
    </row>
    <row r="315" spans="1:11" x14ac:dyDescent="0.25">
      <c r="A315" s="5" t="s">
        <v>505</v>
      </c>
      <c r="B315" s="42">
        <f t="shared" si="12"/>
        <v>169.92404999999991</v>
      </c>
      <c r="C315" s="7" t="s">
        <v>279</v>
      </c>
      <c r="D315" s="7" t="s">
        <v>277</v>
      </c>
      <c r="E315" s="7" t="s">
        <v>829</v>
      </c>
      <c r="F315" s="17">
        <v>171.06213999999986</v>
      </c>
      <c r="G315" s="7" t="s">
        <v>349</v>
      </c>
      <c r="H315" s="7" t="s">
        <v>351</v>
      </c>
      <c r="I315" s="10">
        <v>521.08000000000004</v>
      </c>
      <c r="J315" s="10">
        <f t="shared" si="13"/>
        <v>169924.0499999999</v>
      </c>
      <c r="K315" s="6">
        <f t="shared" si="14"/>
        <v>151771.23999999993</v>
      </c>
    </row>
    <row r="316" spans="1:11" x14ac:dyDescent="0.25">
      <c r="A316" s="5" t="s">
        <v>505</v>
      </c>
      <c r="B316" s="42">
        <f t="shared" si="12"/>
        <v>170.44512999999989</v>
      </c>
      <c r="C316" s="7" t="s">
        <v>277</v>
      </c>
      <c r="D316" s="7" t="s">
        <v>275</v>
      </c>
      <c r="E316" s="7" t="s">
        <v>829</v>
      </c>
      <c r="F316" s="17">
        <v>171.62139999999988</v>
      </c>
      <c r="G316" s="7" t="s">
        <v>351</v>
      </c>
      <c r="H316" s="7" t="s">
        <v>353</v>
      </c>
      <c r="I316" s="10">
        <v>630.13</v>
      </c>
      <c r="J316" s="10">
        <f t="shared" si="13"/>
        <v>170445.12999999989</v>
      </c>
      <c r="K316" s="6">
        <f t="shared" si="14"/>
        <v>151250.15999999995</v>
      </c>
    </row>
    <row r="317" spans="1:11" x14ac:dyDescent="0.25">
      <c r="A317" s="5" t="s">
        <v>505</v>
      </c>
      <c r="B317" s="42">
        <f t="shared" si="12"/>
        <v>171.0752599999999</v>
      </c>
      <c r="C317" s="7" t="s">
        <v>275</v>
      </c>
      <c r="D317" s="7" t="s">
        <v>273</v>
      </c>
      <c r="E317" s="7" t="s">
        <v>829</v>
      </c>
      <c r="F317" s="17">
        <v>172.19454999999988</v>
      </c>
      <c r="G317" s="7" t="s">
        <v>353</v>
      </c>
      <c r="H317" s="7" t="s">
        <v>355</v>
      </c>
      <c r="I317" s="10">
        <v>567.53</v>
      </c>
      <c r="J317" s="10">
        <f t="shared" si="13"/>
        <v>171075.25999999989</v>
      </c>
      <c r="K317" s="6">
        <f t="shared" si="14"/>
        <v>150620.02999999994</v>
      </c>
    </row>
    <row r="318" spans="1:11" x14ac:dyDescent="0.25">
      <c r="A318" s="5" t="s">
        <v>505</v>
      </c>
      <c r="B318" s="42">
        <f t="shared" si="12"/>
        <v>171.64278999999991</v>
      </c>
      <c r="C318" s="7" t="s">
        <v>273</v>
      </c>
      <c r="D318" s="7" t="s">
        <v>271</v>
      </c>
      <c r="E318" s="7" t="s">
        <v>829</v>
      </c>
      <c r="F318" s="17">
        <v>172.73724999999988</v>
      </c>
      <c r="G318" s="7" t="s">
        <v>355</v>
      </c>
      <c r="H318" s="7" t="s">
        <v>357</v>
      </c>
      <c r="I318" s="10">
        <v>546.89</v>
      </c>
      <c r="J318" s="10">
        <f t="shared" si="13"/>
        <v>171642.78999999989</v>
      </c>
      <c r="K318" s="6">
        <f t="shared" si="14"/>
        <v>150052.49999999994</v>
      </c>
    </row>
    <row r="319" spans="1:11" x14ac:dyDescent="0.25">
      <c r="A319" s="5" t="s">
        <v>505</v>
      </c>
      <c r="B319" s="42">
        <f t="shared" si="12"/>
        <v>172.1896799999999</v>
      </c>
      <c r="C319" s="7" t="s">
        <v>271</v>
      </c>
      <c r="D319" s="7" t="s">
        <v>270</v>
      </c>
      <c r="E319" s="7" t="s">
        <v>829</v>
      </c>
      <c r="F319" s="17">
        <v>173.34193999999988</v>
      </c>
      <c r="G319" s="7" t="s">
        <v>357</v>
      </c>
      <c r="H319" s="7" t="s">
        <v>359</v>
      </c>
      <c r="I319" s="10">
        <v>557.19000000000005</v>
      </c>
      <c r="J319" s="10">
        <f t="shared" si="13"/>
        <v>172189.67999999991</v>
      </c>
      <c r="K319" s="6">
        <f t="shared" si="14"/>
        <v>149505.60999999993</v>
      </c>
    </row>
    <row r="320" spans="1:11" x14ac:dyDescent="0.25">
      <c r="A320" s="5" t="s">
        <v>505</v>
      </c>
      <c r="B320" s="42">
        <f t="shared" si="12"/>
        <v>172.74686999999992</v>
      </c>
      <c r="C320" s="7" t="s">
        <v>270</v>
      </c>
      <c r="D320" s="7" t="s">
        <v>269</v>
      </c>
      <c r="E320" s="7" t="s">
        <v>829</v>
      </c>
      <c r="F320" s="17">
        <v>173.90289999999987</v>
      </c>
      <c r="G320" s="7" t="s">
        <v>359</v>
      </c>
      <c r="H320" s="7" t="s">
        <v>361</v>
      </c>
      <c r="I320" s="10">
        <v>468.57</v>
      </c>
      <c r="J320" s="10">
        <f t="shared" si="13"/>
        <v>172746.86999999991</v>
      </c>
      <c r="K320" s="6">
        <f t="shared" si="14"/>
        <v>148948.41999999993</v>
      </c>
    </row>
    <row r="321" spans="1:11" x14ac:dyDescent="0.25">
      <c r="A321" s="5" t="s">
        <v>505</v>
      </c>
      <c r="B321" s="42">
        <f t="shared" si="12"/>
        <v>173.21543999999992</v>
      </c>
      <c r="C321" s="7" t="s">
        <v>269</v>
      </c>
      <c r="D321" s="7" t="s">
        <v>268</v>
      </c>
      <c r="E321" s="7" t="s">
        <v>829</v>
      </c>
      <c r="F321" s="17">
        <v>174.47561999999988</v>
      </c>
      <c r="G321" s="7" t="s">
        <v>361</v>
      </c>
      <c r="H321" s="7" t="s">
        <v>363</v>
      </c>
      <c r="I321" s="10">
        <v>554.41999999999996</v>
      </c>
      <c r="J321" s="10">
        <f t="shared" si="13"/>
        <v>173215.43999999992</v>
      </c>
      <c r="K321" s="6">
        <f t="shared" si="14"/>
        <v>148479.84999999992</v>
      </c>
    </row>
    <row r="322" spans="1:11" x14ac:dyDescent="0.25">
      <c r="A322" s="5" t="s">
        <v>505</v>
      </c>
      <c r="B322" s="42">
        <f t="shared" si="12"/>
        <v>173.76985999999994</v>
      </c>
      <c r="C322" s="7" t="s">
        <v>268</v>
      </c>
      <c r="D322" s="7" t="s">
        <v>267</v>
      </c>
      <c r="E322" s="7" t="s">
        <v>829</v>
      </c>
      <c r="F322" s="17">
        <v>175.02780999999987</v>
      </c>
      <c r="G322" s="7" t="s">
        <v>363</v>
      </c>
      <c r="H322" s="7" t="s">
        <v>365</v>
      </c>
      <c r="I322" s="10">
        <v>551.79</v>
      </c>
      <c r="J322" s="10">
        <f t="shared" si="13"/>
        <v>173769.85999999993</v>
      </c>
      <c r="K322" s="6">
        <f t="shared" si="14"/>
        <v>147925.42999999991</v>
      </c>
    </row>
    <row r="323" spans="1:11" x14ac:dyDescent="0.25">
      <c r="A323" s="5" t="s">
        <v>505</v>
      </c>
      <c r="B323" s="42">
        <f t="shared" ref="B323:B386" si="15">J323/1000</f>
        <v>174.32164999999995</v>
      </c>
      <c r="C323" s="7" t="s">
        <v>267</v>
      </c>
      <c r="D323" s="7" t="s">
        <v>266</v>
      </c>
      <c r="E323" s="7" t="s">
        <v>829</v>
      </c>
      <c r="F323" s="17">
        <v>175.60586999999987</v>
      </c>
      <c r="G323" s="7" t="s">
        <v>365</v>
      </c>
      <c r="H323" s="7" t="s">
        <v>367</v>
      </c>
      <c r="I323" s="10">
        <v>522.85</v>
      </c>
      <c r="J323" s="10">
        <f t="shared" si="13"/>
        <v>174321.64999999994</v>
      </c>
      <c r="K323" s="6">
        <f t="shared" si="14"/>
        <v>147373.6399999999</v>
      </c>
    </row>
    <row r="324" spans="1:11" x14ac:dyDescent="0.25">
      <c r="A324" s="5" t="s">
        <v>505</v>
      </c>
      <c r="B324" s="42">
        <f t="shared" si="15"/>
        <v>174.84449999999995</v>
      </c>
      <c r="C324" s="7" t="s">
        <v>266</v>
      </c>
      <c r="D324" s="7" t="s">
        <v>265</v>
      </c>
      <c r="E324" s="7" t="s">
        <v>829</v>
      </c>
      <c r="F324" s="17">
        <v>176.15168999999989</v>
      </c>
      <c r="G324" s="7" t="s">
        <v>367</v>
      </c>
      <c r="H324" s="7" t="s">
        <v>369</v>
      </c>
      <c r="I324" s="10">
        <v>456.1</v>
      </c>
      <c r="J324" s="10">
        <f t="shared" si="13"/>
        <v>174844.49999999994</v>
      </c>
      <c r="K324" s="6">
        <f t="shared" si="14"/>
        <v>146850.78999999989</v>
      </c>
    </row>
    <row r="325" spans="1:11" x14ac:dyDescent="0.25">
      <c r="A325" s="5" t="s">
        <v>505</v>
      </c>
      <c r="B325" s="42">
        <f t="shared" si="15"/>
        <v>175.30059999999995</v>
      </c>
      <c r="C325" s="7" t="s">
        <v>265</v>
      </c>
      <c r="D325" s="7" t="s">
        <v>264</v>
      </c>
      <c r="E325" s="7" t="s">
        <v>829</v>
      </c>
      <c r="F325" s="17">
        <v>176.75071999999989</v>
      </c>
      <c r="G325" s="7" t="s">
        <v>369</v>
      </c>
      <c r="H325" s="7" t="s">
        <v>371</v>
      </c>
      <c r="I325" s="10">
        <v>572.22</v>
      </c>
      <c r="J325" s="10">
        <f t="shared" si="13"/>
        <v>175300.59999999995</v>
      </c>
      <c r="K325" s="6">
        <f t="shared" si="14"/>
        <v>146394.68999999989</v>
      </c>
    </row>
    <row r="326" spans="1:11" x14ac:dyDescent="0.25">
      <c r="A326" s="5" t="s">
        <v>505</v>
      </c>
      <c r="B326" s="42">
        <f t="shared" si="15"/>
        <v>175.87281999999996</v>
      </c>
      <c r="C326" s="7" t="s">
        <v>264</v>
      </c>
      <c r="D326" s="7" t="s">
        <v>263</v>
      </c>
      <c r="E326" s="7" t="s">
        <v>829</v>
      </c>
      <c r="F326" s="17">
        <v>177.30844999999991</v>
      </c>
      <c r="G326" s="7" t="s">
        <v>371</v>
      </c>
      <c r="H326" s="7" t="s">
        <v>373</v>
      </c>
      <c r="I326" s="10">
        <v>578.01</v>
      </c>
      <c r="J326" s="10">
        <f t="shared" ref="J326:J389" si="16">J325+I325</f>
        <v>175872.81999999995</v>
      </c>
      <c r="K326" s="6">
        <f t="shared" ref="K326:K389" si="17">K325-I325</f>
        <v>145822.46999999988</v>
      </c>
    </row>
    <row r="327" spans="1:11" x14ac:dyDescent="0.25">
      <c r="A327" s="5" t="s">
        <v>505</v>
      </c>
      <c r="B327" s="42">
        <f t="shared" si="15"/>
        <v>176.45082999999997</v>
      </c>
      <c r="C327" s="7" t="s">
        <v>263</v>
      </c>
      <c r="D327" s="7" t="s">
        <v>262</v>
      </c>
      <c r="E327" s="7" t="s">
        <v>829</v>
      </c>
      <c r="F327" s="17">
        <v>177.86708999999991</v>
      </c>
      <c r="G327" s="7" t="s">
        <v>373</v>
      </c>
      <c r="H327" s="7" t="s">
        <v>375</v>
      </c>
      <c r="I327" s="10">
        <v>553.13</v>
      </c>
      <c r="J327" s="10">
        <f t="shared" si="16"/>
        <v>176450.82999999996</v>
      </c>
      <c r="K327" s="6">
        <f t="shared" si="17"/>
        <v>145244.45999999988</v>
      </c>
    </row>
    <row r="328" spans="1:11" x14ac:dyDescent="0.25">
      <c r="A328" s="5" t="s">
        <v>505</v>
      </c>
      <c r="B328" s="42">
        <f t="shared" si="15"/>
        <v>177.00395999999995</v>
      </c>
      <c r="C328" s="7" t="s">
        <v>262</v>
      </c>
      <c r="D328" s="7" t="s">
        <v>261</v>
      </c>
      <c r="E328" s="7" t="s">
        <v>829</v>
      </c>
      <c r="F328" s="17">
        <v>178.43600999999992</v>
      </c>
      <c r="G328" s="7" t="s">
        <v>375</v>
      </c>
      <c r="H328" s="7" t="s">
        <v>377</v>
      </c>
      <c r="I328" s="10">
        <v>534.42999999999995</v>
      </c>
      <c r="J328" s="10">
        <f t="shared" si="16"/>
        <v>177003.95999999996</v>
      </c>
      <c r="K328" s="6">
        <f t="shared" si="17"/>
        <v>144691.32999999987</v>
      </c>
    </row>
    <row r="329" spans="1:11" x14ac:dyDescent="0.25">
      <c r="A329" s="5" t="s">
        <v>505</v>
      </c>
      <c r="B329" s="42">
        <f t="shared" si="15"/>
        <v>177.53838999999996</v>
      </c>
      <c r="C329" s="7" t="s">
        <v>261</v>
      </c>
      <c r="D329" s="7" t="s">
        <v>260</v>
      </c>
      <c r="E329" s="7" t="s">
        <v>829</v>
      </c>
      <c r="F329" s="17">
        <v>178.97161999999992</v>
      </c>
      <c r="G329" s="7" t="s">
        <v>377</v>
      </c>
      <c r="H329" s="7" t="s">
        <v>379</v>
      </c>
      <c r="I329" s="10">
        <v>571.44000000000005</v>
      </c>
      <c r="J329" s="10">
        <f t="shared" si="16"/>
        <v>177538.38999999996</v>
      </c>
      <c r="K329" s="6">
        <f t="shared" si="17"/>
        <v>144156.89999999988</v>
      </c>
    </row>
    <row r="330" spans="1:11" x14ac:dyDescent="0.25">
      <c r="A330" s="5" t="s">
        <v>505</v>
      </c>
      <c r="B330" s="42">
        <f t="shared" si="15"/>
        <v>178.10982999999996</v>
      </c>
      <c r="C330" s="7" t="s">
        <v>260</v>
      </c>
      <c r="D330" s="7" t="s">
        <v>259</v>
      </c>
      <c r="E330" s="7" t="s">
        <v>829</v>
      </c>
      <c r="F330" s="17">
        <v>179.59769999999989</v>
      </c>
      <c r="G330" s="7" t="s">
        <v>379</v>
      </c>
      <c r="H330" s="7" t="s">
        <v>381</v>
      </c>
      <c r="I330" s="10">
        <v>628.54</v>
      </c>
      <c r="J330" s="10">
        <f t="shared" si="16"/>
        <v>178109.82999999996</v>
      </c>
      <c r="K330" s="6">
        <f t="shared" si="17"/>
        <v>143585.45999999988</v>
      </c>
    </row>
    <row r="331" spans="1:11" x14ac:dyDescent="0.25">
      <c r="A331" s="5" t="s">
        <v>505</v>
      </c>
      <c r="B331" s="42">
        <f t="shared" si="15"/>
        <v>178.73836999999997</v>
      </c>
      <c r="C331" s="7" t="s">
        <v>259</v>
      </c>
      <c r="D331" s="7" t="s">
        <v>258</v>
      </c>
      <c r="E331" s="7" t="s">
        <v>829</v>
      </c>
      <c r="F331" s="17">
        <v>180.14307999999991</v>
      </c>
      <c r="G331" s="7" t="s">
        <v>381</v>
      </c>
      <c r="H331" s="7" t="s">
        <v>383</v>
      </c>
      <c r="I331" s="10">
        <v>723.15</v>
      </c>
      <c r="J331" s="10">
        <f t="shared" si="16"/>
        <v>178738.36999999997</v>
      </c>
      <c r="K331" s="6">
        <f t="shared" si="17"/>
        <v>142956.91999999987</v>
      </c>
    </row>
    <row r="332" spans="1:11" x14ac:dyDescent="0.25">
      <c r="A332" s="5" t="s">
        <v>505</v>
      </c>
      <c r="B332" s="42">
        <f t="shared" si="15"/>
        <v>179.46151999999995</v>
      </c>
      <c r="C332" s="7" t="s">
        <v>258</v>
      </c>
      <c r="D332" s="7" t="s">
        <v>257</v>
      </c>
      <c r="E332" s="7" t="s">
        <v>829</v>
      </c>
      <c r="F332" s="17">
        <v>180.71005999999991</v>
      </c>
      <c r="G332" s="7" t="s">
        <v>383</v>
      </c>
      <c r="H332" s="7" t="s">
        <v>385</v>
      </c>
      <c r="I332" s="10">
        <v>650.75</v>
      </c>
      <c r="J332" s="10">
        <f t="shared" si="16"/>
        <v>179461.51999999996</v>
      </c>
      <c r="K332" s="6">
        <f t="shared" si="17"/>
        <v>142233.76999999987</v>
      </c>
    </row>
    <row r="333" spans="1:11" x14ac:dyDescent="0.25">
      <c r="A333" s="5" t="s">
        <v>505</v>
      </c>
      <c r="B333" s="42">
        <f t="shared" si="15"/>
        <v>180.11226999999997</v>
      </c>
      <c r="C333" s="7" t="s">
        <v>257</v>
      </c>
      <c r="D333" s="7" t="s">
        <v>256</v>
      </c>
      <c r="E333" s="7" t="s">
        <v>829</v>
      </c>
      <c r="F333" s="17">
        <v>181.28385999999989</v>
      </c>
      <c r="G333" s="7" t="s">
        <v>385</v>
      </c>
      <c r="H333" s="7" t="s">
        <v>387</v>
      </c>
      <c r="I333" s="10">
        <v>547.62</v>
      </c>
      <c r="J333" s="10">
        <f t="shared" si="16"/>
        <v>180112.26999999996</v>
      </c>
      <c r="K333" s="6">
        <f t="shared" si="17"/>
        <v>141583.01999999987</v>
      </c>
    </row>
    <row r="334" spans="1:11" x14ac:dyDescent="0.25">
      <c r="A334" s="5" t="s">
        <v>505</v>
      </c>
      <c r="B334" s="42">
        <f t="shared" si="15"/>
        <v>180.65988999999996</v>
      </c>
      <c r="C334" s="7" t="s">
        <v>256</v>
      </c>
      <c r="D334" s="7" t="s">
        <v>255</v>
      </c>
      <c r="E334" s="7" t="s">
        <v>829</v>
      </c>
      <c r="F334" s="17">
        <v>181.85261999999992</v>
      </c>
      <c r="G334" s="7" t="s">
        <v>387</v>
      </c>
      <c r="H334" s="7" t="s">
        <v>389</v>
      </c>
      <c r="I334" s="10">
        <v>567.94000000000005</v>
      </c>
      <c r="J334" s="10">
        <f t="shared" si="16"/>
        <v>180659.88999999996</v>
      </c>
      <c r="K334" s="6">
        <f t="shared" si="17"/>
        <v>141035.39999999988</v>
      </c>
    </row>
    <row r="335" spans="1:11" x14ac:dyDescent="0.25">
      <c r="A335" s="5" t="s">
        <v>505</v>
      </c>
      <c r="B335" s="42">
        <f t="shared" si="15"/>
        <v>181.22782999999995</v>
      </c>
      <c r="C335" s="7" t="s">
        <v>255</v>
      </c>
      <c r="D335" s="7" t="s">
        <v>254</v>
      </c>
      <c r="E335" s="7" t="s">
        <v>829</v>
      </c>
      <c r="F335" s="17">
        <v>182.42439999999991</v>
      </c>
      <c r="G335" s="7" t="s">
        <v>389</v>
      </c>
      <c r="H335" s="7" t="s">
        <v>391</v>
      </c>
      <c r="I335" s="10">
        <v>595.84</v>
      </c>
      <c r="J335" s="10">
        <f t="shared" si="16"/>
        <v>181227.82999999996</v>
      </c>
      <c r="K335" s="6">
        <f t="shared" si="17"/>
        <v>140467.45999999988</v>
      </c>
    </row>
    <row r="336" spans="1:11" x14ac:dyDescent="0.25">
      <c r="A336" s="5" t="s">
        <v>505</v>
      </c>
      <c r="B336" s="42">
        <f t="shared" si="15"/>
        <v>181.82366999999996</v>
      </c>
      <c r="C336" s="7" t="s">
        <v>254</v>
      </c>
      <c r="D336" s="7" t="s">
        <v>253</v>
      </c>
      <c r="E336" s="7" t="s">
        <v>829</v>
      </c>
      <c r="F336" s="17">
        <v>182.9677999999999</v>
      </c>
      <c r="G336" s="7" t="s">
        <v>391</v>
      </c>
      <c r="H336" s="7" t="s">
        <v>393</v>
      </c>
      <c r="I336" s="10">
        <v>600.65</v>
      </c>
      <c r="J336" s="10">
        <f t="shared" si="16"/>
        <v>181823.66999999995</v>
      </c>
      <c r="K336" s="6">
        <f t="shared" si="17"/>
        <v>139871.61999999988</v>
      </c>
    </row>
    <row r="337" spans="1:11" x14ac:dyDescent="0.25">
      <c r="A337" s="5" t="s">
        <v>505</v>
      </c>
      <c r="B337" s="42">
        <f t="shared" si="15"/>
        <v>182.42431999999994</v>
      </c>
      <c r="C337" s="7" t="s">
        <v>253</v>
      </c>
      <c r="D337" s="7" t="s">
        <v>252</v>
      </c>
      <c r="E337" s="7" t="s">
        <v>829</v>
      </c>
      <c r="F337" s="17">
        <v>183.5742599999999</v>
      </c>
      <c r="G337" s="7" t="s">
        <v>393</v>
      </c>
      <c r="H337" s="7" t="s">
        <v>395</v>
      </c>
      <c r="I337" s="10">
        <v>544.4</v>
      </c>
      <c r="J337" s="10">
        <f t="shared" si="16"/>
        <v>182424.31999999995</v>
      </c>
      <c r="K337" s="6">
        <f t="shared" si="17"/>
        <v>139270.96999999988</v>
      </c>
    </row>
    <row r="338" spans="1:11" x14ac:dyDescent="0.25">
      <c r="A338" s="5" t="s">
        <v>505</v>
      </c>
      <c r="B338" s="42">
        <f t="shared" si="15"/>
        <v>182.96871999999993</v>
      </c>
      <c r="C338" s="7" t="s">
        <v>252</v>
      </c>
      <c r="D338" s="7" t="s">
        <v>251</v>
      </c>
      <c r="E338" s="7" t="s">
        <v>829</v>
      </c>
      <c r="F338" s="17">
        <v>184.12007999999989</v>
      </c>
      <c r="G338" s="7" t="s">
        <v>395</v>
      </c>
      <c r="H338" s="7" t="s">
        <v>397</v>
      </c>
      <c r="I338" s="10">
        <v>595.04</v>
      </c>
      <c r="J338" s="10">
        <f t="shared" si="16"/>
        <v>182968.71999999994</v>
      </c>
      <c r="K338" s="6">
        <f t="shared" si="17"/>
        <v>138726.56999999989</v>
      </c>
    </row>
    <row r="339" spans="1:11" x14ac:dyDescent="0.25">
      <c r="A339" s="5" t="s">
        <v>505</v>
      </c>
      <c r="B339" s="42">
        <f t="shared" si="15"/>
        <v>183.56375999999995</v>
      </c>
      <c r="C339" s="7" t="s">
        <v>251</v>
      </c>
      <c r="D339" s="7" t="s">
        <v>250</v>
      </c>
      <c r="E339" s="7" t="s">
        <v>829</v>
      </c>
      <c r="F339" s="17">
        <v>184.6743699999999</v>
      </c>
      <c r="G339" s="7" t="s">
        <v>397</v>
      </c>
      <c r="H339" s="7" t="s">
        <v>399</v>
      </c>
      <c r="I339" s="10">
        <v>522.20000000000005</v>
      </c>
      <c r="J339" s="10">
        <f t="shared" si="16"/>
        <v>183563.75999999995</v>
      </c>
      <c r="K339" s="6">
        <f t="shared" si="17"/>
        <v>138131.52999999988</v>
      </c>
    </row>
    <row r="340" spans="1:11" x14ac:dyDescent="0.25">
      <c r="A340" s="5" t="s">
        <v>505</v>
      </c>
      <c r="B340" s="42">
        <f t="shared" si="15"/>
        <v>184.08595999999997</v>
      </c>
      <c r="C340" s="7" t="s">
        <v>250</v>
      </c>
      <c r="D340" s="7" t="s">
        <v>249</v>
      </c>
      <c r="E340" s="7" t="s">
        <v>829</v>
      </c>
      <c r="F340" s="17">
        <v>185.21300999999991</v>
      </c>
      <c r="G340" s="7" t="s">
        <v>399</v>
      </c>
      <c r="H340" s="7" t="s">
        <v>401</v>
      </c>
      <c r="I340" s="10">
        <v>668.52</v>
      </c>
      <c r="J340" s="10">
        <f t="shared" si="16"/>
        <v>184085.95999999996</v>
      </c>
      <c r="K340" s="6">
        <f t="shared" si="17"/>
        <v>137609.32999999987</v>
      </c>
    </row>
    <row r="341" spans="1:11" x14ac:dyDescent="0.25">
      <c r="A341" s="5" t="s">
        <v>505</v>
      </c>
      <c r="B341" s="42">
        <f t="shared" si="15"/>
        <v>184.75447999999994</v>
      </c>
      <c r="C341" s="7" t="s">
        <v>249</v>
      </c>
      <c r="D341" s="7" t="s">
        <v>248</v>
      </c>
      <c r="E341" s="7" t="s">
        <v>829</v>
      </c>
      <c r="F341" s="17">
        <v>185.7943699999999</v>
      </c>
      <c r="G341" s="7" t="s">
        <v>401</v>
      </c>
      <c r="H341" s="7" t="s">
        <v>403</v>
      </c>
      <c r="I341" s="10">
        <v>652.65</v>
      </c>
      <c r="J341" s="10">
        <f t="shared" si="16"/>
        <v>184754.47999999995</v>
      </c>
      <c r="K341" s="6">
        <f t="shared" si="17"/>
        <v>136940.80999999988</v>
      </c>
    </row>
    <row r="342" spans="1:11" x14ac:dyDescent="0.25">
      <c r="A342" s="5" t="s">
        <v>505</v>
      </c>
      <c r="B342" s="42">
        <f t="shared" si="15"/>
        <v>185.40712999999994</v>
      </c>
      <c r="C342" s="7" t="s">
        <v>248</v>
      </c>
      <c r="D342" s="7" t="s">
        <v>247</v>
      </c>
      <c r="E342" s="7" t="s">
        <v>829</v>
      </c>
      <c r="F342" s="17">
        <v>186.3025899999999</v>
      </c>
      <c r="G342" s="7" t="s">
        <v>403</v>
      </c>
      <c r="H342" s="7" t="s">
        <v>405</v>
      </c>
      <c r="I342" s="10">
        <v>547.35</v>
      </c>
      <c r="J342" s="10">
        <f t="shared" si="16"/>
        <v>185407.12999999995</v>
      </c>
      <c r="K342" s="6">
        <f t="shared" si="17"/>
        <v>136288.15999999989</v>
      </c>
    </row>
    <row r="343" spans="1:11" x14ac:dyDescent="0.25">
      <c r="A343" s="5" t="s">
        <v>505</v>
      </c>
      <c r="B343" s="42">
        <f t="shared" si="15"/>
        <v>185.95447999999996</v>
      </c>
      <c r="C343" s="7" t="s">
        <v>247</v>
      </c>
      <c r="D343" s="7" t="s">
        <v>246</v>
      </c>
      <c r="E343" s="7" t="s">
        <v>829</v>
      </c>
      <c r="F343" s="17">
        <v>186.88996999999992</v>
      </c>
      <c r="G343" s="7" t="s">
        <v>405</v>
      </c>
      <c r="H343" s="7" t="s">
        <v>407</v>
      </c>
      <c r="I343" s="10">
        <v>413.76</v>
      </c>
      <c r="J343" s="10">
        <f t="shared" si="16"/>
        <v>185954.47999999995</v>
      </c>
      <c r="K343" s="6">
        <f t="shared" si="17"/>
        <v>135740.80999999988</v>
      </c>
    </row>
    <row r="344" spans="1:11" x14ac:dyDescent="0.25">
      <c r="A344" s="5" t="s">
        <v>505</v>
      </c>
      <c r="B344" s="42">
        <f t="shared" si="15"/>
        <v>186.36823999999996</v>
      </c>
      <c r="C344" s="7" t="s">
        <v>246</v>
      </c>
      <c r="D344" s="7" t="s">
        <v>245</v>
      </c>
      <c r="E344" s="7" t="s">
        <v>829</v>
      </c>
      <c r="F344" s="17">
        <v>187.47733999999991</v>
      </c>
      <c r="G344" s="7" t="s">
        <v>407</v>
      </c>
      <c r="H344" s="7" t="s">
        <v>409</v>
      </c>
      <c r="I344" s="10">
        <v>505.01</v>
      </c>
      <c r="J344" s="10">
        <f t="shared" si="16"/>
        <v>186368.23999999996</v>
      </c>
      <c r="K344" s="6">
        <f t="shared" si="17"/>
        <v>135327.04999999987</v>
      </c>
    </row>
    <row r="345" spans="1:11" x14ac:dyDescent="0.25">
      <c r="A345" s="5" t="s">
        <v>505</v>
      </c>
      <c r="B345" s="42">
        <f t="shared" si="15"/>
        <v>186.87324999999998</v>
      </c>
      <c r="C345" s="7" t="s">
        <v>245</v>
      </c>
      <c r="D345" s="7" t="s">
        <v>244</v>
      </c>
      <c r="E345" s="7" t="s">
        <v>829</v>
      </c>
      <c r="F345" s="17">
        <v>188.04447999999994</v>
      </c>
      <c r="G345" s="7" t="s">
        <v>409</v>
      </c>
      <c r="H345" s="7" t="s">
        <v>411</v>
      </c>
      <c r="I345" s="10">
        <v>468.59</v>
      </c>
      <c r="J345" s="10">
        <f t="shared" si="16"/>
        <v>186873.24999999997</v>
      </c>
      <c r="K345" s="6">
        <f t="shared" si="17"/>
        <v>134822.03999999986</v>
      </c>
    </row>
    <row r="346" spans="1:11" x14ac:dyDescent="0.25">
      <c r="A346" s="5" t="s">
        <v>505</v>
      </c>
      <c r="B346" s="42">
        <f t="shared" si="15"/>
        <v>187.34183999999996</v>
      </c>
      <c r="C346" s="7" t="s">
        <v>244</v>
      </c>
      <c r="D346" s="7" t="s">
        <v>243</v>
      </c>
      <c r="E346" s="7" t="s">
        <v>829</v>
      </c>
      <c r="F346" s="17">
        <v>188.5862799999999</v>
      </c>
      <c r="G346" s="7" t="s">
        <v>411</v>
      </c>
      <c r="H346" s="7" t="s">
        <v>413</v>
      </c>
      <c r="I346" s="10">
        <v>530.41</v>
      </c>
      <c r="J346" s="10">
        <f t="shared" si="16"/>
        <v>187341.83999999997</v>
      </c>
      <c r="K346" s="6">
        <f t="shared" si="17"/>
        <v>134353.44999999987</v>
      </c>
    </row>
    <row r="347" spans="1:11" x14ac:dyDescent="0.25">
      <c r="A347" s="5" t="s">
        <v>505</v>
      </c>
      <c r="B347" s="42">
        <f t="shared" si="15"/>
        <v>187.87224999999998</v>
      </c>
      <c r="C347" s="7" t="s">
        <v>243</v>
      </c>
      <c r="D347" s="7" t="s">
        <v>242</v>
      </c>
      <c r="E347" s="7" t="s">
        <v>829</v>
      </c>
      <c r="F347" s="17">
        <v>189.21507999999989</v>
      </c>
      <c r="G347" s="7" t="s">
        <v>413</v>
      </c>
      <c r="H347" s="7" t="s">
        <v>415</v>
      </c>
      <c r="I347" s="10">
        <v>511.97</v>
      </c>
      <c r="J347" s="10">
        <f t="shared" si="16"/>
        <v>187872.24999999997</v>
      </c>
      <c r="K347" s="6">
        <f t="shared" si="17"/>
        <v>133823.03999999986</v>
      </c>
    </row>
    <row r="348" spans="1:11" x14ac:dyDescent="0.25">
      <c r="A348" s="5" t="s">
        <v>505</v>
      </c>
      <c r="B348" s="42">
        <f t="shared" si="15"/>
        <v>188.38421999999997</v>
      </c>
      <c r="C348" s="7" t="s">
        <v>242</v>
      </c>
      <c r="D348" s="7" t="s">
        <v>241</v>
      </c>
      <c r="E348" s="7" t="s">
        <v>829</v>
      </c>
      <c r="F348" s="17">
        <v>189.7057299999999</v>
      </c>
      <c r="G348" s="7" t="s">
        <v>415</v>
      </c>
      <c r="H348" s="7" t="s">
        <v>417</v>
      </c>
      <c r="I348" s="10">
        <v>508.25</v>
      </c>
      <c r="J348" s="10">
        <f t="shared" si="16"/>
        <v>188384.21999999997</v>
      </c>
      <c r="K348" s="6">
        <f t="shared" si="17"/>
        <v>133311.06999999986</v>
      </c>
    </row>
    <row r="349" spans="1:11" x14ac:dyDescent="0.25">
      <c r="A349" s="5" t="s">
        <v>505</v>
      </c>
      <c r="B349" s="42">
        <f t="shared" si="15"/>
        <v>188.89246999999997</v>
      </c>
      <c r="C349" s="7" t="s">
        <v>241</v>
      </c>
      <c r="D349" s="7" t="s">
        <v>240</v>
      </c>
      <c r="E349" s="7" t="s">
        <v>829</v>
      </c>
      <c r="F349" s="17">
        <v>190.19494999999989</v>
      </c>
      <c r="G349" s="7" t="s">
        <v>417</v>
      </c>
      <c r="H349" s="7" t="s">
        <v>419</v>
      </c>
      <c r="I349" s="10">
        <v>457.77</v>
      </c>
      <c r="J349" s="10">
        <f t="shared" si="16"/>
        <v>188892.46999999997</v>
      </c>
      <c r="K349" s="6">
        <f t="shared" si="17"/>
        <v>132802.81999999986</v>
      </c>
    </row>
    <row r="350" spans="1:11" x14ac:dyDescent="0.25">
      <c r="A350" s="5" t="s">
        <v>505</v>
      </c>
      <c r="B350" s="42">
        <f t="shared" si="15"/>
        <v>189.35023999999996</v>
      </c>
      <c r="C350" s="7" t="s">
        <v>240</v>
      </c>
      <c r="D350" s="7" t="s">
        <v>239</v>
      </c>
      <c r="E350" s="7" t="s">
        <v>829</v>
      </c>
      <c r="F350" s="17">
        <v>190.77489999999992</v>
      </c>
      <c r="G350" s="7" t="s">
        <v>419</v>
      </c>
      <c r="H350" s="7" t="s">
        <v>421</v>
      </c>
      <c r="I350" s="10">
        <v>590.11</v>
      </c>
      <c r="J350" s="10">
        <f t="shared" si="16"/>
        <v>189350.23999999996</v>
      </c>
      <c r="K350" s="6">
        <f t="shared" si="17"/>
        <v>132345.04999999987</v>
      </c>
    </row>
    <row r="351" spans="1:11" x14ac:dyDescent="0.25">
      <c r="A351" s="5" t="s">
        <v>505</v>
      </c>
      <c r="B351" s="42">
        <f t="shared" si="15"/>
        <v>189.94034999999994</v>
      </c>
      <c r="C351" s="7" t="s">
        <v>239</v>
      </c>
      <c r="D351" s="7" t="s">
        <v>238</v>
      </c>
      <c r="E351" s="7" t="s">
        <v>829</v>
      </c>
      <c r="F351" s="17">
        <v>191.3645799999999</v>
      </c>
      <c r="G351" s="7" t="s">
        <v>421</v>
      </c>
      <c r="H351" s="7" t="s">
        <v>423</v>
      </c>
      <c r="I351" s="10">
        <v>607.20000000000005</v>
      </c>
      <c r="J351" s="10">
        <f t="shared" si="16"/>
        <v>189940.34999999995</v>
      </c>
      <c r="K351" s="6">
        <f t="shared" si="17"/>
        <v>131754.93999999989</v>
      </c>
    </row>
    <row r="352" spans="1:11" x14ac:dyDescent="0.25">
      <c r="A352" s="5" t="s">
        <v>505</v>
      </c>
      <c r="B352" s="42">
        <f t="shared" si="15"/>
        <v>190.54754999999997</v>
      </c>
      <c r="C352" s="7" t="s">
        <v>238</v>
      </c>
      <c r="D352" s="7" t="s">
        <v>237</v>
      </c>
      <c r="E352" s="7" t="s">
        <v>829</v>
      </c>
      <c r="F352" s="17">
        <v>191.8071599999999</v>
      </c>
      <c r="G352" s="7" t="s">
        <v>423</v>
      </c>
      <c r="H352" s="7" t="s">
        <v>425</v>
      </c>
      <c r="I352" s="10">
        <v>948.64</v>
      </c>
      <c r="J352" s="10">
        <f t="shared" si="16"/>
        <v>190547.54999999996</v>
      </c>
      <c r="K352" s="6">
        <f t="shared" si="17"/>
        <v>131147.73999999987</v>
      </c>
    </row>
    <row r="353" spans="1:11" x14ac:dyDescent="0.25">
      <c r="A353" s="5" t="s">
        <v>505</v>
      </c>
      <c r="B353" s="42">
        <f t="shared" si="15"/>
        <v>191.49618999999998</v>
      </c>
      <c r="C353" s="7" t="s">
        <v>237</v>
      </c>
      <c r="D353" s="7" t="s">
        <v>236</v>
      </c>
      <c r="E353" s="7" t="s">
        <v>829</v>
      </c>
      <c r="F353" s="17">
        <v>192.21307999999991</v>
      </c>
      <c r="G353" s="7" t="s">
        <v>425</v>
      </c>
      <c r="H353" s="7" t="s">
        <v>427</v>
      </c>
      <c r="I353" s="10">
        <v>815.42</v>
      </c>
      <c r="J353" s="10">
        <f t="shared" si="16"/>
        <v>191496.18999999997</v>
      </c>
      <c r="K353" s="6">
        <f t="shared" si="17"/>
        <v>130199.09999999987</v>
      </c>
    </row>
    <row r="354" spans="1:11" x14ac:dyDescent="0.25">
      <c r="A354" s="5" t="s">
        <v>505</v>
      </c>
      <c r="B354" s="42">
        <f t="shared" si="15"/>
        <v>192.31160999999997</v>
      </c>
      <c r="C354" s="7" t="s">
        <v>236</v>
      </c>
      <c r="D354" s="7" t="s">
        <v>235</v>
      </c>
      <c r="E354" s="7" t="s">
        <v>829</v>
      </c>
      <c r="F354" s="17">
        <v>192.60029999999989</v>
      </c>
      <c r="G354" s="7" t="s">
        <v>427</v>
      </c>
      <c r="H354" s="7" t="s">
        <v>429</v>
      </c>
      <c r="I354" s="10">
        <v>585.80999999999995</v>
      </c>
      <c r="J354" s="10">
        <f t="shared" si="16"/>
        <v>192311.61</v>
      </c>
      <c r="K354" s="6">
        <f t="shared" si="17"/>
        <v>129383.67999999988</v>
      </c>
    </row>
    <row r="355" spans="1:11" x14ac:dyDescent="0.25">
      <c r="A355" s="5" t="s">
        <v>505</v>
      </c>
      <c r="B355" s="42">
        <f t="shared" si="15"/>
        <v>192.89741999999998</v>
      </c>
      <c r="C355" s="7" t="s">
        <v>235</v>
      </c>
      <c r="D355" s="7" t="s">
        <v>234</v>
      </c>
      <c r="E355" s="7" t="s">
        <v>829</v>
      </c>
      <c r="F355" s="17">
        <v>193.03043999999991</v>
      </c>
      <c r="G355" s="7" t="s">
        <v>429</v>
      </c>
      <c r="H355" s="7" t="s">
        <v>431</v>
      </c>
      <c r="I355" s="10">
        <v>828.02</v>
      </c>
      <c r="J355" s="10">
        <f t="shared" si="16"/>
        <v>192897.41999999998</v>
      </c>
      <c r="K355" s="6">
        <f t="shared" si="17"/>
        <v>128797.86999999988</v>
      </c>
    </row>
    <row r="356" spans="1:11" x14ac:dyDescent="0.25">
      <c r="A356" s="5" t="s">
        <v>505</v>
      </c>
      <c r="B356" s="42">
        <f t="shared" si="15"/>
        <v>193.72543999999996</v>
      </c>
      <c r="C356" s="7" t="s">
        <v>234</v>
      </c>
      <c r="D356" s="7" t="s">
        <v>233</v>
      </c>
      <c r="E356" s="7" t="s">
        <v>829</v>
      </c>
      <c r="F356" s="17">
        <v>193.49932999999993</v>
      </c>
      <c r="G356" s="7" t="s">
        <v>431</v>
      </c>
      <c r="H356" s="7" t="s">
        <v>433</v>
      </c>
      <c r="I356" s="10">
        <v>627.16999999999996</v>
      </c>
      <c r="J356" s="10">
        <f t="shared" si="16"/>
        <v>193725.43999999997</v>
      </c>
      <c r="K356" s="6">
        <f t="shared" si="17"/>
        <v>127969.84999999987</v>
      </c>
    </row>
    <row r="357" spans="1:11" x14ac:dyDescent="0.25">
      <c r="A357" s="5" t="s">
        <v>505</v>
      </c>
      <c r="B357" s="42">
        <f t="shared" si="15"/>
        <v>194.35261</v>
      </c>
      <c r="C357" s="7" t="s">
        <v>233</v>
      </c>
      <c r="D357" s="7" t="s">
        <v>232</v>
      </c>
      <c r="E357" s="7" t="s">
        <v>829</v>
      </c>
      <c r="F357" s="17">
        <v>194.01658999999995</v>
      </c>
      <c r="G357" s="7" t="s">
        <v>433</v>
      </c>
      <c r="H357" s="7" t="s">
        <v>435</v>
      </c>
      <c r="I357" s="10">
        <v>572.64</v>
      </c>
      <c r="J357" s="10">
        <f t="shared" si="16"/>
        <v>194352.61</v>
      </c>
      <c r="K357" s="6">
        <f t="shared" si="17"/>
        <v>127342.67999999988</v>
      </c>
    </row>
    <row r="358" spans="1:11" x14ac:dyDescent="0.25">
      <c r="A358" s="5" t="s">
        <v>505</v>
      </c>
      <c r="B358" s="42">
        <f t="shared" si="15"/>
        <v>194.92525000000001</v>
      </c>
      <c r="C358" s="7" t="s">
        <v>232</v>
      </c>
      <c r="D358" s="7" t="s">
        <v>231</v>
      </c>
      <c r="E358" s="7" t="s">
        <v>829</v>
      </c>
      <c r="F358" s="17">
        <v>194.57978999999995</v>
      </c>
      <c r="G358" s="7" t="s">
        <v>435</v>
      </c>
      <c r="H358" s="7" t="s">
        <v>437</v>
      </c>
      <c r="I358" s="10">
        <v>622.4</v>
      </c>
      <c r="J358" s="10">
        <f t="shared" si="16"/>
        <v>194925.25</v>
      </c>
      <c r="K358" s="6">
        <f t="shared" si="17"/>
        <v>126770.03999999988</v>
      </c>
    </row>
    <row r="359" spans="1:11" x14ac:dyDescent="0.25">
      <c r="A359" s="5" t="s">
        <v>505</v>
      </c>
      <c r="B359" s="42">
        <f t="shared" si="15"/>
        <v>195.54765</v>
      </c>
      <c r="C359" s="7" t="s">
        <v>231</v>
      </c>
      <c r="D359" s="7" t="s">
        <v>230</v>
      </c>
      <c r="E359" s="7" t="s">
        <v>829</v>
      </c>
      <c r="F359" s="17">
        <v>195.12666999999996</v>
      </c>
      <c r="G359" s="7" t="s">
        <v>437</v>
      </c>
      <c r="H359" s="7" t="s">
        <v>439</v>
      </c>
      <c r="I359" s="10">
        <v>551.35</v>
      </c>
      <c r="J359" s="10">
        <f t="shared" si="16"/>
        <v>195547.65</v>
      </c>
      <c r="K359" s="6">
        <f t="shared" si="17"/>
        <v>126147.63999999988</v>
      </c>
    </row>
    <row r="360" spans="1:11" x14ac:dyDescent="0.25">
      <c r="A360" s="5" t="s">
        <v>505</v>
      </c>
      <c r="B360" s="42">
        <f t="shared" si="15"/>
        <v>196.09899999999999</v>
      </c>
      <c r="C360" s="7" t="s">
        <v>230</v>
      </c>
      <c r="D360" s="7" t="s">
        <v>229</v>
      </c>
      <c r="E360" s="7" t="s">
        <v>829</v>
      </c>
      <c r="F360" s="17">
        <v>195.70790999999994</v>
      </c>
      <c r="G360" s="7" t="s">
        <v>439</v>
      </c>
      <c r="H360" s="7" t="s">
        <v>441</v>
      </c>
      <c r="I360" s="10">
        <v>573.29999999999995</v>
      </c>
      <c r="J360" s="10">
        <f t="shared" si="16"/>
        <v>196099</v>
      </c>
      <c r="K360" s="6">
        <f t="shared" si="17"/>
        <v>125596.28999999988</v>
      </c>
    </row>
    <row r="361" spans="1:11" x14ac:dyDescent="0.25">
      <c r="A361" s="5" t="s">
        <v>505</v>
      </c>
      <c r="B361" s="42">
        <f t="shared" si="15"/>
        <v>196.67229999999998</v>
      </c>
      <c r="C361" s="7" t="s">
        <v>229</v>
      </c>
      <c r="D361" s="7" t="s">
        <v>228</v>
      </c>
      <c r="E361" s="7" t="s">
        <v>829</v>
      </c>
      <c r="F361" s="17">
        <v>196.29349999999994</v>
      </c>
      <c r="G361" s="7" t="s">
        <v>441</v>
      </c>
      <c r="H361" s="7" t="s">
        <v>443</v>
      </c>
      <c r="I361" s="10">
        <v>424.51</v>
      </c>
      <c r="J361" s="10">
        <f t="shared" si="16"/>
        <v>196672.3</v>
      </c>
      <c r="K361" s="6">
        <f t="shared" si="17"/>
        <v>125022.98999999987</v>
      </c>
    </row>
    <row r="362" spans="1:11" x14ac:dyDescent="0.25">
      <c r="A362" s="5" t="s">
        <v>505</v>
      </c>
      <c r="B362" s="42">
        <f t="shared" si="15"/>
        <v>197.09681</v>
      </c>
      <c r="C362" s="7" t="s">
        <v>228</v>
      </c>
      <c r="D362" s="7" t="s">
        <v>227</v>
      </c>
      <c r="E362" s="7" t="s">
        <v>829</v>
      </c>
      <c r="F362" s="17">
        <v>196.83932999999993</v>
      </c>
      <c r="G362" s="7" t="s">
        <v>443</v>
      </c>
      <c r="H362" s="7" t="s">
        <v>445</v>
      </c>
      <c r="I362" s="10">
        <v>466.34</v>
      </c>
      <c r="J362" s="10">
        <f t="shared" si="16"/>
        <v>197096.81</v>
      </c>
      <c r="K362" s="6">
        <f t="shared" si="17"/>
        <v>124598.47999999988</v>
      </c>
    </row>
    <row r="363" spans="1:11" x14ac:dyDescent="0.25">
      <c r="A363" s="5" t="s">
        <v>505</v>
      </c>
      <c r="B363" s="42">
        <f t="shared" si="15"/>
        <v>197.56315000000001</v>
      </c>
      <c r="C363" s="7" t="s">
        <v>227</v>
      </c>
      <c r="D363" s="7" t="s">
        <v>226</v>
      </c>
      <c r="E363" s="7" t="s">
        <v>829</v>
      </c>
      <c r="F363" s="17">
        <v>197.38177999999994</v>
      </c>
      <c r="G363" s="7" t="s">
        <v>445</v>
      </c>
      <c r="H363" s="7" t="s">
        <v>447</v>
      </c>
      <c r="I363" s="10">
        <v>533.16</v>
      </c>
      <c r="J363" s="10">
        <f t="shared" si="16"/>
        <v>197563.15</v>
      </c>
      <c r="K363" s="6">
        <f t="shared" si="17"/>
        <v>124132.13999999988</v>
      </c>
    </row>
    <row r="364" spans="1:11" x14ac:dyDescent="0.25">
      <c r="A364" s="5" t="s">
        <v>505</v>
      </c>
      <c r="B364" s="42">
        <f t="shared" si="15"/>
        <v>198.09630999999999</v>
      </c>
      <c r="C364" s="7" t="s">
        <v>226</v>
      </c>
      <c r="D364" s="7" t="s">
        <v>225</v>
      </c>
      <c r="E364" s="7" t="s">
        <v>829</v>
      </c>
      <c r="F364" s="17">
        <v>197.99296999999996</v>
      </c>
      <c r="G364" s="7" t="s">
        <v>447</v>
      </c>
      <c r="H364" s="7" t="s">
        <v>449</v>
      </c>
      <c r="I364" s="10">
        <v>543.87</v>
      </c>
      <c r="J364" s="10">
        <f t="shared" si="16"/>
        <v>198096.31</v>
      </c>
      <c r="K364" s="6">
        <f t="shared" si="17"/>
        <v>123598.97999999988</v>
      </c>
    </row>
    <row r="365" spans="1:11" x14ac:dyDescent="0.25">
      <c r="A365" s="5" t="s">
        <v>505</v>
      </c>
      <c r="B365" s="42">
        <f t="shared" si="15"/>
        <v>198.64017999999999</v>
      </c>
      <c r="C365" s="7" t="s">
        <v>225</v>
      </c>
      <c r="D365" s="7" t="s">
        <v>224</v>
      </c>
      <c r="E365" s="7" t="s">
        <v>829</v>
      </c>
      <c r="F365" s="17">
        <v>198.55480999999995</v>
      </c>
      <c r="G365" s="7" t="s">
        <v>449</v>
      </c>
      <c r="H365" s="7" t="s">
        <v>451</v>
      </c>
      <c r="I365" s="10">
        <v>456.02</v>
      </c>
      <c r="J365" s="10">
        <f t="shared" si="16"/>
        <v>198640.18</v>
      </c>
      <c r="K365" s="6">
        <f t="shared" si="17"/>
        <v>123055.10999999988</v>
      </c>
    </row>
    <row r="366" spans="1:11" x14ac:dyDescent="0.25">
      <c r="A366" s="5" t="s">
        <v>505</v>
      </c>
      <c r="B366" s="42">
        <f t="shared" si="15"/>
        <v>199.09619999999998</v>
      </c>
      <c r="C366" s="7" t="s">
        <v>224</v>
      </c>
      <c r="D366" s="7" t="s">
        <v>223</v>
      </c>
      <c r="E366" s="7" t="s">
        <v>829</v>
      </c>
      <c r="F366" s="17">
        <v>199.04091999999991</v>
      </c>
      <c r="G366" s="7" t="s">
        <v>451</v>
      </c>
      <c r="H366" s="7" t="s">
        <v>453</v>
      </c>
      <c r="I366" s="10">
        <v>405.09</v>
      </c>
      <c r="J366" s="10">
        <f t="shared" si="16"/>
        <v>199096.19999999998</v>
      </c>
      <c r="K366" s="6">
        <f t="shared" si="17"/>
        <v>122599.08999999988</v>
      </c>
    </row>
    <row r="367" spans="1:11" x14ac:dyDescent="0.25">
      <c r="A367" s="5" t="s">
        <v>505</v>
      </c>
      <c r="B367" s="42">
        <f t="shared" si="15"/>
        <v>199.50128999999998</v>
      </c>
      <c r="C367" s="7" t="s">
        <v>223</v>
      </c>
      <c r="D367" s="7" t="s">
        <v>222</v>
      </c>
      <c r="E367" s="7" t="s">
        <v>829</v>
      </c>
      <c r="F367" s="17">
        <v>199.61582999999993</v>
      </c>
      <c r="G367" s="7" t="s">
        <v>453</v>
      </c>
      <c r="H367" s="7" t="s">
        <v>455</v>
      </c>
      <c r="I367" s="10">
        <v>538.58000000000004</v>
      </c>
      <c r="J367" s="10">
        <f t="shared" si="16"/>
        <v>199501.28999999998</v>
      </c>
      <c r="K367" s="6">
        <f t="shared" si="17"/>
        <v>122193.99999999988</v>
      </c>
    </row>
    <row r="368" spans="1:11" x14ac:dyDescent="0.25">
      <c r="A368" s="5" t="s">
        <v>505</v>
      </c>
      <c r="B368" s="42">
        <f t="shared" si="15"/>
        <v>200.03986999999998</v>
      </c>
      <c r="C368" s="7" t="s">
        <v>222</v>
      </c>
      <c r="D368" s="7" t="s">
        <v>221</v>
      </c>
      <c r="E368" s="7" t="s">
        <v>829</v>
      </c>
      <c r="F368" s="17">
        <v>200.10445999999993</v>
      </c>
      <c r="G368" s="7" t="s">
        <v>455</v>
      </c>
      <c r="H368" s="7" t="s">
        <v>457</v>
      </c>
      <c r="I368" s="10">
        <v>585.1</v>
      </c>
      <c r="J368" s="10">
        <f t="shared" si="16"/>
        <v>200039.86999999997</v>
      </c>
      <c r="K368" s="6">
        <f t="shared" si="17"/>
        <v>121655.41999999988</v>
      </c>
    </row>
    <row r="369" spans="1:11" x14ac:dyDescent="0.25">
      <c r="A369" s="5" t="s">
        <v>505</v>
      </c>
      <c r="B369" s="42">
        <f t="shared" si="15"/>
        <v>200.62496999999996</v>
      </c>
      <c r="C369" s="7" t="s">
        <v>221</v>
      </c>
      <c r="D369" s="7" t="s">
        <v>220</v>
      </c>
      <c r="E369" s="7" t="s">
        <v>829</v>
      </c>
      <c r="F369" s="17">
        <v>200.77206999999993</v>
      </c>
      <c r="G369" s="7" t="s">
        <v>457</v>
      </c>
      <c r="H369" s="7" t="s">
        <v>459</v>
      </c>
      <c r="I369" s="10">
        <v>516.92999999999995</v>
      </c>
      <c r="J369" s="10">
        <f t="shared" si="16"/>
        <v>200624.96999999997</v>
      </c>
      <c r="K369" s="6">
        <f t="shared" si="17"/>
        <v>121070.31999999988</v>
      </c>
    </row>
    <row r="370" spans="1:11" x14ac:dyDescent="0.25">
      <c r="A370" s="5" t="s">
        <v>505</v>
      </c>
      <c r="B370" s="42">
        <f t="shared" si="15"/>
        <v>201.14189999999996</v>
      </c>
      <c r="C370" s="7" t="s">
        <v>220</v>
      </c>
      <c r="D370" s="7" t="s">
        <v>219</v>
      </c>
      <c r="E370" s="7" t="s">
        <v>829</v>
      </c>
      <c r="F370" s="17">
        <v>201.27686999999992</v>
      </c>
      <c r="G370" s="7" t="s">
        <v>459</v>
      </c>
      <c r="H370" s="7" t="s">
        <v>461</v>
      </c>
      <c r="I370" s="10">
        <v>455.72</v>
      </c>
      <c r="J370" s="10">
        <f t="shared" si="16"/>
        <v>201141.89999999997</v>
      </c>
      <c r="K370" s="6">
        <f t="shared" si="17"/>
        <v>120553.38999999988</v>
      </c>
    </row>
    <row r="371" spans="1:11" x14ac:dyDescent="0.25">
      <c r="A371" s="5" t="s">
        <v>505</v>
      </c>
      <c r="B371" s="42">
        <f t="shared" si="15"/>
        <v>201.59761999999998</v>
      </c>
      <c r="C371" s="7" t="s">
        <v>219</v>
      </c>
      <c r="D371" s="7" t="s">
        <v>218</v>
      </c>
      <c r="E371" s="7" t="s">
        <v>829</v>
      </c>
      <c r="F371" s="17">
        <v>201.86901999999989</v>
      </c>
      <c r="G371" s="7" t="s">
        <v>461</v>
      </c>
      <c r="H371" s="7" t="s">
        <v>463</v>
      </c>
      <c r="I371" s="10">
        <v>446.47</v>
      </c>
      <c r="J371" s="10">
        <f t="shared" si="16"/>
        <v>201597.61999999997</v>
      </c>
      <c r="K371" s="6">
        <f t="shared" si="17"/>
        <v>120097.66999999988</v>
      </c>
    </row>
    <row r="372" spans="1:11" x14ac:dyDescent="0.25">
      <c r="A372" s="5" t="s">
        <v>505</v>
      </c>
      <c r="B372" s="42">
        <f t="shared" si="15"/>
        <v>202.04408999999995</v>
      </c>
      <c r="C372" s="7" t="s">
        <v>218</v>
      </c>
      <c r="D372" s="7" t="s">
        <v>217</v>
      </c>
      <c r="E372" s="7" t="s">
        <v>829</v>
      </c>
      <c r="F372" s="17">
        <v>202.44640999999993</v>
      </c>
      <c r="G372" s="7" t="s">
        <v>463</v>
      </c>
      <c r="H372" s="7" t="s">
        <v>465</v>
      </c>
      <c r="I372" s="10">
        <v>573.63</v>
      </c>
      <c r="J372" s="10">
        <f t="shared" si="16"/>
        <v>202044.08999999997</v>
      </c>
      <c r="K372" s="6">
        <f t="shared" si="17"/>
        <v>119651.19999999988</v>
      </c>
    </row>
    <row r="373" spans="1:11" x14ac:dyDescent="0.25">
      <c r="A373" s="5" t="s">
        <v>505</v>
      </c>
      <c r="B373" s="42">
        <f t="shared" si="15"/>
        <v>202.61771999999996</v>
      </c>
      <c r="C373" s="7" t="s">
        <v>217</v>
      </c>
      <c r="D373" s="7" t="s">
        <v>216</v>
      </c>
      <c r="E373" s="7" t="s">
        <v>829</v>
      </c>
      <c r="F373" s="17">
        <v>202.98677999999992</v>
      </c>
      <c r="G373" s="7" t="s">
        <v>465</v>
      </c>
      <c r="H373" s="7" t="s">
        <v>467</v>
      </c>
      <c r="I373" s="10">
        <v>425.08</v>
      </c>
      <c r="J373" s="10">
        <f t="shared" si="16"/>
        <v>202617.71999999997</v>
      </c>
      <c r="K373" s="6">
        <f t="shared" si="17"/>
        <v>119077.56999999988</v>
      </c>
    </row>
    <row r="374" spans="1:11" x14ac:dyDescent="0.25">
      <c r="A374" s="5" t="s">
        <v>505</v>
      </c>
      <c r="B374" s="42">
        <f t="shared" si="15"/>
        <v>203.04279999999997</v>
      </c>
      <c r="C374" s="7" t="s">
        <v>216</v>
      </c>
      <c r="D374" s="7" t="s">
        <v>215</v>
      </c>
      <c r="E374" s="7" t="s">
        <v>829</v>
      </c>
      <c r="F374" s="17">
        <v>203.5732799999999</v>
      </c>
      <c r="G374" s="7" t="s">
        <v>467</v>
      </c>
      <c r="H374" s="7" t="s">
        <v>469</v>
      </c>
      <c r="I374" s="10">
        <v>548.23</v>
      </c>
      <c r="J374" s="10">
        <f t="shared" si="16"/>
        <v>203042.79999999996</v>
      </c>
      <c r="K374" s="6">
        <f t="shared" si="17"/>
        <v>118652.48999999987</v>
      </c>
    </row>
    <row r="375" spans="1:11" x14ac:dyDescent="0.25">
      <c r="A375" s="5" t="s">
        <v>505</v>
      </c>
      <c r="B375" s="42">
        <f t="shared" si="15"/>
        <v>203.59102999999996</v>
      </c>
      <c r="C375" s="7" t="s">
        <v>215</v>
      </c>
      <c r="D375" s="7" t="s">
        <v>214</v>
      </c>
      <c r="E375" s="7" t="s">
        <v>829</v>
      </c>
      <c r="F375" s="17">
        <v>204.15863999999991</v>
      </c>
      <c r="G375" s="7" t="s">
        <v>469</v>
      </c>
      <c r="H375" s="7" t="s">
        <v>471</v>
      </c>
      <c r="I375" s="10">
        <v>818</v>
      </c>
      <c r="J375" s="10">
        <f t="shared" si="16"/>
        <v>203591.02999999997</v>
      </c>
      <c r="K375" s="6">
        <f t="shared" si="17"/>
        <v>118104.25999999988</v>
      </c>
    </row>
    <row r="376" spans="1:11" x14ac:dyDescent="0.25">
      <c r="A376" s="5" t="s">
        <v>505</v>
      </c>
      <c r="B376" s="42">
        <f t="shared" si="15"/>
        <v>204.40902999999997</v>
      </c>
      <c r="C376" s="7" t="s">
        <v>214</v>
      </c>
      <c r="D376" s="7" t="s">
        <v>213</v>
      </c>
      <c r="E376" s="7" t="s">
        <v>829</v>
      </c>
      <c r="F376" s="17">
        <v>204.71965999999989</v>
      </c>
      <c r="G376" s="7" t="s">
        <v>471</v>
      </c>
      <c r="H376" s="7" t="s">
        <v>473</v>
      </c>
      <c r="I376" s="10">
        <v>737.71</v>
      </c>
      <c r="J376" s="10">
        <f t="shared" si="16"/>
        <v>204409.02999999997</v>
      </c>
      <c r="K376" s="6">
        <f t="shared" si="17"/>
        <v>117286.25999999988</v>
      </c>
    </row>
    <row r="377" spans="1:11" x14ac:dyDescent="0.25">
      <c r="A377" s="5" t="s">
        <v>505</v>
      </c>
      <c r="B377" s="42">
        <f t="shared" si="15"/>
        <v>205.14673999999997</v>
      </c>
      <c r="C377" s="7" t="s">
        <v>213</v>
      </c>
      <c r="D377" s="7" t="s">
        <v>212</v>
      </c>
      <c r="E377" s="7" t="s">
        <v>829</v>
      </c>
      <c r="F377" s="17">
        <v>205.24186999999989</v>
      </c>
      <c r="G377" s="7" t="s">
        <v>473</v>
      </c>
      <c r="H377" s="7" t="s">
        <v>475</v>
      </c>
      <c r="I377" s="10">
        <v>483.47</v>
      </c>
      <c r="J377" s="10">
        <f t="shared" si="16"/>
        <v>205146.73999999996</v>
      </c>
      <c r="K377" s="6">
        <f t="shared" si="17"/>
        <v>116548.54999999987</v>
      </c>
    </row>
    <row r="378" spans="1:11" x14ac:dyDescent="0.25">
      <c r="A378" s="5" t="s">
        <v>505</v>
      </c>
      <c r="B378" s="42">
        <f t="shared" si="15"/>
        <v>205.63020999999998</v>
      </c>
      <c r="C378" s="7" t="s">
        <v>212</v>
      </c>
      <c r="D378" s="7" t="s">
        <v>211</v>
      </c>
      <c r="E378" s="7" t="s">
        <v>829</v>
      </c>
      <c r="F378" s="17">
        <v>205.89279999999988</v>
      </c>
      <c r="G378" s="7" t="s">
        <v>475</v>
      </c>
      <c r="H378" s="7" t="s">
        <v>477</v>
      </c>
      <c r="I378" s="10">
        <v>447.81</v>
      </c>
      <c r="J378" s="10">
        <f t="shared" si="16"/>
        <v>205630.20999999996</v>
      </c>
      <c r="K378" s="6">
        <f t="shared" si="17"/>
        <v>116065.07999999987</v>
      </c>
    </row>
    <row r="379" spans="1:11" x14ac:dyDescent="0.25">
      <c r="A379" s="5" t="s">
        <v>505</v>
      </c>
      <c r="B379" s="42">
        <f t="shared" si="15"/>
        <v>206.07801999999995</v>
      </c>
      <c r="C379" s="7" t="s">
        <v>211</v>
      </c>
      <c r="D379" s="7" t="s">
        <v>210</v>
      </c>
      <c r="E379" s="7" t="s">
        <v>829</v>
      </c>
      <c r="F379" s="17">
        <v>206.39483999999987</v>
      </c>
      <c r="G379" s="7" t="s">
        <v>477</v>
      </c>
      <c r="H379" s="7" t="s">
        <v>479</v>
      </c>
      <c r="I379" s="10">
        <v>551.25</v>
      </c>
      <c r="J379" s="10">
        <f t="shared" si="16"/>
        <v>206078.01999999996</v>
      </c>
      <c r="K379" s="6">
        <f t="shared" si="17"/>
        <v>115617.26999999987</v>
      </c>
    </row>
    <row r="380" spans="1:11" x14ac:dyDescent="0.25">
      <c r="A380" s="5" t="s">
        <v>505</v>
      </c>
      <c r="B380" s="42">
        <f t="shared" si="15"/>
        <v>206.62926999999996</v>
      </c>
      <c r="C380" s="7" t="s">
        <v>210</v>
      </c>
      <c r="D380" s="7" t="s">
        <v>209</v>
      </c>
      <c r="E380" s="7" t="s">
        <v>829</v>
      </c>
      <c r="F380" s="17">
        <v>206.97517999999988</v>
      </c>
      <c r="G380" s="7" t="s">
        <v>479</v>
      </c>
      <c r="H380" s="7" t="s">
        <v>481</v>
      </c>
      <c r="I380" s="10">
        <v>566.11</v>
      </c>
      <c r="J380" s="10">
        <f t="shared" si="16"/>
        <v>206629.26999999996</v>
      </c>
      <c r="K380" s="6">
        <f t="shared" si="17"/>
        <v>115066.01999999987</v>
      </c>
    </row>
    <row r="381" spans="1:11" x14ac:dyDescent="0.25">
      <c r="A381" s="5" t="s">
        <v>505</v>
      </c>
      <c r="B381" s="42">
        <f t="shared" si="15"/>
        <v>207.19537999999994</v>
      </c>
      <c r="C381" s="7" t="s">
        <v>209</v>
      </c>
      <c r="D381" s="7" t="s">
        <v>208</v>
      </c>
      <c r="E381" s="7" t="s">
        <v>829</v>
      </c>
      <c r="F381" s="17">
        <v>207.53434999999988</v>
      </c>
      <c r="G381" s="7" t="s">
        <v>481</v>
      </c>
      <c r="H381" s="7" t="s">
        <v>483</v>
      </c>
      <c r="I381" s="10">
        <v>546.92999999999995</v>
      </c>
      <c r="J381" s="10">
        <f t="shared" si="16"/>
        <v>207195.37999999995</v>
      </c>
      <c r="K381" s="6">
        <f t="shared" si="17"/>
        <v>114499.90999999987</v>
      </c>
    </row>
    <row r="382" spans="1:11" x14ac:dyDescent="0.25">
      <c r="A382" s="5" t="s">
        <v>505</v>
      </c>
      <c r="B382" s="42">
        <f t="shared" si="15"/>
        <v>207.74230999999995</v>
      </c>
      <c r="C382" s="7" t="s">
        <v>208</v>
      </c>
      <c r="D382" s="7" t="s">
        <v>207</v>
      </c>
      <c r="E382" s="7" t="s">
        <v>829</v>
      </c>
      <c r="F382" s="17">
        <v>207.90093999999988</v>
      </c>
      <c r="G382" s="7" t="s">
        <v>483</v>
      </c>
      <c r="H382" s="7" t="s">
        <v>485</v>
      </c>
      <c r="I382" s="10">
        <v>452.8</v>
      </c>
      <c r="J382" s="10">
        <f t="shared" si="16"/>
        <v>207742.30999999994</v>
      </c>
      <c r="K382" s="6">
        <f t="shared" si="17"/>
        <v>113952.97999999988</v>
      </c>
    </row>
    <row r="383" spans="1:11" x14ac:dyDescent="0.25">
      <c r="A383" s="5" t="s">
        <v>505</v>
      </c>
      <c r="B383" s="42">
        <f t="shared" si="15"/>
        <v>208.19510999999991</v>
      </c>
      <c r="C383" s="7" t="s">
        <v>207</v>
      </c>
      <c r="D383" s="7" t="s">
        <v>206</v>
      </c>
      <c r="E383" s="7" t="s">
        <v>829</v>
      </c>
      <c r="F383" s="17">
        <v>208.36896999999988</v>
      </c>
      <c r="G383" s="7" t="s">
        <v>485</v>
      </c>
      <c r="H383" s="7" t="s">
        <v>487</v>
      </c>
      <c r="I383" s="10">
        <v>376.69</v>
      </c>
      <c r="J383" s="10">
        <f t="shared" si="16"/>
        <v>208195.10999999993</v>
      </c>
      <c r="K383" s="6">
        <f t="shared" si="17"/>
        <v>113500.17999999988</v>
      </c>
    </row>
    <row r="384" spans="1:11" x14ac:dyDescent="0.25">
      <c r="A384" s="5" t="s">
        <v>505</v>
      </c>
      <c r="B384" s="42">
        <f t="shared" si="15"/>
        <v>208.57179999999994</v>
      </c>
      <c r="C384" s="7" t="s">
        <v>206</v>
      </c>
      <c r="D384" s="7" t="s">
        <v>205</v>
      </c>
      <c r="E384" s="7" t="s">
        <v>829</v>
      </c>
      <c r="F384" s="17">
        <v>208.90830999999989</v>
      </c>
      <c r="G384" s="7" t="s">
        <v>487</v>
      </c>
      <c r="H384" s="7" t="s">
        <v>489</v>
      </c>
      <c r="I384" s="10">
        <v>445.02</v>
      </c>
      <c r="J384" s="10">
        <f t="shared" si="16"/>
        <v>208571.79999999993</v>
      </c>
      <c r="K384" s="6">
        <f t="shared" si="17"/>
        <v>113123.48999999987</v>
      </c>
    </row>
    <row r="385" spans="1:11" x14ac:dyDescent="0.25">
      <c r="A385" s="5" t="s">
        <v>505</v>
      </c>
      <c r="B385" s="42">
        <f t="shared" si="15"/>
        <v>209.01681999999991</v>
      </c>
      <c r="C385" s="7" t="s">
        <v>205</v>
      </c>
      <c r="D385" s="7" t="s">
        <v>204</v>
      </c>
      <c r="E385" s="7" t="s">
        <v>829</v>
      </c>
      <c r="F385" s="17">
        <v>209.46324999999987</v>
      </c>
      <c r="G385" s="7" t="s">
        <v>489</v>
      </c>
      <c r="H385" s="7" t="s">
        <v>491</v>
      </c>
      <c r="I385" s="10">
        <v>507.68</v>
      </c>
      <c r="J385" s="10">
        <f t="shared" si="16"/>
        <v>209016.81999999992</v>
      </c>
      <c r="K385" s="6">
        <f t="shared" si="17"/>
        <v>112678.46999999987</v>
      </c>
    </row>
    <row r="386" spans="1:11" x14ac:dyDescent="0.25">
      <c r="A386" s="5" t="s">
        <v>505</v>
      </c>
      <c r="B386" s="42">
        <f t="shared" si="15"/>
        <v>209.5244999999999</v>
      </c>
      <c r="C386" s="7" t="s">
        <v>204</v>
      </c>
      <c r="D386" s="7" t="s">
        <v>203</v>
      </c>
      <c r="E386" s="7" t="s">
        <v>829</v>
      </c>
      <c r="F386" s="17">
        <v>209.90268999999989</v>
      </c>
      <c r="G386" s="7" t="s">
        <v>491</v>
      </c>
      <c r="H386" s="7" t="s">
        <v>493</v>
      </c>
      <c r="I386" s="10">
        <v>552.66999999999996</v>
      </c>
      <c r="J386" s="10">
        <f t="shared" si="16"/>
        <v>209524.49999999991</v>
      </c>
      <c r="K386" s="6">
        <f t="shared" si="17"/>
        <v>112170.78999999988</v>
      </c>
    </row>
    <row r="387" spans="1:11" x14ac:dyDescent="0.25">
      <c r="A387" s="5" t="s">
        <v>505</v>
      </c>
      <c r="B387" s="42">
        <f t="shared" ref="B387:B450" si="18">J387/1000</f>
        <v>210.07716999999994</v>
      </c>
      <c r="C387" s="7" t="s">
        <v>203</v>
      </c>
      <c r="D387" s="7" t="s">
        <v>202</v>
      </c>
      <c r="E387" s="7" t="s">
        <v>829</v>
      </c>
      <c r="F387" s="17">
        <v>210.4276999999999</v>
      </c>
      <c r="G387" s="7" t="s">
        <v>493</v>
      </c>
      <c r="H387" s="7" t="s">
        <v>495</v>
      </c>
      <c r="I387" s="10">
        <v>574.65</v>
      </c>
      <c r="J387" s="10">
        <f t="shared" si="16"/>
        <v>210077.16999999993</v>
      </c>
      <c r="K387" s="6">
        <f t="shared" si="17"/>
        <v>111618.11999999988</v>
      </c>
    </row>
    <row r="388" spans="1:11" x14ac:dyDescent="0.25">
      <c r="A388" s="5" t="s">
        <v>505</v>
      </c>
      <c r="B388" s="42">
        <f t="shared" si="18"/>
        <v>210.65181999999993</v>
      </c>
      <c r="C388" s="7" t="s">
        <v>202</v>
      </c>
      <c r="D388" s="7" t="s">
        <v>201</v>
      </c>
      <c r="E388" s="7" t="s">
        <v>829</v>
      </c>
      <c r="F388" s="17">
        <v>210.9883999999999</v>
      </c>
      <c r="G388" s="7" t="s">
        <v>495</v>
      </c>
      <c r="H388" s="7" t="s">
        <v>497</v>
      </c>
      <c r="I388" s="10">
        <v>571.39</v>
      </c>
      <c r="J388" s="10">
        <f t="shared" si="16"/>
        <v>210651.81999999992</v>
      </c>
      <c r="K388" s="6">
        <f t="shared" si="17"/>
        <v>111043.46999999988</v>
      </c>
    </row>
    <row r="389" spans="1:11" x14ac:dyDescent="0.25">
      <c r="A389" s="5" t="s">
        <v>505</v>
      </c>
      <c r="B389" s="42">
        <f t="shared" si="18"/>
        <v>211.22320999999994</v>
      </c>
      <c r="C389" s="7" t="s">
        <v>201</v>
      </c>
      <c r="D389" s="7" t="s">
        <v>200</v>
      </c>
      <c r="E389" s="7" t="s">
        <v>829</v>
      </c>
      <c r="F389" s="17">
        <v>211.5455199999999</v>
      </c>
      <c r="G389" s="7" t="s">
        <v>497</v>
      </c>
      <c r="H389" s="7" t="s">
        <v>499</v>
      </c>
      <c r="I389" s="10">
        <v>570.79999999999995</v>
      </c>
      <c r="J389" s="10">
        <f t="shared" si="16"/>
        <v>211223.20999999993</v>
      </c>
      <c r="K389" s="6">
        <f t="shared" si="17"/>
        <v>110472.07999999989</v>
      </c>
    </row>
    <row r="390" spans="1:11" x14ac:dyDescent="0.25">
      <c r="A390" s="5" t="s">
        <v>505</v>
      </c>
      <c r="B390" s="42">
        <f t="shared" si="18"/>
        <v>211.79400999999993</v>
      </c>
      <c r="C390" s="7" t="s">
        <v>200</v>
      </c>
      <c r="D390" s="7" t="s">
        <v>199</v>
      </c>
      <c r="E390" s="7" t="s">
        <v>829</v>
      </c>
      <c r="F390" s="17">
        <v>212.02246999999991</v>
      </c>
      <c r="G390" s="7" t="s">
        <v>499</v>
      </c>
      <c r="H390" s="7" t="s">
        <v>501</v>
      </c>
      <c r="I390" s="10">
        <v>583.97</v>
      </c>
      <c r="J390" s="10">
        <f t="shared" ref="J390:J453" si="19">J389+I389</f>
        <v>211794.00999999992</v>
      </c>
      <c r="K390" s="6">
        <f t="shared" ref="K390:K453" si="20">K389-I389</f>
        <v>109901.27999999988</v>
      </c>
    </row>
    <row r="391" spans="1:11" x14ac:dyDescent="0.25">
      <c r="A391" s="5" t="s">
        <v>505</v>
      </c>
      <c r="B391" s="42">
        <f t="shared" si="18"/>
        <v>212.37797999999992</v>
      </c>
      <c r="C391" s="7" t="s">
        <v>199</v>
      </c>
      <c r="D391" s="7" t="s">
        <v>198</v>
      </c>
      <c r="E391" s="7" t="s">
        <v>829</v>
      </c>
      <c r="F391" s="17">
        <v>212.64840999999993</v>
      </c>
      <c r="G391" s="7" t="s">
        <v>501</v>
      </c>
      <c r="H391" s="7" t="s">
        <v>503</v>
      </c>
      <c r="I391" s="10">
        <v>553.6</v>
      </c>
      <c r="J391" s="10">
        <f t="shared" si="19"/>
        <v>212377.97999999992</v>
      </c>
      <c r="K391" s="6">
        <f t="shared" si="20"/>
        <v>109317.30999999988</v>
      </c>
    </row>
    <row r="392" spans="1:11" x14ac:dyDescent="0.25">
      <c r="A392" s="5" t="s">
        <v>505</v>
      </c>
      <c r="B392" s="42">
        <f t="shared" si="18"/>
        <v>212.93157999999994</v>
      </c>
      <c r="C392" s="7" t="s">
        <v>198</v>
      </c>
      <c r="D392" s="7" t="s">
        <v>197</v>
      </c>
      <c r="E392" s="7" t="s">
        <v>829</v>
      </c>
      <c r="F392" s="17">
        <v>213.0220599999999</v>
      </c>
      <c r="G392" s="7" t="s">
        <v>503</v>
      </c>
      <c r="H392" s="7" t="s">
        <v>502</v>
      </c>
      <c r="I392" s="10">
        <v>575.78</v>
      </c>
      <c r="J392" s="10">
        <f t="shared" si="19"/>
        <v>212931.57999999993</v>
      </c>
      <c r="K392" s="6">
        <f t="shared" si="20"/>
        <v>108763.70999999988</v>
      </c>
    </row>
    <row r="393" spans="1:11" x14ac:dyDescent="0.25">
      <c r="A393" s="5" t="s">
        <v>505</v>
      </c>
      <c r="B393" s="42">
        <f t="shared" si="18"/>
        <v>213.50735999999992</v>
      </c>
      <c r="C393" s="7" t="s">
        <v>197</v>
      </c>
      <c r="D393" s="7" t="s">
        <v>196</v>
      </c>
      <c r="E393" s="7" t="s">
        <v>829</v>
      </c>
      <c r="F393" s="17">
        <v>213.4376199999999</v>
      </c>
      <c r="G393" s="7" t="s">
        <v>502</v>
      </c>
      <c r="H393" s="7" t="s">
        <v>500</v>
      </c>
      <c r="I393" s="10">
        <v>571.04</v>
      </c>
      <c r="J393" s="10">
        <f t="shared" si="19"/>
        <v>213507.35999999993</v>
      </c>
      <c r="K393" s="6">
        <f t="shared" si="20"/>
        <v>108187.92999999988</v>
      </c>
    </row>
    <row r="394" spans="1:11" x14ac:dyDescent="0.25">
      <c r="A394" s="5" t="s">
        <v>505</v>
      </c>
      <c r="B394" s="42">
        <f t="shared" si="18"/>
        <v>214.07839999999993</v>
      </c>
      <c r="C394" s="7" t="s">
        <v>196</v>
      </c>
      <c r="D394" s="7" t="s">
        <v>195</v>
      </c>
      <c r="E394" s="7" t="s">
        <v>829</v>
      </c>
      <c r="F394" s="17">
        <v>214.03484999999992</v>
      </c>
      <c r="G394" s="7" t="s">
        <v>500</v>
      </c>
      <c r="H394" s="7" t="s">
        <v>498</v>
      </c>
      <c r="I394" s="10">
        <v>469.31</v>
      </c>
      <c r="J394" s="10">
        <f t="shared" si="19"/>
        <v>214078.39999999994</v>
      </c>
      <c r="K394" s="6">
        <f t="shared" si="20"/>
        <v>107616.88999999988</v>
      </c>
    </row>
    <row r="395" spans="1:11" x14ac:dyDescent="0.25">
      <c r="A395" s="5" t="s">
        <v>505</v>
      </c>
      <c r="B395" s="42">
        <f t="shared" si="18"/>
        <v>214.54770999999994</v>
      </c>
      <c r="C395" s="7" t="s">
        <v>195</v>
      </c>
      <c r="D395" s="7" t="s">
        <v>194</v>
      </c>
      <c r="E395" s="7" t="s">
        <v>829</v>
      </c>
      <c r="F395" s="17">
        <v>214.61166999999992</v>
      </c>
      <c r="G395" s="7" t="s">
        <v>498</v>
      </c>
      <c r="H395" s="7" t="s">
        <v>496</v>
      </c>
      <c r="I395" s="10">
        <v>525.57000000000005</v>
      </c>
      <c r="J395" s="10">
        <f t="shared" si="19"/>
        <v>214547.70999999993</v>
      </c>
      <c r="K395" s="6">
        <f t="shared" si="20"/>
        <v>107147.57999999989</v>
      </c>
    </row>
    <row r="396" spans="1:11" x14ac:dyDescent="0.25">
      <c r="A396" s="5" t="s">
        <v>505</v>
      </c>
      <c r="B396" s="42">
        <f t="shared" si="18"/>
        <v>215.07327999999995</v>
      </c>
      <c r="C396" s="7" t="s">
        <v>194</v>
      </c>
      <c r="D396" s="7" t="s">
        <v>193</v>
      </c>
      <c r="E396" s="7" t="s">
        <v>829</v>
      </c>
      <c r="F396" s="17">
        <v>215.12265999999991</v>
      </c>
      <c r="G396" s="7" t="s">
        <v>496</v>
      </c>
      <c r="H396" s="7" t="s">
        <v>494</v>
      </c>
      <c r="I396" s="10">
        <v>619.96</v>
      </c>
      <c r="J396" s="10">
        <f t="shared" si="19"/>
        <v>215073.27999999994</v>
      </c>
      <c r="K396" s="6">
        <f t="shared" si="20"/>
        <v>106622.00999999988</v>
      </c>
    </row>
    <row r="397" spans="1:11" x14ac:dyDescent="0.25">
      <c r="A397" s="5" t="s">
        <v>505</v>
      </c>
      <c r="B397" s="42">
        <f t="shared" si="18"/>
        <v>215.69323999999995</v>
      </c>
      <c r="C397" s="7" t="s">
        <v>193</v>
      </c>
      <c r="D397" s="7" t="s">
        <v>192</v>
      </c>
      <c r="E397" s="7" t="s">
        <v>829</v>
      </c>
      <c r="F397" s="17">
        <v>215.72302999999991</v>
      </c>
      <c r="G397" s="7" t="s">
        <v>494</v>
      </c>
      <c r="H397" s="7" t="s">
        <v>492</v>
      </c>
      <c r="I397" s="10">
        <v>552.51</v>
      </c>
      <c r="J397" s="10">
        <f t="shared" si="19"/>
        <v>215693.23999999993</v>
      </c>
      <c r="K397" s="6">
        <f t="shared" si="20"/>
        <v>106002.04999999987</v>
      </c>
    </row>
    <row r="398" spans="1:11" x14ac:dyDescent="0.25">
      <c r="A398" s="5" t="s">
        <v>505</v>
      </c>
      <c r="B398" s="42">
        <f t="shared" si="18"/>
        <v>216.24574999999993</v>
      </c>
      <c r="C398" s="7" t="s">
        <v>192</v>
      </c>
      <c r="D398" s="7" t="s">
        <v>191</v>
      </c>
      <c r="E398" s="7" t="s">
        <v>829</v>
      </c>
      <c r="F398" s="17">
        <v>216.23356999999993</v>
      </c>
      <c r="G398" s="7" t="s">
        <v>492</v>
      </c>
      <c r="H398" s="7" t="s">
        <v>490</v>
      </c>
      <c r="I398" s="10">
        <v>443.29</v>
      </c>
      <c r="J398" s="10">
        <f t="shared" si="19"/>
        <v>216245.74999999994</v>
      </c>
      <c r="K398" s="6">
        <f t="shared" si="20"/>
        <v>105449.53999999988</v>
      </c>
    </row>
    <row r="399" spans="1:11" x14ac:dyDescent="0.25">
      <c r="A399" s="5" t="s">
        <v>505</v>
      </c>
      <c r="B399" s="42">
        <f t="shared" si="18"/>
        <v>216.68903999999995</v>
      </c>
      <c r="C399" s="7" t="s">
        <v>191</v>
      </c>
      <c r="D399" s="7" t="s">
        <v>190</v>
      </c>
      <c r="E399" s="7" t="s">
        <v>829</v>
      </c>
      <c r="F399" s="17">
        <v>216.65876999999992</v>
      </c>
      <c r="G399" s="7" t="s">
        <v>490</v>
      </c>
      <c r="H399" s="7" t="s">
        <v>488</v>
      </c>
      <c r="I399" s="10">
        <v>629.14</v>
      </c>
      <c r="J399" s="10">
        <f t="shared" si="19"/>
        <v>216689.03999999995</v>
      </c>
      <c r="K399" s="6">
        <f t="shared" si="20"/>
        <v>105006.24999999988</v>
      </c>
    </row>
    <row r="400" spans="1:11" x14ac:dyDescent="0.25">
      <c r="A400" s="5" t="s">
        <v>505</v>
      </c>
      <c r="B400" s="42">
        <f t="shared" si="18"/>
        <v>217.31817999999996</v>
      </c>
      <c r="C400" s="7" t="s">
        <v>190</v>
      </c>
      <c r="D400" s="7" t="s">
        <v>189</v>
      </c>
      <c r="E400" s="7" t="s">
        <v>829</v>
      </c>
      <c r="F400" s="17">
        <v>217.23565999999994</v>
      </c>
      <c r="G400" s="7" t="s">
        <v>488</v>
      </c>
      <c r="H400" s="7" t="s">
        <v>486</v>
      </c>
      <c r="I400" s="10">
        <v>517.96</v>
      </c>
      <c r="J400" s="10">
        <f t="shared" si="19"/>
        <v>217318.17999999996</v>
      </c>
      <c r="K400" s="6">
        <f t="shared" si="20"/>
        <v>104377.10999999988</v>
      </c>
    </row>
    <row r="401" spans="1:11" x14ac:dyDescent="0.25">
      <c r="A401" s="5" t="s">
        <v>505</v>
      </c>
      <c r="B401" s="42">
        <f t="shared" si="18"/>
        <v>217.83613999999994</v>
      </c>
      <c r="C401" s="7" t="s">
        <v>189</v>
      </c>
      <c r="D401" s="7" t="s">
        <v>188</v>
      </c>
      <c r="E401" s="7" t="s">
        <v>829</v>
      </c>
      <c r="F401" s="17">
        <v>217.76007999999996</v>
      </c>
      <c r="G401" s="7" t="s">
        <v>486</v>
      </c>
      <c r="H401" s="7" t="s">
        <v>484</v>
      </c>
      <c r="I401" s="10">
        <v>539.27</v>
      </c>
      <c r="J401" s="10">
        <f t="shared" si="19"/>
        <v>217836.13999999996</v>
      </c>
      <c r="K401" s="6">
        <f t="shared" si="20"/>
        <v>103859.14999999988</v>
      </c>
    </row>
    <row r="402" spans="1:11" x14ac:dyDescent="0.25">
      <c r="A402" s="5" t="s">
        <v>505</v>
      </c>
      <c r="B402" s="42">
        <f t="shared" si="18"/>
        <v>218.37540999999993</v>
      </c>
      <c r="C402" s="7" t="s">
        <v>188</v>
      </c>
      <c r="D402" s="7" t="s">
        <v>696</v>
      </c>
      <c r="E402" s="7" t="s">
        <v>829</v>
      </c>
      <c r="F402" s="17">
        <v>218.25233999999998</v>
      </c>
      <c r="G402" s="7" t="s">
        <v>484</v>
      </c>
      <c r="H402" s="7" t="s">
        <v>482</v>
      </c>
      <c r="I402" s="10">
        <v>459.55</v>
      </c>
      <c r="J402" s="10">
        <f t="shared" si="19"/>
        <v>218375.40999999995</v>
      </c>
      <c r="K402" s="6">
        <f t="shared" si="20"/>
        <v>103319.87999999987</v>
      </c>
    </row>
    <row r="403" spans="1:11" x14ac:dyDescent="0.25">
      <c r="A403" s="5" t="s">
        <v>505</v>
      </c>
      <c r="B403" s="42">
        <f t="shared" si="18"/>
        <v>218.83495999999994</v>
      </c>
      <c r="C403" s="7" t="s">
        <v>696</v>
      </c>
      <c r="D403" s="7" t="s">
        <v>695</v>
      </c>
      <c r="E403" s="7" t="s">
        <v>829</v>
      </c>
      <c r="F403" s="17">
        <v>218.78771999999998</v>
      </c>
      <c r="G403" s="7" t="s">
        <v>482</v>
      </c>
      <c r="H403" s="7" t="s">
        <v>480</v>
      </c>
      <c r="I403" s="10">
        <v>551.28</v>
      </c>
      <c r="J403" s="10">
        <f t="shared" si="19"/>
        <v>218834.95999999993</v>
      </c>
      <c r="K403" s="6">
        <f t="shared" si="20"/>
        <v>102860.32999999987</v>
      </c>
    </row>
    <row r="404" spans="1:11" x14ac:dyDescent="0.25">
      <c r="A404" s="5" t="s">
        <v>505</v>
      </c>
      <c r="B404" s="42">
        <f t="shared" si="18"/>
        <v>219.38623999999993</v>
      </c>
      <c r="C404" s="7" t="s">
        <v>695</v>
      </c>
      <c r="D404" s="7" t="s">
        <v>694</v>
      </c>
      <c r="E404" s="7" t="s">
        <v>829</v>
      </c>
      <c r="F404" s="17">
        <v>219.36776999999995</v>
      </c>
      <c r="G404" s="7" t="s">
        <v>480</v>
      </c>
      <c r="H404" s="7" t="s">
        <v>478</v>
      </c>
      <c r="I404" s="10">
        <v>605.35</v>
      </c>
      <c r="J404" s="10">
        <f t="shared" si="19"/>
        <v>219386.23999999993</v>
      </c>
      <c r="K404" s="6">
        <f t="shared" si="20"/>
        <v>102309.04999999987</v>
      </c>
    </row>
    <row r="405" spans="1:11" x14ac:dyDescent="0.25">
      <c r="A405" s="5" t="s">
        <v>505</v>
      </c>
      <c r="B405" s="42">
        <f t="shared" si="18"/>
        <v>219.99158999999995</v>
      </c>
      <c r="C405" s="7" t="s">
        <v>694</v>
      </c>
      <c r="D405" s="7" t="s">
        <v>693</v>
      </c>
      <c r="E405" s="7" t="s">
        <v>829</v>
      </c>
      <c r="F405" s="17">
        <v>219.93111999999996</v>
      </c>
      <c r="G405" s="7" t="s">
        <v>478</v>
      </c>
      <c r="H405" s="7" t="s">
        <v>476</v>
      </c>
      <c r="I405" s="10">
        <v>711.76</v>
      </c>
      <c r="J405" s="10">
        <f t="shared" si="19"/>
        <v>219991.58999999994</v>
      </c>
      <c r="K405" s="6">
        <f t="shared" si="20"/>
        <v>101703.69999999987</v>
      </c>
    </row>
    <row r="406" spans="1:11" x14ac:dyDescent="0.25">
      <c r="A406" s="5" t="s">
        <v>505</v>
      </c>
      <c r="B406" s="42">
        <f t="shared" si="18"/>
        <v>220.70334999999994</v>
      </c>
      <c r="C406" s="7" t="s">
        <v>693</v>
      </c>
      <c r="D406" s="7" t="s">
        <v>692</v>
      </c>
      <c r="E406" s="7" t="s">
        <v>829</v>
      </c>
      <c r="F406" s="17">
        <v>220.49621999999997</v>
      </c>
      <c r="G406" s="7" t="s">
        <v>476</v>
      </c>
      <c r="H406" s="7" t="s">
        <v>474</v>
      </c>
      <c r="I406" s="10">
        <v>593.86</v>
      </c>
      <c r="J406" s="10">
        <f t="shared" si="19"/>
        <v>220703.34999999995</v>
      </c>
      <c r="K406" s="6">
        <f t="shared" si="20"/>
        <v>100991.93999999987</v>
      </c>
    </row>
    <row r="407" spans="1:11" x14ac:dyDescent="0.25">
      <c r="A407" s="5" t="s">
        <v>505</v>
      </c>
      <c r="B407" s="42">
        <f t="shared" si="18"/>
        <v>221.29720999999992</v>
      </c>
      <c r="C407" s="7" t="s">
        <v>692</v>
      </c>
      <c r="D407" s="7" t="s">
        <v>691</v>
      </c>
      <c r="E407" s="7" t="s">
        <v>829</v>
      </c>
      <c r="F407" s="17">
        <v>221.05832999999996</v>
      </c>
      <c r="G407" s="7" t="s">
        <v>474</v>
      </c>
      <c r="H407" s="7" t="s">
        <v>472</v>
      </c>
      <c r="I407" s="10">
        <v>781.68</v>
      </c>
      <c r="J407" s="10">
        <f t="shared" si="19"/>
        <v>221297.20999999993</v>
      </c>
      <c r="K407" s="6">
        <f t="shared" si="20"/>
        <v>100398.07999999987</v>
      </c>
    </row>
    <row r="408" spans="1:11" x14ac:dyDescent="0.25">
      <c r="A408" s="5" t="s">
        <v>505</v>
      </c>
      <c r="B408" s="42">
        <f t="shared" si="18"/>
        <v>222.07888999999992</v>
      </c>
      <c r="C408" s="7" t="s">
        <v>691</v>
      </c>
      <c r="D408" s="7" t="s">
        <v>690</v>
      </c>
      <c r="E408" s="7" t="s">
        <v>829</v>
      </c>
      <c r="F408" s="17">
        <v>221.63695999999996</v>
      </c>
      <c r="G408" s="7" t="s">
        <v>472</v>
      </c>
      <c r="H408" s="7" t="s">
        <v>470</v>
      </c>
      <c r="I408" s="10">
        <v>453.4</v>
      </c>
      <c r="J408" s="10">
        <f t="shared" si="19"/>
        <v>222078.88999999993</v>
      </c>
      <c r="K408" s="6">
        <f t="shared" si="20"/>
        <v>99616.399999999878</v>
      </c>
    </row>
    <row r="409" spans="1:11" x14ac:dyDescent="0.25">
      <c r="A409" s="5" t="s">
        <v>505</v>
      </c>
      <c r="B409" s="42">
        <f t="shared" si="18"/>
        <v>222.53228999999993</v>
      </c>
      <c r="C409" s="7" t="s">
        <v>690</v>
      </c>
      <c r="D409" s="7" t="s">
        <v>689</v>
      </c>
      <c r="E409" s="7" t="s">
        <v>829</v>
      </c>
      <c r="F409" s="17">
        <v>222.23051999999996</v>
      </c>
      <c r="G409" s="7" t="s">
        <v>470</v>
      </c>
      <c r="H409" s="7" t="s">
        <v>468</v>
      </c>
      <c r="I409" s="10">
        <v>581.41999999999996</v>
      </c>
      <c r="J409" s="10">
        <f t="shared" si="19"/>
        <v>222532.28999999992</v>
      </c>
      <c r="K409" s="6">
        <f t="shared" si="20"/>
        <v>99162.999999999884</v>
      </c>
    </row>
    <row r="410" spans="1:11" x14ac:dyDescent="0.25">
      <c r="A410" s="5" t="s">
        <v>505</v>
      </c>
      <c r="B410" s="42">
        <f t="shared" si="18"/>
        <v>223.11370999999994</v>
      </c>
      <c r="C410" s="7" t="s">
        <v>689</v>
      </c>
      <c r="D410" s="7" t="s">
        <v>688</v>
      </c>
      <c r="E410" s="7" t="s">
        <v>829</v>
      </c>
      <c r="F410" s="17">
        <v>222.80796999999998</v>
      </c>
      <c r="G410" s="7" t="s">
        <v>468</v>
      </c>
      <c r="H410" s="7" t="s">
        <v>466</v>
      </c>
      <c r="I410" s="10">
        <v>455.69</v>
      </c>
      <c r="J410" s="10">
        <f t="shared" si="19"/>
        <v>223113.70999999993</v>
      </c>
      <c r="K410" s="6">
        <f t="shared" si="20"/>
        <v>98581.579999999885</v>
      </c>
    </row>
    <row r="411" spans="1:11" x14ac:dyDescent="0.25">
      <c r="A411" s="5" t="s">
        <v>505</v>
      </c>
      <c r="B411" s="42">
        <f t="shared" si="18"/>
        <v>223.56939999999994</v>
      </c>
      <c r="C411" s="7" t="s">
        <v>688</v>
      </c>
      <c r="D411" s="7" t="s">
        <v>687</v>
      </c>
      <c r="E411" s="7" t="s">
        <v>829</v>
      </c>
      <c r="F411" s="17">
        <v>223.37036999999998</v>
      </c>
      <c r="G411" s="7" t="s">
        <v>466</v>
      </c>
      <c r="H411" s="7" t="s">
        <v>464</v>
      </c>
      <c r="I411" s="10">
        <v>477.3</v>
      </c>
      <c r="J411" s="10">
        <f t="shared" si="19"/>
        <v>223569.39999999994</v>
      </c>
      <c r="K411" s="6">
        <f t="shared" si="20"/>
        <v>98125.889999999883</v>
      </c>
    </row>
    <row r="412" spans="1:11" x14ac:dyDescent="0.25">
      <c r="A412" s="5" t="s">
        <v>505</v>
      </c>
      <c r="B412" s="42">
        <f t="shared" si="18"/>
        <v>224.04669999999993</v>
      </c>
      <c r="C412" s="7" t="s">
        <v>687</v>
      </c>
      <c r="D412" s="7" t="s">
        <v>686</v>
      </c>
      <c r="E412" s="7" t="s">
        <v>829</v>
      </c>
      <c r="F412" s="17">
        <v>223.94379999999995</v>
      </c>
      <c r="G412" s="7" t="s">
        <v>464</v>
      </c>
      <c r="H412" s="7" t="s">
        <v>462</v>
      </c>
      <c r="I412" s="10">
        <v>522.53</v>
      </c>
      <c r="J412" s="10">
        <f t="shared" si="19"/>
        <v>224046.69999999992</v>
      </c>
      <c r="K412" s="6">
        <f t="shared" si="20"/>
        <v>97648.58999999988</v>
      </c>
    </row>
    <row r="413" spans="1:11" x14ac:dyDescent="0.25">
      <c r="A413" s="5" t="s">
        <v>505</v>
      </c>
      <c r="B413" s="42">
        <f t="shared" si="18"/>
        <v>224.56922999999992</v>
      </c>
      <c r="C413" s="7" t="s">
        <v>686</v>
      </c>
      <c r="D413" s="7" t="s">
        <v>685</v>
      </c>
      <c r="E413" s="7" t="s">
        <v>829</v>
      </c>
      <c r="F413" s="17">
        <v>224.51702999999998</v>
      </c>
      <c r="G413" s="7" t="s">
        <v>462</v>
      </c>
      <c r="H413" s="7" t="s">
        <v>460</v>
      </c>
      <c r="I413" s="10">
        <v>676.97000000000116</v>
      </c>
      <c r="J413" s="10">
        <f t="shared" si="19"/>
        <v>224569.22999999992</v>
      </c>
      <c r="K413" s="6">
        <f t="shared" si="20"/>
        <v>97126.059999999881</v>
      </c>
    </row>
    <row r="414" spans="1:11" x14ac:dyDescent="0.25">
      <c r="A414" s="5" t="s">
        <v>505</v>
      </c>
      <c r="B414" s="42">
        <f t="shared" si="18"/>
        <v>225.24619999999993</v>
      </c>
      <c r="C414" s="7" t="s">
        <v>685</v>
      </c>
      <c r="D414" s="7" t="s">
        <v>684</v>
      </c>
      <c r="E414" s="7" t="s">
        <v>829</v>
      </c>
      <c r="F414" s="17">
        <v>225.07478999999998</v>
      </c>
      <c r="G414" s="7" t="s">
        <v>460</v>
      </c>
      <c r="H414" s="7" t="s">
        <v>458</v>
      </c>
      <c r="I414" s="10">
        <v>253.55999999999767</v>
      </c>
      <c r="J414" s="10">
        <f t="shared" si="19"/>
        <v>225246.19999999992</v>
      </c>
      <c r="K414" s="6">
        <f t="shared" si="20"/>
        <v>96449.08999999988</v>
      </c>
    </row>
    <row r="415" spans="1:11" x14ac:dyDescent="0.25">
      <c r="A415" s="5" t="s">
        <v>505</v>
      </c>
      <c r="B415" s="42">
        <f t="shared" si="18"/>
        <v>225.49975999999992</v>
      </c>
      <c r="C415" s="7" t="s">
        <v>684</v>
      </c>
      <c r="D415" s="7" t="s">
        <v>683</v>
      </c>
      <c r="E415" s="7" t="s">
        <v>829</v>
      </c>
      <c r="F415" s="17">
        <v>225.64665999999997</v>
      </c>
      <c r="G415" s="7" t="s">
        <v>458</v>
      </c>
      <c r="H415" s="7" t="s">
        <v>456</v>
      </c>
      <c r="I415" s="10">
        <v>569.47</v>
      </c>
      <c r="J415" s="10">
        <f t="shared" si="19"/>
        <v>225499.75999999992</v>
      </c>
      <c r="K415" s="6">
        <f t="shared" si="20"/>
        <v>96195.529999999882</v>
      </c>
    </row>
    <row r="416" spans="1:11" x14ac:dyDescent="0.25">
      <c r="A416" s="5" t="s">
        <v>505</v>
      </c>
      <c r="B416" s="42">
        <f t="shared" si="18"/>
        <v>226.06922999999992</v>
      </c>
      <c r="C416" s="7" t="s">
        <v>683</v>
      </c>
      <c r="D416" s="7" t="s">
        <v>682</v>
      </c>
      <c r="E416" s="7" t="s">
        <v>829</v>
      </c>
      <c r="F416" s="17">
        <v>226.22003999999998</v>
      </c>
      <c r="G416" s="7" t="s">
        <v>456</v>
      </c>
      <c r="H416" s="7" t="s">
        <v>454</v>
      </c>
      <c r="I416" s="10">
        <v>601.71</v>
      </c>
      <c r="J416" s="10">
        <f t="shared" si="19"/>
        <v>226069.22999999992</v>
      </c>
      <c r="K416" s="6">
        <f t="shared" si="20"/>
        <v>95626.059999999881</v>
      </c>
    </row>
    <row r="417" spans="1:11" x14ac:dyDescent="0.25">
      <c r="A417" s="5" t="s">
        <v>505</v>
      </c>
      <c r="B417" s="42">
        <f t="shared" si="18"/>
        <v>226.67093999999992</v>
      </c>
      <c r="C417" s="7" t="s">
        <v>682</v>
      </c>
      <c r="D417" s="7" t="s">
        <v>681</v>
      </c>
      <c r="E417" s="7" t="s">
        <v>829</v>
      </c>
      <c r="F417" s="17">
        <v>226.78689999999997</v>
      </c>
      <c r="G417" s="7" t="s">
        <v>454</v>
      </c>
      <c r="H417" s="7" t="s">
        <v>452</v>
      </c>
      <c r="I417" s="10">
        <v>598.16999999999996</v>
      </c>
      <c r="J417" s="10">
        <f t="shared" si="19"/>
        <v>226670.93999999992</v>
      </c>
      <c r="K417" s="6">
        <f t="shared" si="20"/>
        <v>95024.349999999875</v>
      </c>
    </row>
    <row r="418" spans="1:11" x14ac:dyDescent="0.25">
      <c r="A418" s="5" t="s">
        <v>505</v>
      </c>
      <c r="B418" s="42">
        <f t="shared" si="18"/>
        <v>227.26910999999993</v>
      </c>
      <c r="C418" s="7" t="s">
        <v>681</v>
      </c>
      <c r="D418" s="7" t="s">
        <v>680</v>
      </c>
      <c r="E418" s="7" t="s">
        <v>829</v>
      </c>
      <c r="F418" s="17">
        <v>227.34478999999999</v>
      </c>
      <c r="G418" s="7" t="s">
        <v>452</v>
      </c>
      <c r="H418" s="7" t="s">
        <v>450</v>
      </c>
      <c r="I418" s="10">
        <v>459.49</v>
      </c>
      <c r="J418" s="10">
        <f t="shared" si="19"/>
        <v>227269.10999999993</v>
      </c>
      <c r="K418" s="6">
        <f t="shared" si="20"/>
        <v>94426.179999999877</v>
      </c>
    </row>
    <row r="419" spans="1:11" x14ac:dyDescent="0.25">
      <c r="A419" s="5" t="s">
        <v>505</v>
      </c>
      <c r="B419" s="42">
        <f t="shared" si="18"/>
        <v>227.72859999999991</v>
      </c>
      <c r="C419" s="7" t="s">
        <v>680</v>
      </c>
      <c r="D419" s="7" t="s">
        <v>679</v>
      </c>
      <c r="E419" s="7" t="s">
        <v>829</v>
      </c>
      <c r="F419" s="17">
        <v>227.91110999999998</v>
      </c>
      <c r="G419" s="7" t="s">
        <v>450</v>
      </c>
      <c r="H419" s="7" t="s">
        <v>448</v>
      </c>
      <c r="I419" s="10">
        <v>484.59</v>
      </c>
      <c r="J419" s="10">
        <f t="shared" si="19"/>
        <v>227728.59999999992</v>
      </c>
      <c r="K419" s="6">
        <f t="shared" si="20"/>
        <v>93966.689999999871</v>
      </c>
    </row>
    <row r="420" spans="1:11" x14ac:dyDescent="0.25">
      <c r="A420" s="5" t="s">
        <v>505</v>
      </c>
      <c r="B420" s="42">
        <f t="shared" si="18"/>
        <v>228.21318999999991</v>
      </c>
      <c r="C420" s="7" t="s">
        <v>679</v>
      </c>
      <c r="D420" s="7" t="s">
        <v>678</v>
      </c>
      <c r="E420" s="7" t="s">
        <v>829</v>
      </c>
      <c r="F420" s="17">
        <v>228.48439999999999</v>
      </c>
      <c r="G420" s="7" t="s">
        <v>448</v>
      </c>
      <c r="H420" s="7" t="s">
        <v>446</v>
      </c>
      <c r="I420" s="10">
        <v>495.43</v>
      </c>
      <c r="J420" s="10">
        <f t="shared" si="19"/>
        <v>228213.18999999992</v>
      </c>
      <c r="K420" s="6">
        <f t="shared" si="20"/>
        <v>93482.099999999875</v>
      </c>
    </row>
    <row r="421" spans="1:11" x14ac:dyDescent="0.25">
      <c r="A421" s="5" t="s">
        <v>505</v>
      </c>
      <c r="B421" s="42">
        <f t="shared" si="18"/>
        <v>228.70861999999991</v>
      </c>
      <c r="C421" s="7" t="s">
        <v>678</v>
      </c>
      <c r="D421" s="7" t="s">
        <v>677</v>
      </c>
      <c r="E421" s="7" t="s">
        <v>829</v>
      </c>
      <c r="F421" s="17">
        <v>229.05736999999999</v>
      </c>
      <c r="G421" s="7" t="s">
        <v>446</v>
      </c>
      <c r="H421" s="7" t="s">
        <v>444</v>
      </c>
      <c r="I421" s="10">
        <v>459.99</v>
      </c>
      <c r="J421" s="10">
        <f t="shared" si="19"/>
        <v>228708.61999999991</v>
      </c>
      <c r="K421" s="6">
        <f t="shared" si="20"/>
        <v>92986.669999999882</v>
      </c>
    </row>
    <row r="422" spans="1:11" x14ac:dyDescent="0.25">
      <c r="A422" s="5" t="s">
        <v>505</v>
      </c>
      <c r="B422" s="42">
        <f t="shared" si="18"/>
        <v>229.16860999999989</v>
      </c>
      <c r="C422" s="7" t="s">
        <v>677</v>
      </c>
      <c r="D422" s="7" t="s">
        <v>676</v>
      </c>
      <c r="E422" s="7" t="s">
        <v>829</v>
      </c>
      <c r="F422" s="17">
        <v>229.60220999999999</v>
      </c>
      <c r="G422" s="7" t="s">
        <v>444</v>
      </c>
      <c r="H422" s="7" t="s">
        <v>442</v>
      </c>
      <c r="I422" s="10">
        <v>434.96</v>
      </c>
      <c r="J422" s="10">
        <f t="shared" si="19"/>
        <v>229168.6099999999</v>
      </c>
      <c r="K422" s="6">
        <f t="shared" si="20"/>
        <v>92526.679999999877</v>
      </c>
    </row>
    <row r="423" spans="1:11" x14ac:dyDescent="0.25">
      <c r="A423" s="5" t="s">
        <v>505</v>
      </c>
      <c r="B423" s="42">
        <f t="shared" si="18"/>
        <v>229.60356999999988</v>
      </c>
      <c r="C423" s="7" t="s">
        <v>676</v>
      </c>
      <c r="D423" s="7" t="s">
        <v>675</v>
      </c>
      <c r="E423" s="7" t="s">
        <v>829</v>
      </c>
      <c r="F423" s="17">
        <v>230.14749</v>
      </c>
      <c r="G423" s="7" t="s">
        <v>442</v>
      </c>
      <c r="H423" s="7" t="s">
        <v>440</v>
      </c>
      <c r="I423" s="10">
        <v>346.45</v>
      </c>
      <c r="J423" s="10">
        <f t="shared" si="19"/>
        <v>229603.56999999989</v>
      </c>
      <c r="K423" s="6">
        <f t="shared" si="20"/>
        <v>92091.71999999987</v>
      </c>
    </row>
    <row r="424" spans="1:11" x14ac:dyDescent="0.25">
      <c r="A424" s="5" t="s">
        <v>505</v>
      </c>
      <c r="B424" s="42">
        <f t="shared" si="18"/>
        <v>229.95001999999991</v>
      </c>
      <c r="C424" s="7" t="s">
        <v>675</v>
      </c>
      <c r="D424" s="7" t="s">
        <v>674</v>
      </c>
      <c r="E424" s="7" t="s">
        <v>829</v>
      </c>
      <c r="F424" s="17">
        <v>230.72017</v>
      </c>
      <c r="G424" s="7" t="s">
        <v>440</v>
      </c>
      <c r="H424" s="7" t="s">
        <v>438</v>
      </c>
      <c r="I424" s="10">
        <v>629.57000000000005</v>
      </c>
      <c r="J424" s="10">
        <f t="shared" si="19"/>
        <v>229950.0199999999</v>
      </c>
      <c r="K424" s="6">
        <f t="shared" si="20"/>
        <v>91745.269999999873</v>
      </c>
    </row>
    <row r="425" spans="1:11" x14ac:dyDescent="0.25">
      <c r="A425" s="5" t="s">
        <v>505</v>
      </c>
      <c r="B425" s="42">
        <f t="shared" si="18"/>
        <v>230.57958999999991</v>
      </c>
      <c r="C425" s="7" t="s">
        <v>674</v>
      </c>
      <c r="D425" s="7" t="s">
        <v>673</v>
      </c>
      <c r="E425" s="7" t="s">
        <v>829</v>
      </c>
      <c r="F425" s="17">
        <v>231.24139</v>
      </c>
      <c r="G425" s="7" t="s">
        <v>438</v>
      </c>
      <c r="H425" s="7" t="s">
        <v>436</v>
      </c>
      <c r="I425" s="10">
        <v>520.54999999999995</v>
      </c>
      <c r="J425" s="10">
        <f t="shared" si="19"/>
        <v>230579.58999999991</v>
      </c>
      <c r="K425" s="6">
        <f t="shared" si="20"/>
        <v>91115.699999999866</v>
      </c>
    </row>
    <row r="426" spans="1:11" x14ac:dyDescent="0.25">
      <c r="A426" s="5" t="s">
        <v>505</v>
      </c>
      <c r="B426" s="42">
        <f t="shared" si="18"/>
        <v>231.1001399999999</v>
      </c>
      <c r="C426" s="7" t="s">
        <v>673</v>
      </c>
      <c r="D426" s="7" t="s">
        <v>672</v>
      </c>
      <c r="E426" s="7" t="s">
        <v>829</v>
      </c>
      <c r="F426" s="17">
        <v>231.74999999999997</v>
      </c>
      <c r="G426" s="7" t="s">
        <v>436</v>
      </c>
      <c r="H426" s="7" t="s">
        <v>434</v>
      </c>
      <c r="I426" s="10">
        <v>461.8</v>
      </c>
      <c r="J426" s="10">
        <f t="shared" si="19"/>
        <v>231100.1399999999</v>
      </c>
      <c r="K426" s="6">
        <f t="shared" si="20"/>
        <v>90595.149999999863</v>
      </c>
    </row>
    <row r="427" spans="1:11" x14ac:dyDescent="0.25">
      <c r="A427" s="5" t="s">
        <v>505</v>
      </c>
      <c r="B427" s="42">
        <f t="shared" si="18"/>
        <v>231.56193999999988</v>
      </c>
      <c r="C427" s="7" t="s">
        <v>672</v>
      </c>
      <c r="D427" s="7" t="s">
        <v>671</v>
      </c>
      <c r="E427" s="7" t="s">
        <v>829</v>
      </c>
      <c r="F427" s="17">
        <v>232.31329999999997</v>
      </c>
      <c r="G427" s="7" t="s">
        <v>434</v>
      </c>
      <c r="H427" s="7" t="s">
        <v>432</v>
      </c>
      <c r="I427" s="10">
        <v>501.04</v>
      </c>
      <c r="J427" s="10">
        <f t="shared" si="19"/>
        <v>231561.93999999989</v>
      </c>
      <c r="K427" s="6">
        <f t="shared" si="20"/>
        <v>90133.34999999986</v>
      </c>
    </row>
    <row r="428" spans="1:11" x14ac:dyDescent="0.25">
      <c r="A428" s="5" t="s">
        <v>505</v>
      </c>
      <c r="B428" s="42">
        <f t="shared" si="18"/>
        <v>232.0629799999999</v>
      </c>
      <c r="C428" s="7" t="s">
        <v>671</v>
      </c>
      <c r="D428" s="7" t="s">
        <v>670</v>
      </c>
      <c r="E428" s="7" t="s">
        <v>829</v>
      </c>
      <c r="F428" s="17">
        <v>232.88690999999994</v>
      </c>
      <c r="G428" s="7" t="s">
        <v>432</v>
      </c>
      <c r="H428" s="7" t="s">
        <v>430</v>
      </c>
      <c r="I428" s="10">
        <v>491.55</v>
      </c>
      <c r="J428" s="10">
        <f t="shared" si="19"/>
        <v>232062.97999999989</v>
      </c>
      <c r="K428" s="6">
        <f t="shared" si="20"/>
        <v>89632.309999999867</v>
      </c>
    </row>
    <row r="429" spans="1:11" x14ac:dyDescent="0.25">
      <c r="A429" s="5" t="s">
        <v>505</v>
      </c>
      <c r="B429" s="42">
        <f t="shared" si="18"/>
        <v>232.55452999999989</v>
      </c>
      <c r="C429" s="7" t="s">
        <v>670</v>
      </c>
      <c r="D429" s="7" t="s">
        <v>669</v>
      </c>
      <c r="E429" s="7" t="s">
        <v>829</v>
      </c>
      <c r="F429" s="17">
        <v>233.46036999999993</v>
      </c>
      <c r="G429" s="7" t="s">
        <v>430</v>
      </c>
      <c r="H429" s="7" t="s">
        <v>428</v>
      </c>
      <c r="I429" s="10">
        <v>498.28</v>
      </c>
      <c r="J429" s="10">
        <f t="shared" si="19"/>
        <v>232554.52999999988</v>
      </c>
      <c r="K429" s="6">
        <f t="shared" si="20"/>
        <v>89140.759999999864</v>
      </c>
    </row>
    <row r="430" spans="1:11" x14ac:dyDescent="0.25">
      <c r="A430" s="5" t="s">
        <v>505</v>
      </c>
      <c r="B430" s="42">
        <f t="shared" si="18"/>
        <v>233.05280999999988</v>
      </c>
      <c r="C430" s="7" t="s">
        <v>669</v>
      </c>
      <c r="D430" s="7" t="s">
        <v>668</v>
      </c>
      <c r="E430" s="7" t="s">
        <v>829</v>
      </c>
      <c r="F430" s="17">
        <v>233.98115999999993</v>
      </c>
      <c r="G430" s="7" t="s">
        <v>428</v>
      </c>
      <c r="H430" s="7" t="s">
        <v>426</v>
      </c>
      <c r="I430" s="10">
        <v>500.72</v>
      </c>
      <c r="J430" s="10">
        <f t="shared" si="19"/>
        <v>233052.80999999988</v>
      </c>
      <c r="K430" s="6">
        <f t="shared" si="20"/>
        <v>88642.479999999865</v>
      </c>
    </row>
    <row r="431" spans="1:11" x14ac:dyDescent="0.25">
      <c r="A431" s="5" t="s">
        <v>505</v>
      </c>
      <c r="B431" s="42">
        <f t="shared" si="18"/>
        <v>233.55352999999988</v>
      </c>
      <c r="C431" s="7" t="s">
        <v>668</v>
      </c>
      <c r="D431" s="7" t="s">
        <v>667</v>
      </c>
      <c r="E431" s="7" t="s">
        <v>829</v>
      </c>
      <c r="F431" s="17">
        <v>234.49318999999994</v>
      </c>
      <c r="G431" s="7" t="s">
        <v>426</v>
      </c>
      <c r="H431" s="7" t="s">
        <v>424</v>
      </c>
      <c r="I431" s="10">
        <v>457.23</v>
      </c>
      <c r="J431" s="10">
        <f t="shared" si="19"/>
        <v>233553.52999999988</v>
      </c>
      <c r="K431" s="6">
        <f t="shared" si="20"/>
        <v>88141.759999999864</v>
      </c>
    </row>
    <row r="432" spans="1:11" x14ac:dyDescent="0.25">
      <c r="A432" s="5" t="s">
        <v>505</v>
      </c>
      <c r="B432" s="42">
        <f t="shared" si="18"/>
        <v>234.01075999999989</v>
      </c>
      <c r="C432" s="7" t="s">
        <v>667</v>
      </c>
      <c r="D432" s="7" t="s">
        <v>666</v>
      </c>
      <c r="E432" s="7" t="s">
        <v>829</v>
      </c>
      <c r="F432" s="17">
        <v>235.05987999999994</v>
      </c>
      <c r="G432" s="7" t="s">
        <v>424</v>
      </c>
      <c r="H432" s="7" t="s">
        <v>422</v>
      </c>
      <c r="I432" s="10">
        <v>422.08</v>
      </c>
      <c r="J432" s="10">
        <f t="shared" si="19"/>
        <v>234010.75999999989</v>
      </c>
      <c r="K432" s="6">
        <f t="shared" si="20"/>
        <v>87684.529999999868</v>
      </c>
    </row>
    <row r="433" spans="1:11" x14ac:dyDescent="0.25">
      <c r="A433" s="5" t="s">
        <v>505</v>
      </c>
      <c r="B433" s="42">
        <f t="shared" si="18"/>
        <v>234.43283999999989</v>
      </c>
      <c r="C433" s="7" t="s">
        <v>666</v>
      </c>
      <c r="D433" s="7" t="s">
        <v>665</v>
      </c>
      <c r="E433" s="7" t="s">
        <v>829</v>
      </c>
      <c r="F433" s="17">
        <v>235.64925999999994</v>
      </c>
      <c r="G433" s="7" t="s">
        <v>422</v>
      </c>
      <c r="H433" s="7" t="s">
        <v>420</v>
      </c>
      <c r="I433" s="10">
        <v>533.61</v>
      </c>
      <c r="J433" s="10">
        <f t="shared" si="19"/>
        <v>234432.83999999988</v>
      </c>
      <c r="K433" s="6">
        <f t="shared" si="20"/>
        <v>87262.449999999866</v>
      </c>
    </row>
    <row r="434" spans="1:11" x14ac:dyDescent="0.25">
      <c r="A434" s="5" t="s">
        <v>505</v>
      </c>
      <c r="B434" s="42">
        <f t="shared" si="18"/>
        <v>234.96644999999987</v>
      </c>
      <c r="C434" s="7" t="s">
        <v>665</v>
      </c>
      <c r="D434" s="7" t="s">
        <v>664</v>
      </c>
      <c r="E434" s="7" t="s">
        <v>829</v>
      </c>
      <c r="F434" s="17">
        <v>236.22118999999995</v>
      </c>
      <c r="G434" s="7" t="s">
        <v>420</v>
      </c>
      <c r="H434" s="7" t="s">
        <v>418</v>
      </c>
      <c r="I434" s="10">
        <v>567.53</v>
      </c>
      <c r="J434" s="10">
        <f t="shared" si="19"/>
        <v>234966.44999999987</v>
      </c>
      <c r="K434" s="6">
        <f t="shared" si="20"/>
        <v>86728.839999999866</v>
      </c>
    </row>
    <row r="435" spans="1:11" x14ac:dyDescent="0.25">
      <c r="A435" s="5" t="s">
        <v>505</v>
      </c>
      <c r="B435" s="42">
        <f t="shared" si="18"/>
        <v>235.53397999999987</v>
      </c>
      <c r="C435" s="7" t="s">
        <v>664</v>
      </c>
      <c r="D435" s="7" t="s">
        <v>663</v>
      </c>
      <c r="E435" s="7" t="s">
        <v>829</v>
      </c>
      <c r="F435" s="17">
        <v>236.79354999999993</v>
      </c>
      <c r="G435" s="7" t="s">
        <v>418</v>
      </c>
      <c r="H435" s="7" t="s">
        <v>416</v>
      </c>
      <c r="I435" s="10">
        <v>492.12</v>
      </c>
      <c r="J435" s="10">
        <f t="shared" si="19"/>
        <v>235533.97999999986</v>
      </c>
      <c r="K435" s="6">
        <f t="shared" si="20"/>
        <v>86161.309999999867</v>
      </c>
    </row>
    <row r="436" spans="1:11" x14ac:dyDescent="0.25">
      <c r="A436" s="5" t="s">
        <v>505</v>
      </c>
      <c r="B436" s="42">
        <f t="shared" si="18"/>
        <v>236.02609999999987</v>
      </c>
      <c r="C436" s="7" t="s">
        <v>663</v>
      </c>
      <c r="D436" s="7" t="s">
        <v>662</v>
      </c>
      <c r="E436" s="7" t="s">
        <v>829</v>
      </c>
      <c r="F436" s="17">
        <v>237.36558999999994</v>
      </c>
      <c r="G436" s="7" t="s">
        <v>416</v>
      </c>
      <c r="H436" s="7" t="s">
        <v>414</v>
      </c>
      <c r="I436" s="10">
        <v>446.93</v>
      </c>
      <c r="J436" s="10">
        <f t="shared" si="19"/>
        <v>236026.09999999986</v>
      </c>
      <c r="K436" s="6">
        <f t="shared" si="20"/>
        <v>85669.189999999871</v>
      </c>
    </row>
    <row r="437" spans="1:11" x14ac:dyDescent="0.25">
      <c r="A437" s="5" t="s">
        <v>505</v>
      </c>
      <c r="B437" s="42">
        <f t="shared" si="18"/>
        <v>236.47302999999985</v>
      </c>
      <c r="C437" s="7" t="s">
        <v>662</v>
      </c>
      <c r="D437" s="7" t="s">
        <v>661</v>
      </c>
      <c r="E437" s="7" t="s">
        <v>829</v>
      </c>
      <c r="F437" s="17">
        <v>237.93911999999995</v>
      </c>
      <c r="G437" s="7" t="s">
        <v>414</v>
      </c>
      <c r="H437" s="7" t="s">
        <v>412</v>
      </c>
      <c r="I437" s="10">
        <v>580.39</v>
      </c>
      <c r="J437" s="10">
        <f t="shared" si="19"/>
        <v>236473.02999999985</v>
      </c>
      <c r="K437" s="6">
        <f t="shared" si="20"/>
        <v>85222.259999999878</v>
      </c>
    </row>
    <row r="438" spans="1:11" x14ac:dyDescent="0.25">
      <c r="A438" s="5" t="s">
        <v>505</v>
      </c>
      <c r="B438" s="42">
        <f t="shared" si="18"/>
        <v>237.05341999999987</v>
      </c>
      <c r="C438" s="7" t="s">
        <v>661</v>
      </c>
      <c r="D438" s="7" t="s">
        <v>660</v>
      </c>
      <c r="E438" s="7" t="s">
        <v>829</v>
      </c>
      <c r="F438" s="17">
        <v>238.51194999999993</v>
      </c>
      <c r="G438" s="7" t="s">
        <v>412</v>
      </c>
      <c r="H438" s="7" t="s">
        <v>410</v>
      </c>
      <c r="I438" s="10">
        <v>558.22</v>
      </c>
      <c r="J438" s="10">
        <f t="shared" si="19"/>
        <v>237053.41999999987</v>
      </c>
      <c r="K438" s="6">
        <f t="shared" si="20"/>
        <v>84641.869999999879</v>
      </c>
    </row>
    <row r="439" spans="1:11" x14ac:dyDescent="0.25">
      <c r="A439" s="5" t="s">
        <v>505</v>
      </c>
      <c r="B439" s="42">
        <f t="shared" si="18"/>
        <v>237.61163999999988</v>
      </c>
      <c r="C439" s="7" t="s">
        <v>660</v>
      </c>
      <c r="D439" s="7" t="s">
        <v>659</v>
      </c>
      <c r="E439" s="7" t="s">
        <v>829</v>
      </c>
      <c r="F439" s="17">
        <v>239.08512999999991</v>
      </c>
      <c r="G439" s="7" t="s">
        <v>410</v>
      </c>
      <c r="H439" s="7" t="s">
        <v>408</v>
      </c>
      <c r="I439" s="10">
        <v>553.45000000000005</v>
      </c>
      <c r="J439" s="10">
        <f t="shared" si="19"/>
        <v>237611.63999999987</v>
      </c>
      <c r="K439" s="6">
        <f t="shared" si="20"/>
        <v>84083.649999999878</v>
      </c>
    </row>
    <row r="440" spans="1:11" x14ac:dyDescent="0.25">
      <c r="A440" s="5" t="s">
        <v>505</v>
      </c>
      <c r="B440" s="42">
        <f t="shared" si="18"/>
        <v>238.16508999999988</v>
      </c>
      <c r="C440" s="7" t="s">
        <v>659</v>
      </c>
      <c r="D440" s="7" t="s">
        <v>658</v>
      </c>
      <c r="E440" s="7" t="s">
        <v>829</v>
      </c>
      <c r="F440" s="17">
        <v>239.65886999999992</v>
      </c>
      <c r="G440" s="7" t="s">
        <v>408</v>
      </c>
      <c r="H440" s="7" t="s">
        <v>406</v>
      </c>
      <c r="I440" s="10">
        <v>558.28</v>
      </c>
      <c r="J440" s="10">
        <f t="shared" si="19"/>
        <v>238165.08999999988</v>
      </c>
      <c r="K440" s="6">
        <f t="shared" si="20"/>
        <v>83530.199999999881</v>
      </c>
    </row>
    <row r="441" spans="1:11" x14ac:dyDescent="0.25">
      <c r="A441" s="5" t="s">
        <v>505</v>
      </c>
      <c r="B441" s="42">
        <f t="shared" si="18"/>
        <v>238.72336999999987</v>
      </c>
      <c r="C441" s="7" t="s">
        <v>658</v>
      </c>
      <c r="D441" s="7" t="s">
        <v>657</v>
      </c>
      <c r="E441" s="7" t="s">
        <v>829</v>
      </c>
      <c r="F441" s="17">
        <v>240.23286999999991</v>
      </c>
      <c r="G441" s="7" t="s">
        <v>406</v>
      </c>
      <c r="H441" s="7" t="s">
        <v>404</v>
      </c>
      <c r="I441" s="10">
        <v>555.49</v>
      </c>
      <c r="J441" s="10">
        <f t="shared" si="19"/>
        <v>238723.36999999988</v>
      </c>
      <c r="K441" s="6">
        <f t="shared" si="20"/>
        <v>82971.919999999882</v>
      </c>
    </row>
    <row r="442" spans="1:11" x14ac:dyDescent="0.25">
      <c r="A442" s="5" t="s">
        <v>505</v>
      </c>
      <c r="B442" s="42">
        <f t="shared" si="18"/>
        <v>239.27885999999987</v>
      </c>
      <c r="C442" s="7" t="s">
        <v>657</v>
      </c>
      <c r="D442" s="7" t="s">
        <v>656</v>
      </c>
      <c r="E442" s="7" t="s">
        <v>829</v>
      </c>
      <c r="F442" s="17">
        <v>240.8068999999999</v>
      </c>
      <c r="G442" s="7" t="s">
        <v>404</v>
      </c>
      <c r="H442" s="7" t="s">
        <v>402</v>
      </c>
      <c r="I442" s="10">
        <v>537.53</v>
      </c>
      <c r="J442" s="10">
        <f t="shared" si="19"/>
        <v>239278.85999999987</v>
      </c>
      <c r="K442" s="6">
        <f t="shared" si="20"/>
        <v>82416.429999999877</v>
      </c>
    </row>
    <row r="443" spans="1:11" x14ac:dyDescent="0.25">
      <c r="A443" s="5" t="s">
        <v>505</v>
      </c>
      <c r="B443" s="42">
        <f t="shared" si="18"/>
        <v>239.81638999999987</v>
      </c>
      <c r="C443" s="7" t="s">
        <v>656</v>
      </c>
      <c r="D443" s="7" t="s">
        <v>655</v>
      </c>
      <c r="E443" s="7" t="s">
        <v>829</v>
      </c>
      <c r="F443" s="17">
        <v>241.38281999999992</v>
      </c>
      <c r="G443" s="7" t="s">
        <v>402</v>
      </c>
      <c r="H443" s="7" t="s">
        <v>400</v>
      </c>
      <c r="I443" s="10">
        <v>555.59</v>
      </c>
      <c r="J443" s="10">
        <f t="shared" si="19"/>
        <v>239816.38999999987</v>
      </c>
      <c r="K443" s="6">
        <f t="shared" si="20"/>
        <v>81878.899999999878</v>
      </c>
    </row>
    <row r="444" spans="1:11" x14ac:dyDescent="0.25">
      <c r="A444" s="5" t="s">
        <v>505</v>
      </c>
      <c r="B444" s="42">
        <f t="shared" si="18"/>
        <v>240.37197999999987</v>
      </c>
      <c r="C444" s="7" t="s">
        <v>655</v>
      </c>
      <c r="D444" s="7" t="s">
        <v>654</v>
      </c>
      <c r="E444" s="7" t="s">
        <v>829</v>
      </c>
      <c r="F444" s="17">
        <v>241.95654999999994</v>
      </c>
      <c r="G444" s="7" t="s">
        <v>400</v>
      </c>
      <c r="H444" s="7" t="s">
        <v>398</v>
      </c>
      <c r="I444" s="10">
        <v>543.41999999999996</v>
      </c>
      <c r="J444" s="10">
        <f t="shared" si="19"/>
        <v>240371.97999999986</v>
      </c>
      <c r="K444" s="6">
        <f t="shared" si="20"/>
        <v>81323.309999999881</v>
      </c>
    </row>
    <row r="445" spans="1:11" x14ac:dyDescent="0.25">
      <c r="A445" s="5" t="s">
        <v>505</v>
      </c>
      <c r="B445" s="42">
        <f t="shared" si="18"/>
        <v>240.91539999999989</v>
      </c>
      <c r="C445" s="7" t="s">
        <v>654</v>
      </c>
      <c r="D445" s="7" t="s">
        <v>653</v>
      </c>
      <c r="E445" s="7" t="s">
        <v>829</v>
      </c>
      <c r="F445" s="17">
        <v>242.52747999999991</v>
      </c>
      <c r="G445" s="7" t="s">
        <v>398</v>
      </c>
      <c r="H445" s="7" t="s">
        <v>396</v>
      </c>
      <c r="I445" s="10">
        <v>536.23</v>
      </c>
      <c r="J445" s="10">
        <f t="shared" si="19"/>
        <v>240915.39999999988</v>
      </c>
      <c r="K445" s="6">
        <f t="shared" si="20"/>
        <v>80779.889999999883</v>
      </c>
    </row>
    <row r="446" spans="1:11" x14ac:dyDescent="0.25">
      <c r="A446" s="5" t="s">
        <v>505</v>
      </c>
      <c r="B446" s="42">
        <f t="shared" si="18"/>
        <v>241.45162999999988</v>
      </c>
      <c r="C446" s="7" t="s">
        <v>653</v>
      </c>
      <c r="D446" s="7" t="s">
        <v>652</v>
      </c>
      <c r="E446" s="7" t="s">
        <v>829</v>
      </c>
      <c r="F446" s="17">
        <v>243.10889999999995</v>
      </c>
      <c r="G446" s="7" t="s">
        <v>396</v>
      </c>
      <c r="H446" s="7" t="s">
        <v>394</v>
      </c>
      <c r="I446" s="10">
        <v>582.95000000000005</v>
      </c>
      <c r="J446" s="10">
        <f t="shared" si="19"/>
        <v>241451.62999999989</v>
      </c>
      <c r="K446" s="6">
        <f t="shared" si="20"/>
        <v>80243.659999999887</v>
      </c>
    </row>
    <row r="447" spans="1:11" x14ac:dyDescent="0.25">
      <c r="A447" s="5" t="s">
        <v>505</v>
      </c>
      <c r="B447" s="42">
        <f t="shared" si="18"/>
        <v>242.03457999999989</v>
      </c>
      <c r="C447" s="7" t="s">
        <v>652</v>
      </c>
      <c r="D447" s="7" t="s">
        <v>651</v>
      </c>
      <c r="E447" s="7" t="s">
        <v>829</v>
      </c>
      <c r="F447" s="17">
        <v>243.66517999999994</v>
      </c>
      <c r="G447" s="7" t="s">
        <v>394</v>
      </c>
      <c r="H447" s="7" t="s">
        <v>392</v>
      </c>
      <c r="I447" s="10">
        <v>567.84</v>
      </c>
      <c r="J447" s="10">
        <f t="shared" si="19"/>
        <v>242034.5799999999</v>
      </c>
      <c r="K447" s="6">
        <f t="shared" si="20"/>
        <v>79660.70999999989</v>
      </c>
    </row>
    <row r="448" spans="1:11" x14ac:dyDescent="0.25">
      <c r="A448" s="5" t="s">
        <v>505</v>
      </c>
      <c r="B448" s="42">
        <f t="shared" si="18"/>
        <v>242.60241999999991</v>
      </c>
      <c r="C448" s="7" t="s">
        <v>651</v>
      </c>
      <c r="D448" s="7" t="s">
        <v>650</v>
      </c>
      <c r="E448" s="7" t="s">
        <v>829</v>
      </c>
      <c r="F448" s="17">
        <v>244.12477999999993</v>
      </c>
      <c r="G448" s="7" t="s">
        <v>392</v>
      </c>
      <c r="H448" s="7" t="s">
        <v>390</v>
      </c>
      <c r="I448" s="10">
        <v>539.51</v>
      </c>
      <c r="J448" s="10">
        <f t="shared" si="19"/>
        <v>242602.4199999999</v>
      </c>
      <c r="K448" s="6">
        <f t="shared" si="20"/>
        <v>79092.869999999893</v>
      </c>
    </row>
    <row r="449" spans="1:11" x14ac:dyDescent="0.25">
      <c r="A449" s="5" t="s">
        <v>505</v>
      </c>
      <c r="B449" s="42">
        <f t="shared" si="18"/>
        <v>243.14192999999992</v>
      </c>
      <c r="C449" s="7" t="s">
        <v>650</v>
      </c>
      <c r="D449" s="7" t="s">
        <v>649</v>
      </c>
      <c r="E449" s="7" t="s">
        <v>829</v>
      </c>
      <c r="F449" s="17">
        <v>244.58597999999995</v>
      </c>
      <c r="G449" s="7" t="s">
        <v>390</v>
      </c>
      <c r="H449" s="7" t="s">
        <v>388</v>
      </c>
      <c r="I449" s="10">
        <v>588.28</v>
      </c>
      <c r="J449" s="10">
        <f t="shared" si="19"/>
        <v>243141.92999999991</v>
      </c>
      <c r="K449" s="6">
        <f t="shared" si="20"/>
        <v>78553.359999999899</v>
      </c>
    </row>
    <row r="450" spans="1:11" x14ac:dyDescent="0.25">
      <c r="A450" s="5" t="s">
        <v>505</v>
      </c>
      <c r="B450" s="42">
        <f t="shared" si="18"/>
        <v>243.73020999999991</v>
      </c>
      <c r="C450" s="7" t="s">
        <v>649</v>
      </c>
      <c r="D450" s="7" t="s">
        <v>648</v>
      </c>
      <c r="E450" s="7" t="s">
        <v>829</v>
      </c>
      <c r="F450" s="17">
        <v>245.06209999999996</v>
      </c>
      <c r="G450" s="7" t="s">
        <v>388</v>
      </c>
      <c r="H450" s="7" t="s">
        <v>386</v>
      </c>
      <c r="I450" s="10">
        <v>483.66</v>
      </c>
      <c r="J450" s="10">
        <f t="shared" si="19"/>
        <v>243730.2099999999</v>
      </c>
      <c r="K450" s="6">
        <f t="shared" si="20"/>
        <v>77965.0799999999</v>
      </c>
    </row>
    <row r="451" spans="1:11" x14ac:dyDescent="0.25">
      <c r="A451" s="5" t="s">
        <v>505</v>
      </c>
      <c r="B451" s="42">
        <f t="shared" ref="B451:B514" si="21">J451/1000</f>
        <v>244.2138699999999</v>
      </c>
      <c r="C451" s="7" t="s">
        <v>648</v>
      </c>
      <c r="D451" s="7" t="s">
        <v>647</v>
      </c>
      <c r="E451" s="7" t="s">
        <v>829</v>
      </c>
      <c r="F451" s="17">
        <v>245.51069999999996</v>
      </c>
      <c r="G451" s="7" t="s">
        <v>386</v>
      </c>
      <c r="H451" s="7" t="s">
        <v>384</v>
      </c>
      <c r="I451" s="10">
        <v>534.42999999999995</v>
      </c>
      <c r="J451" s="10">
        <f t="shared" si="19"/>
        <v>244213.86999999991</v>
      </c>
      <c r="K451" s="6">
        <f t="shared" si="20"/>
        <v>77481.419999999896</v>
      </c>
    </row>
    <row r="452" spans="1:11" x14ac:dyDescent="0.25">
      <c r="A452" s="5" t="s">
        <v>505</v>
      </c>
      <c r="B452" s="42">
        <f t="shared" si="21"/>
        <v>244.74829999999992</v>
      </c>
      <c r="C452" s="7" t="s">
        <v>647</v>
      </c>
      <c r="D452" s="7" t="s">
        <v>646</v>
      </c>
      <c r="E452" s="7" t="s">
        <v>829</v>
      </c>
      <c r="F452" s="17">
        <v>246.04060999999996</v>
      </c>
      <c r="G452" s="7" t="s">
        <v>384</v>
      </c>
      <c r="H452" s="7" t="s">
        <v>382</v>
      </c>
      <c r="I452" s="10">
        <v>388.19</v>
      </c>
      <c r="J452" s="10">
        <f t="shared" si="19"/>
        <v>244748.2999999999</v>
      </c>
      <c r="K452" s="6">
        <f t="shared" si="20"/>
        <v>76946.989999999903</v>
      </c>
    </row>
    <row r="453" spans="1:11" x14ac:dyDescent="0.25">
      <c r="A453" s="5" t="s">
        <v>505</v>
      </c>
      <c r="B453" s="42">
        <f t="shared" si="21"/>
        <v>245.1364899999999</v>
      </c>
      <c r="C453" s="7" t="s">
        <v>646</v>
      </c>
      <c r="D453" s="7" t="s">
        <v>645</v>
      </c>
      <c r="E453" s="7" t="s">
        <v>829</v>
      </c>
      <c r="F453" s="17">
        <v>246.60651999999996</v>
      </c>
      <c r="G453" s="7" t="s">
        <v>382</v>
      </c>
      <c r="H453" s="7" t="s">
        <v>380</v>
      </c>
      <c r="I453" s="10">
        <v>598.63</v>
      </c>
      <c r="J453" s="10">
        <f t="shared" si="19"/>
        <v>245136.4899999999</v>
      </c>
      <c r="K453" s="6">
        <f t="shared" si="20"/>
        <v>76558.799999999901</v>
      </c>
    </row>
    <row r="454" spans="1:11" x14ac:dyDescent="0.25">
      <c r="A454" s="5" t="s">
        <v>505</v>
      </c>
      <c r="B454" s="42">
        <f t="shared" si="21"/>
        <v>245.73511999999991</v>
      </c>
      <c r="C454" s="7" t="s">
        <v>645</v>
      </c>
      <c r="D454" s="7" t="s">
        <v>644</v>
      </c>
      <c r="E454" s="7" t="s">
        <v>829</v>
      </c>
      <c r="F454" s="17">
        <v>247.18057999999996</v>
      </c>
      <c r="G454" s="7" t="s">
        <v>380</v>
      </c>
      <c r="H454" s="7" t="s">
        <v>378</v>
      </c>
      <c r="I454" s="10">
        <v>454.52</v>
      </c>
      <c r="J454" s="10">
        <f t="shared" ref="J454:J517" si="22">J453+I453</f>
        <v>245735.11999999991</v>
      </c>
      <c r="K454" s="6">
        <f t="shared" ref="K454:K517" si="23">K453-I453</f>
        <v>75960.169999999896</v>
      </c>
    </row>
    <row r="455" spans="1:11" x14ac:dyDescent="0.25">
      <c r="A455" s="5" t="s">
        <v>505</v>
      </c>
      <c r="B455" s="42">
        <f t="shared" si="21"/>
        <v>246.18963999999988</v>
      </c>
      <c r="C455" s="7" t="s">
        <v>644</v>
      </c>
      <c r="D455" s="7" t="s">
        <v>643</v>
      </c>
      <c r="E455" s="7" t="s">
        <v>829</v>
      </c>
      <c r="F455" s="17">
        <v>247.75306999999995</v>
      </c>
      <c r="G455" s="7" t="s">
        <v>378</v>
      </c>
      <c r="H455" s="7" t="s">
        <v>376</v>
      </c>
      <c r="I455" s="10">
        <v>584.63</v>
      </c>
      <c r="J455" s="10">
        <f t="shared" si="22"/>
        <v>246189.6399999999</v>
      </c>
      <c r="K455" s="6">
        <f t="shared" si="23"/>
        <v>75505.649999999892</v>
      </c>
    </row>
    <row r="456" spans="1:11" x14ac:dyDescent="0.25">
      <c r="A456" s="5" t="s">
        <v>505</v>
      </c>
      <c r="B456" s="42">
        <f t="shared" si="21"/>
        <v>246.77426999999992</v>
      </c>
      <c r="C456" s="7" t="s">
        <v>643</v>
      </c>
      <c r="D456" s="7" t="s">
        <v>642</v>
      </c>
      <c r="E456" s="7" t="s">
        <v>829</v>
      </c>
      <c r="F456" s="17">
        <v>248.32714999999993</v>
      </c>
      <c r="G456" s="7" t="s">
        <v>376</v>
      </c>
      <c r="H456" s="7" t="s">
        <v>374</v>
      </c>
      <c r="I456" s="10">
        <v>595.71</v>
      </c>
      <c r="J456" s="10">
        <f t="shared" si="22"/>
        <v>246774.2699999999</v>
      </c>
      <c r="K456" s="6">
        <f t="shared" si="23"/>
        <v>74921.019999999888</v>
      </c>
    </row>
    <row r="457" spans="1:11" x14ac:dyDescent="0.25">
      <c r="A457" s="5" t="s">
        <v>505</v>
      </c>
      <c r="B457" s="42">
        <f t="shared" si="21"/>
        <v>247.36997999999988</v>
      </c>
      <c r="C457" s="7" t="s">
        <v>642</v>
      </c>
      <c r="D457" s="7" t="s">
        <v>641</v>
      </c>
      <c r="E457" s="7" t="s">
        <v>829</v>
      </c>
      <c r="F457" s="17">
        <v>248.91950999999992</v>
      </c>
      <c r="G457" s="7" t="s">
        <v>374</v>
      </c>
      <c r="H457" s="7" t="s">
        <v>372</v>
      </c>
      <c r="I457" s="10">
        <v>574.69000000000005</v>
      </c>
      <c r="J457" s="10">
        <f t="shared" si="22"/>
        <v>247369.97999999989</v>
      </c>
      <c r="K457" s="6">
        <f t="shared" si="23"/>
        <v>74325.309999999881</v>
      </c>
    </row>
    <row r="458" spans="1:11" x14ac:dyDescent="0.25">
      <c r="A458" s="5" t="s">
        <v>505</v>
      </c>
      <c r="B458" s="42">
        <f t="shared" si="21"/>
        <v>247.94466999999989</v>
      </c>
      <c r="C458" s="7" t="s">
        <v>641</v>
      </c>
      <c r="D458" s="7" t="s">
        <v>640</v>
      </c>
      <c r="E458" s="7" t="s">
        <v>829</v>
      </c>
      <c r="F458" s="17">
        <v>249.43728999999993</v>
      </c>
      <c r="G458" s="7" t="s">
        <v>372</v>
      </c>
      <c r="H458" s="7" t="s">
        <v>370</v>
      </c>
      <c r="I458" s="10">
        <v>572.54999999999995</v>
      </c>
      <c r="J458" s="10">
        <f t="shared" si="22"/>
        <v>247944.6699999999</v>
      </c>
      <c r="K458" s="6">
        <f t="shared" si="23"/>
        <v>73750.619999999879</v>
      </c>
    </row>
    <row r="459" spans="1:11" x14ac:dyDescent="0.25">
      <c r="A459" s="5" t="s">
        <v>505</v>
      </c>
      <c r="B459" s="42">
        <f t="shared" si="21"/>
        <v>248.5172199999999</v>
      </c>
      <c r="C459" s="7" t="s">
        <v>640</v>
      </c>
      <c r="D459" s="7" t="s">
        <v>639</v>
      </c>
      <c r="E459" s="7" t="s">
        <v>829</v>
      </c>
      <c r="F459" s="17">
        <v>249.95791999999992</v>
      </c>
      <c r="G459" s="7" t="s">
        <v>370</v>
      </c>
      <c r="H459" s="7" t="s">
        <v>368</v>
      </c>
      <c r="I459" s="10">
        <v>570.78</v>
      </c>
      <c r="J459" s="10">
        <f t="shared" si="22"/>
        <v>248517.21999999988</v>
      </c>
      <c r="K459" s="6">
        <f t="shared" si="23"/>
        <v>73178.069999999876</v>
      </c>
    </row>
    <row r="460" spans="1:11" x14ac:dyDescent="0.25">
      <c r="A460" s="5" t="s">
        <v>505</v>
      </c>
      <c r="B460" s="42">
        <f t="shared" si="21"/>
        <v>249.08799999999988</v>
      </c>
      <c r="C460" s="7" t="s">
        <v>639</v>
      </c>
      <c r="D460" s="7" t="s">
        <v>638</v>
      </c>
      <c r="E460" s="7" t="s">
        <v>829</v>
      </c>
      <c r="F460" s="17">
        <v>250.52086999999995</v>
      </c>
      <c r="G460" s="7" t="s">
        <v>368</v>
      </c>
      <c r="H460" s="7" t="s">
        <v>366</v>
      </c>
      <c r="I460" s="10">
        <v>563.84</v>
      </c>
      <c r="J460" s="10">
        <f t="shared" si="22"/>
        <v>249087.99999999988</v>
      </c>
      <c r="K460" s="6">
        <f t="shared" si="23"/>
        <v>72607.289999999877</v>
      </c>
    </row>
    <row r="461" spans="1:11" x14ac:dyDescent="0.25">
      <c r="A461" s="5" t="s">
        <v>505</v>
      </c>
      <c r="B461" s="42">
        <f t="shared" si="21"/>
        <v>249.65183999999988</v>
      </c>
      <c r="C461" s="7" t="s">
        <v>638</v>
      </c>
      <c r="D461" s="7" t="s">
        <v>637</v>
      </c>
      <c r="E461" s="7" t="s">
        <v>829</v>
      </c>
      <c r="F461" s="17">
        <v>251.09166999999994</v>
      </c>
      <c r="G461" s="7" t="s">
        <v>366</v>
      </c>
      <c r="H461" s="7" t="s">
        <v>364</v>
      </c>
      <c r="I461" s="10">
        <v>516.04</v>
      </c>
      <c r="J461" s="10">
        <f t="shared" si="22"/>
        <v>249651.83999999988</v>
      </c>
      <c r="K461" s="6">
        <f t="shared" si="23"/>
        <v>72043.449999999881</v>
      </c>
    </row>
    <row r="462" spans="1:11" x14ac:dyDescent="0.25">
      <c r="A462" s="5" t="s">
        <v>505</v>
      </c>
      <c r="B462" s="42">
        <f t="shared" si="21"/>
        <v>250.16787999999988</v>
      </c>
      <c r="C462" s="7" t="s">
        <v>637</v>
      </c>
      <c r="D462" s="7" t="s">
        <v>636</v>
      </c>
      <c r="E462" s="7" t="s">
        <v>829</v>
      </c>
      <c r="F462" s="17">
        <v>251.61851999999993</v>
      </c>
      <c r="G462" s="7" t="s">
        <v>364</v>
      </c>
      <c r="H462" s="7" t="s">
        <v>362</v>
      </c>
      <c r="I462" s="10">
        <v>481.98</v>
      </c>
      <c r="J462" s="10">
        <f t="shared" si="22"/>
        <v>250167.87999999989</v>
      </c>
      <c r="K462" s="6">
        <f t="shared" si="23"/>
        <v>71527.409999999887</v>
      </c>
    </row>
    <row r="463" spans="1:11" x14ac:dyDescent="0.25">
      <c r="A463" s="5" t="s">
        <v>505</v>
      </c>
      <c r="B463" s="42">
        <f t="shared" si="21"/>
        <v>250.6498599999999</v>
      </c>
      <c r="C463" s="7" t="s">
        <v>636</v>
      </c>
      <c r="D463" s="7" t="s">
        <v>635</v>
      </c>
      <c r="E463" s="7" t="s">
        <v>829</v>
      </c>
      <c r="F463" s="17">
        <v>252.13872999999992</v>
      </c>
      <c r="G463" s="7" t="s">
        <v>362</v>
      </c>
      <c r="H463" s="7" t="s">
        <v>360</v>
      </c>
      <c r="I463" s="10">
        <v>546.41</v>
      </c>
      <c r="J463" s="10">
        <f t="shared" si="22"/>
        <v>250649.8599999999</v>
      </c>
      <c r="K463" s="6">
        <f t="shared" si="23"/>
        <v>71045.429999999891</v>
      </c>
    </row>
    <row r="464" spans="1:11" x14ac:dyDescent="0.25">
      <c r="A464" s="5" t="s">
        <v>505</v>
      </c>
      <c r="B464" s="42">
        <f t="shared" si="21"/>
        <v>251.19626999999991</v>
      </c>
      <c r="C464" s="7" t="s">
        <v>635</v>
      </c>
      <c r="D464" s="7" t="s">
        <v>634</v>
      </c>
      <c r="E464" s="7" t="s">
        <v>829</v>
      </c>
      <c r="F464" s="17">
        <v>252.70437999999993</v>
      </c>
      <c r="G464" s="7" t="s">
        <v>360</v>
      </c>
      <c r="H464" s="7" t="s">
        <v>358</v>
      </c>
      <c r="I464" s="10">
        <v>428.74</v>
      </c>
      <c r="J464" s="10">
        <f t="shared" si="22"/>
        <v>251196.2699999999</v>
      </c>
      <c r="K464" s="6">
        <f t="shared" si="23"/>
        <v>70499.019999999888</v>
      </c>
    </row>
    <row r="465" spans="1:11" x14ac:dyDescent="0.25">
      <c r="A465" s="5" t="s">
        <v>505</v>
      </c>
      <c r="B465" s="42">
        <f t="shared" si="21"/>
        <v>251.62500999999989</v>
      </c>
      <c r="C465" s="7" t="s">
        <v>634</v>
      </c>
      <c r="D465" s="7" t="s">
        <v>633</v>
      </c>
      <c r="E465" s="7" t="s">
        <v>829</v>
      </c>
      <c r="F465" s="17">
        <v>253.2784299999999</v>
      </c>
      <c r="G465" s="7" t="s">
        <v>358</v>
      </c>
      <c r="H465" s="7" t="s">
        <v>356</v>
      </c>
      <c r="I465" s="10">
        <v>599.55999999999995</v>
      </c>
      <c r="J465" s="10">
        <f t="shared" si="22"/>
        <v>251625.00999999989</v>
      </c>
      <c r="K465" s="6">
        <f t="shared" si="23"/>
        <v>70070.279999999882</v>
      </c>
    </row>
    <row r="466" spans="1:11" x14ac:dyDescent="0.25">
      <c r="A466" s="5" t="s">
        <v>505</v>
      </c>
      <c r="B466" s="42">
        <f t="shared" si="21"/>
        <v>252.22456999999989</v>
      </c>
      <c r="C466" s="7" t="s">
        <v>633</v>
      </c>
      <c r="D466" s="7" t="s">
        <v>632</v>
      </c>
      <c r="E466" s="7" t="s">
        <v>829</v>
      </c>
      <c r="F466" s="17">
        <v>253.7533599999999</v>
      </c>
      <c r="G466" s="7" t="s">
        <v>356</v>
      </c>
      <c r="H466" s="7" t="s">
        <v>354</v>
      </c>
      <c r="I466" s="10">
        <v>572.86</v>
      </c>
      <c r="J466" s="10">
        <f t="shared" si="22"/>
        <v>252224.56999999989</v>
      </c>
      <c r="K466" s="6">
        <f t="shared" si="23"/>
        <v>69470.719999999885</v>
      </c>
    </row>
    <row r="467" spans="1:11" x14ac:dyDescent="0.25">
      <c r="A467" s="5" t="s">
        <v>505</v>
      </c>
      <c r="B467" s="42">
        <f t="shared" si="21"/>
        <v>252.79742999999988</v>
      </c>
      <c r="C467" s="7" t="s">
        <v>632</v>
      </c>
      <c r="D467" s="7" t="s">
        <v>631</v>
      </c>
      <c r="E467" s="7" t="s">
        <v>829</v>
      </c>
      <c r="F467" s="17">
        <v>254.19880999999992</v>
      </c>
      <c r="G467" s="7" t="s">
        <v>354</v>
      </c>
      <c r="H467" s="7" t="s">
        <v>352</v>
      </c>
      <c r="I467" s="10">
        <v>573.82000000000005</v>
      </c>
      <c r="J467" s="10">
        <f t="shared" si="22"/>
        <v>252797.42999999988</v>
      </c>
      <c r="K467" s="6">
        <f t="shared" si="23"/>
        <v>68897.859999999884</v>
      </c>
    </row>
    <row r="468" spans="1:11" x14ac:dyDescent="0.25">
      <c r="A468" s="5" t="s">
        <v>505</v>
      </c>
      <c r="B468" s="42">
        <f t="shared" si="21"/>
        <v>253.37124999999989</v>
      </c>
      <c r="C468" s="7" t="s">
        <v>631</v>
      </c>
      <c r="D468" s="7" t="s">
        <v>630</v>
      </c>
      <c r="E468" s="7" t="s">
        <v>829</v>
      </c>
      <c r="F468" s="17">
        <v>254.71343999999991</v>
      </c>
      <c r="G468" s="7" t="s">
        <v>352</v>
      </c>
      <c r="H468" s="7" t="s">
        <v>350</v>
      </c>
      <c r="I468" s="10">
        <v>589.14</v>
      </c>
      <c r="J468" s="10">
        <f t="shared" si="22"/>
        <v>253371.24999999988</v>
      </c>
      <c r="K468" s="6">
        <f t="shared" si="23"/>
        <v>68324.039999999877</v>
      </c>
    </row>
    <row r="469" spans="1:11" x14ac:dyDescent="0.25">
      <c r="A469" s="5" t="s">
        <v>505</v>
      </c>
      <c r="B469" s="42">
        <f t="shared" si="21"/>
        <v>253.9603899999999</v>
      </c>
      <c r="C469" s="7" t="s">
        <v>630</v>
      </c>
      <c r="D469" s="7" t="s">
        <v>629</v>
      </c>
      <c r="E469" s="7" t="s">
        <v>829</v>
      </c>
      <c r="F469" s="17">
        <v>255.22624999999991</v>
      </c>
      <c r="G469" s="7" t="s">
        <v>350</v>
      </c>
      <c r="H469" s="7" t="s">
        <v>348</v>
      </c>
      <c r="I469" s="10">
        <v>550.97</v>
      </c>
      <c r="J469" s="10">
        <f t="shared" si="22"/>
        <v>253960.3899999999</v>
      </c>
      <c r="K469" s="6">
        <f t="shared" si="23"/>
        <v>67734.899999999878</v>
      </c>
    </row>
    <row r="470" spans="1:11" x14ac:dyDescent="0.25">
      <c r="A470" s="5" t="s">
        <v>505</v>
      </c>
      <c r="B470" s="42">
        <f t="shared" si="21"/>
        <v>254.51135999999991</v>
      </c>
      <c r="C470" s="7" t="s">
        <v>629</v>
      </c>
      <c r="D470" s="7" t="s">
        <v>628</v>
      </c>
      <c r="E470" s="7" t="s">
        <v>829</v>
      </c>
      <c r="F470" s="17">
        <v>255.73197999999994</v>
      </c>
      <c r="G470" s="7" t="s">
        <v>348</v>
      </c>
      <c r="H470" s="7" t="s">
        <v>346</v>
      </c>
      <c r="I470" s="10">
        <v>579.45000000000005</v>
      </c>
      <c r="J470" s="10">
        <f t="shared" si="22"/>
        <v>254511.3599999999</v>
      </c>
      <c r="K470" s="6">
        <f t="shared" si="23"/>
        <v>67183.929999999877</v>
      </c>
    </row>
    <row r="471" spans="1:11" x14ac:dyDescent="0.25">
      <c r="A471" s="5" t="s">
        <v>505</v>
      </c>
      <c r="B471" s="42">
        <f t="shared" si="21"/>
        <v>255.09080999999992</v>
      </c>
      <c r="C471" s="7" t="s">
        <v>628</v>
      </c>
      <c r="D471" s="7" t="s">
        <v>627</v>
      </c>
      <c r="E471" s="7" t="s">
        <v>829</v>
      </c>
      <c r="F471" s="17">
        <v>256.20420999999993</v>
      </c>
      <c r="G471" s="7" t="s">
        <v>346</v>
      </c>
      <c r="H471" s="7" t="s">
        <v>344</v>
      </c>
      <c r="I471" s="10">
        <v>575.01</v>
      </c>
      <c r="J471" s="10">
        <f t="shared" si="22"/>
        <v>255090.80999999991</v>
      </c>
      <c r="K471" s="6">
        <f t="shared" si="23"/>
        <v>66604.47999999988</v>
      </c>
    </row>
    <row r="472" spans="1:11" x14ac:dyDescent="0.25">
      <c r="A472" s="5" t="s">
        <v>505</v>
      </c>
      <c r="B472" s="42">
        <f t="shared" si="21"/>
        <v>255.66581999999991</v>
      </c>
      <c r="C472" s="7" t="s">
        <v>627</v>
      </c>
      <c r="D472" s="7" t="s">
        <v>626</v>
      </c>
      <c r="E472" s="7" t="s">
        <v>829</v>
      </c>
      <c r="F472" s="17">
        <v>256.61992999999995</v>
      </c>
      <c r="G472" s="7" t="s">
        <v>344</v>
      </c>
      <c r="H472" s="7" t="s">
        <v>342</v>
      </c>
      <c r="I472" s="10">
        <v>570.41</v>
      </c>
      <c r="J472" s="10">
        <f t="shared" si="22"/>
        <v>255665.81999999992</v>
      </c>
      <c r="K472" s="6">
        <f t="shared" si="23"/>
        <v>66029.469999999885</v>
      </c>
    </row>
    <row r="473" spans="1:11" x14ac:dyDescent="0.25">
      <c r="A473" s="5" t="s">
        <v>505</v>
      </c>
      <c r="B473" s="42">
        <f t="shared" si="21"/>
        <v>256.23622999999992</v>
      </c>
      <c r="C473" s="7" t="s">
        <v>626</v>
      </c>
      <c r="D473" s="7" t="s">
        <v>625</v>
      </c>
      <c r="E473" s="7" t="s">
        <v>829</v>
      </c>
      <c r="F473" s="17">
        <v>257.09759999999994</v>
      </c>
      <c r="G473" s="7" t="s">
        <v>342</v>
      </c>
      <c r="H473" s="7" t="s">
        <v>340</v>
      </c>
      <c r="I473" s="10">
        <v>573.97</v>
      </c>
      <c r="J473" s="10">
        <f t="shared" si="22"/>
        <v>256236.22999999992</v>
      </c>
      <c r="K473" s="6">
        <f t="shared" si="23"/>
        <v>65459.059999999881</v>
      </c>
    </row>
    <row r="474" spans="1:11" x14ac:dyDescent="0.25">
      <c r="A474" s="5" t="s">
        <v>505</v>
      </c>
      <c r="B474" s="42">
        <f t="shared" si="21"/>
        <v>256.81019999999995</v>
      </c>
      <c r="C474" s="7" t="s">
        <v>625</v>
      </c>
      <c r="D474" s="7" t="s">
        <v>624</v>
      </c>
      <c r="E474" s="7" t="s">
        <v>829</v>
      </c>
      <c r="F474" s="17">
        <v>257.58091999999994</v>
      </c>
      <c r="G474" s="7" t="s">
        <v>340</v>
      </c>
      <c r="H474" s="7" t="s">
        <v>338</v>
      </c>
      <c r="I474" s="10">
        <v>572.33000000000004</v>
      </c>
      <c r="J474" s="10">
        <f t="shared" si="22"/>
        <v>256810.19999999992</v>
      </c>
      <c r="K474" s="6">
        <f t="shared" si="23"/>
        <v>64885.08999999988</v>
      </c>
    </row>
    <row r="475" spans="1:11" x14ac:dyDescent="0.25">
      <c r="A475" s="5" t="s">
        <v>505</v>
      </c>
      <c r="B475" s="42">
        <f t="shared" si="21"/>
        <v>257.38252999999992</v>
      </c>
      <c r="C475" s="7" t="s">
        <v>624</v>
      </c>
      <c r="D475" s="7" t="s">
        <v>623</v>
      </c>
      <c r="E475" s="7" t="s">
        <v>829</v>
      </c>
      <c r="F475" s="17">
        <v>258.08565999999996</v>
      </c>
      <c r="G475" s="7" t="s">
        <v>338</v>
      </c>
      <c r="H475" s="7" t="s">
        <v>336</v>
      </c>
      <c r="I475" s="10">
        <v>569.86</v>
      </c>
      <c r="J475" s="10">
        <f t="shared" si="22"/>
        <v>257382.52999999991</v>
      </c>
      <c r="K475" s="6">
        <f t="shared" si="23"/>
        <v>64312.759999999878</v>
      </c>
    </row>
    <row r="476" spans="1:11" x14ac:dyDescent="0.25">
      <c r="A476" s="5" t="s">
        <v>505</v>
      </c>
      <c r="B476" s="42">
        <f t="shared" si="21"/>
        <v>257.95238999999992</v>
      </c>
      <c r="C476" s="7" t="s">
        <v>623</v>
      </c>
      <c r="D476" s="7" t="s">
        <v>622</v>
      </c>
      <c r="E476" s="7" t="s">
        <v>829</v>
      </c>
      <c r="F476" s="17">
        <v>258.59402999999992</v>
      </c>
      <c r="G476" s="7" t="s">
        <v>336</v>
      </c>
      <c r="H476" s="7" t="s">
        <v>334</v>
      </c>
      <c r="I476" s="10">
        <v>511.52</v>
      </c>
      <c r="J476" s="10">
        <f t="shared" si="22"/>
        <v>257952.3899999999</v>
      </c>
      <c r="K476" s="6">
        <f t="shared" si="23"/>
        <v>63742.899999999878</v>
      </c>
    </row>
    <row r="477" spans="1:11" x14ac:dyDescent="0.25">
      <c r="A477" s="5" t="s">
        <v>505</v>
      </c>
      <c r="B477" s="42">
        <f t="shared" si="21"/>
        <v>258.46390999999988</v>
      </c>
      <c r="C477" s="7" t="s">
        <v>622</v>
      </c>
      <c r="D477" s="7" t="s">
        <v>621</v>
      </c>
      <c r="E477" s="7" t="s">
        <v>829</v>
      </c>
      <c r="F477" s="17">
        <v>259.12839999999994</v>
      </c>
      <c r="G477" s="7" t="s">
        <v>334</v>
      </c>
      <c r="H477" s="7" t="s">
        <v>332</v>
      </c>
      <c r="I477" s="10">
        <v>481.12</v>
      </c>
      <c r="J477" s="10">
        <f t="shared" si="22"/>
        <v>258463.90999999989</v>
      </c>
      <c r="K477" s="6">
        <f t="shared" si="23"/>
        <v>63231.379999999881</v>
      </c>
    </row>
    <row r="478" spans="1:11" x14ac:dyDescent="0.25">
      <c r="A478" s="5" t="s">
        <v>505</v>
      </c>
      <c r="B478" s="42">
        <f t="shared" si="21"/>
        <v>258.94502999999986</v>
      </c>
      <c r="C478" s="7" t="s">
        <v>621</v>
      </c>
      <c r="D478" s="7" t="s">
        <v>620</v>
      </c>
      <c r="E478" s="7" t="s">
        <v>829</v>
      </c>
      <c r="F478" s="17">
        <v>259.67170999999996</v>
      </c>
      <c r="G478" s="7" t="s">
        <v>332</v>
      </c>
      <c r="H478" s="7" t="s">
        <v>330</v>
      </c>
      <c r="I478" s="10">
        <v>504.39</v>
      </c>
      <c r="J478" s="10">
        <f t="shared" si="22"/>
        <v>258945.02999999988</v>
      </c>
      <c r="K478" s="6">
        <f t="shared" si="23"/>
        <v>62750.259999999878</v>
      </c>
    </row>
    <row r="479" spans="1:11" x14ac:dyDescent="0.25">
      <c r="A479" s="5" t="s">
        <v>505</v>
      </c>
      <c r="B479" s="42">
        <f t="shared" si="21"/>
        <v>259.44941999999992</v>
      </c>
      <c r="C479" s="7" t="s">
        <v>620</v>
      </c>
      <c r="D479" s="7" t="s">
        <v>619</v>
      </c>
      <c r="E479" s="7" t="s">
        <v>829</v>
      </c>
      <c r="F479" s="17">
        <v>260.18764999999996</v>
      </c>
      <c r="G479" s="7" t="s">
        <v>330</v>
      </c>
      <c r="H479" s="7" t="s">
        <v>328</v>
      </c>
      <c r="I479" s="10">
        <v>569.89</v>
      </c>
      <c r="J479" s="10">
        <f t="shared" si="22"/>
        <v>259449.4199999999</v>
      </c>
      <c r="K479" s="6">
        <f t="shared" si="23"/>
        <v>62245.869999999879</v>
      </c>
    </row>
    <row r="480" spans="1:11" x14ac:dyDescent="0.25">
      <c r="A480" s="5" t="s">
        <v>505</v>
      </c>
      <c r="B480" s="42">
        <f t="shared" si="21"/>
        <v>260.0193099999999</v>
      </c>
      <c r="C480" s="7" t="s">
        <v>619</v>
      </c>
      <c r="D480" s="7" t="s">
        <v>618</v>
      </c>
      <c r="E480" s="7" t="s">
        <v>829</v>
      </c>
      <c r="F480" s="17">
        <v>260.70452999999992</v>
      </c>
      <c r="G480" s="7" t="s">
        <v>328</v>
      </c>
      <c r="H480" s="7" t="s">
        <v>326</v>
      </c>
      <c r="I480" s="10">
        <v>582.62</v>
      </c>
      <c r="J480" s="10">
        <f t="shared" si="22"/>
        <v>260019.30999999991</v>
      </c>
      <c r="K480" s="6">
        <f t="shared" si="23"/>
        <v>61675.97999999988</v>
      </c>
    </row>
    <row r="481" spans="1:11" x14ac:dyDescent="0.25">
      <c r="A481" s="5" t="s">
        <v>505</v>
      </c>
      <c r="B481" s="42">
        <f t="shared" si="21"/>
        <v>260.60192999999992</v>
      </c>
      <c r="C481" s="7" t="s">
        <v>618</v>
      </c>
      <c r="D481" s="7" t="s">
        <v>617</v>
      </c>
      <c r="E481" s="7" t="s">
        <v>829</v>
      </c>
      <c r="F481" s="17">
        <v>261.21280999999993</v>
      </c>
      <c r="G481" s="7" t="s">
        <v>326</v>
      </c>
      <c r="H481" s="7" t="s">
        <v>324</v>
      </c>
      <c r="I481" s="10">
        <v>578.71</v>
      </c>
      <c r="J481" s="10">
        <f t="shared" si="22"/>
        <v>260601.92999999991</v>
      </c>
      <c r="K481" s="6">
        <f t="shared" si="23"/>
        <v>61093.359999999877</v>
      </c>
    </row>
    <row r="482" spans="1:11" x14ac:dyDescent="0.25">
      <c r="A482" s="5" t="s">
        <v>505</v>
      </c>
      <c r="B482" s="42">
        <f t="shared" si="21"/>
        <v>261.18063999999993</v>
      </c>
      <c r="C482" s="7" t="s">
        <v>617</v>
      </c>
      <c r="D482" s="7" t="s">
        <v>616</v>
      </c>
      <c r="E482" s="7" t="s">
        <v>829</v>
      </c>
      <c r="F482" s="17">
        <v>261.72172999999998</v>
      </c>
      <c r="G482" s="7" t="s">
        <v>324</v>
      </c>
      <c r="H482" s="7" t="s">
        <v>322</v>
      </c>
      <c r="I482" s="10">
        <v>537.66</v>
      </c>
      <c r="J482" s="10">
        <f t="shared" si="22"/>
        <v>261180.6399999999</v>
      </c>
      <c r="K482" s="6">
        <f t="shared" si="23"/>
        <v>60514.649999999878</v>
      </c>
    </row>
    <row r="483" spans="1:11" x14ac:dyDescent="0.25">
      <c r="A483" s="5" t="s">
        <v>505</v>
      </c>
      <c r="B483" s="42">
        <f t="shared" si="21"/>
        <v>261.71829999999989</v>
      </c>
      <c r="C483" s="7" t="s">
        <v>616</v>
      </c>
      <c r="D483" s="7" t="s">
        <v>615</v>
      </c>
      <c r="E483" s="7" t="s">
        <v>829</v>
      </c>
      <c r="F483" s="17">
        <v>262.23625999999996</v>
      </c>
      <c r="G483" s="7" t="s">
        <v>322</v>
      </c>
      <c r="H483" s="7" t="s">
        <v>320</v>
      </c>
      <c r="I483" s="10">
        <v>522.89</v>
      </c>
      <c r="J483" s="10">
        <f t="shared" si="22"/>
        <v>261718.2999999999</v>
      </c>
      <c r="K483" s="6">
        <f t="shared" si="23"/>
        <v>59976.989999999874</v>
      </c>
    </row>
    <row r="484" spans="1:11" x14ac:dyDescent="0.25">
      <c r="A484" s="5" t="s">
        <v>505</v>
      </c>
      <c r="B484" s="42">
        <f t="shared" si="21"/>
        <v>262.2411899999999</v>
      </c>
      <c r="C484" s="7" t="s">
        <v>615</v>
      </c>
      <c r="D484" s="7" t="s">
        <v>614</v>
      </c>
      <c r="E484" s="7" t="s">
        <v>829</v>
      </c>
      <c r="F484" s="17">
        <v>262.75125999999995</v>
      </c>
      <c r="G484" s="7" t="s">
        <v>320</v>
      </c>
      <c r="H484" s="7" t="s">
        <v>318</v>
      </c>
      <c r="I484" s="10">
        <v>517.79999999999995</v>
      </c>
      <c r="J484" s="10">
        <f t="shared" si="22"/>
        <v>262241.18999999989</v>
      </c>
      <c r="K484" s="6">
        <f t="shared" si="23"/>
        <v>59454.099999999875</v>
      </c>
    </row>
    <row r="485" spans="1:11" x14ac:dyDescent="0.25">
      <c r="A485" s="5" t="s">
        <v>505</v>
      </c>
      <c r="B485" s="42">
        <f t="shared" si="21"/>
        <v>262.75898999999987</v>
      </c>
      <c r="C485" s="7" t="s">
        <v>614</v>
      </c>
      <c r="D485" s="7" t="s">
        <v>613</v>
      </c>
      <c r="E485" s="7" t="s">
        <v>829</v>
      </c>
      <c r="F485" s="17">
        <v>263.26544999999993</v>
      </c>
      <c r="G485" s="7" t="s">
        <v>318</v>
      </c>
      <c r="H485" s="7" t="s">
        <v>316</v>
      </c>
      <c r="I485" s="10">
        <v>464.38</v>
      </c>
      <c r="J485" s="10">
        <f t="shared" si="22"/>
        <v>262758.98999999987</v>
      </c>
      <c r="K485" s="6">
        <f t="shared" si="23"/>
        <v>58936.299999999872</v>
      </c>
    </row>
    <row r="486" spans="1:11" x14ac:dyDescent="0.25">
      <c r="A486" s="5" t="s">
        <v>505</v>
      </c>
      <c r="B486" s="42">
        <f t="shared" si="21"/>
        <v>263.22336999999987</v>
      </c>
      <c r="C486" s="7" t="s">
        <v>613</v>
      </c>
      <c r="D486" s="7" t="s">
        <v>612</v>
      </c>
      <c r="E486" s="7" t="s">
        <v>829</v>
      </c>
      <c r="F486" s="17">
        <v>263.77305999999993</v>
      </c>
      <c r="G486" s="7" t="s">
        <v>316</v>
      </c>
      <c r="H486" s="7" t="s">
        <v>314</v>
      </c>
      <c r="I486" s="10">
        <v>514.69000000000005</v>
      </c>
      <c r="J486" s="10">
        <f t="shared" si="22"/>
        <v>263223.36999999988</v>
      </c>
      <c r="K486" s="6">
        <f t="shared" si="23"/>
        <v>58471.919999999875</v>
      </c>
    </row>
    <row r="487" spans="1:11" x14ac:dyDescent="0.25">
      <c r="A487" s="5" t="s">
        <v>505</v>
      </c>
      <c r="B487" s="42">
        <f t="shared" si="21"/>
        <v>263.7380599999999</v>
      </c>
      <c r="C487" s="7" t="s">
        <v>612</v>
      </c>
      <c r="D487" s="7" t="s">
        <v>611</v>
      </c>
      <c r="E487" s="7" t="s">
        <v>829</v>
      </c>
      <c r="F487" s="17">
        <v>264.28201999999999</v>
      </c>
      <c r="G487" s="7" t="s">
        <v>314</v>
      </c>
      <c r="H487" s="7" t="s">
        <v>312</v>
      </c>
      <c r="I487" s="10">
        <v>545.16999999999996</v>
      </c>
      <c r="J487" s="10">
        <f t="shared" si="22"/>
        <v>263738.05999999988</v>
      </c>
      <c r="K487" s="6">
        <f t="shared" si="23"/>
        <v>57957.229999999872</v>
      </c>
    </row>
    <row r="488" spans="1:11" x14ac:dyDescent="0.25">
      <c r="A488" s="5" t="s">
        <v>505</v>
      </c>
      <c r="B488" s="42">
        <f t="shared" si="21"/>
        <v>264.28322999999989</v>
      </c>
      <c r="C488" s="7" t="s">
        <v>611</v>
      </c>
      <c r="D488" s="7" t="s">
        <v>610</v>
      </c>
      <c r="E488" s="7" t="s">
        <v>829</v>
      </c>
      <c r="F488" s="17">
        <v>264.79799999999994</v>
      </c>
      <c r="G488" s="7" t="s">
        <v>312</v>
      </c>
      <c r="H488" s="7" t="s">
        <v>310</v>
      </c>
      <c r="I488" s="10">
        <v>562.83000000000004</v>
      </c>
      <c r="J488" s="10">
        <f t="shared" si="22"/>
        <v>264283.22999999986</v>
      </c>
      <c r="K488" s="6">
        <f t="shared" si="23"/>
        <v>57412.059999999874</v>
      </c>
    </row>
    <row r="489" spans="1:11" x14ac:dyDescent="0.25">
      <c r="A489" s="5" t="s">
        <v>505</v>
      </c>
      <c r="B489" s="42">
        <f t="shared" si="21"/>
        <v>264.84605999999991</v>
      </c>
      <c r="C489" s="7" t="s">
        <v>610</v>
      </c>
      <c r="D489" s="7" t="s">
        <v>609</v>
      </c>
      <c r="E489" s="7" t="s">
        <v>829</v>
      </c>
      <c r="F489" s="17">
        <v>265.3139799999999</v>
      </c>
      <c r="G489" s="7" t="s">
        <v>310</v>
      </c>
      <c r="H489" s="7" t="s">
        <v>308</v>
      </c>
      <c r="I489" s="10">
        <v>549.41999999999996</v>
      </c>
      <c r="J489" s="10">
        <f t="shared" si="22"/>
        <v>264846.05999999988</v>
      </c>
      <c r="K489" s="6">
        <f t="shared" si="23"/>
        <v>56849.229999999872</v>
      </c>
    </row>
    <row r="490" spans="1:11" x14ac:dyDescent="0.25">
      <c r="A490" s="5" t="s">
        <v>505</v>
      </c>
      <c r="B490" s="42">
        <f t="shared" si="21"/>
        <v>265.39547999999985</v>
      </c>
      <c r="C490" s="7" t="s">
        <v>609</v>
      </c>
      <c r="D490" s="7" t="s">
        <v>608</v>
      </c>
      <c r="E490" s="7" t="s">
        <v>829</v>
      </c>
      <c r="F490" s="17">
        <v>265.82992999999993</v>
      </c>
      <c r="G490" s="7" t="s">
        <v>308</v>
      </c>
      <c r="H490" s="7" t="s">
        <v>306</v>
      </c>
      <c r="I490" s="10">
        <v>523</v>
      </c>
      <c r="J490" s="10">
        <f t="shared" si="22"/>
        <v>265395.47999999986</v>
      </c>
      <c r="K490" s="6">
        <f t="shared" si="23"/>
        <v>56299.809999999874</v>
      </c>
    </row>
    <row r="491" spans="1:11" x14ac:dyDescent="0.25">
      <c r="A491" s="5" t="s">
        <v>505</v>
      </c>
      <c r="B491" s="42">
        <f t="shared" si="21"/>
        <v>265.91847999999987</v>
      </c>
      <c r="C491" s="7" t="s">
        <v>608</v>
      </c>
      <c r="D491" s="7" t="s">
        <v>607</v>
      </c>
      <c r="E491" s="7" t="s">
        <v>829</v>
      </c>
      <c r="F491" s="17">
        <v>266.37437999999997</v>
      </c>
      <c r="G491" s="7" t="s">
        <v>306</v>
      </c>
      <c r="H491" s="7" t="s">
        <v>304</v>
      </c>
      <c r="I491" s="10">
        <v>548.36</v>
      </c>
      <c r="J491" s="10">
        <f t="shared" si="22"/>
        <v>265918.47999999986</v>
      </c>
      <c r="K491" s="6">
        <f t="shared" si="23"/>
        <v>55776.809999999874</v>
      </c>
    </row>
    <row r="492" spans="1:11" x14ac:dyDescent="0.25">
      <c r="A492" s="5" t="s">
        <v>505</v>
      </c>
      <c r="B492" s="42">
        <f t="shared" si="21"/>
        <v>266.46683999999988</v>
      </c>
      <c r="C492" s="7" t="s">
        <v>607</v>
      </c>
      <c r="D492" s="7" t="s">
        <v>606</v>
      </c>
      <c r="E492" s="7" t="s">
        <v>829</v>
      </c>
      <c r="F492" s="17">
        <v>266.94782999999995</v>
      </c>
      <c r="G492" s="7" t="s">
        <v>304</v>
      </c>
      <c r="H492" s="7" t="s">
        <v>302</v>
      </c>
      <c r="I492" s="10">
        <v>567.79999999999995</v>
      </c>
      <c r="J492" s="10">
        <f t="shared" si="22"/>
        <v>266466.83999999985</v>
      </c>
      <c r="K492" s="6">
        <f t="shared" si="23"/>
        <v>55228.449999999873</v>
      </c>
    </row>
    <row r="493" spans="1:11" x14ac:dyDescent="0.25">
      <c r="A493" s="5" t="s">
        <v>505</v>
      </c>
      <c r="B493" s="42">
        <f t="shared" si="21"/>
        <v>267.03463999999985</v>
      </c>
      <c r="C493" s="7" t="s">
        <v>606</v>
      </c>
      <c r="D493" s="7" t="s">
        <v>605</v>
      </c>
      <c r="E493" s="7" t="s">
        <v>829</v>
      </c>
      <c r="F493" s="17">
        <v>267.52471999999995</v>
      </c>
      <c r="G493" s="7" t="s">
        <v>302</v>
      </c>
      <c r="H493" s="7" t="s">
        <v>300</v>
      </c>
      <c r="I493" s="10">
        <v>591.15</v>
      </c>
      <c r="J493" s="10">
        <f t="shared" si="22"/>
        <v>267034.63999999984</v>
      </c>
      <c r="K493" s="6">
        <f t="shared" si="23"/>
        <v>54660.64999999987</v>
      </c>
    </row>
    <row r="494" spans="1:11" x14ac:dyDescent="0.25">
      <c r="A494" s="5" t="s">
        <v>505</v>
      </c>
      <c r="B494" s="42">
        <f t="shared" si="21"/>
        <v>267.62578999999988</v>
      </c>
      <c r="C494" s="7" t="s">
        <v>605</v>
      </c>
      <c r="D494" s="7" t="s">
        <v>604</v>
      </c>
      <c r="E494" s="7" t="s">
        <v>829</v>
      </c>
      <c r="F494" s="17">
        <v>268.00696999999997</v>
      </c>
      <c r="G494" s="7" t="s">
        <v>300</v>
      </c>
      <c r="H494" s="7" t="s">
        <v>298</v>
      </c>
      <c r="I494" s="10">
        <v>560.16</v>
      </c>
      <c r="J494" s="10">
        <f t="shared" si="22"/>
        <v>267625.78999999986</v>
      </c>
      <c r="K494" s="6">
        <f t="shared" si="23"/>
        <v>54069.499999999869</v>
      </c>
    </row>
    <row r="495" spans="1:11" x14ac:dyDescent="0.25">
      <c r="A495" s="5" t="s">
        <v>505</v>
      </c>
      <c r="B495" s="42">
        <f t="shared" si="21"/>
        <v>268.18594999999982</v>
      </c>
      <c r="C495" s="7" t="s">
        <v>604</v>
      </c>
      <c r="D495" s="7" t="s">
        <v>603</v>
      </c>
      <c r="E495" s="7" t="s">
        <v>829</v>
      </c>
      <c r="F495" s="17">
        <v>268.48794999999996</v>
      </c>
      <c r="G495" s="7" t="s">
        <v>298</v>
      </c>
      <c r="H495" s="7" t="s">
        <v>296</v>
      </c>
      <c r="I495" s="10">
        <v>563.62</v>
      </c>
      <c r="J495" s="10">
        <f t="shared" si="22"/>
        <v>268185.94999999984</v>
      </c>
      <c r="K495" s="6">
        <f t="shared" si="23"/>
        <v>53509.339999999866</v>
      </c>
    </row>
    <row r="496" spans="1:11" x14ac:dyDescent="0.25">
      <c r="A496" s="5" t="s">
        <v>505</v>
      </c>
      <c r="B496" s="42">
        <f t="shared" si="21"/>
        <v>268.74956999999984</v>
      </c>
      <c r="C496" s="7" t="s">
        <v>603</v>
      </c>
      <c r="D496" s="7" t="s">
        <v>602</v>
      </c>
      <c r="E496" s="7" t="s">
        <v>829</v>
      </c>
      <c r="F496" s="17">
        <v>269.05945999999994</v>
      </c>
      <c r="G496" s="7" t="s">
        <v>296</v>
      </c>
      <c r="H496" s="7" t="s">
        <v>294</v>
      </c>
      <c r="I496" s="10">
        <v>576.44000000000005</v>
      </c>
      <c r="J496" s="10">
        <f t="shared" si="22"/>
        <v>268749.56999999983</v>
      </c>
      <c r="K496" s="6">
        <f t="shared" si="23"/>
        <v>52945.719999999863</v>
      </c>
    </row>
    <row r="497" spans="1:11" x14ac:dyDescent="0.25">
      <c r="A497" s="5" t="s">
        <v>505</v>
      </c>
      <c r="B497" s="42">
        <f t="shared" si="21"/>
        <v>269.32600999999983</v>
      </c>
      <c r="C497" s="7" t="s">
        <v>602</v>
      </c>
      <c r="D497" s="7" t="s">
        <v>601</v>
      </c>
      <c r="E497" s="7" t="s">
        <v>829</v>
      </c>
      <c r="F497" s="17">
        <v>269.62551999999994</v>
      </c>
      <c r="G497" s="7" t="s">
        <v>294</v>
      </c>
      <c r="H497" s="7" t="s">
        <v>292</v>
      </c>
      <c r="I497" s="10">
        <v>510.85</v>
      </c>
      <c r="J497" s="10">
        <f t="shared" si="22"/>
        <v>269326.00999999983</v>
      </c>
      <c r="K497" s="6">
        <f t="shared" si="23"/>
        <v>52369.279999999861</v>
      </c>
    </row>
    <row r="498" spans="1:11" x14ac:dyDescent="0.25">
      <c r="A498" s="5" t="s">
        <v>505</v>
      </c>
      <c r="B498" s="42">
        <f t="shared" si="21"/>
        <v>269.83685999999983</v>
      </c>
      <c r="C498" s="7" t="s">
        <v>601</v>
      </c>
      <c r="D498" s="7" t="s">
        <v>600</v>
      </c>
      <c r="E498" s="7" t="s">
        <v>830</v>
      </c>
      <c r="F498" s="17">
        <v>270.17818999999997</v>
      </c>
      <c r="G498" s="7" t="s">
        <v>292</v>
      </c>
      <c r="H498" s="7" t="s">
        <v>290</v>
      </c>
      <c r="I498" s="10">
        <v>474.32</v>
      </c>
      <c r="J498" s="10">
        <f t="shared" si="22"/>
        <v>269836.85999999981</v>
      </c>
      <c r="K498" s="6">
        <f t="shared" si="23"/>
        <v>51858.429999999862</v>
      </c>
    </row>
    <row r="499" spans="1:11" x14ac:dyDescent="0.25">
      <c r="A499" s="5" t="s">
        <v>505</v>
      </c>
      <c r="B499" s="42">
        <f t="shared" si="21"/>
        <v>270.31117999999981</v>
      </c>
      <c r="C499" s="7" t="s">
        <v>600</v>
      </c>
      <c r="D499" s="7" t="s">
        <v>599</v>
      </c>
      <c r="E499" s="7" t="s">
        <v>826</v>
      </c>
      <c r="F499" s="17">
        <v>270.73767999999995</v>
      </c>
      <c r="G499" s="7" t="s">
        <v>290</v>
      </c>
      <c r="H499" s="7" t="s">
        <v>288</v>
      </c>
      <c r="I499" s="10">
        <v>495.26</v>
      </c>
      <c r="J499" s="10">
        <f t="shared" si="22"/>
        <v>270311.17999999982</v>
      </c>
      <c r="K499" s="6">
        <f t="shared" si="23"/>
        <v>51384.109999999862</v>
      </c>
    </row>
    <row r="500" spans="1:11" x14ac:dyDescent="0.25">
      <c r="A500" s="5" t="s">
        <v>505</v>
      </c>
      <c r="B500" s="42">
        <f t="shared" si="21"/>
        <v>270.80643999999984</v>
      </c>
      <c r="C500" s="7" t="s">
        <v>599</v>
      </c>
      <c r="D500" s="7" t="s">
        <v>598</v>
      </c>
      <c r="E500" s="7" t="s">
        <v>826</v>
      </c>
      <c r="F500" s="17">
        <v>271.31115999999992</v>
      </c>
      <c r="G500" s="7" t="s">
        <v>288</v>
      </c>
      <c r="H500" s="7" t="s">
        <v>286</v>
      </c>
      <c r="I500" s="10">
        <v>417.69</v>
      </c>
      <c r="J500" s="10">
        <f t="shared" si="22"/>
        <v>270806.43999999983</v>
      </c>
      <c r="K500" s="6">
        <f t="shared" si="23"/>
        <v>50888.84999999986</v>
      </c>
    </row>
    <row r="501" spans="1:11" x14ac:dyDescent="0.25">
      <c r="A501" s="5" t="s">
        <v>505</v>
      </c>
      <c r="B501" s="42">
        <f t="shared" si="21"/>
        <v>271.22412999999983</v>
      </c>
      <c r="C501" s="7" t="s">
        <v>598</v>
      </c>
      <c r="D501" s="7" t="s">
        <v>597</v>
      </c>
      <c r="E501" s="7" t="s">
        <v>826</v>
      </c>
      <c r="F501" s="17">
        <v>271.88423999999992</v>
      </c>
      <c r="G501" s="7" t="s">
        <v>286</v>
      </c>
      <c r="H501" s="7" t="s">
        <v>284</v>
      </c>
      <c r="I501" s="10">
        <v>439.36</v>
      </c>
      <c r="J501" s="10">
        <f t="shared" si="22"/>
        <v>271224.12999999983</v>
      </c>
      <c r="K501" s="6">
        <f t="shared" si="23"/>
        <v>50471.159999999858</v>
      </c>
    </row>
    <row r="502" spans="1:11" x14ac:dyDescent="0.25">
      <c r="A502" s="5" t="s">
        <v>505</v>
      </c>
      <c r="B502" s="42">
        <f t="shared" si="21"/>
        <v>271.6634899999998</v>
      </c>
      <c r="C502" s="7" t="s">
        <v>597</v>
      </c>
      <c r="D502" s="7" t="s">
        <v>596</v>
      </c>
      <c r="E502" s="7" t="s">
        <v>826</v>
      </c>
      <c r="F502" s="17">
        <v>272.45704999999992</v>
      </c>
      <c r="G502" s="7" t="s">
        <v>284</v>
      </c>
      <c r="H502" s="7" t="s">
        <v>282</v>
      </c>
      <c r="I502" s="10">
        <v>550.73</v>
      </c>
      <c r="J502" s="10">
        <f t="shared" si="22"/>
        <v>271663.48999999982</v>
      </c>
      <c r="K502" s="6">
        <f t="shared" si="23"/>
        <v>50031.799999999857</v>
      </c>
    </row>
    <row r="503" spans="1:11" x14ac:dyDescent="0.25">
      <c r="A503" s="5" t="s">
        <v>505</v>
      </c>
      <c r="B503" s="42">
        <f t="shared" si="21"/>
        <v>272.21421999999978</v>
      </c>
      <c r="C503" s="7" t="s">
        <v>596</v>
      </c>
      <c r="D503" s="7" t="s">
        <v>595</v>
      </c>
      <c r="E503" s="7" t="s">
        <v>826</v>
      </c>
      <c r="F503" s="17">
        <v>273.02814999999993</v>
      </c>
      <c r="G503" s="7" t="s">
        <v>282</v>
      </c>
      <c r="H503" s="7" t="s">
        <v>280</v>
      </c>
      <c r="I503" s="10">
        <v>538.09</v>
      </c>
      <c r="J503" s="10">
        <f t="shared" si="22"/>
        <v>272214.2199999998</v>
      </c>
      <c r="K503" s="6">
        <f t="shared" si="23"/>
        <v>49481.069999999854</v>
      </c>
    </row>
    <row r="504" spans="1:11" x14ac:dyDescent="0.25">
      <c r="A504" s="5" t="s">
        <v>505</v>
      </c>
      <c r="B504" s="42">
        <f t="shared" si="21"/>
        <v>272.7523099999998</v>
      </c>
      <c r="C504" s="7" t="s">
        <v>595</v>
      </c>
      <c r="D504" s="7" t="s">
        <v>594</v>
      </c>
      <c r="E504" s="7" t="s">
        <v>826</v>
      </c>
      <c r="F504" s="17">
        <v>273.60163999999992</v>
      </c>
      <c r="G504" s="7" t="s">
        <v>280</v>
      </c>
      <c r="H504" s="7" t="s">
        <v>278</v>
      </c>
      <c r="I504" s="10">
        <v>547.17999999999995</v>
      </c>
      <c r="J504" s="10">
        <f t="shared" si="22"/>
        <v>272752.30999999982</v>
      </c>
      <c r="K504" s="6">
        <f t="shared" si="23"/>
        <v>48942.979999999858</v>
      </c>
    </row>
    <row r="505" spans="1:11" x14ac:dyDescent="0.25">
      <c r="A505" s="5" t="s">
        <v>505</v>
      </c>
      <c r="B505" s="42">
        <f t="shared" si="21"/>
        <v>273.29948999999982</v>
      </c>
      <c r="C505" s="7" t="s">
        <v>594</v>
      </c>
      <c r="D505" s="7" t="s">
        <v>593</v>
      </c>
      <c r="E505" s="7" t="s">
        <v>826</v>
      </c>
      <c r="F505" s="17">
        <v>274.17599999999987</v>
      </c>
      <c r="G505" s="7" t="s">
        <v>278</v>
      </c>
      <c r="H505" s="7" t="s">
        <v>276</v>
      </c>
      <c r="I505" s="10">
        <v>559.27</v>
      </c>
      <c r="J505" s="10">
        <f t="shared" si="22"/>
        <v>273299.48999999982</v>
      </c>
      <c r="K505" s="6">
        <f t="shared" si="23"/>
        <v>48395.799999999857</v>
      </c>
    </row>
    <row r="506" spans="1:11" x14ac:dyDescent="0.25">
      <c r="A506" s="5" t="s">
        <v>505</v>
      </c>
      <c r="B506" s="42">
        <f t="shared" si="21"/>
        <v>273.85875999999985</v>
      </c>
      <c r="C506" s="7" t="s">
        <v>593</v>
      </c>
      <c r="D506" s="7" t="s">
        <v>592</v>
      </c>
      <c r="E506" s="7" t="s">
        <v>826</v>
      </c>
      <c r="F506" s="17">
        <v>274.74878999999987</v>
      </c>
      <c r="G506" s="7" t="s">
        <v>276</v>
      </c>
      <c r="H506" s="7" t="s">
        <v>274</v>
      </c>
      <c r="I506" s="10">
        <v>560.16</v>
      </c>
      <c r="J506" s="10">
        <f t="shared" si="22"/>
        <v>273858.75999999983</v>
      </c>
      <c r="K506" s="6">
        <f t="shared" si="23"/>
        <v>47836.529999999861</v>
      </c>
    </row>
    <row r="507" spans="1:11" x14ac:dyDescent="0.25">
      <c r="A507" s="5" t="s">
        <v>505</v>
      </c>
      <c r="B507" s="42">
        <f t="shared" si="21"/>
        <v>274.41891999999979</v>
      </c>
      <c r="C507" s="7" t="s">
        <v>592</v>
      </c>
      <c r="D507" s="7" t="s">
        <v>591</v>
      </c>
      <c r="E507" s="7" t="s">
        <v>826</v>
      </c>
      <c r="F507" s="17">
        <v>275.31909999999988</v>
      </c>
      <c r="G507" s="7" t="s">
        <v>274</v>
      </c>
      <c r="H507" s="7" t="s">
        <v>272</v>
      </c>
      <c r="I507" s="10">
        <v>546.35</v>
      </c>
      <c r="J507" s="10">
        <f t="shared" si="22"/>
        <v>274418.91999999981</v>
      </c>
      <c r="K507" s="6">
        <f t="shared" si="23"/>
        <v>47276.369999999857</v>
      </c>
    </row>
    <row r="508" spans="1:11" x14ac:dyDescent="0.25">
      <c r="A508" s="5" t="s">
        <v>505</v>
      </c>
      <c r="B508" s="42">
        <f t="shared" si="21"/>
        <v>274.9652699999998</v>
      </c>
      <c r="C508" s="7" t="s">
        <v>591</v>
      </c>
      <c r="D508" s="7" t="s">
        <v>590</v>
      </c>
      <c r="E508" s="7" t="s">
        <v>826</v>
      </c>
      <c r="F508" s="17">
        <v>275.89224999999988</v>
      </c>
      <c r="G508" s="7" t="s">
        <v>272</v>
      </c>
      <c r="H508" s="7" t="s">
        <v>183</v>
      </c>
      <c r="I508" s="10">
        <v>509.19</v>
      </c>
      <c r="J508" s="10">
        <f t="shared" si="22"/>
        <v>274965.26999999979</v>
      </c>
      <c r="K508" s="6">
        <f t="shared" si="23"/>
        <v>46730.019999999859</v>
      </c>
    </row>
    <row r="509" spans="1:11" x14ac:dyDescent="0.25">
      <c r="A509" s="5" t="s">
        <v>505</v>
      </c>
      <c r="B509" s="42">
        <f t="shared" si="21"/>
        <v>275.47445999999979</v>
      </c>
      <c r="C509" s="7" t="s">
        <v>590</v>
      </c>
      <c r="D509" s="7" t="s">
        <v>589</v>
      </c>
      <c r="E509" s="7" t="s">
        <v>826</v>
      </c>
      <c r="F509" s="17">
        <v>276.46631999999988</v>
      </c>
      <c r="G509" s="7" t="s">
        <v>183</v>
      </c>
      <c r="H509" s="7" t="s">
        <v>181</v>
      </c>
      <c r="I509" s="10">
        <v>539.44000000000005</v>
      </c>
      <c r="J509" s="10">
        <f t="shared" si="22"/>
        <v>275474.45999999979</v>
      </c>
      <c r="K509" s="6">
        <f t="shared" si="23"/>
        <v>46220.829999999856</v>
      </c>
    </row>
    <row r="510" spans="1:11" x14ac:dyDescent="0.25">
      <c r="A510" s="5" t="s">
        <v>505</v>
      </c>
      <c r="B510" s="42">
        <f t="shared" si="21"/>
        <v>276.01389999999981</v>
      </c>
      <c r="C510" s="7" t="s">
        <v>589</v>
      </c>
      <c r="D510" s="7" t="s">
        <v>588</v>
      </c>
      <c r="E510" s="7" t="s">
        <v>826</v>
      </c>
      <c r="F510" s="17">
        <v>277.04106999999988</v>
      </c>
      <c r="G510" s="7" t="s">
        <v>181</v>
      </c>
      <c r="H510" s="7" t="s">
        <v>179</v>
      </c>
      <c r="I510" s="10">
        <v>566.21</v>
      </c>
      <c r="J510" s="10">
        <f t="shared" si="22"/>
        <v>276013.89999999979</v>
      </c>
      <c r="K510" s="6">
        <f t="shared" si="23"/>
        <v>45681.389999999854</v>
      </c>
    </row>
    <row r="511" spans="1:11" x14ac:dyDescent="0.25">
      <c r="A511" s="5" t="s">
        <v>505</v>
      </c>
      <c r="B511" s="42">
        <f t="shared" si="21"/>
        <v>276.58010999999982</v>
      </c>
      <c r="C511" s="7" t="s">
        <v>588</v>
      </c>
      <c r="D511" s="7" t="s">
        <v>587</v>
      </c>
      <c r="E511" s="7" t="s">
        <v>826</v>
      </c>
      <c r="F511" s="17">
        <v>277.6160799999999</v>
      </c>
      <c r="G511" s="7" t="s">
        <v>179</v>
      </c>
      <c r="H511" s="7" t="s">
        <v>177</v>
      </c>
      <c r="I511" s="10">
        <v>554.36</v>
      </c>
      <c r="J511" s="10">
        <f t="shared" si="22"/>
        <v>276580.10999999981</v>
      </c>
      <c r="K511" s="6">
        <f t="shared" si="23"/>
        <v>45115.179999999855</v>
      </c>
    </row>
    <row r="512" spans="1:11" x14ac:dyDescent="0.25">
      <c r="A512" s="5" t="s">
        <v>505</v>
      </c>
      <c r="B512" s="42">
        <f t="shared" si="21"/>
        <v>277.13446999999979</v>
      </c>
      <c r="C512" s="7" t="s">
        <v>587</v>
      </c>
      <c r="D512" s="7" t="s">
        <v>586</v>
      </c>
      <c r="E512" s="7" t="s">
        <v>826</v>
      </c>
      <c r="F512" s="17">
        <v>278.18919999999991</v>
      </c>
      <c r="G512" s="7" t="s">
        <v>177</v>
      </c>
      <c r="H512" s="7" t="s">
        <v>175</v>
      </c>
      <c r="I512" s="10">
        <v>536.32000000000005</v>
      </c>
      <c r="J512" s="10">
        <f t="shared" si="22"/>
        <v>277134.4699999998</v>
      </c>
      <c r="K512" s="6">
        <f t="shared" si="23"/>
        <v>44560.819999999854</v>
      </c>
    </row>
    <row r="513" spans="1:11" x14ac:dyDescent="0.25">
      <c r="A513" s="5" t="s">
        <v>505</v>
      </c>
      <c r="B513" s="42">
        <f t="shared" si="21"/>
        <v>277.67078999999978</v>
      </c>
      <c r="C513" s="7" t="s">
        <v>586</v>
      </c>
      <c r="D513" s="7" t="s">
        <v>585</v>
      </c>
      <c r="E513" s="7" t="s">
        <v>826</v>
      </c>
      <c r="F513" s="17">
        <v>278.76220999999993</v>
      </c>
      <c r="G513" s="7" t="s">
        <v>175</v>
      </c>
      <c r="H513" s="7" t="s">
        <v>173</v>
      </c>
      <c r="I513" s="10">
        <v>564</v>
      </c>
      <c r="J513" s="10">
        <f t="shared" si="22"/>
        <v>277670.7899999998</v>
      </c>
      <c r="K513" s="6">
        <f t="shared" si="23"/>
        <v>44024.499999999854</v>
      </c>
    </row>
    <row r="514" spans="1:11" x14ac:dyDescent="0.25">
      <c r="A514" s="5" t="s">
        <v>505</v>
      </c>
      <c r="B514" s="42">
        <f t="shared" si="21"/>
        <v>278.2347899999998</v>
      </c>
      <c r="C514" s="7" t="s">
        <v>585</v>
      </c>
      <c r="D514" s="7" t="s">
        <v>584</v>
      </c>
      <c r="E514" s="7" t="s">
        <v>826</v>
      </c>
      <c r="F514" s="17">
        <v>279.34377999999992</v>
      </c>
      <c r="G514" s="7" t="s">
        <v>173</v>
      </c>
      <c r="H514" s="7" t="s">
        <v>171</v>
      </c>
      <c r="I514" s="10">
        <v>565.88</v>
      </c>
      <c r="J514" s="10">
        <f t="shared" si="22"/>
        <v>278234.7899999998</v>
      </c>
      <c r="K514" s="6">
        <f t="shared" si="23"/>
        <v>43460.499999999854</v>
      </c>
    </row>
    <row r="515" spans="1:11" x14ac:dyDescent="0.25">
      <c r="A515" s="5" t="s">
        <v>505</v>
      </c>
      <c r="B515" s="42">
        <f t="shared" ref="B515:B578" si="24">J515/1000</f>
        <v>278.8006699999998</v>
      </c>
      <c r="C515" s="7" t="s">
        <v>584</v>
      </c>
      <c r="D515" s="7" t="s">
        <v>583</v>
      </c>
      <c r="E515" s="7" t="s">
        <v>826</v>
      </c>
      <c r="F515" s="17">
        <v>279.91449999999986</v>
      </c>
      <c r="G515" s="7" t="s">
        <v>171</v>
      </c>
      <c r="H515" s="7" t="s">
        <v>169</v>
      </c>
      <c r="I515" s="10">
        <v>568.23</v>
      </c>
      <c r="J515" s="10">
        <f t="shared" si="22"/>
        <v>278800.66999999981</v>
      </c>
      <c r="K515" s="6">
        <f t="shared" si="23"/>
        <v>42894.619999999857</v>
      </c>
    </row>
    <row r="516" spans="1:11" x14ac:dyDescent="0.25">
      <c r="A516" s="5" t="s">
        <v>505</v>
      </c>
      <c r="B516" s="42">
        <f t="shared" si="24"/>
        <v>279.36889999999977</v>
      </c>
      <c r="C516" s="7" t="s">
        <v>583</v>
      </c>
      <c r="D516" s="7" t="s">
        <v>582</v>
      </c>
      <c r="E516" s="7" t="s">
        <v>826</v>
      </c>
      <c r="F516" s="17">
        <v>280.48513999999989</v>
      </c>
      <c r="G516" s="7" t="s">
        <v>169</v>
      </c>
      <c r="H516" s="7" t="s">
        <v>167</v>
      </c>
      <c r="I516" s="10">
        <v>572.91</v>
      </c>
      <c r="J516" s="10">
        <f t="shared" si="22"/>
        <v>279368.89999999979</v>
      </c>
      <c r="K516" s="6">
        <f t="shared" si="23"/>
        <v>42326.389999999854</v>
      </c>
    </row>
    <row r="517" spans="1:11" x14ac:dyDescent="0.25">
      <c r="A517" s="5" t="s">
        <v>505</v>
      </c>
      <c r="B517" s="42">
        <f t="shared" si="24"/>
        <v>279.94180999999975</v>
      </c>
      <c r="C517" s="7" t="s">
        <v>582</v>
      </c>
      <c r="D517" s="7" t="s">
        <v>581</v>
      </c>
      <c r="E517" s="7" t="s">
        <v>826</v>
      </c>
      <c r="F517" s="17">
        <v>281.05818999999991</v>
      </c>
      <c r="G517" s="7" t="s">
        <v>167</v>
      </c>
      <c r="H517" s="7" t="s">
        <v>165</v>
      </c>
      <c r="I517" s="10">
        <v>543.63</v>
      </c>
      <c r="J517" s="10">
        <f t="shared" si="22"/>
        <v>279941.80999999976</v>
      </c>
      <c r="K517" s="6">
        <f t="shared" si="23"/>
        <v>41753.47999999985</v>
      </c>
    </row>
    <row r="518" spans="1:11" x14ac:dyDescent="0.25">
      <c r="A518" s="5" t="s">
        <v>505</v>
      </c>
      <c r="B518" s="42">
        <f t="shared" si="24"/>
        <v>280.48543999999976</v>
      </c>
      <c r="C518" s="7" t="s">
        <v>581</v>
      </c>
      <c r="D518" s="7" t="s">
        <v>580</v>
      </c>
      <c r="E518" s="7" t="s">
        <v>826</v>
      </c>
      <c r="F518" s="17">
        <v>281.63081999999991</v>
      </c>
      <c r="G518" s="7" t="s">
        <v>165</v>
      </c>
      <c r="H518" s="7" t="s">
        <v>163</v>
      </c>
      <c r="I518" s="10">
        <v>540.20000000000005</v>
      </c>
      <c r="J518" s="10">
        <f t="shared" ref="J518:J581" si="25">J517+I517</f>
        <v>280485.43999999977</v>
      </c>
      <c r="K518" s="6">
        <f t="shared" ref="K518:K581" si="26">K517-I517</f>
        <v>41209.849999999853</v>
      </c>
    </row>
    <row r="519" spans="1:11" x14ac:dyDescent="0.25">
      <c r="A519" s="5" t="s">
        <v>505</v>
      </c>
      <c r="B519" s="42">
        <f t="shared" si="24"/>
        <v>281.02563999999978</v>
      </c>
      <c r="C519" s="7" t="s">
        <v>580</v>
      </c>
      <c r="D519" s="7" t="s">
        <v>579</v>
      </c>
      <c r="E519" s="7" t="s">
        <v>826</v>
      </c>
      <c r="F519" s="17">
        <v>282.2027599999999</v>
      </c>
      <c r="G519" s="7" t="s">
        <v>163</v>
      </c>
      <c r="H519" s="7" t="s">
        <v>161</v>
      </c>
      <c r="I519" s="10">
        <v>432.52</v>
      </c>
      <c r="J519" s="10">
        <f t="shared" si="25"/>
        <v>281025.63999999978</v>
      </c>
      <c r="K519" s="6">
        <f t="shared" si="26"/>
        <v>40669.649999999856</v>
      </c>
    </row>
    <row r="520" spans="1:11" x14ac:dyDescent="0.25">
      <c r="A520" s="5" t="s">
        <v>505</v>
      </c>
      <c r="B520" s="42">
        <f t="shared" si="24"/>
        <v>281.45815999999979</v>
      </c>
      <c r="C520" s="7" t="s">
        <v>579</v>
      </c>
      <c r="D520" s="7" t="s">
        <v>578</v>
      </c>
      <c r="E520" s="7" t="s">
        <v>826</v>
      </c>
      <c r="F520" s="17">
        <v>282.77431999999988</v>
      </c>
      <c r="G520" s="7" t="s">
        <v>161</v>
      </c>
      <c r="H520" s="7" t="s">
        <v>159</v>
      </c>
      <c r="I520" s="10">
        <v>452.27</v>
      </c>
      <c r="J520" s="10">
        <f t="shared" si="25"/>
        <v>281458.1599999998</v>
      </c>
      <c r="K520" s="6">
        <f t="shared" si="26"/>
        <v>40237.129999999859</v>
      </c>
    </row>
    <row r="521" spans="1:11" x14ac:dyDescent="0.25">
      <c r="A521" s="5" t="s">
        <v>505</v>
      </c>
      <c r="B521" s="42">
        <f t="shared" si="24"/>
        <v>281.91042999999979</v>
      </c>
      <c r="C521" s="7" t="s">
        <v>578</v>
      </c>
      <c r="D521" s="7" t="s">
        <v>577</v>
      </c>
      <c r="E521" s="7" t="s">
        <v>826</v>
      </c>
      <c r="F521" s="17">
        <v>283.34779999999989</v>
      </c>
      <c r="G521" s="7" t="s">
        <v>159</v>
      </c>
      <c r="H521" s="7" t="s">
        <v>157</v>
      </c>
      <c r="I521" s="10">
        <v>545.84</v>
      </c>
      <c r="J521" s="10">
        <f t="shared" si="25"/>
        <v>281910.42999999982</v>
      </c>
      <c r="K521" s="6">
        <f t="shared" si="26"/>
        <v>39784.859999999862</v>
      </c>
    </row>
    <row r="522" spans="1:11" x14ac:dyDescent="0.25">
      <c r="A522" s="5" t="s">
        <v>505</v>
      </c>
      <c r="B522" s="42">
        <f t="shared" si="24"/>
        <v>282.45626999999985</v>
      </c>
      <c r="C522" s="7" t="s">
        <v>577</v>
      </c>
      <c r="D522" s="7" t="s">
        <v>576</v>
      </c>
      <c r="E522" s="7" t="s">
        <v>826</v>
      </c>
      <c r="F522" s="17">
        <v>283.91926999999987</v>
      </c>
      <c r="G522" s="7" t="s">
        <v>157</v>
      </c>
      <c r="H522" s="7" t="s">
        <v>155</v>
      </c>
      <c r="I522" s="10">
        <v>562.19000000000005</v>
      </c>
      <c r="J522" s="10">
        <f t="shared" si="25"/>
        <v>282456.26999999984</v>
      </c>
      <c r="K522" s="6">
        <f t="shared" si="26"/>
        <v>39239.019999999866</v>
      </c>
    </row>
    <row r="523" spans="1:11" x14ac:dyDescent="0.25">
      <c r="A523" s="5" t="s">
        <v>505</v>
      </c>
      <c r="B523" s="42">
        <f t="shared" si="24"/>
        <v>283.01845999999983</v>
      </c>
      <c r="C523" s="7" t="s">
        <v>576</v>
      </c>
      <c r="D523" s="7" t="s">
        <v>575</v>
      </c>
      <c r="E523" s="7" t="s">
        <v>826</v>
      </c>
      <c r="F523" s="17">
        <v>284.49117999999982</v>
      </c>
      <c r="G523" s="7" t="s">
        <v>155</v>
      </c>
      <c r="H523" s="7" t="s">
        <v>153</v>
      </c>
      <c r="I523" s="10">
        <v>531.22</v>
      </c>
      <c r="J523" s="10">
        <f t="shared" si="25"/>
        <v>283018.45999999985</v>
      </c>
      <c r="K523" s="6">
        <f t="shared" si="26"/>
        <v>38676.829999999864</v>
      </c>
    </row>
    <row r="524" spans="1:11" x14ac:dyDescent="0.25">
      <c r="A524" s="5" t="s">
        <v>505</v>
      </c>
      <c r="B524" s="42">
        <f t="shared" si="24"/>
        <v>283.5496799999998</v>
      </c>
      <c r="C524" s="7" t="s">
        <v>575</v>
      </c>
      <c r="D524" s="7" t="s">
        <v>574</v>
      </c>
      <c r="E524" s="7" t="s">
        <v>826</v>
      </c>
      <c r="F524" s="17">
        <v>285.06348999999983</v>
      </c>
      <c r="G524" s="7" t="s">
        <v>153</v>
      </c>
      <c r="H524" s="7" t="s">
        <v>151</v>
      </c>
      <c r="I524" s="10">
        <v>555.29</v>
      </c>
      <c r="J524" s="10">
        <f t="shared" si="25"/>
        <v>283549.67999999982</v>
      </c>
      <c r="K524" s="6">
        <f t="shared" si="26"/>
        <v>38145.609999999862</v>
      </c>
    </row>
    <row r="525" spans="1:11" x14ac:dyDescent="0.25">
      <c r="A525" s="5" t="s">
        <v>505</v>
      </c>
      <c r="B525" s="42">
        <f t="shared" si="24"/>
        <v>284.10496999999981</v>
      </c>
      <c r="C525" s="7" t="s">
        <v>574</v>
      </c>
      <c r="D525" s="7" t="s">
        <v>573</v>
      </c>
      <c r="E525" s="7" t="s">
        <v>826</v>
      </c>
      <c r="F525" s="17">
        <v>285.63605999999982</v>
      </c>
      <c r="G525" s="7" t="s">
        <v>151</v>
      </c>
      <c r="H525" s="7" t="s">
        <v>149</v>
      </c>
      <c r="I525" s="10">
        <v>582.80999999999995</v>
      </c>
      <c r="J525" s="10">
        <f t="shared" si="25"/>
        <v>284104.9699999998</v>
      </c>
      <c r="K525" s="6">
        <f t="shared" si="26"/>
        <v>37590.319999999861</v>
      </c>
    </row>
    <row r="526" spans="1:11" x14ac:dyDescent="0.25">
      <c r="A526" s="5" t="s">
        <v>505</v>
      </c>
      <c r="B526" s="42">
        <f t="shared" si="24"/>
        <v>284.6877799999998</v>
      </c>
      <c r="C526" s="7" t="s">
        <v>573</v>
      </c>
      <c r="D526" s="7" t="s">
        <v>572</v>
      </c>
      <c r="E526" s="7" t="s">
        <v>826</v>
      </c>
      <c r="F526" s="17">
        <v>286.20867999999984</v>
      </c>
      <c r="G526" s="7" t="s">
        <v>149</v>
      </c>
      <c r="H526" s="7" t="s">
        <v>147</v>
      </c>
      <c r="I526" s="10">
        <v>562.83000000000004</v>
      </c>
      <c r="J526" s="10">
        <f t="shared" si="25"/>
        <v>284687.7799999998</v>
      </c>
      <c r="K526" s="6">
        <f t="shared" si="26"/>
        <v>37007.509999999864</v>
      </c>
    </row>
    <row r="527" spans="1:11" x14ac:dyDescent="0.25">
      <c r="A527" s="5" t="s">
        <v>505</v>
      </c>
      <c r="B527" s="42">
        <f t="shared" si="24"/>
        <v>285.25060999999982</v>
      </c>
      <c r="C527" s="7" t="s">
        <v>572</v>
      </c>
      <c r="D527" s="7" t="s">
        <v>571</v>
      </c>
      <c r="E527" s="7" t="s">
        <v>826</v>
      </c>
      <c r="F527" s="17">
        <v>286.75531999999981</v>
      </c>
      <c r="G527" s="7" t="s">
        <v>147</v>
      </c>
      <c r="H527" s="7" t="s">
        <v>145</v>
      </c>
      <c r="I527" s="10">
        <v>531.78</v>
      </c>
      <c r="J527" s="10">
        <f t="shared" si="25"/>
        <v>285250.60999999981</v>
      </c>
      <c r="K527" s="6">
        <f t="shared" si="26"/>
        <v>36444.679999999862</v>
      </c>
    </row>
    <row r="528" spans="1:11" x14ac:dyDescent="0.25">
      <c r="A528" s="5" t="s">
        <v>505</v>
      </c>
      <c r="B528" s="42">
        <f t="shared" si="24"/>
        <v>285.78238999999985</v>
      </c>
      <c r="C528" s="7" t="s">
        <v>571</v>
      </c>
      <c r="D528" s="7" t="s">
        <v>570</v>
      </c>
      <c r="E528" s="7" t="s">
        <v>826</v>
      </c>
      <c r="F528" s="17">
        <v>287.30148999999983</v>
      </c>
      <c r="G528" s="7" t="s">
        <v>145</v>
      </c>
      <c r="H528" s="7" t="s">
        <v>143</v>
      </c>
      <c r="I528" s="10">
        <v>556.79</v>
      </c>
      <c r="J528" s="10">
        <f t="shared" si="25"/>
        <v>285782.38999999984</v>
      </c>
      <c r="K528" s="6">
        <f t="shared" si="26"/>
        <v>35912.899999999863</v>
      </c>
    </row>
    <row r="529" spans="1:11" x14ac:dyDescent="0.25">
      <c r="A529" s="5" t="s">
        <v>505</v>
      </c>
      <c r="B529" s="42">
        <f t="shared" si="24"/>
        <v>286.33917999999983</v>
      </c>
      <c r="C529" s="7" t="s">
        <v>570</v>
      </c>
      <c r="D529" s="7" t="s">
        <v>569</v>
      </c>
      <c r="E529" s="7" t="s">
        <v>826</v>
      </c>
      <c r="F529" s="17">
        <v>287.86805999999984</v>
      </c>
      <c r="G529" s="7" t="s">
        <v>143</v>
      </c>
      <c r="H529" s="7" t="s">
        <v>141</v>
      </c>
      <c r="I529" s="10">
        <v>556.34</v>
      </c>
      <c r="J529" s="10">
        <f t="shared" si="25"/>
        <v>286339.17999999982</v>
      </c>
      <c r="K529" s="6">
        <f t="shared" si="26"/>
        <v>35356.109999999862</v>
      </c>
    </row>
    <row r="530" spans="1:11" x14ac:dyDescent="0.25">
      <c r="A530" s="5" t="s">
        <v>505</v>
      </c>
      <c r="B530" s="42">
        <f t="shared" si="24"/>
        <v>286.89551999999986</v>
      </c>
      <c r="C530" s="7" t="s">
        <v>569</v>
      </c>
      <c r="D530" s="7" t="s">
        <v>568</v>
      </c>
      <c r="E530" s="7" t="s">
        <v>826</v>
      </c>
      <c r="F530" s="17">
        <v>288.43271999999979</v>
      </c>
      <c r="G530" s="7" t="s">
        <v>141</v>
      </c>
      <c r="H530" s="7" t="s">
        <v>139</v>
      </c>
      <c r="I530" s="10">
        <v>568.41</v>
      </c>
      <c r="J530" s="10">
        <f t="shared" si="25"/>
        <v>286895.51999999984</v>
      </c>
      <c r="K530" s="6">
        <f t="shared" si="26"/>
        <v>34799.769999999866</v>
      </c>
    </row>
    <row r="531" spans="1:11" x14ac:dyDescent="0.25">
      <c r="A531" s="5" t="s">
        <v>505</v>
      </c>
      <c r="B531" s="42">
        <f t="shared" si="24"/>
        <v>287.46392999999983</v>
      </c>
      <c r="C531" s="7" t="s">
        <v>568</v>
      </c>
      <c r="D531" s="7" t="s">
        <v>567</v>
      </c>
      <c r="E531" s="7" t="s">
        <v>826</v>
      </c>
      <c r="F531" s="17">
        <v>289.00326999999976</v>
      </c>
      <c r="G531" s="7" t="s">
        <v>139</v>
      </c>
      <c r="H531" s="7" t="s">
        <v>137</v>
      </c>
      <c r="I531" s="10">
        <v>596.19000000000005</v>
      </c>
      <c r="J531" s="10">
        <f t="shared" si="25"/>
        <v>287463.92999999982</v>
      </c>
      <c r="K531" s="6">
        <f t="shared" si="26"/>
        <v>34231.359999999862</v>
      </c>
    </row>
    <row r="532" spans="1:11" x14ac:dyDescent="0.25">
      <c r="A532" s="5" t="s">
        <v>505</v>
      </c>
      <c r="B532" s="42">
        <f t="shared" si="24"/>
        <v>288.06011999999981</v>
      </c>
      <c r="C532" s="7" t="s">
        <v>567</v>
      </c>
      <c r="D532" s="7" t="s">
        <v>566</v>
      </c>
      <c r="E532" s="7" t="s">
        <v>826</v>
      </c>
      <c r="F532" s="17">
        <v>289.48513999999977</v>
      </c>
      <c r="G532" s="7" t="s">
        <v>137</v>
      </c>
      <c r="H532" s="7" t="s">
        <v>135</v>
      </c>
      <c r="I532" s="10">
        <v>564.24</v>
      </c>
      <c r="J532" s="10">
        <f t="shared" si="25"/>
        <v>288060.11999999982</v>
      </c>
      <c r="K532" s="6">
        <f t="shared" si="26"/>
        <v>33635.16999999986</v>
      </c>
    </row>
    <row r="533" spans="1:11" x14ac:dyDescent="0.25">
      <c r="A533" s="5" t="s">
        <v>505</v>
      </c>
      <c r="B533" s="42">
        <f t="shared" si="24"/>
        <v>288.6243599999998</v>
      </c>
      <c r="C533" s="7" t="s">
        <v>566</v>
      </c>
      <c r="D533" s="7" t="s">
        <v>565</v>
      </c>
      <c r="E533" s="7" t="s">
        <v>826</v>
      </c>
      <c r="F533" s="17">
        <v>289.93125999999978</v>
      </c>
      <c r="G533" s="7" t="s">
        <v>135</v>
      </c>
      <c r="H533" s="7" t="s">
        <v>133</v>
      </c>
      <c r="I533" s="10">
        <v>555.78</v>
      </c>
      <c r="J533" s="10">
        <f t="shared" si="25"/>
        <v>288624.35999999981</v>
      </c>
      <c r="K533" s="6">
        <f t="shared" si="26"/>
        <v>33070.929999999862</v>
      </c>
    </row>
    <row r="534" spans="1:11" x14ac:dyDescent="0.25">
      <c r="A534" s="5" t="s">
        <v>505</v>
      </c>
      <c r="B534" s="42">
        <f t="shared" si="24"/>
        <v>289.18013999999982</v>
      </c>
      <c r="C534" s="7" t="s">
        <v>565</v>
      </c>
      <c r="D534" s="7" t="s">
        <v>564</v>
      </c>
      <c r="E534" s="7" t="s">
        <v>826</v>
      </c>
      <c r="F534" s="17">
        <v>290.44990999999982</v>
      </c>
      <c r="G534" s="7" t="s">
        <v>133</v>
      </c>
      <c r="H534" s="7" t="s">
        <v>131</v>
      </c>
      <c r="I534" s="10">
        <v>554.5</v>
      </c>
      <c r="J534" s="10">
        <f t="shared" si="25"/>
        <v>289180.13999999984</v>
      </c>
      <c r="K534" s="6">
        <f t="shared" si="26"/>
        <v>32515.149999999863</v>
      </c>
    </row>
    <row r="535" spans="1:11" x14ac:dyDescent="0.25">
      <c r="A535" s="5" t="s">
        <v>505</v>
      </c>
      <c r="B535" s="42">
        <f t="shared" si="24"/>
        <v>289.73463999999984</v>
      </c>
      <c r="C535" s="7" t="s">
        <v>564</v>
      </c>
      <c r="D535" s="7" t="s">
        <v>563</v>
      </c>
      <c r="E535" s="7" t="s">
        <v>826</v>
      </c>
      <c r="F535" s="17">
        <v>290.96689999999978</v>
      </c>
      <c r="G535" s="7" t="s">
        <v>131</v>
      </c>
      <c r="H535" s="7" t="s">
        <v>129</v>
      </c>
      <c r="I535" s="10">
        <v>486.26</v>
      </c>
      <c r="J535" s="10">
        <f t="shared" si="25"/>
        <v>289734.63999999984</v>
      </c>
      <c r="K535" s="6">
        <f t="shared" si="26"/>
        <v>31960.649999999863</v>
      </c>
    </row>
    <row r="536" spans="1:11" x14ac:dyDescent="0.25">
      <c r="A536" s="5" t="s">
        <v>505</v>
      </c>
      <c r="B536" s="42">
        <f t="shared" si="24"/>
        <v>290.22089999999986</v>
      </c>
      <c r="C536" s="7" t="s">
        <v>563</v>
      </c>
      <c r="D536" s="7" t="s">
        <v>562</v>
      </c>
      <c r="E536" s="7" t="s">
        <v>826</v>
      </c>
      <c r="F536" s="17">
        <v>291.48310999999978</v>
      </c>
      <c r="G536" s="7" t="s">
        <v>129</v>
      </c>
      <c r="H536" s="7" t="s">
        <v>127</v>
      </c>
      <c r="I536" s="10">
        <v>524.49</v>
      </c>
      <c r="J536" s="10">
        <f t="shared" si="25"/>
        <v>290220.89999999985</v>
      </c>
      <c r="K536" s="6">
        <f t="shared" si="26"/>
        <v>31474.389999999865</v>
      </c>
    </row>
    <row r="537" spans="1:11" x14ac:dyDescent="0.25">
      <c r="A537" s="5" t="s">
        <v>505</v>
      </c>
      <c r="B537" s="42">
        <f t="shared" si="24"/>
        <v>290.74538999999982</v>
      </c>
      <c r="C537" s="7" t="s">
        <v>562</v>
      </c>
      <c r="D537" s="7" t="s">
        <v>561</v>
      </c>
      <c r="E537" s="7" t="s">
        <v>826</v>
      </c>
      <c r="F537" s="17">
        <v>292.00925999999981</v>
      </c>
      <c r="G537" s="7" t="s">
        <v>127</v>
      </c>
      <c r="H537" s="7" t="s">
        <v>125</v>
      </c>
      <c r="I537" s="10">
        <v>570.62</v>
      </c>
      <c r="J537" s="10">
        <f t="shared" si="25"/>
        <v>290745.38999999984</v>
      </c>
      <c r="K537" s="6">
        <f t="shared" si="26"/>
        <v>30949.899999999863</v>
      </c>
    </row>
    <row r="538" spans="1:11" x14ac:dyDescent="0.25">
      <c r="A538" s="5" t="s">
        <v>505</v>
      </c>
      <c r="B538" s="42">
        <f t="shared" si="24"/>
        <v>291.31600999999984</v>
      </c>
      <c r="C538" s="7" t="s">
        <v>561</v>
      </c>
      <c r="D538" s="7" t="s">
        <v>560</v>
      </c>
      <c r="E538" s="7" t="s">
        <v>826</v>
      </c>
      <c r="F538" s="17">
        <v>292.54811999999981</v>
      </c>
      <c r="G538" s="7" t="s">
        <v>125</v>
      </c>
      <c r="H538" s="7" t="s">
        <v>123</v>
      </c>
      <c r="I538" s="10">
        <v>560.45000000000005</v>
      </c>
      <c r="J538" s="10">
        <f t="shared" si="25"/>
        <v>291316.00999999983</v>
      </c>
      <c r="K538" s="6">
        <f t="shared" si="26"/>
        <v>30379.279999999864</v>
      </c>
    </row>
    <row r="539" spans="1:11" x14ac:dyDescent="0.25">
      <c r="A539" s="5" t="s">
        <v>505</v>
      </c>
      <c r="B539" s="42">
        <f t="shared" si="24"/>
        <v>291.87645999999984</v>
      </c>
      <c r="C539" s="7" t="s">
        <v>560</v>
      </c>
      <c r="D539" s="7" t="s">
        <v>559</v>
      </c>
      <c r="E539" s="7" t="s">
        <v>826</v>
      </c>
      <c r="F539" s="17">
        <v>293.07898999999981</v>
      </c>
      <c r="G539" s="7" t="s">
        <v>123</v>
      </c>
      <c r="H539" s="7" t="s">
        <v>121</v>
      </c>
      <c r="I539" s="10">
        <v>564.14</v>
      </c>
      <c r="J539" s="10">
        <f t="shared" si="25"/>
        <v>291876.45999999985</v>
      </c>
      <c r="K539" s="6">
        <f t="shared" si="26"/>
        <v>29818.829999999864</v>
      </c>
    </row>
    <row r="540" spans="1:11" x14ac:dyDescent="0.25">
      <c r="A540" s="5" t="s">
        <v>505</v>
      </c>
      <c r="B540" s="42">
        <f t="shared" si="24"/>
        <v>292.44059999999985</v>
      </c>
      <c r="C540" s="7" t="s">
        <v>559</v>
      </c>
      <c r="D540" s="7" t="s">
        <v>558</v>
      </c>
      <c r="E540" s="7" t="s">
        <v>826</v>
      </c>
      <c r="F540" s="17">
        <v>293.61149999999981</v>
      </c>
      <c r="G540" s="7" t="s">
        <v>121</v>
      </c>
      <c r="H540" s="7" t="s">
        <v>119</v>
      </c>
      <c r="I540" s="10">
        <v>557.57000000000005</v>
      </c>
      <c r="J540" s="10">
        <f t="shared" si="25"/>
        <v>292440.59999999986</v>
      </c>
      <c r="K540" s="6">
        <f t="shared" si="26"/>
        <v>29254.689999999864</v>
      </c>
    </row>
    <row r="541" spans="1:11" x14ac:dyDescent="0.25">
      <c r="A541" s="5" t="s">
        <v>505</v>
      </c>
      <c r="B541" s="42">
        <f t="shared" si="24"/>
        <v>292.99816999999985</v>
      </c>
      <c r="C541" s="7" t="s">
        <v>558</v>
      </c>
      <c r="D541" s="7" t="s">
        <v>557</v>
      </c>
      <c r="E541" s="7" t="s">
        <v>826</v>
      </c>
      <c r="F541" s="17">
        <v>294.16301999999985</v>
      </c>
      <c r="G541" s="7" t="s">
        <v>119</v>
      </c>
      <c r="H541" s="7" t="s">
        <v>19</v>
      </c>
      <c r="I541" s="10">
        <v>575.99</v>
      </c>
      <c r="J541" s="10">
        <f t="shared" si="25"/>
        <v>292998.16999999987</v>
      </c>
      <c r="K541" s="6">
        <f t="shared" si="26"/>
        <v>28697.119999999864</v>
      </c>
    </row>
    <row r="542" spans="1:11" x14ac:dyDescent="0.25">
      <c r="A542" s="5" t="s">
        <v>505</v>
      </c>
      <c r="B542" s="42">
        <f t="shared" si="24"/>
        <v>293.57415999999984</v>
      </c>
      <c r="C542" s="7" t="s">
        <v>557</v>
      </c>
      <c r="D542" s="7" t="s">
        <v>556</v>
      </c>
      <c r="E542" s="7" t="s">
        <v>826</v>
      </c>
      <c r="F542" s="17">
        <v>294.6903699999998</v>
      </c>
      <c r="G542" s="7" t="s">
        <v>19</v>
      </c>
      <c r="H542" s="7" t="s">
        <v>18</v>
      </c>
      <c r="I542" s="10">
        <v>575.84</v>
      </c>
      <c r="J542" s="10">
        <f t="shared" si="25"/>
        <v>293574.15999999986</v>
      </c>
      <c r="K542" s="6">
        <f t="shared" si="26"/>
        <v>28121.129999999863</v>
      </c>
    </row>
    <row r="543" spans="1:11" x14ac:dyDescent="0.25">
      <c r="A543" s="5" t="s">
        <v>505</v>
      </c>
      <c r="B543" s="42">
        <f t="shared" si="24"/>
        <v>294.14999999999986</v>
      </c>
      <c r="C543" s="7" t="s">
        <v>556</v>
      </c>
      <c r="D543" s="7" t="s">
        <v>555</v>
      </c>
      <c r="E543" s="7" t="s">
        <v>826</v>
      </c>
      <c r="F543" s="17">
        <v>295.20403999999979</v>
      </c>
      <c r="G543" s="7" t="s">
        <v>18</v>
      </c>
      <c r="H543" s="7" t="s">
        <v>115</v>
      </c>
      <c r="I543" s="10">
        <v>576.30999999999995</v>
      </c>
      <c r="J543" s="10">
        <f t="shared" si="25"/>
        <v>294149.99999999988</v>
      </c>
      <c r="K543" s="6">
        <f t="shared" si="26"/>
        <v>27545.289999999863</v>
      </c>
    </row>
    <row r="544" spans="1:11" x14ac:dyDescent="0.25">
      <c r="A544" s="5" t="s">
        <v>505</v>
      </c>
      <c r="B544" s="42">
        <f t="shared" si="24"/>
        <v>294.7263099999999</v>
      </c>
      <c r="C544" s="7" t="s">
        <v>555</v>
      </c>
      <c r="D544" s="7" t="s">
        <v>554</v>
      </c>
      <c r="E544" s="7" t="s">
        <v>826</v>
      </c>
      <c r="F544" s="17">
        <v>295.74818999999985</v>
      </c>
      <c r="G544" s="7" t="s">
        <v>115</v>
      </c>
      <c r="H544" s="7" t="s">
        <v>113</v>
      </c>
      <c r="I544" s="10">
        <v>573.28</v>
      </c>
      <c r="J544" s="10">
        <f t="shared" si="25"/>
        <v>294726.30999999988</v>
      </c>
      <c r="K544" s="6">
        <f t="shared" si="26"/>
        <v>26968.979999999861</v>
      </c>
    </row>
    <row r="545" spans="1:11" x14ac:dyDescent="0.25">
      <c r="A545" s="5" t="s">
        <v>505</v>
      </c>
      <c r="B545" s="42">
        <f t="shared" si="24"/>
        <v>295.29958999999991</v>
      </c>
      <c r="C545" s="7" t="s">
        <v>554</v>
      </c>
      <c r="D545" s="7" t="s">
        <v>553</v>
      </c>
      <c r="E545" s="7" t="s">
        <v>826</v>
      </c>
      <c r="F545" s="17">
        <v>296.30535999999984</v>
      </c>
      <c r="G545" s="7" t="s">
        <v>113</v>
      </c>
      <c r="H545" s="7" t="s">
        <v>111</v>
      </c>
      <c r="I545" s="10">
        <v>572.95000000000005</v>
      </c>
      <c r="J545" s="10">
        <f t="shared" si="25"/>
        <v>295299.58999999991</v>
      </c>
      <c r="K545" s="6">
        <f t="shared" si="26"/>
        <v>26395.699999999862</v>
      </c>
    </row>
    <row r="546" spans="1:11" x14ac:dyDescent="0.25">
      <c r="A546" s="5" t="s">
        <v>505</v>
      </c>
      <c r="B546" s="42">
        <f t="shared" si="24"/>
        <v>295.8725399999999</v>
      </c>
      <c r="C546" s="7" t="s">
        <v>553</v>
      </c>
      <c r="D546" s="7" t="s">
        <v>552</v>
      </c>
      <c r="E546" s="7" t="s">
        <v>826</v>
      </c>
      <c r="F546" s="17">
        <v>296.87772999999981</v>
      </c>
      <c r="G546" s="7" t="s">
        <v>111</v>
      </c>
      <c r="H546" s="7" t="s">
        <v>109</v>
      </c>
      <c r="I546" s="10">
        <v>568.39</v>
      </c>
      <c r="J546" s="10">
        <f t="shared" si="25"/>
        <v>295872.53999999992</v>
      </c>
      <c r="K546" s="6">
        <f t="shared" si="26"/>
        <v>25822.749999999862</v>
      </c>
    </row>
    <row r="547" spans="1:11" x14ac:dyDescent="0.25">
      <c r="A547" s="5" t="s">
        <v>505</v>
      </c>
      <c r="B547" s="42">
        <f t="shared" si="24"/>
        <v>296.44092999999992</v>
      </c>
      <c r="C547" s="7" t="s">
        <v>552</v>
      </c>
      <c r="D547" s="7" t="s">
        <v>551</v>
      </c>
      <c r="E547" s="7" t="s">
        <v>826</v>
      </c>
      <c r="F547" s="17">
        <v>297.44910999999979</v>
      </c>
      <c r="G547" s="7" t="s">
        <v>109</v>
      </c>
      <c r="H547" s="7" t="s">
        <v>107</v>
      </c>
      <c r="I547" s="10">
        <v>574.58000000000004</v>
      </c>
      <c r="J547" s="10">
        <f t="shared" si="25"/>
        <v>296440.92999999993</v>
      </c>
      <c r="K547" s="6">
        <f t="shared" si="26"/>
        <v>25254.359999999862</v>
      </c>
    </row>
    <row r="548" spans="1:11" x14ac:dyDescent="0.25">
      <c r="A548" s="5" t="s">
        <v>505</v>
      </c>
      <c r="B548" s="42">
        <f t="shared" si="24"/>
        <v>297.01550999999995</v>
      </c>
      <c r="C548" s="7" t="s">
        <v>551</v>
      </c>
      <c r="D548" s="7" t="s">
        <v>550</v>
      </c>
      <c r="E548" s="7" t="s">
        <v>826</v>
      </c>
      <c r="F548" s="17">
        <v>298.01987999999983</v>
      </c>
      <c r="G548" s="7" t="s">
        <v>107</v>
      </c>
      <c r="H548" s="7" t="s">
        <v>105</v>
      </c>
      <c r="I548" s="10">
        <v>579.25</v>
      </c>
      <c r="J548" s="10">
        <f t="shared" si="25"/>
        <v>297015.50999999995</v>
      </c>
      <c r="K548" s="6">
        <f t="shared" si="26"/>
        <v>24679.779999999861</v>
      </c>
    </row>
    <row r="549" spans="1:11" x14ac:dyDescent="0.25">
      <c r="A549" s="5" t="s">
        <v>505</v>
      </c>
      <c r="B549" s="42">
        <f t="shared" si="24"/>
        <v>297.59475999999995</v>
      </c>
      <c r="C549" s="7" t="s">
        <v>550</v>
      </c>
      <c r="D549" s="7" t="s">
        <v>549</v>
      </c>
      <c r="E549" s="7" t="s">
        <v>826</v>
      </c>
      <c r="F549" s="17">
        <v>298.59051999999986</v>
      </c>
      <c r="G549" s="7" t="s">
        <v>105</v>
      </c>
      <c r="H549" s="7" t="s">
        <v>103</v>
      </c>
      <c r="I549" s="10">
        <v>536.98</v>
      </c>
      <c r="J549" s="10">
        <f t="shared" si="25"/>
        <v>297594.75999999995</v>
      </c>
      <c r="K549" s="6">
        <f t="shared" si="26"/>
        <v>24100.529999999861</v>
      </c>
    </row>
    <row r="550" spans="1:11" x14ac:dyDescent="0.25">
      <c r="A550" s="5" t="s">
        <v>505</v>
      </c>
      <c r="B550" s="42">
        <f t="shared" si="24"/>
        <v>298.13173999999992</v>
      </c>
      <c r="C550" s="7" t="s">
        <v>549</v>
      </c>
      <c r="D550" s="7" t="s">
        <v>548</v>
      </c>
      <c r="E550" s="7" t="s">
        <v>826</v>
      </c>
      <c r="F550" s="17">
        <v>299.16226999999986</v>
      </c>
      <c r="G550" s="7" t="s">
        <v>103</v>
      </c>
      <c r="H550" s="7" t="s">
        <v>101</v>
      </c>
      <c r="I550" s="10">
        <v>459.83</v>
      </c>
      <c r="J550" s="10">
        <f t="shared" si="25"/>
        <v>298131.73999999993</v>
      </c>
      <c r="K550" s="6">
        <f t="shared" si="26"/>
        <v>23563.549999999861</v>
      </c>
    </row>
    <row r="551" spans="1:11" x14ac:dyDescent="0.25">
      <c r="A551" s="5" t="s">
        <v>505</v>
      </c>
      <c r="B551" s="42">
        <f t="shared" si="24"/>
        <v>298.59156999999993</v>
      </c>
      <c r="C551" s="7" t="s">
        <v>548</v>
      </c>
      <c r="D551" s="7" t="s">
        <v>547</v>
      </c>
      <c r="E551" s="7" t="s">
        <v>826</v>
      </c>
      <c r="F551" s="17">
        <v>299.73551999999984</v>
      </c>
      <c r="G551" s="7" t="s">
        <v>101</v>
      </c>
      <c r="H551" s="7" t="s">
        <v>99</v>
      </c>
      <c r="I551" s="10">
        <v>462.6</v>
      </c>
      <c r="J551" s="10">
        <f t="shared" si="25"/>
        <v>298591.56999999995</v>
      </c>
      <c r="K551" s="6">
        <f t="shared" si="26"/>
        <v>23103.719999999859</v>
      </c>
    </row>
    <row r="552" spans="1:11" x14ac:dyDescent="0.25">
      <c r="A552" s="5" t="s">
        <v>505</v>
      </c>
      <c r="B552" s="42">
        <f t="shared" si="24"/>
        <v>299.05416999999994</v>
      </c>
      <c r="C552" s="7" t="s">
        <v>547</v>
      </c>
      <c r="D552" s="7" t="s">
        <v>546</v>
      </c>
      <c r="E552" s="7" t="s">
        <v>826</v>
      </c>
      <c r="F552" s="17">
        <v>300.29726999999986</v>
      </c>
      <c r="G552" s="7" t="s">
        <v>99</v>
      </c>
      <c r="H552" s="7" t="s">
        <v>97</v>
      </c>
      <c r="I552" s="10">
        <v>554.65</v>
      </c>
      <c r="J552" s="10">
        <f t="shared" si="25"/>
        <v>299054.16999999993</v>
      </c>
      <c r="K552" s="6">
        <f t="shared" si="26"/>
        <v>22641.119999999861</v>
      </c>
    </row>
    <row r="553" spans="1:11" x14ac:dyDescent="0.25">
      <c r="A553" s="5" t="s">
        <v>505</v>
      </c>
      <c r="B553" s="42">
        <f t="shared" si="24"/>
        <v>299.60881999999992</v>
      </c>
      <c r="C553" s="7" t="s">
        <v>546</v>
      </c>
      <c r="D553" s="7" t="s">
        <v>545</v>
      </c>
      <c r="E553" s="7" t="s">
        <v>826</v>
      </c>
      <c r="F553" s="17">
        <v>300.85503999999986</v>
      </c>
      <c r="G553" s="7" t="s">
        <v>97</v>
      </c>
      <c r="H553" s="7" t="s">
        <v>95</v>
      </c>
      <c r="I553" s="10">
        <v>570.74</v>
      </c>
      <c r="J553" s="10">
        <f t="shared" si="25"/>
        <v>299608.81999999995</v>
      </c>
      <c r="K553" s="6">
        <f t="shared" si="26"/>
        <v>22086.469999999859</v>
      </c>
    </row>
    <row r="554" spans="1:11" x14ac:dyDescent="0.25">
      <c r="A554" s="5" t="s">
        <v>505</v>
      </c>
      <c r="B554" s="42">
        <f t="shared" si="24"/>
        <v>300.17955999999992</v>
      </c>
      <c r="C554" s="7" t="s">
        <v>545</v>
      </c>
      <c r="D554" s="7" t="s">
        <v>544</v>
      </c>
      <c r="E554" s="7" t="s">
        <v>826</v>
      </c>
      <c r="F554" s="17">
        <v>301.41511999999989</v>
      </c>
      <c r="G554" s="7" t="s">
        <v>95</v>
      </c>
      <c r="H554" s="7" t="s">
        <v>93</v>
      </c>
      <c r="I554" s="10">
        <v>598.14</v>
      </c>
      <c r="J554" s="10">
        <f t="shared" si="25"/>
        <v>300179.55999999994</v>
      </c>
      <c r="K554" s="6">
        <f t="shared" si="26"/>
        <v>21515.729999999858</v>
      </c>
    </row>
    <row r="555" spans="1:11" x14ac:dyDescent="0.25">
      <c r="A555" s="5" t="s">
        <v>505</v>
      </c>
      <c r="B555" s="42">
        <f t="shared" si="24"/>
        <v>300.77769999999998</v>
      </c>
      <c r="C555" s="7" t="s">
        <v>544</v>
      </c>
      <c r="D555" s="7" t="s">
        <v>543</v>
      </c>
      <c r="E555" s="7" t="s">
        <v>826</v>
      </c>
      <c r="F555" s="17">
        <v>301.98797999999988</v>
      </c>
      <c r="G555" s="7" t="s">
        <v>93</v>
      </c>
      <c r="H555" s="7" t="s">
        <v>91</v>
      </c>
      <c r="I555" s="10">
        <v>574.44000000000005</v>
      </c>
      <c r="J555" s="10">
        <f t="shared" si="25"/>
        <v>300777.69999999995</v>
      </c>
      <c r="K555" s="6">
        <f t="shared" si="26"/>
        <v>20917.589999999858</v>
      </c>
    </row>
    <row r="556" spans="1:11" x14ac:dyDescent="0.25">
      <c r="A556" s="5" t="s">
        <v>505</v>
      </c>
      <c r="B556" s="42">
        <f t="shared" si="24"/>
        <v>301.35213999999996</v>
      </c>
      <c r="C556" s="7" t="s">
        <v>543</v>
      </c>
      <c r="D556" s="7" t="s">
        <v>542</v>
      </c>
      <c r="E556" s="7" t="s">
        <v>826</v>
      </c>
      <c r="F556" s="17">
        <v>302.56031999999988</v>
      </c>
      <c r="G556" s="7" t="s">
        <v>91</v>
      </c>
      <c r="H556" s="7" t="s">
        <v>89</v>
      </c>
      <c r="I556" s="10">
        <v>564.59</v>
      </c>
      <c r="J556" s="10">
        <f t="shared" si="25"/>
        <v>301352.13999999996</v>
      </c>
      <c r="K556" s="6">
        <f t="shared" si="26"/>
        <v>20343.14999999986</v>
      </c>
    </row>
    <row r="557" spans="1:11" x14ac:dyDescent="0.25">
      <c r="A557" s="5" t="s">
        <v>505</v>
      </c>
      <c r="B557" s="42">
        <f t="shared" si="24"/>
        <v>301.91672999999997</v>
      </c>
      <c r="C557" s="7" t="s">
        <v>542</v>
      </c>
      <c r="D557" s="7" t="s">
        <v>541</v>
      </c>
      <c r="E557" s="7" t="s">
        <v>826</v>
      </c>
      <c r="F557" s="17">
        <v>303.1331899999999</v>
      </c>
      <c r="G557" s="7" t="s">
        <v>89</v>
      </c>
      <c r="H557" s="7" t="s">
        <v>87</v>
      </c>
      <c r="I557" s="10">
        <v>503.03</v>
      </c>
      <c r="J557" s="10">
        <f t="shared" si="25"/>
        <v>301916.73</v>
      </c>
      <c r="K557" s="6">
        <f t="shared" si="26"/>
        <v>19778.559999999859</v>
      </c>
    </row>
    <row r="558" spans="1:11" x14ac:dyDescent="0.25">
      <c r="A558" s="5" t="s">
        <v>505</v>
      </c>
      <c r="B558" s="42">
        <f t="shared" si="24"/>
        <v>302.41976</v>
      </c>
      <c r="C558" s="7" t="s">
        <v>541</v>
      </c>
      <c r="D558" s="7" t="s">
        <v>540</v>
      </c>
      <c r="E558" s="7" t="s">
        <v>826</v>
      </c>
      <c r="F558" s="17">
        <v>303.67732999999993</v>
      </c>
      <c r="G558" s="7" t="s">
        <v>87</v>
      </c>
      <c r="H558" s="7" t="s">
        <v>85</v>
      </c>
      <c r="I558" s="10">
        <v>490.46</v>
      </c>
      <c r="J558" s="10">
        <f t="shared" si="25"/>
        <v>302419.76</v>
      </c>
      <c r="K558" s="6">
        <f t="shared" si="26"/>
        <v>19275.529999999861</v>
      </c>
    </row>
    <row r="559" spans="1:11" x14ac:dyDescent="0.25">
      <c r="A559" s="5" t="s">
        <v>505</v>
      </c>
      <c r="B559" s="42">
        <f t="shared" si="24"/>
        <v>302.91022000000004</v>
      </c>
      <c r="C559" s="7" t="s">
        <v>540</v>
      </c>
      <c r="D559" s="7" t="s">
        <v>539</v>
      </c>
      <c r="E559" s="7" t="s">
        <v>826</v>
      </c>
      <c r="F559" s="17">
        <v>304.12255999999991</v>
      </c>
      <c r="G559" s="7" t="s">
        <v>85</v>
      </c>
      <c r="H559" s="7" t="s">
        <v>83</v>
      </c>
      <c r="I559" s="10">
        <v>563.01</v>
      </c>
      <c r="J559" s="10">
        <f t="shared" si="25"/>
        <v>302910.22000000003</v>
      </c>
      <c r="K559" s="6">
        <f t="shared" si="26"/>
        <v>18785.069999999861</v>
      </c>
    </row>
    <row r="560" spans="1:11" x14ac:dyDescent="0.25">
      <c r="A560" s="5" t="s">
        <v>505</v>
      </c>
      <c r="B560" s="42">
        <f t="shared" si="24"/>
        <v>303.47323000000006</v>
      </c>
      <c r="C560" s="7" t="s">
        <v>539</v>
      </c>
      <c r="D560" s="7" t="s">
        <v>538</v>
      </c>
      <c r="E560" s="7" t="s">
        <v>826</v>
      </c>
      <c r="F560" s="17">
        <v>304.56897999999984</v>
      </c>
      <c r="G560" s="7" t="s">
        <v>83</v>
      </c>
      <c r="H560" s="7" t="s">
        <v>81</v>
      </c>
      <c r="I560" s="10">
        <v>586.62</v>
      </c>
      <c r="J560" s="10">
        <f t="shared" si="25"/>
        <v>303473.23000000004</v>
      </c>
      <c r="K560" s="6">
        <f t="shared" si="26"/>
        <v>18222.059999999863</v>
      </c>
    </row>
    <row r="561" spans="1:11" x14ac:dyDescent="0.25">
      <c r="A561" s="5" t="s">
        <v>505</v>
      </c>
      <c r="B561" s="42">
        <f t="shared" si="24"/>
        <v>304.05985000000004</v>
      </c>
      <c r="C561" s="7" t="s">
        <v>538</v>
      </c>
      <c r="D561" s="7" t="s">
        <v>537</v>
      </c>
      <c r="E561" s="7" t="s">
        <v>826</v>
      </c>
      <c r="F561" s="17">
        <v>305.08829999999989</v>
      </c>
      <c r="G561" s="7" t="s">
        <v>81</v>
      </c>
      <c r="H561" s="7" t="s">
        <v>79</v>
      </c>
      <c r="I561" s="10">
        <v>563.47</v>
      </c>
      <c r="J561" s="10">
        <f t="shared" si="25"/>
        <v>304059.85000000003</v>
      </c>
      <c r="K561" s="6">
        <f t="shared" si="26"/>
        <v>17635.439999999864</v>
      </c>
    </row>
    <row r="562" spans="1:11" x14ac:dyDescent="0.25">
      <c r="A562" s="5" t="s">
        <v>505</v>
      </c>
      <c r="B562" s="42">
        <f t="shared" si="24"/>
        <v>304.62332000000004</v>
      </c>
      <c r="C562" s="7" t="s">
        <v>537</v>
      </c>
      <c r="D562" s="7" t="s">
        <v>536</v>
      </c>
      <c r="E562" s="7" t="s">
        <v>826</v>
      </c>
      <c r="F562" s="17">
        <v>305.61100999999991</v>
      </c>
      <c r="G562" s="7" t="s">
        <v>79</v>
      </c>
      <c r="H562" s="7" t="s">
        <v>77</v>
      </c>
      <c r="I562" s="10">
        <v>572.34</v>
      </c>
      <c r="J562" s="10">
        <f t="shared" si="25"/>
        <v>304623.32</v>
      </c>
      <c r="K562" s="6">
        <f t="shared" si="26"/>
        <v>17071.969999999863</v>
      </c>
    </row>
    <row r="563" spans="1:11" x14ac:dyDescent="0.25">
      <c r="A563" s="5" t="s">
        <v>505</v>
      </c>
      <c r="B563" s="42">
        <f t="shared" si="24"/>
        <v>305.19566000000003</v>
      </c>
      <c r="C563" s="7" t="s">
        <v>536</v>
      </c>
      <c r="D563" s="7" t="s">
        <v>535</v>
      </c>
      <c r="E563" s="7" t="s">
        <v>826</v>
      </c>
      <c r="F563" s="17">
        <v>306.14695999999992</v>
      </c>
      <c r="G563" s="7" t="s">
        <v>77</v>
      </c>
      <c r="H563" s="7" t="s">
        <v>75</v>
      </c>
      <c r="I563" s="10">
        <v>574.19000000000005</v>
      </c>
      <c r="J563" s="10">
        <f t="shared" si="25"/>
        <v>305195.66000000003</v>
      </c>
      <c r="K563" s="6">
        <f t="shared" si="26"/>
        <v>16499.629999999863</v>
      </c>
    </row>
    <row r="564" spans="1:11" x14ac:dyDescent="0.25">
      <c r="A564" s="5" t="s">
        <v>505</v>
      </c>
      <c r="B564" s="42">
        <f t="shared" si="24"/>
        <v>305.76985000000002</v>
      </c>
      <c r="C564" s="7" t="s">
        <v>535</v>
      </c>
      <c r="D564" s="7" t="s">
        <v>534</v>
      </c>
      <c r="E564" s="7" t="s">
        <v>826</v>
      </c>
      <c r="F564" s="17">
        <v>306.68907999999988</v>
      </c>
      <c r="G564" s="7" t="s">
        <v>75</v>
      </c>
      <c r="H564" s="7" t="s">
        <v>73</v>
      </c>
      <c r="I564" s="10">
        <v>605.9</v>
      </c>
      <c r="J564" s="10">
        <f t="shared" si="25"/>
        <v>305769.85000000003</v>
      </c>
      <c r="K564" s="6">
        <f t="shared" si="26"/>
        <v>15925.439999999862</v>
      </c>
    </row>
    <row r="565" spans="1:11" x14ac:dyDescent="0.25">
      <c r="A565" s="5" t="s">
        <v>505</v>
      </c>
      <c r="B565" s="42">
        <f t="shared" si="24"/>
        <v>306.37575000000004</v>
      </c>
      <c r="C565" s="7" t="s">
        <v>534</v>
      </c>
      <c r="D565" s="7" t="s">
        <v>533</v>
      </c>
      <c r="E565" s="7" t="s">
        <v>826</v>
      </c>
      <c r="F565" s="17">
        <v>307.24925999999988</v>
      </c>
      <c r="G565" s="7" t="s">
        <v>73</v>
      </c>
      <c r="H565" s="7" t="s">
        <v>71</v>
      </c>
      <c r="I565" s="10">
        <f>723.97-20</f>
        <v>703.97</v>
      </c>
      <c r="J565" s="10">
        <f t="shared" si="25"/>
        <v>306375.75000000006</v>
      </c>
      <c r="K565" s="6">
        <f t="shared" si="26"/>
        <v>15319.539999999863</v>
      </c>
    </row>
    <row r="566" spans="1:11" x14ac:dyDescent="0.25">
      <c r="A566" s="5" t="s">
        <v>505</v>
      </c>
      <c r="B566" s="42">
        <f t="shared" si="24"/>
        <v>307.07972000000001</v>
      </c>
      <c r="C566" s="7" t="s">
        <v>533</v>
      </c>
      <c r="D566" s="7" t="s">
        <v>532</v>
      </c>
      <c r="E566" s="7" t="s">
        <v>826</v>
      </c>
      <c r="F566" s="17">
        <v>307.81983999999989</v>
      </c>
      <c r="G566" s="7" t="s">
        <v>71</v>
      </c>
      <c r="H566" s="7" t="s">
        <v>69</v>
      </c>
      <c r="I566" s="10">
        <v>753.25</v>
      </c>
      <c r="J566" s="10">
        <f t="shared" si="25"/>
        <v>307079.72000000003</v>
      </c>
      <c r="K566" s="6">
        <f t="shared" si="26"/>
        <v>14615.569999999863</v>
      </c>
    </row>
    <row r="567" spans="1:11" x14ac:dyDescent="0.25">
      <c r="A567" s="5" t="s">
        <v>505</v>
      </c>
      <c r="B567" s="42">
        <f t="shared" si="24"/>
        <v>307.83297000000005</v>
      </c>
      <c r="C567" s="7" t="s">
        <v>532</v>
      </c>
      <c r="D567" s="7" t="s">
        <v>531</v>
      </c>
      <c r="E567" s="7" t="s">
        <v>826</v>
      </c>
      <c r="F567" s="17">
        <v>308.39269999999988</v>
      </c>
      <c r="G567" s="7" t="s">
        <v>69</v>
      </c>
      <c r="H567" s="7" t="s">
        <v>67</v>
      </c>
      <c r="I567" s="10">
        <v>638.01</v>
      </c>
      <c r="J567" s="10">
        <f t="shared" si="25"/>
        <v>307832.97000000003</v>
      </c>
      <c r="K567" s="6">
        <f t="shared" si="26"/>
        <v>13862.319999999863</v>
      </c>
    </row>
    <row r="568" spans="1:11" x14ac:dyDescent="0.25">
      <c r="A568" s="5" t="s">
        <v>505</v>
      </c>
      <c r="B568" s="42">
        <f t="shared" si="24"/>
        <v>308.47098000000005</v>
      </c>
      <c r="C568" s="7" t="s">
        <v>531</v>
      </c>
      <c r="D568" s="7" t="s">
        <v>530</v>
      </c>
      <c r="E568" s="7" t="s">
        <v>826</v>
      </c>
      <c r="F568" s="17">
        <v>308.9662899999999</v>
      </c>
      <c r="G568" s="7" t="s">
        <v>67</v>
      </c>
      <c r="H568" s="7" t="s">
        <v>65</v>
      </c>
      <c r="I568" s="10">
        <v>525.41999999999996</v>
      </c>
      <c r="J568" s="10">
        <f t="shared" si="25"/>
        <v>308470.98000000004</v>
      </c>
      <c r="K568" s="6">
        <f t="shared" si="26"/>
        <v>13224.309999999863</v>
      </c>
    </row>
    <row r="569" spans="1:11" x14ac:dyDescent="0.25">
      <c r="A569" s="5" t="s">
        <v>505</v>
      </c>
      <c r="B569" s="42">
        <f t="shared" si="24"/>
        <v>308.99640000000005</v>
      </c>
      <c r="C569" s="7" t="s">
        <v>530</v>
      </c>
      <c r="D569" s="7" t="s">
        <v>529</v>
      </c>
      <c r="E569" s="7" t="s">
        <v>826</v>
      </c>
      <c r="F569" s="17">
        <v>309.5390799999999</v>
      </c>
      <c r="G569" s="7" t="s">
        <v>65</v>
      </c>
      <c r="H569" s="7" t="s">
        <v>63</v>
      </c>
      <c r="I569" s="10">
        <v>592.29999999999995</v>
      </c>
      <c r="J569" s="10">
        <f t="shared" si="25"/>
        <v>308996.40000000002</v>
      </c>
      <c r="K569" s="6">
        <f t="shared" si="26"/>
        <v>12698.889999999863</v>
      </c>
    </row>
    <row r="570" spans="1:11" x14ac:dyDescent="0.25">
      <c r="A570" s="5" t="s">
        <v>505</v>
      </c>
      <c r="B570" s="42">
        <f t="shared" si="24"/>
        <v>309.58870000000002</v>
      </c>
      <c r="C570" s="7" t="s">
        <v>529</v>
      </c>
      <c r="D570" s="7" t="s">
        <v>528</v>
      </c>
      <c r="E570" s="7" t="s">
        <v>826</v>
      </c>
      <c r="F570" s="17">
        <v>310.11172999999991</v>
      </c>
      <c r="G570" s="7" t="s">
        <v>63</v>
      </c>
      <c r="H570" s="7" t="s">
        <v>61</v>
      </c>
      <c r="I570" s="10">
        <v>599.02</v>
      </c>
      <c r="J570" s="10">
        <f t="shared" si="25"/>
        <v>309588.7</v>
      </c>
      <c r="K570" s="6">
        <f t="shared" si="26"/>
        <v>12106.589999999864</v>
      </c>
    </row>
    <row r="571" spans="1:11" x14ac:dyDescent="0.25">
      <c r="A571" s="5" t="s">
        <v>505</v>
      </c>
      <c r="B571" s="42">
        <f t="shared" si="24"/>
        <v>310.18772000000001</v>
      </c>
      <c r="C571" s="7" t="s">
        <v>528</v>
      </c>
      <c r="D571" s="7" t="s">
        <v>527</v>
      </c>
      <c r="E571" s="7" t="s">
        <v>826</v>
      </c>
      <c r="F571" s="17">
        <v>310.65529999999995</v>
      </c>
      <c r="G571" s="7" t="s">
        <v>61</v>
      </c>
      <c r="H571" s="7" t="s">
        <v>59</v>
      </c>
      <c r="I571" s="10">
        <v>599.02</v>
      </c>
      <c r="J571" s="10">
        <f t="shared" si="25"/>
        <v>310187.72000000003</v>
      </c>
      <c r="K571" s="6">
        <f t="shared" si="26"/>
        <v>11507.569999999863</v>
      </c>
    </row>
    <row r="572" spans="1:11" x14ac:dyDescent="0.25">
      <c r="A572" s="5" t="s">
        <v>505</v>
      </c>
      <c r="B572" s="42">
        <f t="shared" si="24"/>
        <v>310.78674000000007</v>
      </c>
      <c r="C572" s="7" t="s">
        <v>527</v>
      </c>
      <c r="D572" s="7" t="s">
        <v>526</v>
      </c>
      <c r="E572" s="7" t="s">
        <v>826</v>
      </c>
      <c r="F572" s="17">
        <v>311.16918999999996</v>
      </c>
      <c r="G572" s="7" t="s">
        <v>59</v>
      </c>
      <c r="H572" s="7" t="s">
        <v>57</v>
      </c>
      <c r="I572" s="10">
        <v>599.04</v>
      </c>
      <c r="J572" s="10">
        <f t="shared" si="25"/>
        <v>310786.74000000005</v>
      </c>
      <c r="K572" s="6">
        <f t="shared" si="26"/>
        <v>10908.549999999863</v>
      </c>
    </row>
    <row r="573" spans="1:11" x14ac:dyDescent="0.25">
      <c r="A573" s="5" t="s">
        <v>505</v>
      </c>
      <c r="B573" s="42">
        <f t="shared" si="24"/>
        <v>311.38578000000001</v>
      </c>
      <c r="C573" s="7" t="s">
        <v>526</v>
      </c>
      <c r="D573" s="7" t="s">
        <v>525</v>
      </c>
      <c r="E573" s="7" t="s">
        <v>826</v>
      </c>
      <c r="F573" s="17">
        <v>311.67497999999995</v>
      </c>
      <c r="G573" s="7" t="s">
        <v>57</v>
      </c>
      <c r="H573" s="7" t="s">
        <v>55</v>
      </c>
      <c r="I573" s="10">
        <v>599.04999999999995</v>
      </c>
      <c r="J573" s="10">
        <f t="shared" si="25"/>
        <v>311385.78000000003</v>
      </c>
      <c r="K573" s="6">
        <f t="shared" si="26"/>
        <v>10309.509999999864</v>
      </c>
    </row>
    <row r="574" spans="1:11" x14ac:dyDescent="0.25">
      <c r="A574" s="5" t="s">
        <v>505</v>
      </c>
      <c r="B574" s="42">
        <f t="shared" si="24"/>
        <v>311.98482999999999</v>
      </c>
      <c r="C574" s="7" t="s">
        <v>525</v>
      </c>
      <c r="D574" s="7" t="s">
        <v>524</v>
      </c>
      <c r="E574" s="7" t="s">
        <v>826</v>
      </c>
      <c r="F574" s="17">
        <v>312.17298999999991</v>
      </c>
      <c r="G574" s="7" t="s">
        <v>55</v>
      </c>
      <c r="H574" s="7" t="s">
        <v>53</v>
      </c>
      <c r="I574" s="10">
        <v>592.28</v>
      </c>
      <c r="J574" s="10">
        <f t="shared" si="25"/>
        <v>311984.83</v>
      </c>
      <c r="K574" s="6">
        <f t="shared" si="26"/>
        <v>9710.4599999998645</v>
      </c>
    </row>
    <row r="575" spans="1:11" x14ac:dyDescent="0.25">
      <c r="A575" s="5" t="s">
        <v>505</v>
      </c>
      <c r="B575" s="42">
        <f t="shared" si="24"/>
        <v>312.57711000000006</v>
      </c>
      <c r="C575" s="7" t="s">
        <v>524</v>
      </c>
      <c r="D575" s="7" t="s">
        <v>523</v>
      </c>
      <c r="E575" s="7" t="s">
        <v>826</v>
      </c>
      <c r="F575" s="17">
        <v>312.70785999999993</v>
      </c>
      <c r="G575" s="7" t="s">
        <v>53</v>
      </c>
      <c r="H575" s="7" t="s">
        <v>51</v>
      </c>
      <c r="I575" s="10">
        <v>585.59</v>
      </c>
      <c r="J575" s="10">
        <f t="shared" si="25"/>
        <v>312577.11000000004</v>
      </c>
      <c r="K575" s="6">
        <f t="shared" si="26"/>
        <v>9118.1799999998639</v>
      </c>
    </row>
    <row r="576" spans="1:11" x14ac:dyDescent="0.25">
      <c r="A576" s="5" t="s">
        <v>505</v>
      </c>
      <c r="B576" s="42">
        <f t="shared" si="24"/>
        <v>313.16270000000009</v>
      </c>
      <c r="C576" s="7" t="s">
        <v>523</v>
      </c>
      <c r="D576" s="7" t="s">
        <v>522</v>
      </c>
      <c r="E576" s="7" t="s">
        <v>826</v>
      </c>
      <c r="F576" s="17">
        <v>313.23573999999991</v>
      </c>
      <c r="G576" s="7" t="s">
        <v>51</v>
      </c>
      <c r="H576" s="7" t="s">
        <v>49</v>
      </c>
      <c r="I576" s="10">
        <v>578.80999999999995</v>
      </c>
      <c r="J576" s="10">
        <f t="shared" si="25"/>
        <v>313162.70000000007</v>
      </c>
      <c r="K576" s="6">
        <f t="shared" si="26"/>
        <v>8532.5899999998637</v>
      </c>
    </row>
    <row r="577" spans="1:11" x14ac:dyDescent="0.25">
      <c r="A577" s="5" t="s">
        <v>505</v>
      </c>
      <c r="B577" s="42">
        <f t="shared" si="24"/>
        <v>313.74151000000006</v>
      </c>
      <c r="C577" s="7" t="s">
        <v>522</v>
      </c>
      <c r="D577" s="7" t="s">
        <v>521</v>
      </c>
      <c r="E577" s="7" t="s">
        <v>826</v>
      </c>
      <c r="F577" s="17">
        <v>313.72676999999999</v>
      </c>
      <c r="G577" s="7" t="s">
        <v>49</v>
      </c>
      <c r="H577" s="7" t="s">
        <v>47</v>
      </c>
      <c r="I577" s="10">
        <v>480.5</v>
      </c>
      <c r="J577" s="10">
        <f t="shared" si="25"/>
        <v>313741.51000000007</v>
      </c>
      <c r="K577" s="6">
        <f t="shared" si="26"/>
        <v>7953.7799999998642</v>
      </c>
    </row>
    <row r="578" spans="1:11" x14ac:dyDescent="0.25">
      <c r="A578" s="5" t="s">
        <v>505</v>
      </c>
      <c r="B578" s="42">
        <f t="shared" si="24"/>
        <v>314.22201000000007</v>
      </c>
      <c r="C578" s="7" t="s">
        <v>521</v>
      </c>
      <c r="D578" s="7" t="s">
        <v>520</v>
      </c>
      <c r="E578" s="7" t="s">
        <v>826</v>
      </c>
      <c r="F578" s="17">
        <v>314.23336</v>
      </c>
      <c r="G578" s="7" t="s">
        <v>47</v>
      </c>
      <c r="H578" s="7" t="s">
        <v>45</v>
      </c>
      <c r="I578" s="10">
        <v>482.71</v>
      </c>
      <c r="J578" s="10">
        <f t="shared" si="25"/>
        <v>314222.01000000007</v>
      </c>
      <c r="K578" s="6">
        <f t="shared" si="26"/>
        <v>7473.2799999998642</v>
      </c>
    </row>
    <row r="579" spans="1:11" x14ac:dyDescent="0.25">
      <c r="A579" s="5" t="s">
        <v>505</v>
      </c>
      <c r="B579" s="42">
        <f t="shared" ref="B579:B593" si="27">J579/1000</f>
        <v>314.70472000000007</v>
      </c>
      <c r="C579" s="7" t="s">
        <v>520</v>
      </c>
      <c r="D579" s="7" t="s">
        <v>519</v>
      </c>
      <c r="E579" s="7" t="s">
        <v>826</v>
      </c>
      <c r="F579" s="17">
        <v>314.74844999999999</v>
      </c>
      <c r="G579" s="7" t="s">
        <v>45</v>
      </c>
      <c r="H579" s="7" t="s">
        <v>43</v>
      </c>
      <c r="I579" s="10">
        <v>565.85</v>
      </c>
      <c r="J579" s="10">
        <f t="shared" si="25"/>
        <v>314704.72000000009</v>
      </c>
      <c r="K579" s="6">
        <f t="shared" si="26"/>
        <v>6990.5699999998642</v>
      </c>
    </row>
    <row r="580" spans="1:11" x14ac:dyDescent="0.25">
      <c r="A580" s="5" t="s">
        <v>505</v>
      </c>
      <c r="B580" s="42">
        <f t="shared" si="27"/>
        <v>315.27057000000008</v>
      </c>
      <c r="C580" s="7" t="s">
        <v>519</v>
      </c>
      <c r="D580" s="7" t="s">
        <v>518</v>
      </c>
      <c r="E580" s="7" t="s">
        <v>826</v>
      </c>
      <c r="F580" s="17">
        <v>315.25902000000002</v>
      </c>
      <c r="G580" s="7" t="s">
        <v>43</v>
      </c>
      <c r="H580" s="7" t="s">
        <v>41</v>
      </c>
      <c r="I580" s="10">
        <v>543.55999999999995</v>
      </c>
      <c r="J580" s="10">
        <f t="shared" si="25"/>
        <v>315270.57000000007</v>
      </c>
      <c r="K580" s="6">
        <f t="shared" si="26"/>
        <v>6424.7199999998638</v>
      </c>
    </row>
    <row r="581" spans="1:11" x14ac:dyDescent="0.25">
      <c r="A581" s="5" t="s">
        <v>505</v>
      </c>
      <c r="B581" s="42">
        <f t="shared" si="27"/>
        <v>315.81413000000009</v>
      </c>
      <c r="C581" s="7" t="s">
        <v>518</v>
      </c>
      <c r="D581" s="7" t="s">
        <v>517</v>
      </c>
      <c r="E581" s="7" t="s">
        <v>826</v>
      </c>
      <c r="F581" s="17">
        <v>315.77118999999999</v>
      </c>
      <c r="G581" s="7" t="s">
        <v>41</v>
      </c>
      <c r="H581" s="7" t="s">
        <v>39</v>
      </c>
      <c r="I581" s="10">
        <v>571.54</v>
      </c>
      <c r="J581" s="10">
        <f t="shared" si="25"/>
        <v>315814.13000000006</v>
      </c>
      <c r="K581" s="6">
        <f t="shared" si="26"/>
        <v>5881.1599999998634</v>
      </c>
    </row>
    <row r="582" spans="1:11" x14ac:dyDescent="0.25">
      <c r="A582" s="5" t="s">
        <v>505</v>
      </c>
      <c r="B582" s="42">
        <f t="shared" si="27"/>
        <v>316.38567000000006</v>
      </c>
      <c r="C582" s="7" t="s">
        <v>517</v>
      </c>
      <c r="D582" s="7" t="s">
        <v>516</v>
      </c>
      <c r="E582" s="7" t="s">
        <v>826</v>
      </c>
      <c r="F582" s="17">
        <v>316.31747000000001</v>
      </c>
      <c r="G582" s="7" t="s">
        <v>39</v>
      </c>
      <c r="H582" s="7" t="s">
        <v>37</v>
      </c>
      <c r="I582" s="10">
        <v>580.72</v>
      </c>
      <c r="J582" s="10">
        <f t="shared" ref="J582:J593" si="28">J581+I581</f>
        <v>316385.67000000004</v>
      </c>
      <c r="K582" s="6">
        <f t="shared" ref="K582:K589" si="29">K581-I581</f>
        <v>5309.6199999998635</v>
      </c>
    </row>
    <row r="583" spans="1:11" x14ac:dyDescent="0.25">
      <c r="A583" s="5" t="s">
        <v>505</v>
      </c>
      <c r="B583" s="42">
        <f t="shared" si="27"/>
        <v>316.96638999999999</v>
      </c>
      <c r="C583" s="7" t="s">
        <v>516</v>
      </c>
      <c r="D583" s="7" t="s">
        <v>515</v>
      </c>
      <c r="E583" s="7" t="s">
        <v>826</v>
      </c>
      <c r="F583" s="17">
        <v>316.89544000000001</v>
      </c>
      <c r="G583" s="7" t="s">
        <v>37</v>
      </c>
      <c r="H583" s="7" t="s">
        <v>35</v>
      </c>
      <c r="I583" s="10">
        <v>568.19000000000005</v>
      </c>
      <c r="J583" s="10">
        <f t="shared" si="28"/>
        <v>316966.39</v>
      </c>
      <c r="K583" s="6">
        <f t="shared" si="29"/>
        <v>4728.8999999998632</v>
      </c>
    </row>
    <row r="584" spans="1:11" x14ac:dyDescent="0.25">
      <c r="A584" s="5" t="s">
        <v>505</v>
      </c>
      <c r="B584" s="42">
        <f t="shared" si="27"/>
        <v>317.53458000000001</v>
      </c>
      <c r="C584" s="7" t="s">
        <v>515</v>
      </c>
      <c r="D584" s="7" t="s">
        <v>514</v>
      </c>
      <c r="E584" s="7" t="s">
        <v>826</v>
      </c>
      <c r="F584" s="17">
        <v>317.47118999999998</v>
      </c>
      <c r="G584" s="7" t="s">
        <v>35</v>
      </c>
      <c r="H584" s="7" t="s">
        <v>33</v>
      </c>
      <c r="I584" s="10">
        <v>577.41999999999996</v>
      </c>
      <c r="J584" s="10">
        <f t="shared" si="28"/>
        <v>317534.58</v>
      </c>
      <c r="K584" s="6">
        <f t="shared" si="29"/>
        <v>4160.7099999998627</v>
      </c>
    </row>
    <row r="585" spans="1:11" x14ac:dyDescent="0.25">
      <c r="A585" s="5" t="s">
        <v>505</v>
      </c>
      <c r="B585" s="42">
        <f t="shared" si="27"/>
        <v>318.11200000000002</v>
      </c>
      <c r="C585" s="7" t="s">
        <v>514</v>
      </c>
      <c r="D585" s="7" t="s">
        <v>513</v>
      </c>
      <c r="E585" s="7" t="s">
        <v>826</v>
      </c>
      <c r="F585" s="17">
        <v>318.01884999999999</v>
      </c>
      <c r="G585" s="7" t="s">
        <v>33</v>
      </c>
      <c r="H585" s="7" t="s">
        <v>31</v>
      </c>
      <c r="I585" s="10">
        <v>575.36</v>
      </c>
      <c r="J585" s="10">
        <f t="shared" si="28"/>
        <v>318112</v>
      </c>
      <c r="K585" s="6">
        <f t="shared" si="29"/>
        <v>3583.2899999998626</v>
      </c>
    </row>
    <row r="586" spans="1:11" x14ac:dyDescent="0.25">
      <c r="A586" s="5" t="s">
        <v>505</v>
      </c>
      <c r="B586" s="42">
        <f t="shared" si="27"/>
        <v>318.68736000000001</v>
      </c>
      <c r="C586" s="7" t="s">
        <v>513</v>
      </c>
      <c r="D586" s="7" t="s">
        <v>512</v>
      </c>
      <c r="E586" s="7" t="s">
        <v>826</v>
      </c>
      <c r="F586" s="17">
        <v>318.56171999999998</v>
      </c>
      <c r="G586" s="7" t="s">
        <v>31</v>
      </c>
      <c r="H586" s="7" t="s">
        <v>29</v>
      </c>
      <c r="I586" s="10">
        <v>489.62</v>
      </c>
      <c r="J586" s="10">
        <f t="shared" si="28"/>
        <v>318687.35999999999</v>
      </c>
      <c r="K586" s="6">
        <f t="shared" si="29"/>
        <v>3007.9299999998625</v>
      </c>
    </row>
    <row r="587" spans="1:11" x14ac:dyDescent="0.25">
      <c r="A587" s="5" t="s">
        <v>505</v>
      </c>
      <c r="B587" s="42">
        <f t="shared" si="27"/>
        <v>319.17697999999996</v>
      </c>
      <c r="C587" s="7" t="s">
        <v>512</v>
      </c>
      <c r="D587" s="7" t="s">
        <v>511</v>
      </c>
      <c r="E587" s="7" t="s">
        <v>826</v>
      </c>
      <c r="F587" s="17">
        <v>319.13277999999997</v>
      </c>
      <c r="G587" s="7" t="s">
        <v>29</v>
      </c>
      <c r="H587" s="7" t="s">
        <v>27</v>
      </c>
      <c r="I587" s="10">
        <v>572.89</v>
      </c>
      <c r="J587" s="10">
        <f t="shared" si="28"/>
        <v>319176.98</v>
      </c>
      <c r="K587" s="6">
        <f t="shared" si="29"/>
        <v>2518.3099999998626</v>
      </c>
    </row>
    <row r="588" spans="1:11" x14ac:dyDescent="0.25">
      <c r="A588" s="5" t="s">
        <v>505</v>
      </c>
      <c r="B588" s="42">
        <f t="shared" si="27"/>
        <v>319.74986999999999</v>
      </c>
      <c r="C588" s="7" t="s">
        <v>511</v>
      </c>
      <c r="D588" s="7" t="s">
        <v>510</v>
      </c>
      <c r="E588" s="7" t="s">
        <v>826</v>
      </c>
      <c r="F588" s="17">
        <v>319.69320999999997</v>
      </c>
      <c r="G588" s="7" t="s">
        <v>27</v>
      </c>
      <c r="H588" s="7" t="s">
        <v>25</v>
      </c>
      <c r="I588" s="10">
        <v>521.59</v>
      </c>
      <c r="J588" s="10">
        <f t="shared" si="28"/>
        <v>319749.87</v>
      </c>
      <c r="K588" s="6">
        <f t="shared" si="29"/>
        <v>1945.4199999998627</v>
      </c>
    </row>
    <row r="589" spans="1:11" x14ac:dyDescent="0.25">
      <c r="A589" s="5" t="s">
        <v>505</v>
      </c>
      <c r="B589" s="42">
        <f t="shared" si="27"/>
        <v>320.27146000000005</v>
      </c>
      <c r="C589" s="7" t="s">
        <v>510</v>
      </c>
      <c r="D589" s="7" t="s">
        <v>509</v>
      </c>
      <c r="E589" s="7" t="s">
        <v>826</v>
      </c>
      <c r="F589" s="17">
        <v>320.26452999999998</v>
      </c>
      <c r="G589" s="7" t="s">
        <v>25</v>
      </c>
      <c r="H589" s="7" t="s">
        <v>23</v>
      </c>
      <c r="I589" s="10">
        <v>441.74</v>
      </c>
      <c r="J589" s="10">
        <f t="shared" si="28"/>
        <v>320271.46000000002</v>
      </c>
      <c r="K589" s="6">
        <f t="shared" si="29"/>
        <v>1423.8299999998626</v>
      </c>
    </row>
    <row r="590" spans="1:11" x14ac:dyDescent="0.25">
      <c r="A590" s="5" t="s">
        <v>505</v>
      </c>
      <c r="B590" s="42">
        <f t="shared" si="27"/>
        <v>320.71320000000003</v>
      </c>
      <c r="C590" s="7" t="s">
        <v>509</v>
      </c>
      <c r="D590" s="7" t="s">
        <v>508</v>
      </c>
      <c r="E590" s="7" t="s">
        <v>826</v>
      </c>
      <c r="F590" s="17">
        <v>320.83565999999996</v>
      </c>
      <c r="G590" s="7" t="s">
        <v>23</v>
      </c>
      <c r="H590" s="7" t="s">
        <v>20</v>
      </c>
      <c r="I590" s="10">
        <v>483.65</v>
      </c>
      <c r="J590" s="10">
        <f>J589+I589</f>
        <v>320713.2</v>
      </c>
      <c r="K590" s="6">
        <f>K589-I589</f>
        <v>982.08999999986258</v>
      </c>
    </row>
    <row r="591" spans="1:11" x14ac:dyDescent="0.25">
      <c r="A591" s="5" t="s">
        <v>505</v>
      </c>
      <c r="B591" s="42">
        <f t="shared" si="27"/>
        <v>321.19685000000004</v>
      </c>
      <c r="C591" s="7" t="s">
        <v>508</v>
      </c>
      <c r="D591" s="7" t="s">
        <v>507</v>
      </c>
      <c r="E591" s="7" t="s">
        <v>826</v>
      </c>
      <c r="F591" s="17">
        <v>321.30849000000001</v>
      </c>
      <c r="G591" s="7" t="s">
        <v>20</v>
      </c>
      <c r="H591" s="7" t="s">
        <v>15</v>
      </c>
      <c r="I591" s="10">
        <v>418.44</v>
      </c>
      <c r="J591" s="10">
        <f t="shared" si="28"/>
        <v>321196.85000000003</v>
      </c>
      <c r="K591" s="6">
        <f>K590-I590</f>
        <v>498.43999999986261</v>
      </c>
    </row>
    <row r="592" spans="1:11" x14ac:dyDescent="0.25">
      <c r="A592" s="5" t="s">
        <v>505</v>
      </c>
      <c r="B592" s="42">
        <f t="shared" si="27"/>
        <v>321.61529000000002</v>
      </c>
      <c r="C592" s="7" t="s">
        <v>507</v>
      </c>
      <c r="D592" s="7" t="s">
        <v>506</v>
      </c>
      <c r="E592" s="7" t="s">
        <v>826</v>
      </c>
      <c r="F592" s="17">
        <v>321.61589000000004</v>
      </c>
      <c r="G592" s="7" t="s">
        <v>15</v>
      </c>
      <c r="H592" s="7" t="s">
        <v>187</v>
      </c>
      <c r="I592" s="10">
        <v>80</v>
      </c>
      <c r="J592" s="10">
        <f t="shared" si="28"/>
        <v>321615.29000000004</v>
      </c>
      <c r="K592" s="6">
        <f>K591-I591</f>
        <v>79.999999999862609</v>
      </c>
    </row>
    <row r="593" spans="1:11" x14ac:dyDescent="0.25">
      <c r="A593" s="5" t="s">
        <v>505</v>
      </c>
      <c r="B593" s="42">
        <f t="shared" si="27"/>
        <v>321.69529000000006</v>
      </c>
      <c r="C593" s="7" t="s">
        <v>840</v>
      </c>
      <c r="D593" s="7" t="s">
        <v>22</v>
      </c>
      <c r="E593" s="7" t="s">
        <v>826</v>
      </c>
      <c r="F593" s="17">
        <v>321.69529000000006</v>
      </c>
      <c r="G593" s="7" t="s">
        <v>22</v>
      </c>
      <c r="H593" s="7" t="s">
        <v>22</v>
      </c>
      <c r="I593" s="10"/>
      <c r="J593" s="10">
        <f t="shared" si="28"/>
        <v>321695.29000000004</v>
      </c>
      <c r="K593" s="6">
        <f>K592-I592</f>
        <v>-1.3739054338657297E-10</v>
      </c>
    </row>
    <row r="594" spans="1:11" x14ac:dyDescent="0.25">
      <c r="A594" s="13"/>
      <c r="B594" s="13"/>
      <c r="C594" s="14"/>
      <c r="D594" s="14"/>
      <c r="E594" s="14"/>
      <c r="F594" s="14"/>
      <c r="H594" s="14"/>
      <c r="I594" s="15"/>
      <c r="J594" s="13"/>
      <c r="K594" s="13"/>
    </row>
    <row r="595" spans="1:11" x14ac:dyDescent="0.25">
      <c r="I595" s="18">
        <f>SUM(I2:I592)/1000</f>
        <v>321.69529000000006</v>
      </c>
      <c r="J595" s="5">
        <v>590</v>
      </c>
    </row>
  </sheetData>
  <dataValidations count="3">
    <dataValidation type="textLength" allowBlank="1" showInputMessage="1" showErrorMessage="1" sqref="C1:I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WVK983041:WVP983041" xr:uid="{00000000-0002-0000-0400-000000000000}">
      <formula1>0</formula1>
      <formula2>30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400-000001000000}">
      <formula1>0</formula1>
      <formula2>60</formula2>
    </dataValidation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400-000002000000}">
      <formula1>0</formula1>
      <formula2>50</formula2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5"/>
  <dimension ref="A1:O10"/>
  <sheetViews>
    <sheetView workbookViewId="0">
      <selection activeCell="A2" sqref="A2"/>
    </sheetView>
  </sheetViews>
  <sheetFormatPr defaultRowHeight="15" x14ac:dyDescent="0.25"/>
  <cols>
    <col min="1" max="1" width="56.7109375" style="5" customWidth="1"/>
    <col min="2" max="2" width="4.5703125" style="5" bestFit="1" customWidth="1"/>
    <col min="3" max="3" width="31.28515625" style="7" bestFit="1" customWidth="1"/>
    <col min="4" max="4" width="31.28515625" style="7" hidden="1" customWidth="1"/>
    <col min="5" max="5" width="13.42578125" style="7" customWidth="1"/>
    <col min="6" max="6" width="13.140625" style="7" hidden="1" customWidth="1"/>
    <col min="7" max="7" width="31.28515625" style="7" hidden="1" customWidth="1"/>
    <col min="8" max="8" width="29.85546875" style="7" hidden="1" customWidth="1"/>
    <col min="9" max="9" width="30.28515625" style="12" hidden="1" customWidth="1"/>
    <col min="10" max="10" width="26.28515625" style="5" hidden="1" customWidth="1"/>
    <col min="11" max="11" width="24.5703125" style="5" hidden="1" customWidth="1"/>
    <col min="12" max="12" width="5" bestFit="1" customWidth="1"/>
    <col min="13" max="13" width="21.5703125" bestFit="1" customWidth="1"/>
    <col min="14" max="14" width="23" bestFit="1" customWidth="1"/>
    <col min="257" max="257" width="41.7109375" bestFit="1" customWidth="1"/>
    <col min="258" max="258" width="41.7109375" customWidth="1"/>
    <col min="259" max="260" width="30.5703125" bestFit="1" customWidth="1"/>
    <col min="261" max="261" width="30.5703125" customWidth="1"/>
    <col min="262" max="263" width="30.5703125" bestFit="1" customWidth="1"/>
    <col min="264" max="264" width="37.28515625" bestFit="1" customWidth="1"/>
    <col min="265" max="265" width="32" bestFit="1" customWidth="1"/>
    <col min="266" max="266" width="30" bestFit="1" customWidth="1"/>
    <col min="268" max="269" width="31.28515625" bestFit="1" customWidth="1"/>
    <col min="270" max="270" width="5.5703125" bestFit="1" customWidth="1"/>
    <col min="513" max="513" width="41.7109375" bestFit="1" customWidth="1"/>
    <col min="514" max="514" width="41.7109375" customWidth="1"/>
    <col min="515" max="516" width="30.5703125" bestFit="1" customWidth="1"/>
    <col min="517" max="517" width="30.5703125" customWidth="1"/>
    <col min="518" max="519" width="30.5703125" bestFit="1" customWidth="1"/>
    <col min="520" max="520" width="37.28515625" bestFit="1" customWidth="1"/>
    <col min="521" max="521" width="32" bestFit="1" customWidth="1"/>
    <col min="522" max="522" width="30" bestFit="1" customWidth="1"/>
    <col min="524" max="525" width="31.28515625" bestFit="1" customWidth="1"/>
    <col min="526" max="526" width="5.5703125" bestFit="1" customWidth="1"/>
    <col min="769" max="769" width="41.7109375" bestFit="1" customWidth="1"/>
    <col min="770" max="770" width="41.7109375" customWidth="1"/>
    <col min="771" max="772" width="30.5703125" bestFit="1" customWidth="1"/>
    <col min="773" max="773" width="30.5703125" customWidth="1"/>
    <col min="774" max="775" width="30.5703125" bestFit="1" customWidth="1"/>
    <col min="776" max="776" width="37.28515625" bestFit="1" customWidth="1"/>
    <col min="777" max="777" width="32" bestFit="1" customWidth="1"/>
    <col min="778" max="778" width="30" bestFit="1" customWidth="1"/>
    <col min="780" max="781" width="31.28515625" bestFit="1" customWidth="1"/>
    <col min="782" max="782" width="5.5703125" bestFit="1" customWidth="1"/>
    <col min="1025" max="1025" width="41.7109375" bestFit="1" customWidth="1"/>
    <col min="1026" max="1026" width="41.7109375" customWidth="1"/>
    <col min="1027" max="1028" width="30.5703125" bestFit="1" customWidth="1"/>
    <col min="1029" max="1029" width="30.5703125" customWidth="1"/>
    <col min="1030" max="1031" width="30.5703125" bestFit="1" customWidth="1"/>
    <col min="1032" max="1032" width="37.28515625" bestFit="1" customWidth="1"/>
    <col min="1033" max="1033" width="32" bestFit="1" customWidth="1"/>
    <col min="1034" max="1034" width="30" bestFit="1" customWidth="1"/>
    <col min="1036" max="1037" width="31.28515625" bestFit="1" customWidth="1"/>
    <col min="1038" max="1038" width="5.5703125" bestFit="1" customWidth="1"/>
    <col min="1281" max="1281" width="41.7109375" bestFit="1" customWidth="1"/>
    <col min="1282" max="1282" width="41.7109375" customWidth="1"/>
    <col min="1283" max="1284" width="30.5703125" bestFit="1" customWidth="1"/>
    <col min="1285" max="1285" width="30.5703125" customWidth="1"/>
    <col min="1286" max="1287" width="30.5703125" bestFit="1" customWidth="1"/>
    <col min="1288" max="1288" width="37.28515625" bestFit="1" customWidth="1"/>
    <col min="1289" max="1289" width="32" bestFit="1" customWidth="1"/>
    <col min="1290" max="1290" width="30" bestFit="1" customWidth="1"/>
    <col min="1292" max="1293" width="31.28515625" bestFit="1" customWidth="1"/>
    <col min="1294" max="1294" width="5.5703125" bestFit="1" customWidth="1"/>
    <col min="1537" max="1537" width="41.7109375" bestFit="1" customWidth="1"/>
    <col min="1538" max="1538" width="41.7109375" customWidth="1"/>
    <col min="1539" max="1540" width="30.5703125" bestFit="1" customWidth="1"/>
    <col min="1541" max="1541" width="30.5703125" customWidth="1"/>
    <col min="1542" max="1543" width="30.5703125" bestFit="1" customWidth="1"/>
    <col min="1544" max="1544" width="37.28515625" bestFit="1" customWidth="1"/>
    <col min="1545" max="1545" width="32" bestFit="1" customWidth="1"/>
    <col min="1546" max="1546" width="30" bestFit="1" customWidth="1"/>
    <col min="1548" max="1549" width="31.28515625" bestFit="1" customWidth="1"/>
    <col min="1550" max="1550" width="5.5703125" bestFit="1" customWidth="1"/>
    <col min="1793" max="1793" width="41.7109375" bestFit="1" customWidth="1"/>
    <col min="1794" max="1794" width="41.7109375" customWidth="1"/>
    <col min="1795" max="1796" width="30.5703125" bestFit="1" customWidth="1"/>
    <col min="1797" max="1797" width="30.5703125" customWidth="1"/>
    <col min="1798" max="1799" width="30.5703125" bestFit="1" customWidth="1"/>
    <col min="1800" max="1800" width="37.28515625" bestFit="1" customWidth="1"/>
    <col min="1801" max="1801" width="32" bestFit="1" customWidth="1"/>
    <col min="1802" max="1802" width="30" bestFit="1" customWidth="1"/>
    <col min="1804" max="1805" width="31.28515625" bestFit="1" customWidth="1"/>
    <col min="1806" max="1806" width="5.5703125" bestFit="1" customWidth="1"/>
    <col min="2049" max="2049" width="41.7109375" bestFit="1" customWidth="1"/>
    <col min="2050" max="2050" width="41.7109375" customWidth="1"/>
    <col min="2051" max="2052" width="30.5703125" bestFit="1" customWidth="1"/>
    <col min="2053" max="2053" width="30.5703125" customWidth="1"/>
    <col min="2054" max="2055" width="30.5703125" bestFit="1" customWidth="1"/>
    <col min="2056" max="2056" width="37.28515625" bestFit="1" customWidth="1"/>
    <col min="2057" max="2057" width="32" bestFit="1" customWidth="1"/>
    <col min="2058" max="2058" width="30" bestFit="1" customWidth="1"/>
    <col min="2060" max="2061" width="31.28515625" bestFit="1" customWidth="1"/>
    <col min="2062" max="2062" width="5.5703125" bestFit="1" customWidth="1"/>
    <col min="2305" max="2305" width="41.7109375" bestFit="1" customWidth="1"/>
    <col min="2306" max="2306" width="41.7109375" customWidth="1"/>
    <col min="2307" max="2308" width="30.5703125" bestFit="1" customWidth="1"/>
    <col min="2309" max="2309" width="30.5703125" customWidth="1"/>
    <col min="2310" max="2311" width="30.5703125" bestFit="1" customWidth="1"/>
    <col min="2312" max="2312" width="37.28515625" bestFit="1" customWidth="1"/>
    <col min="2313" max="2313" width="32" bestFit="1" customWidth="1"/>
    <col min="2314" max="2314" width="30" bestFit="1" customWidth="1"/>
    <col min="2316" max="2317" width="31.28515625" bestFit="1" customWidth="1"/>
    <col min="2318" max="2318" width="5.5703125" bestFit="1" customWidth="1"/>
    <col min="2561" max="2561" width="41.7109375" bestFit="1" customWidth="1"/>
    <col min="2562" max="2562" width="41.7109375" customWidth="1"/>
    <col min="2563" max="2564" width="30.5703125" bestFit="1" customWidth="1"/>
    <col min="2565" max="2565" width="30.5703125" customWidth="1"/>
    <col min="2566" max="2567" width="30.5703125" bestFit="1" customWidth="1"/>
    <col min="2568" max="2568" width="37.28515625" bestFit="1" customWidth="1"/>
    <col min="2569" max="2569" width="32" bestFit="1" customWidth="1"/>
    <col min="2570" max="2570" width="30" bestFit="1" customWidth="1"/>
    <col min="2572" max="2573" width="31.28515625" bestFit="1" customWidth="1"/>
    <col min="2574" max="2574" width="5.5703125" bestFit="1" customWidth="1"/>
    <col min="2817" max="2817" width="41.7109375" bestFit="1" customWidth="1"/>
    <col min="2818" max="2818" width="41.7109375" customWidth="1"/>
    <col min="2819" max="2820" width="30.5703125" bestFit="1" customWidth="1"/>
    <col min="2821" max="2821" width="30.5703125" customWidth="1"/>
    <col min="2822" max="2823" width="30.5703125" bestFit="1" customWidth="1"/>
    <col min="2824" max="2824" width="37.28515625" bestFit="1" customWidth="1"/>
    <col min="2825" max="2825" width="32" bestFit="1" customWidth="1"/>
    <col min="2826" max="2826" width="30" bestFit="1" customWidth="1"/>
    <col min="2828" max="2829" width="31.28515625" bestFit="1" customWidth="1"/>
    <col min="2830" max="2830" width="5.5703125" bestFit="1" customWidth="1"/>
    <col min="3073" max="3073" width="41.7109375" bestFit="1" customWidth="1"/>
    <col min="3074" max="3074" width="41.7109375" customWidth="1"/>
    <col min="3075" max="3076" width="30.5703125" bestFit="1" customWidth="1"/>
    <col min="3077" max="3077" width="30.5703125" customWidth="1"/>
    <col min="3078" max="3079" width="30.5703125" bestFit="1" customWidth="1"/>
    <col min="3080" max="3080" width="37.28515625" bestFit="1" customWidth="1"/>
    <col min="3081" max="3081" width="32" bestFit="1" customWidth="1"/>
    <col min="3082" max="3082" width="30" bestFit="1" customWidth="1"/>
    <col min="3084" max="3085" width="31.28515625" bestFit="1" customWidth="1"/>
    <col min="3086" max="3086" width="5.5703125" bestFit="1" customWidth="1"/>
    <col min="3329" max="3329" width="41.7109375" bestFit="1" customWidth="1"/>
    <col min="3330" max="3330" width="41.7109375" customWidth="1"/>
    <col min="3331" max="3332" width="30.5703125" bestFit="1" customWidth="1"/>
    <col min="3333" max="3333" width="30.5703125" customWidth="1"/>
    <col min="3334" max="3335" width="30.5703125" bestFit="1" customWidth="1"/>
    <col min="3336" max="3336" width="37.28515625" bestFit="1" customWidth="1"/>
    <col min="3337" max="3337" width="32" bestFit="1" customWidth="1"/>
    <col min="3338" max="3338" width="30" bestFit="1" customWidth="1"/>
    <col min="3340" max="3341" width="31.28515625" bestFit="1" customWidth="1"/>
    <col min="3342" max="3342" width="5.5703125" bestFit="1" customWidth="1"/>
    <col min="3585" max="3585" width="41.7109375" bestFit="1" customWidth="1"/>
    <col min="3586" max="3586" width="41.7109375" customWidth="1"/>
    <col min="3587" max="3588" width="30.5703125" bestFit="1" customWidth="1"/>
    <col min="3589" max="3589" width="30.5703125" customWidth="1"/>
    <col min="3590" max="3591" width="30.5703125" bestFit="1" customWidth="1"/>
    <col min="3592" max="3592" width="37.28515625" bestFit="1" customWidth="1"/>
    <col min="3593" max="3593" width="32" bestFit="1" customWidth="1"/>
    <col min="3594" max="3594" width="30" bestFit="1" customWidth="1"/>
    <col min="3596" max="3597" width="31.28515625" bestFit="1" customWidth="1"/>
    <col min="3598" max="3598" width="5.5703125" bestFit="1" customWidth="1"/>
    <col min="3841" max="3841" width="41.7109375" bestFit="1" customWidth="1"/>
    <col min="3842" max="3842" width="41.7109375" customWidth="1"/>
    <col min="3843" max="3844" width="30.5703125" bestFit="1" customWidth="1"/>
    <col min="3845" max="3845" width="30.5703125" customWidth="1"/>
    <col min="3846" max="3847" width="30.5703125" bestFit="1" customWidth="1"/>
    <col min="3848" max="3848" width="37.28515625" bestFit="1" customWidth="1"/>
    <col min="3849" max="3849" width="32" bestFit="1" customWidth="1"/>
    <col min="3850" max="3850" width="30" bestFit="1" customWidth="1"/>
    <col min="3852" max="3853" width="31.28515625" bestFit="1" customWidth="1"/>
    <col min="3854" max="3854" width="5.5703125" bestFit="1" customWidth="1"/>
    <col min="4097" max="4097" width="41.7109375" bestFit="1" customWidth="1"/>
    <col min="4098" max="4098" width="41.7109375" customWidth="1"/>
    <col min="4099" max="4100" width="30.5703125" bestFit="1" customWidth="1"/>
    <col min="4101" max="4101" width="30.5703125" customWidth="1"/>
    <col min="4102" max="4103" width="30.5703125" bestFit="1" customWidth="1"/>
    <col min="4104" max="4104" width="37.28515625" bestFit="1" customWidth="1"/>
    <col min="4105" max="4105" width="32" bestFit="1" customWidth="1"/>
    <col min="4106" max="4106" width="30" bestFit="1" customWidth="1"/>
    <col min="4108" max="4109" width="31.28515625" bestFit="1" customWidth="1"/>
    <col min="4110" max="4110" width="5.5703125" bestFit="1" customWidth="1"/>
    <col min="4353" max="4353" width="41.7109375" bestFit="1" customWidth="1"/>
    <col min="4354" max="4354" width="41.7109375" customWidth="1"/>
    <col min="4355" max="4356" width="30.5703125" bestFit="1" customWidth="1"/>
    <col min="4357" max="4357" width="30.5703125" customWidth="1"/>
    <col min="4358" max="4359" width="30.5703125" bestFit="1" customWidth="1"/>
    <col min="4360" max="4360" width="37.28515625" bestFit="1" customWidth="1"/>
    <col min="4361" max="4361" width="32" bestFit="1" customWidth="1"/>
    <col min="4362" max="4362" width="30" bestFit="1" customWidth="1"/>
    <col min="4364" max="4365" width="31.28515625" bestFit="1" customWidth="1"/>
    <col min="4366" max="4366" width="5.5703125" bestFit="1" customWidth="1"/>
    <col min="4609" max="4609" width="41.7109375" bestFit="1" customWidth="1"/>
    <col min="4610" max="4610" width="41.7109375" customWidth="1"/>
    <col min="4611" max="4612" width="30.5703125" bestFit="1" customWidth="1"/>
    <col min="4613" max="4613" width="30.5703125" customWidth="1"/>
    <col min="4614" max="4615" width="30.5703125" bestFit="1" customWidth="1"/>
    <col min="4616" max="4616" width="37.28515625" bestFit="1" customWidth="1"/>
    <col min="4617" max="4617" width="32" bestFit="1" customWidth="1"/>
    <col min="4618" max="4618" width="30" bestFit="1" customWidth="1"/>
    <col min="4620" max="4621" width="31.28515625" bestFit="1" customWidth="1"/>
    <col min="4622" max="4622" width="5.5703125" bestFit="1" customWidth="1"/>
    <col min="4865" max="4865" width="41.7109375" bestFit="1" customWidth="1"/>
    <col min="4866" max="4866" width="41.7109375" customWidth="1"/>
    <col min="4867" max="4868" width="30.5703125" bestFit="1" customWidth="1"/>
    <col min="4869" max="4869" width="30.5703125" customWidth="1"/>
    <col min="4870" max="4871" width="30.5703125" bestFit="1" customWidth="1"/>
    <col min="4872" max="4872" width="37.28515625" bestFit="1" customWidth="1"/>
    <col min="4873" max="4873" width="32" bestFit="1" customWidth="1"/>
    <col min="4874" max="4874" width="30" bestFit="1" customWidth="1"/>
    <col min="4876" max="4877" width="31.28515625" bestFit="1" customWidth="1"/>
    <col min="4878" max="4878" width="5.5703125" bestFit="1" customWidth="1"/>
    <col min="5121" max="5121" width="41.7109375" bestFit="1" customWidth="1"/>
    <col min="5122" max="5122" width="41.7109375" customWidth="1"/>
    <col min="5123" max="5124" width="30.5703125" bestFit="1" customWidth="1"/>
    <col min="5125" max="5125" width="30.5703125" customWidth="1"/>
    <col min="5126" max="5127" width="30.5703125" bestFit="1" customWidth="1"/>
    <col min="5128" max="5128" width="37.28515625" bestFit="1" customWidth="1"/>
    <col min="5129" max="5129" width="32" bestFit="1" customWidth="1"/>
    <col min="5130" max="5130" width="30" bestFit="1" customWidth="1"/>
    <col min="5132" max="5133" width="31.28515625" bestFit="1" customWidth="1"/>
    <col min="5134" max="5134" width="5.5703125" bestFit="1" customWidth="1"/>
    <col min="5377" max="5377" width="41.7109375" bestFit="1" customWidth="1"/>
    <col min="5378" max="5378" width="41.7109375" customWidth="1"/>
    <col min="5379" max="5380" width="30.5703125" bestFit="1" customWidth="1"/>
    <col min="5381" max="5381" width="30.5703125" customWidth="1"/>
    <col min="5382" max="5383" width="30.5703125" bestFit="1" customWidth="1"/>
    <col min="5384" max="5384" width="37.28515625" bestFit="1" customWidth="1"/>
    <col min="5385" max="5385" width="32" bestFit="1" customWidth="1"/>
    <col min="5386" max="5386" width="30" bestFit="1" customWidth="1"/>
    <col min="5388" max="5389" width="31.28515625" bestFit="1" customWidth="1"/>
    <col min="5390" max="5390" width="5.5703125" bestFit="1" customWidth="1"/>
    <col min="5633" max="5633" width="41.7109375" bestFit="1" customWidth="1"/>
    <col min="5634" max="5634" width="41.7109375" customWidth="1"/>
    <col min="5635" max="5636" width="30.5703125" bestFit="1" customWidth="1"/>
    <col min="5637" max="5637" width="30.5703125" customWidth="1"/>
    <col min="5638" max="5639" width="30.5703125" bestFit="1" customWidth="1"/>
    <col min="5640" max="5640" width="37.28515625" bestFit="1" customWidth="1"/>
    <col min="5641" max="5641" width="32" bestFit="1" customWidth="1"/>
    <col min="5642" max="5642" width="30" bestFit="1" customWidth="1"/>
    <col min="5644" max="5645" width="31.28515625" bestFit="1" customWidth="1"/>
    <col min="5646" max="5646" width="5.5703125" bestFit="1" customWidth="1"/>
    <col min="5889" max="5889" width="41.7109375" bestFit="1" customWidth="1"/>
    <col min="5890" max="5890" width="41.7109375" customWidth="1"/>
    <col min="5891" max="5892" width="30.5703125" bestFit="1" customWidth="1"/>
    <col min="5893" max="5893" width="30.5703125" customWidth="1"/>
    <col min="5894" max="5895" width="30.5703125" bestFit="1" customWidth="1"/>
    <col min="5896" max="5896" width="37.28515625" bestFit="1" customWidth="1"/>
    <col min="5897" max="5897" width="32" bestFit="1" customWidth="1"/>
    <col min="5898" max="5898" width="30" bestFit="1" customWidth="1"/>
    <col min="5900" max="5901" width="31.28515625" bestFit="1" customWidth="1"/>
    <col min="5902" max="5902" width="5.5703125" bestFit="1" customWidth="1"/>
    <col min="6145" max="6145" width="41.7109375" bestFit="1" customWidth="1"/>
    <col min="6146" max="6146" width="41.7109375" customWidth="1"/>
    <col min="6147" max="6148" width="30.5703125" bestFit="1" customWidth="1"/>
    <col min="6149" max="6149" width="30.5703125" customWidth="1"/>
    <col min="6150" max="6151" width="30.5703125" bestFit="1" customWidth="1"/>
    <col min="6152" max="6152" width="37.28515625" bestFit="1" customWidth="1"/>
    <col min="6153" max="6153" width="32" bestFit="1" customWidth="1"/>
    <col min="6154" max="6154" width="30" bestFit="1" customWidth="1"/>
    <col min="6156" max="6157" width="31.28515625" bestFit="1" customWidth="1"/>
    <col min="6158" max="6158" width="5.5703125" bestFit="1" customWidth="1"/>
    <col min="6401" max="6401" width="41.7109375" bestFit="1" customWidth="1"/>
    <col min="6402" max="6402" width="41.7109375" customWidth="1"/>
    <col min="6403" max="6404" width="30.5703125" bestFit="1" customWidth="1"/>
    <col min="6405" max="6405" width="30.5703125" customWidth="1"/>
    <col min="6406" max="6407" width="30.5703125" bestFit="1" customWidth="1"/>
    <col min="6408" max="6408" width="37.28515625" bestFit="1" customWidth="1"/>
    <col min="6409" max="6409" width="32" bestFit="1" customWidth="1"/>
    <col min="6410" max="6410" width="30" bestFit="1" customWidth="1"/>
    <col min="6412" max="6413" width="31.28515625" bestFit="1" customWidth="1"/>
    <col min="6414" max="6414" width="5.5703125" bestFit="1" customWidth="1"/>
    <col min="6657" max="6657" width="41.7109375" bestFit="1" customWidth="1"/>
    <col min="6658" max="6658" width="41.7109375" customWidth="1"/>
    <col min="6659" max="6660" width="30.5703125" bestFit="1" customWidth="1"/>
    <col min="6661" max="6661" width="30.5703125" customWidth="1"/>
    <col min="6662" max="6663" width="30.5703125" bestFit="1" customWidth="1"/>
    <col min="6664" max="6664" width="37.28515625" bestFit="1" customWidth="1"/>
    <col min="6665" max="6665" width="32" bestFit="1" customWidth="1"/>
    <col min="6666" max="6666" width="30" bestFit="1" customWidth="1"/>
    <col min="6668" max="6669" width="31.28515625" bestFit="1" customWidth="1"/>
    <col min="6670" max="6670" width="5.5703125" bestFit="1" customWidth="1"/>
    <col min="6913" max="6913" width="41.7109375" bestFit="1" customWidth="1"/>
    <col min="6914" max="6914" width="41.7109375" customWidth="1"/>
    <col min="6915" max="6916" width="30.5703125" bestFit="1" customWidth="1"/>
    <col min="6917" max="6917" width="30.5703125" customWidth="1"/>
    <col min="6918" max="6919" width="30.5703125" bestFit="1" customWidth="1"/>
    <col min="6920" max="6920" width="37.28515625" bestFit="1" customWidth="1"/>
    <col min="6921" max="6921" width="32" bestFit="1" customWidth="1"/>
    <col min="6922" max="6922" width="30" bestFit="1" customWidth="1"/>
    <col min="6924" max="6925" width="31.28515625" bestFit="1" customWidth="1"/>
    <col min="6926" max="6926" width="5.5703125" bestFit="1" customWidth="1"/>
    <col min="7169" max="7169" width="41.7109375" bestFit="1" customWidth="1"/>
    <col min="7170" max="7170" width="41.7109375" customWidth="1"/>
    <col min="7171" max="7172" width="30.5703125" bestFit="1" customWidth="1"/>
    <col min="7173" max="7173" width="30.5703125" customWidth="1"/>
    <col min="7174" max="7175" width="30.5703125" bestFit="1" customWidth="1"/>
    <col min="7176" max="7176" width="37.28515625" bestFit="1" customWidth="1"/>
    <col min="7177" max="7177" width="32" bestFit="1" customWidth="1"/>
    <col min="7178" max="7178" width="30" bestFit="1" customWidth="1"/>
    <col min="7180" max="7181" width="31.28515625" bestFit="1" customWidth="1"/>
    <col min="7182" max="7182" width="5.5703125" bestFit="1" customWidth="1"/>
    <col min="7425" max="7425" width="41.7109375" bestFit="1" customWidth="1"/>
    <col min="7426" max="7426" width="41.7109375" customWidth="1"/>
    <col min="7427" max="7428" width="30.5703125" bestFit="1" customWidth="1"/>
    <col min="7429" max="7429" width="30.5703125" customWidth="1"/>
    <col min="7430" max="7431" width="30.5703125" bestFit="1" customWidth="1"/>
    <col min="7432" max="7432" width="37.28515625" bestFit="1" customWidth="1"/>
    <col min="7433" max="7433" width="32" bestFit="1" customWidth="1"/>
    <col min="7434" max="7434" width="30" bestFit="1" customWidth="1"/>
    <col min="7436" max="7437" width="31.28515625" bestFit="1" customWidth="1"/>
    <col min="7438" max="7438" width="5.5703125" bestFit="1" customWidth="1"/>
    <col min="7681" max="7681" width="41.7109375" bestFit="1" customWidth="1"/>
    <col min="7682" max="7682" width="41.7109375" customWidth="1"/>
    <col min="7683" max="7684" width="30.5703125" bestFit="1" customWidth="1"/>
    <col min="7685" max="7685" width="30.5703125" customWidth="1"/>
    <col min="7686" max="7687" width="30.5703125" bestFit="1" customWidth="1"/>
    <col min="7688" max="7688" width="37.28515625" bestFit="1" customWidth="1"/>
    <col min="7689" max="7689" width="32" bestFit="1" customWidth="1"/>
    <col min="7690" max="7690" width="30" bestFit="1" customWidth="1"/>
    <col min="7692" max="7693" width="31.28515625" bestFit="1" customWidth="1"/>
    <col min="7694" max="7694" width="5.5703125" bestFit="1" customWidth="1"/>
    <col min="7937" max="7937" width="41.7109375" bestFit="1" customWidth="1"/>
    <col min="7938" max="7938" width="41.7109375" customWidth="1"/>
    <col min="7939" max="7940" width="30.5703125" bestFit="1" customWidth="1"/>
    <col min="7941" max="7941" width="30.5703125" customWidth="1"/>
    <col min="7942" max="7943" width="30.5703125" bestFit="1" customWidth="1"/>
    <col min="7944" max="7944" width="37.28515625" bestFit="1" customWidth="1"/>
    <col min="7945" max="7945" width="32" bestFit="1" customWidth="1"/>
    <col min="7946" max="7946" width="30" bestFit="1" customWidth="1"/>
    <col min="7948" max="7949" width="31.28515625" bestFit="1" customWidth="1"/>
    <col min="7950" max="7950" width="5.5703125" bestFit="1" customWidth="1"/>
    <col min="8193" max="8193" width="41.7109375" bestFit="1" customWidth="1"/>
    <col min="8194" max="8194" width="41.7109375" customWidth="1"/>
    <col min="8195" max="8196" width="30.5703125" bestFit="1" customWidth="1"/>
    <col min="8197" max="8197" width="30.5703125" customWidth="1"/>
    <col min="8198" max="8199" width="30.5703125" bestFit="1" customWidth="1"/>
    <col min="8200" max="8200" width="37.28515625" bestFit="1" customWidth="1"/>
    <col min="8201" max="8201" width="32" bestFit="1" customWidth="1"/>
    <col min="8202" max="8202" width="30" bestFit="1" customWidth="1"/>
    <col min="8204" max="8205" width="31.28515625" bestFit="1" customWidth="1"/>
    <col min="8206" max="8206" width="5.5703125" bestFit="1" customWidth="1"/>
    <col min="8449" max="8449" width="41.7109375" bestFit="1" customWidth="1"/>
    <col min="8450" max="8450" width="41.7109375" customWidth="1"/>
    <col min="8451" max="8452" width="30.5703125" bestFit="1" customWidth="1"/>
    <col min="8453" max="8453" width="30.5703125" customWidth="1"/>
    <col min="8454" max="8455" width="30.5703125" bestFit="1" customWidth="1"/>
    <col min="8456" max="8456" width="37.28515625" bestFit="1" customWidth="1"/>
    <col min="8457" max="8457" width="32" bestFit="1" customWidth="1"/>
    <col min="8458" max="8458" width="30" bestFit="1" customWidth="1"/>
    <col min="8460" max="8461" width="31.28515625" bestFit="1" customWidth="1"/>
    <col min="8462" max="8462" width="5.5703125" bestFit="1" customWidth="1"/>
    <col min="8705" max="8705" width="41.7109375" bestFit="1" customWidth="1"/>
    <col min="8706" max="8706" width="41.7109375" customWidth="1"/>
    <col min="8707" max="8708" width="30.5703125" bestFit="1" customWidth="1"/>
    <col min="8709" max="8709" width="30.5703125" customWidth="1"/>
    <col min="8710" max="8711" width="30.5703125" bestFit="1" customWidth="1"/>
    <col min="8712" max="8712" width="37.28515625" bestFit="1" customWidth="1"/>
    <col min="8713" max="8713" width="32" bestFit="1" customWidth="1"/>
    <col min="8714" max="8714" width="30" bestFit="1" customWidth="1"/>
    <col min="8716" max="8717" width="31.28515625" bestFit="1" customWidth="1"/>
    <col min="8718" max="8718" width="5.5703125" bestFit="1" customWidth="1"/>
    <col min="8961" max="8961" width="41.7109375" bestFit="1" customWidth="1"/>
    <col min="8962" max="8962" width="41.7109375" customWidth="1"/>
    <col min="8963" max="8964" width="30.5703125" bestFit="1" customWidth="1"/>
    <col min="8965" max="8965" width="30.5703125" customWidth="1"/>
    <col min="8966" max="8967" width="30.5703125" bestFit="1" customWidth="1"/>
    <col min="8968" max="8968" width="37.28515625" bestFit="1" customWidth="1"/>
    <col min="8969" max="8969" width="32" bestFit="1" customWidth="1"/>
    <col min="8970" max="8970" width="30" bestFit="1" customWidth="1"/>
    <col min="8972" max="8973" width="31.28515625" bestFit="1" customWidth="1"/>
    <col min="8974" max="8974" width="5.5703125" bestFit="1" customWidth="1"/>
    <col min="9217" max="9217" width="41.7109375" bestFit="1" customWidth="1"/>
    <col min="9218" max="9218" width="41.7109375" customWidth="1"/>
    <col min="9219" max="9220" width="30.5703125" bestFit="1" customWidth="1"/>
    <col min="9221" max="9221" width="30.5703125" customWidth="1"/>
    <col min="9222" max="9223" width="30.5703125" bestFit="1" customWidth="1"/>
    <col min="9224" max="9224" width="37.28515625" bestFit="1" customWidth="1"/>
    <col min="9225" max="9225" width="32" bestFit="1" customWidth="1"/>
    <col min="9226" max="9226" width="30" bestFit="1" customWidth="1"/>
    <col min="9228" max="9229" width="31.28515625" bestFit="1" customWidth="1"/>
    <col min="9230" max="9230" width="5.5703125" bestFit="1" customWidth="1"/>
    <col min="9473" max="9473" width="41.7109375" bestFit="1" customWidth="1"/>
    <col min="9474" max="9474" width="41.7109375" customWidth="1"/>
    <col min="9475" max="9476" width="30.5703125" bestFit="1" customWidth="1"/>
    <col min="9477" max="9477" width="30.5703125" customWidth="1"/>
    <col min="9478" max="9479" width="30.5703125" bestFit="1" customWidth="1"/>
    <col min="9480" max="9480" width="37.28515625" bestFit="1" customWidth="1"/>
    <col min="9481" max="9481" width="32" bestFit="1" customWidth="1"/>
    <col min="9482" max="9482" width="30" bestFit="1" customWidth="1"/>
    <col min="9484" max="9485" width="31.28515625" bestFit="1" customWidth="1"/>
    <col min="9486" max="9486" width="5.5703125" bestFit="1" customWidth="1"/>
    <col min="9729" max="9729" width="41.7109375" bestFit="1" customWidth="1"/>
    <col min="9730" max="9730" width="41.7109375" customWidth="1"/>
    <col min="9731" max="9732" width="30.5703125" bestFit="1" customWidth="1"/>
    <col min="9733" max="9733" width="30.5703125" customWidth="1"/>
    <col min="9734" max="9735" width="30.5703125" bestFit="1" customWidth="1"/>
    <col min="9736" max="9736" width="37.28515625" bestFit="1" customWidth="1"/>
    <col min="9737" max="9737" width="32" bestFit="1" customWidth="1"/>
    <col min="9738" max="9738" width="30" bestFit="1" customWidth="1"/>
    <col min="9740" max="9741" width="31.28515625" bestFit="1" customWidth="1"/>
    <col min="9742" max="9742" width="5.5703125" bestFit="1" customWidth="1"/>
    <col min="9985" max="9985" width="41.7109375" bestFit="1" customWidth="1"/>
    <col min="9986" max="9986" width="41.7109375" customWidth="1"/>
    <col min="9987" max="9988" width="30.5703125" bestFit="1" customWidth="1"/>
    <col min="9989" max="9989" width="30.5703125" customWidth="1"/>
    <col min="9990" max="9991" width="30.5703125" bestFit="1" customWidth="1"/>
    <col min="9992" max="9992" width="37.28515625" bestFit="1" customWidth="1"/>
    <col min="9993" max="9993" width="32" bestFit="1" customWidth="1"/>
    <col min="9994" max="9994" width="30" bestFit="1" customWidth="1"/>
    <col min="9996" max="9997" width="31.28515625" bestFit="1" customWidth="1"/>
    <col min="9998" max="9998" width="5.5703125" bestFit="1" customWidth="1"/>
    <col min="10241" max="10241" width="41.7109375" bestFit="1" customWidth="1"/>
    <col min="10242" max="10242" width="41.7109375" customWidth="1"/>
    <col min="10243" max="10244" width="30.5703125" bestFit="1" customWidth="1"/>
    <col min="10245" max="10245" width="30.5703125" customWidth="1"/>
    <col min="10246" max="10247" width="30.5703125" bestFit="1" customWidth="1"/>
    <col min="10248" max="10248" width="37.28515625" bestFit="1" customWidth="1"/>
    <col min="10249" max="10249" width="32" bestFit="1" customWidth="1"/>
    <col min="10250" max="10250" width="30" bestFit="1" customWidth="1"/>
    <col min="10252" max="10253" width="31.28515625" bestFit="1" customWidth="1"/>
    <col min="10254" max="10254" width="5.5703125" bestFit="1" customWidth="1"/>
    <col min="10497" max="10497" width="41.7109375" bestFit="1" customWidth="1"/>
    <col min="10498" max="10498" width="41.7109375" customWidth="1"/>
    <col min="10499" max="10500" width="30.5703125" bestFit="1" customWidth="1"/>
    <col min="10501" max="10501" width="30.5703125" customWidth="1"/>
    <col min="10502" max="10503" width="30.5703125" bestFit="1" customWidth="1"/>
    <col min="10504" max="10504" width="37.28515625" bestFit="1" customWidth="1"/>
    <col min="10505" max="10505" width="32" bestFit="1" customWidth="1"/>
    <col min="10506" max="10506" width="30" bestFit="1" customWidth="1"/>
    <col min="10508" max="10509" width="31.28515625" bestFit="1" customWidth="1"/>
    <col min="10510" max="10510" width="5.5703125" bestFit="1" customWidth="1"/>
    <col min="10753" max="10753" width="41.7109375" bestFit="1" customWidth="1"/>
    <col min="10754" max="10754" width="41.7109375" customWidth="1"/>
    <col min="10755" max="10756" width="30.5703125" bestFit="1" customWidth="1"/>
    <col min="10757" max="10757" width="30.5703125" customWidth="1"/>
    <col min="10758" max="10759" width="30.5703125" bestFit="1" customWidth="1"/>
    <col min="10760" max="10760" width="37.28515625" bestFit="1" customWidth="1"/>
    <col min="10761" max="10761" width="32" bestFit="1" customWidth="1"/>
    <col min="10762" max="10762" width="30" bestFit="1" customWidth="1"/>
    <col min="10764" max="10765" width="31.28515625" bestFit="1" customWidth="1"/>
    <col min="10766" max="10766" width="5.5703125" bestFit="1" customWidth="1"/>
    <col min="11009" max="11009" width="41.7109375" bestFit="1" customWidth="1"/>
    <col min="11010" max="11010" width="41.7109375" customWidth="1"/>
    <col min="11011" max="11012" width="30.5703125" bestFit="1" customWidth="1"/>
    <col min="11013" max="11013" width="30.5703125" customWidth="1"/>
    <col min="11014" max="11015" width="30.5703125" bestFit="1" customWidth="1"/>
    <col min="11016" max="11016" width="37.28515625" bestFit="1" customWidth="1"/>
    <col min="11017" max="11017" width="32" bestFit="1" customWidth="1"/>
    <col min="11018" max="11018" width="30" bestFit="1" customWidth="1"/>
    <col min="11020" max="11021" width="31.28515625" bestFit="1" customWidth="1"/>
    <col min="11022" max="11022" width="5.5703125" bestFit="1" customWidth="1"/>
    <col min="11265" max="11265" width="41.7109375" bestFit="1" customWidth="1"/>
    <col min="11266" max="11266" width="41.7109375" customWidth="1"/>
    <col min="11267" max="11268" width="30.5703125" bestFit="1" customWidth="1"/>
    <col min="11269" max="11269" width="30.5703125" customWidth="1"/>
    <col min="11270" max="11271" width="30.5703125" bestFit="1" customWidth="1"/>
    <col min="11272" max="11272" width="37.28515625" bestFit="1" customWidth="1"/>
    <col min="11273" max="11273" width="32" bestFit="1" customWidth="1"/>
    <col min="11274" max="11274" width="30" bestFit="1" customWidth="1"/>
    <col min="11276" max="11277" width="31.28515625" bestFit="1" customWidth="1"/>
    <col min="11278" max="11278" width="5.5703125" bestFit="1" customWidth="1"/>
    <col min="11521" max="11521" width="41.7109375" bestFit="1" customWidth="1"/>
    <col min="11522" max="11522" width="41.7109375" customWidth="1"/>
    <col min="11523" max="11524" width="30.5703125" bestFit="1" customWidth="1"/>
    <col min="11525" max="11525" width="30.5703125" customWidth="1"/>
    <col min="11526" max="11527" width="30.5703125" bestFit="1" customWidth="1"/>
    <col min="11528" max="11528" width="37.28515625" bestFit="1" customWidth="1"/>
    <col min="11529" max="11529" width="32" bestFit="1" customWidth="1"/>
    <col min="11530" max="11530" width="30" bestFit="1" customWidth="1"/>
    <col min="11532" max="11533" width="31.28515625" bestFit="1" customWidth="1"/>
    <col min="11534" max="11534" width="5.5703125" bestFit="1" customWidth="1"/>
    <col min="11777" max="11777" width="41.7109375" bestFit="1" customWidth="1"/>
    <col min="11778" max="11778" width="41.7109375" customWidth="1"/>
    <col min="11779" max="11780" width="30.5703125" bestFit="1" customWidth="1"/>
    <col min="11781" max="11781" width="30.5703125" customWidth="1"/>
    <col min="11782" max="11783" width="30.5703125" bestFit="1" customWidth="1"/>
    <col min="11784" max="11784" width="37.28515625" bestFit="1" customWidth="1"/>
    <col min="11785" max="11785" width="32" bestFit="1" customWidth="1"/>
    <col min="11786" max="11786" width="30" bestFit="1" customWidth="1"/>
    <col min="11788" max="11789" width="31.28515625" bestFit="1" customWidth="1"/>
    <col min="11790" max="11790" width="5.5703125" bestFit="1" customWidth="1"/>
    <col min="12033" max="12033" width="41.7109375" bestFit="1" customWidth="1"/>
    <col min="12034" max="12034" width="41.7109375" customWidth="1"/>
    <col min="12035" max="12036" width="30.5703125" bestFit="1" customWidth="1"/>
    <col min="12037" max="12037" width="30.5703125" customWidth="1"/>
    <col min="12038" max="12039" width="30.5703125" bestFit="1" customWidth="1"/>
    <col min="12040" max="12040" width="37.28515625" bestFit="1" customWidth="1"/>
    <col min="12041" max="12041" width="32" bestFit="1" customWidth="1"/>
    <col min="12042" max="12042" width="30" bestFit="1" customWidth="1"/>
    <col min="12044" max="12045" width="31.28515625" bestFit="1" customWidth="1"/>
    <col min="12046" max="12046" width="5.5703125" bestFit="1" customWidth="1"/>
    <col min="12289" max="12289" width="41.7109375" bestFit="1" customWidth="1"/>
    <col min="12290" max="12290" width="41.7109375" customWidth="1"/>
    <col min="12291" max="12292" width="30.5703125" bestFit="1" customWidth="1"/>
    <col min="12293" max="12293" width="30.5703125" customWidth="1"/>
    <col min="12294" max="12295" width="30.5703125" bestFit="1" customWidth="1"/>
    <col min="12296" max="12296" width="37.28515625" bestFit="1" customWidth="1"/>
    <col min="12297" max="12297" width="32" bestFit="1" customWidth="1"/>
    <col min="12298" max="12298" width="30" bestFit="1" customWidth="1"/>
    <col min="12300" max="12301" width="31.28515625" bestFit="1" customWidth="1"/>
    <col min="12302" max="12302" width="5.5703125" bestFit="1" customWidth="1"/>
    <col min="12545" max="12545" width="41.7109375" bestFit="1" customWidth="1"/>
    <col min="12546" max="12546" width="41.7109375" customWidth="1"/>
    <col min="12547" max="12548" width="30.5703125" bestFit="1" customWidth="1"/>
    <col min="12549" max="12549" width="30.5703125" customWidth="1"/>
    <col min="12550" max="12551" width="30.5703125" bestFit="1" customWidth="1"/>
    <col min="12552" max="12552" width="37.28515625" bestFit="1" customWidth="1"/>
    <col min="12553" max="12553" width="32" bestFit="1" customWidth="1"/>
    <col min="12554" max="12554" width="30" bestFit="1" customWidth="1"/>
    <col min="12556" max="12557" width="31.28515625" bestFit="1" customWidth="1"/>
    <col min="12558" max="12558" width="5.5703125" bestFit="1" customWidth="1"/>
    <col min="12801" max="12801" width="41.7109375" bestFit="1" customWidth="1"/>
    <col min="12802" max="12802" width="41.7109375" customWidth="1"/>
    <col min="12803" max="12804" width="30.5703125" bestFit="1" customWidth="1"/>
    <col min="12805" max="12805" width="30.5703125" customWidth="1"/>
    <col min="12806" max="12807" width="30.5703125" bestFit="1" customWidth="1"/>
    <col min="12808" max="12808" width="37.28515625" bestFit="1" customWidth="1"/>
    <col min="12809" max="12809" width="32" bestFit="1" customWidth="1"/>
    <col min="12810" max="12810" width="30" bestFit="1" customWidth="1"/>
    <col min="12812" max="12813" width="31.28515625" bestFit="1" customWidth="1"/>
    <col min="12814" max="12814" width="5.5703125" bestFit="1" customWidth="1"/>
    <col min="13057" max="13057" width="41.7109375" bestFit="1" customWidth="1"/>
    <col min="13058" max="13058" width="41.7109375" customWidth="1"/>
    <col min="13059" max="13060" width="30.5703125" bestFit="1" customWidth="1"/>
    <col min="13061" max="13061" width="30.5703125" customWidth="1"/>
    <col min="13062" max="13063" width="30.5703125" bestFit="1" customWidth="1"/>
    <col min="13064" max="13064" width="37.28515625" bestFit="1" customWidth="1"/>
    <col min="13065" max="13065" width="32" bestFit="1" customWidth="1"/>
    <col min="13066" max="13066" width="30" bestFit="1" customWidth="1"/>
    <col min="13068" max="13069" width="31.28515625" bestFit="1" customWidth="1"/>
    <col min="13070" max="13070" width="5.5703125" bestFit="1" customWidth="1"/>
    <col min="13313" max="13313" width="41.7109375" bestFit="1" customWidth="1"/>
    <col min="13314" max="13314" width="41.7109375" customWidth="1"/>
    <col min="13315" max="13316" width="30.5703125" bestFit="1" customWidth="1"/>
    <col min="13317" max="13317" width="30.5703125" customWidth="1"/>
    <col min="13318" max="13319" width="30.5703125" bestFit="1" customWidth="1"/>
    <col min="13320" max="13320" width="37.28515625" bestFit="1" customWidth="1"/>
    <col min="13321" max="13321" width="32" bestFit="1" customWidth="1"/>
    <col min="13322" max="13322" width="30" bestFit="1" customWidth="1"/>
    <col min="13324" max="13325" width="31.28515625" bestFit="1" customWidth="1"/>
    <col min="13326" max="13326" width="5.5703125" bestFit="1" customWidth="1"/>
    <col min="13569" max="13569" width="41.7109375" bestFit="1" customWidth="1"/>
    <col min="13570" max="13570" width="41.7109375" customWidth="1"/>
    <col min="13571" max="13572" width="30.5703125" bestFit="1" customWidth="1"/>
    <col min="13573" max="13573" width="30.5703125" customWidth="1"/>
    <col min="13574" max="13575" width="30.5703125" bestFit="1" customWidth="1"/>
    <col min="13576" max="13576" width="37.28515625" bestFit="1" customWidth="1"/>
    <col min="13577" max="13577" width="32" bestFit="1" customWidth="1"/>
    <col min="13578" max="13578" width="30" bestFit="1" customWidth="1"/>
    <col min="13580" max="13581" width="31.28515625" bestFit="1" customWidth="1"/>
    <col min="13582" max="13582" width="5.5703125" bestFit="1" customWidth="1"/>
    <col min="13825" max="13825" width="41.7109375" bestFit="1" customWidth="1"/>
    <col min="13826" max="13826" width="41.7109375" customWidth="1"/>
    <col min="13827" max="13828" width="30.5703125" bestFit="1" customWidth="1"/>
    <col min="13829" max="13829" width="30.5703125" customWidth="1"/>
    <col min="13830" max="13831" width="30.5703125" bestFit="1" customWidth="1"/>
    <col min="13832" max="13832" width="37.28515625" bestFit="1" customWidth="1"/>
    <col min="13833" max="13833" width="32" bestFit="1" customWidth="1"/>
    <col min="13834" max="13834" width="30" bestFit="1" customWidth="1"/>
    <col min="13836" max="13837" width="31.28515625" bestFit="1" customWidth="1"/>
    <col min="13838" max="13838" width="5.5703125" bestFit="1" customWidth="1"/>
    <col min="14081" max="14081" width="41.7109375" bestFit="1" customWidth="1"/>
    <col min="14082" max="14082" width="41.7109375" customWidth="1"/>
    <col min="14083" max="14084" width="30.5703125" bestFit="1" customWidth="1"/>
    <col min="14085" max="14085" width="30.5703125" customWidth="1"/>
    <col min="14086" max="14087" width="30.5703125" bestFit="1" customWidth="1"/>
    <col min="14088" max="14088" width="37.28515625" bestFit="1" customWidth="1"/>
    <col min="14089" max="14089" width="32" bestFit="1" customWidth="1"/>
    <col min="14090" max="14090" width="30" bestFit="1" customWidth="1"/>
    <col min="14092" max="14093" width="31.28515625" bestFit="1" customWidth="1"/>
    <col min="14094" max="14094" width="5.5703125" bestFit="1" customWidth="1"/>
    <col min="14337" max="14337" width="41.7109375" bestFit="1" customWidth="1"/>
    <col min="14338" max="14338" width="41.7109375" customWidth="1"/>
    <col min="14339" max="14340" width="30.5703125" bestFit="1" customWidth="1"/>
    <col min="14341" max="14341" width="30.5703125" customWidth="1"/>
    <col min="14342" max="14343" width="30.5703125" bestFit="1" customWidth="1"/>
    <col min="14344" max="14344" width="37.28515625" bestFit="1" customWidth="1"/>
    <col min="14345" max="14345" width="32" bestFit="1" customWidth="1"/>
    <col min="14346" max="14346" width="30" bestFit="1" customWidth="1"/>
    <col min="14348" max="14349" width="31.28515625" bestFit="1" customWidth="1"/>
    <col min="14350" max="14350" width="5.5703125" bestFit="1" customWidth="1"/>
    <col min="14593" max="14593" width="41.7109375" bestFit="1" customWidth="1"/>
    <col min="14594" max="14594" width="41.7109375" customWidth="1"/>
    <col min="14595" max="14596" width="30.5703125" bestFit="1" customWidth="1"/>
    <col min="14597" max="14597" width="30.5703125" customWidth="1"/>
    <col min="14598" max="14599" width="30.5703125" bestFit="1" customWidth="1"/>
    <col min="14600" max="14600" width="37.28515625" bestFit="1" customWidth="1"/>
    <col min="14601" max="14601" width="32" bestFit="1" customWidth="1"/>
    <col min="14602" max="14602" width="30" bestFit="1" customWidth="1"/>
    <col min="14604" max="14605" width="31.28515625" bestFit="1" customWidth="1"/>
    <col min="14606" max="14606" width="5.5703125" bestFit="1" customWidth="1"/>
    <col min="14849" max="14849" width="41.7109375" bestFit="1" customWidth="1"/>
    <col min="14850" max="14850" width="41.7109375" customWidth="1"/>
    <col min="14851" max="14852" width="30.5703125" bestFit="1" customWidth="1"/>
    <col min="14853" max="14853" width="30.5703125" customWidth="1"/>
    <col min="14854" max="14855" width="30.5703125" bestFit="1" customWidth="1"/>
    <col min="14856" max="14856" width="37.28515625" bestFit="1" customWidth="1"/>
    <col min="14857" max="14857" width="32" bestFit="1" customWidth="1"/>
    <col min="14858" max="14858" width="30" bestFit="1" customWidth="1"/>
    <col min="14860" max="14861" width="31.28515625" bestFit="1" customWidth="1"/>
    <col min="14862" max="14862" width="5.5703125" bestFit="1" customWidth="1"/>
    <col min="15105" max="15105" width="41.7109375" bestFit="1" customWidth="1"/>
    <col min="15106" max="15106" width="41.7109375" customWidth="1"/>
    <col min="15107" max="15108" width="30.5703125" bestFit="1" customWidth="1"/>
    <col min="15109" max="15109" width="30.5703125" customWidth="1"/>
    <col min="15110" max="15111" width="30.5703125" bestFit="1" customWidth="1"/>
    <col min="15112" max="15112" width="37.28515625" bestFit="1" customWidth="1"/>
    <col min="15113" max="15113" width="32" bestFit="1" customWidth="1"/>
    <col min="15114" max="15114" width="30" bestFit="1" customWidth="1"/>
    <col min="15116" max="15117" width="31.28515625" bestFit="1" customWidth="1"/>
    <col min="15118" max="15118" width="5.5703125" bestFit="1" customWidth="1"/>
    <col min="15361" max="15361" width="41.7109375" bestFit="1" customWidth="1"/>
    <col min="15362" max="15362" width="41.7109375" customWidth="1"/>
    <col min="15363" max="15364" width="30.5703125" bestFit="1" customWidth="1"/>
    <col min="15365" max="15365" width="30.5703125" customWidth="1"/>
    <col min="15366" max="15367" width="30.5703125" bestFit="1" customWidth="1"/>
    <col min="15368" max="15368" width="37.28515625" bestFit="1" customWidth="1"/>
    <col min="15369" max="15369" width="32" bestFit="1" customWidth="1"/>
    <col min="15370" max="15370" width="30" bestFit="1" customWidth="1"/>
    <col min="15372" max="15373" width="31.28515625" bestFit="1" customWidth="1"/>
    <col min="15374" max="15374" width="5.5703125" bestFit="1" customWidth="1"/>
    <col min="15617" max="15617" width="41.7109375" bestFit="1" customWidth="1"/>
    <col min="15618" max="15618" width="41.7109375" customWidth="1"/>
    <col min="15619" max="15620" width="30.5703125" bestFit="1" customWidth="1"/>
    <col min="15621" max="15621" width="30.5703125" customWidth="1"/>
    <col min="15622" max="15623" width="30.5703125" bestFit="1" customWidth="1"/>
    <col min="15624" max="15624" width="37.28515625" bestFit="1" customWidth="1"/>
    <col min="15625" max="15625" width="32" bestFit="1" customWidth="1"/>
    <col min="15626" max="15626" width="30" bestFit="1" customWidth="1"/>
    <col min="15628" max="15629" width="31.28515625" bestFit="1" customWidth="1"/>
    <col min="15630" max="15630" width="5.5703125" bestFit="1" customWidth="1"/>
    <col min="15873" max="15873" width="41.7109375" bestFit="1" customWidth="1"/>
    <col min="15874" max="15874" width="41.7109375" customWidth="1"/>
    <col min="15875" max="15876" width="30.5703125" bestFit="1" customWidth="1"/>
    <col min="15877" max="15877" width="30.5703125" customWidth="1"/>
    <col min="15878" max="15879" width="30.5703125" bestFit="1" customWidth="1"/>
    <col min="15880" max="15880" width="37.28515625" bestFit="1" customWidth="1"/>
    <col min="15881" max="15881" width="32" bestFit="1" customWidth="1"/>
    <col min="15882" max="15882" width="30" bestFit="1" customWidth="1"/>
    <col min="15884" max="15885" width="31.28515625" bestFit="1" customWidth="1"/>
    <col min="15886" max="15886" width="5.5703125" bestFit="1" customWidth="1"/>
    <col min="16129" max="16129" width="41.7109375" bestFit="1" customWidth="1"/>
    <col min="16130" max="16130" width="41.7109375" customWidth="1"/>
    <col min="16131" max="16132" width="30.5703125" bestFit="1" customWidth="1"/>
    <col min="16133" max="16133" width="30.5703125" customWidth="1"/>
    <col min="16134" max="16135" width="30.5703125" bestFit="1" customWidth="1"/>
    <col min="16136" max="16136" width="37.28515625" bestFit="1" customWidth="1"/>
    <col min="16137" max="16137" width="32" bestFit="1" customWidth="1"/>
    <col min="16138" max="16138" width="30" bestFit="1" customWidth="1"/>
    <col min="16140" max="16141" width="31.28515625" bestFit="1" customWidth="1"/>
    <col min="16142" max="16142" width="5.5703125" bestFit="1" customWidth="1"/>
  </cols>
  <sheetData>
    <row r="1" spans="1:15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0.6</v>
      </c>
      <c r="N1" s="3"/>
      <c r="O1" s="41" t="s">
        <v>185</v>
      </c>
    </row>
    <row r="2" spans="1:15" x14ac:dyDescent="0.25">
      <c r="A2" s="5" t="s">
        <v>697</v>
      </c>
      <c r="B2" s="6">
        <f t="shared" ref="B2:B7" si="0">J2/1000</f>
        <v>0</v>
      </c>
      <c r="C2" s="7" t="s">
        <v>841</v>
      </c>
      <c r="D2" s="7" t="s">
        <v>15</v>
      </c>
      <c r="F2" s="8">
        <v>0</v>
      </c>
      <c r="G2" s="7" t="s">
        <v>506</v>
      </c>
      <c r="H2" s="7" t="s">
        <v>25</v>
      </c>
      <c r="I2" s="6">
        <v>100</v>
      </c>
      <c r="J2" s="10">
        <v>0</v>
      </c>
      <c r="K2" s="35">
        <f>J7</f>
        <v>1232.24</v>
      </c>
      <c r="L2" s="38"/>
      <c r="M2" s="37" t="str">
        <f>VLOOKUP($M1,B2:D7,2)</f>
        <v>TORRE 002</v>
      </c>
      <c r="N2" s="37" t="str">
        <f>VLOOKUP($M1,B2:D7,3)</f>
        <v>TORRE 003</v>
      </c>
      <c r="O2" s="37">
        <f>VLOOKUP($M1,$B2:$E7,4)</f>
        <v>0</v>
      </c>
    </row>
    <row r="3" spans="1:15" x14ac:dyDescent="0.25">
      <c r="A3" s="5" t="s">
        <v>697</v>
      </c>
      <c r="B3" s="6">
        <f t="shared" si="0"/>
        <v>0.1</v>
      </c>
      <c r="C3" s="7" t="s">
        <v>15</v>
      </c>
      <c r="D3" s="7" t="s">
        <v>20</v>
      </c>
      <c r="F3" s="8">
        <v>0.09</v>
      </c>
      <c r="G3" s="7" t="s">
        <v>25</v>
      </c>
      <c r="H3" s="7" t="s">
        <v>23</v>
      </c>
      <c r="I3" s="6">
        <v>359.2</v>
      </c>
      <c r="J3" s="10">
        <f>I2</f>
        <v>100</v>
      </c>
      <c r="K3" s="6">
        <f>K2-I2</f>
        <v>1132.24</v>
      </c>
      <c r="L3" s="37"/>
      <c r="M3" s="37" t="s">
        <v>861</v>
      </c>
      <c r="N3" s="11" t="s">
        <v>862</v>
      </c>
    </row>
    <row r="4" spans="1:15" x14ac:dyDescent="0.25">
      <c r="A4" s="5" t="s">
        <v>697</v>
      </c>
      <c r="B4" s="6">
        <f t="shared" si="0"/>
        <v>0.4592</v>
      </c>
      <c r="C4" s="7" t="s">
        <v>20</v>
      </c>
      <c r="D4" s="7" t="s">
        <v>23</v>
      </c>
      <c r="F4" s="8">
        <v>0.44045000000000001</v>
      </c>
      <c r="G4" s="7" t="s">
        <v>23</v>
      </c>
      <c r="H4" s="7" t="s">
        <v>20</v>
      </c>
      <c r="I4" s="6">
        <v>332.59</v>
      </c>
      <c r="J4" s="10">
        <f>J3+I3</f>
        <v>459.2</v>
      </c>
      <c r="K4" s="6">
        <f>K3-I3</f>
        <v>773.04</v>
      </c>
      <c r="M4" s="37" t="s">
        <v>861</v>
      </c>
    </row>
    <row r="5" spans="1:15" x14ac:dyDescent="0.25">
      <c r="A5" s="5" t="s">
        <v>697</v>
      </c>
      <c r="B5" s="6">
        <f t="shared" si="0"/>
        <v>0.79178999999999999</v>
      </c>
      <c r="C5" s="7" t="s">
        <v>23</v>
      </c>
      <c r="D5" s="7" t="s">
        <v>25</v>
      </c>
      <c r="F5" s="8">
        <v>0.77303999999999995</v>
      </c>
      <c r="G5" s="7" t="s">
        <v>20</v>
      </c>
      <c r="H5" s="7" t="s">
        <v>15</v>
      </c>
      <c r="I5" s="6">
        <v>350.45</v>
      </c>
      <c r="J5" s="10">
        <f>J4+I4</f>
        <v>791.79</v>
      </c>
      <c r="K5" s="6">
        <f>K4-I4</f>
        <v>440.45</v>
      </c>
    </row>
    <row r="6" spans="1:15" x14ac:dyDescent="0.25">
      <c r="A6" s="5" t="s">
        <v>697</v>
      </c>
      <c r="B6" s="6">
        <f t="shared" si="0"/>
        <v>1.1422399999999999</v>
      </c>
      <c r="C6" s="7" t="s">
        <v>25</v>
      </c>
      <c r="D6" s="7" t="s">
        <v>506</v>
      </c>
      <c r="F6" s="8">
        <v>1.1322399999999999</v>
      </c>
      <c r="G6" s="7" t="s">
        <v>15</v>
      </c>
      <c r="H6" s="7" t="s">
        <v>698</v>
      </c>
      <c r="I6" s="6">
        <v>90</v>
      </c>
      <c r="J6" s="10">
        <f>J5+I5</f>
        <v>1142.24</v>
      </c>
      <c r="K6" s="6">
        <f>K5-I5</f>
        <v>90</v>
      </c>
    </row>
    <row r="7" spans="1:15" x14ac:dyDescent="0.25">
      <c r="A7" s="5" t="s">
        <v>697</v>
      </c>
      <c r="B7" s="6">
        <f t="shared" si="0"/>
        <v>1.23224</v>
      </c>
      <c r="C7" s="7" t="s">
        <v>840</v>
      </c>
      <c r="D7" s="7" t="s">
        <v>22</v>
      </c>
      <c r="F7" s="8">
        <v>1.23224</v>
      </c>
      <c r="G7" s="7" t="s">
        <v>698</v>
      </c>
      <c r="H7" s="7" t="s">
        <v>22</v>
      </c>
      <c r="I7" s="6"/>
      <c r="J7" s="10">
        <f>J6+I6</f>
        <v>1232.24</v>
      </c>
      <c r="K7" s="6">
        <f>K6-I6</f>
        <v>0</v>
      </c>
    </row>
    <row r="8" spans="1:15" x14ac:dyDescent="0.25">
      <c r="A8" s="13"/>
      <c r="B8" s="13"/>
      <c r="C8" s="14"/>
      <c r="D8" s="14"/>
      <c r="E8" s="14"/>
      <c r="F8" s="14"/>
      <c r="G8" s="14"/>
      <c r="H8" s="14"/>
      <c r="I8" s="15"/>
      <c r="J8" s="13"/>
      <c r="K8" s="13"/>
    </row>
    <row r="10" spans="1:15" x14ac:dyDescent="0.25">
      <c r="I10" s="16">
        <f>SUM(I2:I6)/1000</f>
        <v>1.23224</v>
      </c>
      <c r="J10" s="5">
        <v>4</v>
      </c>
    </row>
  </sheetData>
  <dataValidations count="3"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500-000000000000}">
      <formula1>0</formula1>
      <formula2>50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500-000001000000}">
      <formula1>0</formula1>
      <formula2>60</formula2>
    </dataValidation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500-000002000000}">
      <formula1>0</formula1>
      <formula2>30</formula2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6"/>
  <dimension ref="A1:Q431"/>
  <sheetViews>
    <sheetView workbookViewId="0">
      <selection activeCell="P27" sqref="P27"/>
    </sheetView>
  </sheetViews>
  <sheetFormatPr defaultRowHeight="15" x14ac:dyDescent="0.25"/>
  <cols>
    <col min="1" max="1" width="31.85546875" style="5" bestFit="1" customWidth="1"/>
    <col min="2" max="2" width="10.5703125" style="5" bestFit="1" customWidth="1"/>
    <col min="3" max="3" width="31.28515625" style="7" bestFit="1" customWidth="1"/>
    <col min="4" max="4" width="21.85546875" style="7" hidden="1" customWidth="1"/>
    <col min="5" max="5" width="7.140625" style="7" bestFit="1" customWidth="1"/>
    <col min="6" max="6" width="13.140625" style="7" hidden="1" customWidth="1"/>
    <col min="7" max="8" width="31.28515625" style="7" hidden="1" customWidth="1"/>
    <col min="9" max="9" width="30.28515625" style="12" hidden="1" customWidth="1"/>
    <col min="10" max="10" width="26.28515625" style="5" hidden="1" customWidth="1"/>
    <col min="11" max="11" width="24.5703125" style="5" hidden="1" customWidth="1"/>
    <col min="12" max="12" width="5" bestFit="1" customWidth="1"/>
    <col min="13" max="13" width="29.140625" bestFit="1" customWidth="1"/>
    <col min="14" max="14" width="12" bestFit="1" customWidth="1"/>
    <col min="257" max="257" width="37.140625" bestFit="1" customWidth="1"/>
    <col min="258" max="258" width="37.140625" customWidth="1"/>
    <col min="259" max="260" width="30.5703125" bestFit="1" customWidth="1"/>
    <col min="261" max="261" width="30.5703125" customWidth="1"/>
    <col min="262" max="263" width="30.5703125" bestFit="1" customWidth="1"/>
    <col min="264" max="264" width="37.28515625" bestFit="1" customWidth="1"/>
    <col min="265" max="265" width="32" bestFit="1" customWidth="1"/>
    <col min="266" max="266" width="30" bestFit="1" customWidth="1"/>
    <col min="268" max="268" width="31.28515625" bestFit="1" customWidth="1"/>
    <col min="269" max="269" width="18.7109375" bestFit="1" customWidth="1"/>
    <col min="270" max="270" width="4.5703125" bestFit="1" customWidth="1"/>
    <col min="513" max="513" width="37.140625" bestFit="1" customWidth="1"/>
    <col min="514" max="514" width="37.140625" customWidth="1"/>
    <col min="515" max="516" width="30.5703125" bestFit="1" customWidth="1"/>
    <col min="517" max="517" width="30.5703125" customWidth="1"/>
    <col min="518" max="519" width="30.5703125" bestFit="1" customWidth="1"/>
    <col min="520" max="520" width="37.28515625" bestFit="1" customWidth="1"/>
    <col min="521" max="521" width="32" bestFit="1" customWidth="1"/>
    <col min="522" max="522" width="30" bestFit="1" customWidth="1"/>
    <col min="524" max="524" width="31.28515625" bestFit="1" customWidth="1"/>
    <col min="525" max="525" width="18.7109375" bestFit="1" customWidth="1"/>
    <col min="526" max="526" width="4.5703125" bestFit="1" customWidth="1"/>
    <col min="769" max="769" width="37.140625" bestFit="1" customWidth="1"/>
    <col min="770" max="770" width="37.140625" customWidth="1"/>
    <col min="771" max="772" width="30.5703125" bestFit="1" customWidth="1"/>
    <col min="773" max="773" width="30.5703125" customWidth="1"/>
    <col min="774" max="775" width="30.5703125" bestFit="1" customWidth="1"/>
    <col min="776" max="776" width="37.28515625" bestFit="1" customWidth="1"/>
    <col min="777" max="777" width="32" bestFit="1" customWidth="1"/>
    <col min="778" max="778" width="30" bestFit="1" customWidth="1"/>
    <col min="780" max="780" width="31.28515625" bestFit="1" customWidth="1"/>
    <col min="781" max="781" width="18.7109375" bestFit="1" customWidth="1"/>
    <col min="782" max="782" width="4.5703125" bestFit="1" customWidth="1"/>
    <col min="1025" max="1025" width="37.140625" bestFit="1" customWidth="1"/>
    <col min="1026" max="1026" width="37.140625" customWidth="1"/>
    <col min="1027" max="1028" width="30.5703125" bestFit="1" customWidth="1"/>
    <col min="1029" max="1029" width="30.5703125" customWidth="1"/>
    <col min="1030" max="1031" width="30.5703125" bestFit="1" customWidth="1"/>
    <col min="1032" max="1032" width="37.28515625" bestFit="1" customWidth="1"/>
    <col min="1033" max="1033" width="32" bestFit="1" customWidth="1"/>
    <col min="1034" max="1034" width="30" bestFit="1" customWidth="1"/>
    <col min="1036" max="1036" width="31.28515625" bestFit="1" customWidth="1"/>
    <col min="1037" max="1037" width="18.7109375" bestFit="1" customWidth="1"/>
    <col min="1038" max="1038" width="4.5703125" bestFit="1" customWidth="1"/>
    <col min="1281" max="1281" width="37.140625" bestFit="1" customWidth="1"/>
    <col min="1282" max="1282" width="37.140625" customWidth="1"/>
    <col min="1283" max="1284" width="30.5703125" bestFit="1" customWidth="1"/>
    <col min="1285" max="1285" width="30.5703125" customWidth="1"/>
    <col min="1286" max="1287" width="30.5703125" bestFit="1" customWidth="1"/>
    <col min="1288" max="1288" width="37.28515625" bestFit="1" customWidth="1"/>
    <col min="1289" max="1289" width="32" bestFit="1" customWidth="1"/>
    <col min="1290" max="1290" width="30" bestFit="1" customWidth="1"/>
    <col min="1292" max="1292" width="31.28515625" bestFit="1" customWidth="1"/>
    <col min="1293" max="1293" width="18.7109375" bestFit="1" customWidth="1"/>
    <col min="1294" max="1294" width="4.5703125" bestFit="1" customWidth="1"/>
    <col min="1537" max="1537" width="37.140625" bestFit="1" customWidth="1"/>
    <col min="1538" max="1538" width="37.140625" customWidth="1"/>
    <col min="1539" max="1540" width="30.5703125" bestFit="1" customWidth="1"/>
    <col min="1541" max="1541" width="30.5703125" customWidth="1"/>
    <col min="1542" max="1543" width="30.5703125" bestFit="1" customWidth="1"/>
    <col min="1544" max="1544" width="37.28515625" bestFit="1" customWidth="1"/>
    <col min="1545" max="1545" width="32" bestFit="1" customWidth="1"/>
    <col min="1546" max="1546" width="30" bestFit="1" customWidth="1"/>
    <col min="1548" max="1548" width="31.28515625" bestFit="1" customWidth="1"/>
    <col min="1549" max="1549" width="18.7109375" bestFit="1" customWidth="1"/>
    <col min="1550" max="1550" width="4.5703125" bestFit="1" customWidth="1"/>
    <col min="1793" max="1793" width="37.140625" bestFit="1" customWidth="1"/>
    <col min="1794" max="1794" width="37.140625" customWidth="1"/>
    <col min="1795" max="1796" width="30.5703125" bestFit="1" customWidth="1"/>
    <col min="1797" max="1797" width="30.5703125" customWidth="1"/>
    <col min="1798" max="1799" width="30.5703125" bestFit="1" customWidth="1"/>
    <col min="1800" max="1800" width="37.28515625" bestFit="1" customWidth="1"/>
    <col min="1801" max="1801" width="32" bestFit="1" customWidth="1"/>
    <col min="1802" max="1802" width="30" bestFit="1" customWidth="1"/>
    <col min="1804" max="1804" width="31.28515625" bestFit="1" customWidth="1"/>
    <col min="1805" max="1805" width="18.7109375" bestFit="1" customWidth="1"/>
    <col min="1806" max="1806" width="4.5703125" bestFit="1" customWidth="1"/>
    <col min="2049" max="2049" width="37.140625" bestFit="1" customWidth="1"/>
    <col min="2050" max="2050" width="37.140625" customWidth="1"/>
    <col min="2051" max="2052" width="30.5703125" bestFit="1" customWidth="1"/>
    <col min="2053" max="2053" width="30.5703125" customWidth="1"/>
    <col min="2054" max="2055" width="30.5703125" bestFit="1" customWidth="1"/>
    <col min="2056" max="2056" width="37.28515625" bestFit="1" customWidth="1"/>
    <col min="2057" max="2057" width="32" bestFit="1" customWidth="1"/>
    <col min="2058" max="2058" width="30" bestFit="1" customWidth="1"/>
    <col min="2060" max="2060" width="31.28515625" bestFit="1" customWidth="1"/>
    <col min="2061" max="2061" width="18.7109375" bestFit="1" customWidth="1"/>
    <col min="2062" max="2062" width="4.5703125" bestFit="1" customWidth="1"/>
    <col min="2305" max="2305" width="37.140625" bestFit="1" customWidth="1"/>
    <col min="2306" max="2306" width="37.140625" customWidth="1"/>
    <col min="2307" max="2308" width="30.5703125" bestFit="1" customWidth="1"/>
    <col min="2309" max="2309" width="30.5703125" customWidth="1"/>
    <col min="2310" max="2311" width="30.5703125" bestFit="1" customWidth="1"/>
    <col min="2312" max="2312" width="37.28515625" bestFit="1" customWidth="1"/>
    <col min="2313" max="2313" width="32" bestFit="1" customWidth="1"/>
    <col min="2314" max="2314" width="30" bestFit="1" customWidth="1"/>
    <col min="2316" max="2316" width="31.28515625" bestFit="1" customWidth="1"/>
    <col min="2317" max="2317" width="18.7109375" bestFit="1" customWidth="1"/>
    <col min="2318" max="2318" width="4.5703125" bestFit="1" customWidth="1"/>
    <col min="2561" max="2561" width="37.140625" bestFit="1" customWidth="1"/>
    <col min="2562" max="2562" width="37.140625" customWidth="1"/>
    <col min="2563" max="2564" width="30.5703125" bestFit="1" customWidth="1"/>
    <col min="2565" max="2565" width="30.5703125" customWidth="1"/>
    <col min="2566" max="2567" width="30.5703125" bestFit="1" customWidth="1"/>
    <col min="2568" max="2568" width="37.28515625" bestFit="1" customWidth="1"/>
    <col min="2569" max="2569" width="32" bestFit="1" customWidth="1"/>
    <col min="2570" max="2570" width="30" bestFit="1" customWidth="1"/>
    <col min="2572" max="2572" width="31.28515625" bestFit="1" customWidth="1"/>
    <col min="2573" max="2573" width="18.7109375" bestFit="1" customWidth="1"/>
    <col min="2574" max="2574" width="4.5703125" bestFit="1" customWidth="1"/>
    <col min="2817" max="2817" width="37.140625" bestFit="1" customWidth="1"/>
    <col min="2818" max="2818" width="37.140625" customWidth="1"/>
    <col min="2819" max="2820" width="30.5703125" bestFit="1" customWidth="1"/>
    <col min="2821" max="2821" width="30.5703125" customWidth="1"/>
    <col min="2822" max="2823" width="30.5703125" bestFit="1" customWidth="1"/>
    <col min="2824" max="2824" width="37.28515625" bestFit="1" customWidth="1"/>
    <col min="2825" max="2825" width="32" bestFit="1" customWidth="1"/>
    <col min="2826" max="2826" width="30" bestFit="1" customWidth="1"/>
    <col min="2828" max="2828" width="31.28515625" bestFit="1" customWidth="1"/>
    <col min="2829" max="2829" width="18.7109375" bestFit="1" customWidth="1"/>
    <col min="2830" max="2830" width="4.5703125" bestFit="1" customWidth="1"/>
    <col min="3073" max="3073" width="37.140625" bestFit="1" customWidth="1"/>
    <col min="3074" max="3074" width="37.140625" customWidth="1"/>
    <col min="3075" max="3076" width="30.5703125" bestFit="1" customWidth="1"/>
    <col min="3077" max="3077" width="30.5703125" customWidth="1"/>
    <col min="3078" max="3079" width="30.5703125" bestFit="1" customWidth="1"/>
    <col min="3080" max="3080" width="37.28515625" bestFit="1" customWidth="1"/>
    <col min="3081" max="3081" width="32" bestFit="1" customWidth="1"/>
    <col min="3082" max="3082" width="30" bestFit="1" customWidth="1"/>
    <col min="3084" max="3084" width="31.28515625" bestFit="1" customWidth="1"/>
    <col min="3085" max="3085" width="18.7109375" bestFit="1" customWidth="1"/>
    <col min="3086" max="3086" width="4.5703125" bestFit="1" customWidth="1"/>
    <col min="3329" max="3329" width="37.140625" bestFit="1" customWidth="1"/>
    <col min="3330" max="3330" width="37.140625" customWidth="1"/>
    <col min="3331" max="3332" width="30.5703125" bestFit="1" customWidth="1"/>
    <col min="3333" max="3333" width="30.5703125" customWidth="1"/>
    <col min="3334" max="3335" width="30.5703125" bestFit="1" customWidth="1"/>
    <col min="3336" max="3336" width="37.28515625" bestFit="1" customWidth="1"/>
    <col min="3337" max="3337" width="32" bestFit="1" customWidth="1"/>
    <col min="3338" max="3338" width="30" bestFit="1" customWidth="1"/>
    <col min="3340" max="3340" width="31.28515625" bestFit="1" customWidth="1"/>
    <col min="3341" max="3341" width="18.7109375" bestFit="1" customWidth="1"/>
    <col min="3342" max="3342" width="4.5703125" bestFit="1" customWidth="1"/>
    <col min="3585" max="3585" width="37.140625" bestFit="1" customWidth="1"/>
    <col min="3586" max="3586" width="37.140625" customWidth="1"/>
    <col min="3587" max="3588" width="30.5703125" bestFit="1" customWidth="1"/>
    <col min="3589" max="3589" width="30.5703125" customWidth="1"/>
    <col min="3590" max="3591" width="30.5703125" bestFit="1" customWidth="1"/>
    <col min="3592" max="3592" width="37.28515625" bestFit="1" customWidth="1"/>
    <col min="3593" max="3593" width="32" bestFit="1" customWidth="1"/>
    <col min="3594" max="3594" width="30" bestFit="1" customWidth="1"/>
    <col min="3596" max="3596" width="31.28515625" bestFit="1" customWidth="1"/>
    <col min="3597" max="3597" width="18.7109375" bestFit="1" customWidth="1"/>
    <col min="3598" max="3598" width="4.5703125" bestFit="1" customWidth="1"/>
    <col min="3841" max="3841" width="37.140625" bestFit="1" customWidth="1"/>
    <col min="3842" max="3842" width="37.140625" customWidth="1"/>
    <col min="3843" max="3844" width="30.5703125" bestFit="1" customWidth="1"/>
    <col min="3845" max="3845" width="30.5703125" customWidth="1"/>
    <col min="3846" max="3847" width="30.5703125" bestFit="1" customWidth="1"/>
    <col min="3848" max="3848" width="37.28515625" bestFit="1" customWidth="1"/>
    <col min="3849" max="3849" width="32" bestFit="1" customWidth="1"/>
    <col min="3850" max="3850" width="30" bestFit="1" customWidth="1"/>
    <col min="3852" max="3852" width="31.28515625" bestFit="1" customWidth="1"/>
    <col min="3853" max="3853" width="18.7109375" bestFit="1" customWidth="1"/>
    <col min="3854" max="3854" width="4.5703125" bestFit="1" customWidth="1"/>
    <col min="4097" max="4097" width="37.140625" bestFit="1" customWidth="1"/>
    <col min="4098" max="4098" width="37.140625" customWidth="1"/>
    <col min="4099" max="4100" width="30.5703125" bestFit="1" customWidth="1"/>
    <col min="4101" max="4101" width="30.5703125" customWidth="1"/>
    <col min="4102" max="4103" width="30.5703125" bestFit="1" customWidth="1"/>
    <col min="4104" max="4104" width="37.28515625" bestFit="1" customWidth="1"/>
    <col min="4105" max="4105" width="32" bestFit="1" customWidth="1"/>
    <col min="4106" max="4106" width="30" bestFit="1" customWidth="1"/>
    <col min="4108" max="4108" width="31.28515625" bestFit="1" customWidth="1"/>
    <col min="4109" max="4109" width="18.7109375" bestFit="1" customWidth="1"/>
    <col min="4110" max="4110" width="4.5703125" bestFit="1" customWidth="1"/>
    <col min="4353" max="4353" width="37.140625" bestFit="1" customWidth="1"/>
    <col min="4354" max="4354" width="37.140625" customWidth="1"/>
    <col min="4355" max="4356" width="30.5703125" bestFit="1" customWidth="1"/>
    <col min="4357" max="4357" width="30.5703125" customWidth="1"/>
    <col min="4358" max="4359" width="30.5703125" bestFit="1" customWidth="1"/>
    <col min="4360" max="4360" width="37.28515625" bestFit="1" customWidth="1"/>
    <col min="4361" max="4361" width="32" bestFit="1" customWidth="1"/>
    <col min="4362" max="4362" width="30" bestFit="1" customWidth="1"/>
    <col min="4364" max="4364" width="31.28515625" bestFit="1" customWidth="1"/>
    <col min="4365" max="4365" width="18.7109375" bestFit="1" customWidth="1"/>
    <col min="4366" max="4366" width="4.5703125" bestFit="1" customWidth="1"/>
    <col min="4609" max="4609" width="37.140625" bestFit="1" customWidth="1"/>
    <col min="4610" max="4610" width="37.140625" customWidth="1"/>
    <col min="4611" max="4612" width="30.5703125" bestFit="1" customWidth="1"/>
    <col min="4613" max="4613" width="30.5703125" customWidth="1"/>
    <col min="4614" max="4615" width="30.5703125" bestFit="1" customWidth="1"/>
    <col min="4616" max="4616" width="37.28515625" bestFit="1" customWidth="1"/>
    <col min="4617" max="4617" width="32" bestFit="1" customWidth="1"/>
    <col min="4618" max="4618" width="30" bestFit="1" customWidth="1"/>
    <col min="4620" max="4620" width="31.28515625" bestFit="1" customWidth="1"/>
    <col min="4621" max="4621" width="18.7109375" bestFit="1" customWidth="1"/>
    <col min="4622" max="4622" width="4.5703125" bestFit="1" customWidth="1"/>
    <col min="4865" max="4865" width="37.140625" bestFit="1" customWidth="1"/>
    <col min="4866" max="4866" width="37.140625" customWidth="1"/>
    <col min="4867" max="4868" width="30.5703125" bestFit="1" customWidth="1"/>
    <col min="4869" max="4869" width="30.5703125" customWidth="1"/>
    <col min="4870" max="4871" width="30.5703125" bestFit="1" customWidth="1"/>
    <col min="4872" max="4872" width="37.28515625" bestFit="1" customWidth="1"/>
    <col min="4873" max="4873" width="32" bestFit="1" customWidth="1"/>
    <col min="4874" max="4874" width="30" bestFit="1" customWidth="1"/>
    <col min="4876" max="4876" width="31.28515625" bestFit="1" customWidth="1"/>
    <col min="4877" max="4877" width="18.7109375" bestFit="1" customWidth="1"/>
    <col min="4878" max="4878" width="4.5703125" bestFit="1" customWidth="1"/>
    <col min="5121" max="5121" width="37.140625" bestFit="1" customWidth="1"/>
    <col min="5122" max="5122" width="37.140625" customWidth="1"/>
    <col min="5123" max="5124" width="30.5703125" bestFit="1" customWidth="1"/>
    <col min="5125" max="5125" width="30.5703125" customWidth="1"/>
    <col min="5126" max="5127" width="30.5703125" bestFit="1" customWidth="1"/>
    <col min="5128" max="5128" width="37.28515625" bestFit="1" customWidth="1"/>
    <col min="5129" max="5129" width="32" bestFit="1" customWidth="1"/>
    <col min="5130" max="5130" width="30" bestFit="1" customWidth="1"/>
    <col min="5132" max="5132" width="31.28515625" bestFit="1" customWidth="1"/>
    <col min="5133" max="5133" width="18.7109375" bestFit="1" customWidth="1"/>
    <col min="5134" max="5134" width="4.5703125" bestFit="1" customWidth="1"/>
    <col min="5377" max="5377" width="37.140625" bestFit="1" customWidth="1"/>
    <col min="5378" max="5378" width="37.140625" customWidth="1"/>
    <col min="5379" max="5380" width="30.5703125" bestFit="1" customWidth="1"/>
    <col min="5381" max="5381" width="30.5703125" customWidth="1"/>
    <col min="5382" max="5383" width="30.5703125" bestFit="1" customWidth="1"/>
    <col min="5384" max="5384" width="37.28515625" bestFit="1" customWidth="1"/>
    <col min="5385" max="5385" width="32" bestFit="1" customWidth="1"/>
    <col min="5386" max="5386" width="30" bestFit="1" customWidth="1"/>
    <col min="5388" max="5388" width="31.28515625" bestFit="1" customWidth="1"/>
    <col min="5389" max="5389" width="18.7109375" bestFit="1" customWidth="1"/>
    <col min="5390" max="5390" width="4.5703125" bestFit="1" customWidth="1"/>
    <col min="5633" max="5633" width="37.140625" bestFit="1" customWidth="1"/>
    <col min="5634" max="5634" width="37.140625" customWidth="1"/>
    <col min="5635" max="5636" width="30.5703125" bestFit="1" customWidth="1"/>
    <col min="5637" max="5637" width="30.5703125" customWidth="1"/>
    <col min="5638" max="5639" width="30.5703125" bestFit="1" customWidth="1"/>
    <col min="5640" max="5640" width="37.28515625" bestFit="1" customWidth="1"/>
    <col min="5641" max="5641" width="32" bestFit="1" customWidth="1"/>
    <col min="5642" max="5642" width="30" bestFit="1" customWidth="1"/>
    <col min="5644" max="5644" width="31.28515625" bestFit="1" customWidth="1"/>
    <col min="5645" max="5645" width="18.7109375" bestFit="1" customWidth="1"/>
    <col min="5646" max="5646" width="4.5703125" bestFit="1" customWidth="1"/>
    <col min="5889" max="5889" width="37.140625" bestFit="1" customWidth="1"/>
    <col min="5890" max="5890" width="37.140625" customWidth="1"/>
    <col min="5891" max="5892" width="30.5703125" bestFit="1" customWidth="1"/>
    <col min="5893" max="5893" width="30.5703125" customWidth="1"/>
    <col min="5894" max="5895" width="30.5703125" bestFit="1" customWidth="1"/>
    <col min="5896" max="5896" width="37.28515625" bestFit="1" customWidth="1"/>
    <col min="5897" max="5897" width="32" bestFit="1" customWidth="1"/>
    <col min="5898" max="5898" width="30" bestFit="1" customWidth="1"/>
    <col min="5900" max="5900" width="31.28515625" bestFit="1" customWidth="1"/>
    <col min="5901" max="5901" width="18.7109375" bestFit="1" customWidth="1"/>
    <col min="5902" max="5902" width="4.5703125" bestFit="1" customWidth="1"/>
    <col min="6145" max="6145" width="37.140625" bestFit="1" customWidth="1"/>
    <col min="6146" max="6146" width="37.140625" customWidth="1"/>
    <col min="6147" max="6148" width="30.5703125" bestFit="1" customWidth="1"/>
    <col min="6149" max="6149" width="30.5703125" customWidth="1"/>
    <col min="6150" max="6151" width="30.5703125" bestFit="1" customWidth="1"/>
    <col min="6152" max="6152" width="37.28515625" bestFit="1" customWidth="1"/>
    <col min="6153" max="6153" width="32" bestFit="1" customWidth="1"/>
    <col min="6154" max="6154" width="30" bestFit="1" customWidth="1"/>
    <col min="6156" max="6156" width="31.28515625" bestFit="1" customWidth="1"/>
    <col min="6157" max="6157" width="18.7109375" bestFit="1" customWidth="1"/>
    <col min="6158" max="6158" width="4.5703125" bestFit="1" customWidth="1"/>
    <col min="6401" max="6401" width="37.140625" bestFit="1" customWidth="1"/>
    <col min="6402" max="6402" width="37.140625" customWidth="1"/>
    <col min="6403" max="6404" width="30.5703125" bestFit="1" customWidth="1"/>
    <col min="6405" max="6405" width="30.5703125" customWidth="1"/>
    <col min="6406" max="6407" width="30.5703125" bestFit="1" customWidth="1"/>
    <col min="6408" max="6408" width="37.28515625" bestFit="1" customWidth="1"/>
    <col min="6409" max="6409" width="32" bestFit="1" customWidth="1"/>
    <col min="6410" max="6410" width="30" bestFit="1" customWidth="1"/>
    <col min="6412" max="6412" width="31.28515625" bestFit="1" customWidth="1"/>
    <col min="6413" max="6413" width="18.7109375" bestFit="1" customWidth="1"/>
    <col min="6414" max="6414" width="4.5703125" bestFit="1" customWidth="1"/>
    <col min="6657" max="6657" width="37.140625" bestFit="1" customWidth="1"/>
    <col min="6658" max="6658" width="37.140625" customWidth="1"/>
    <col min="6659" max="6660" width="30.5703125" bestFit="1" customWidth="1"/>
    <col min="6661" max="6661" width="30.5703125" customWidth="1"/>
    <col min="6662" max="6663" width="30.5703125" bestFit="1" customWidth="1"/>
    <col min="6664" max="6664" width="37.28515625" bestFit="1" customWidth="1"/>
    <col min="6665" max="6665" width="32" bestFit="1" customWidth="1"/>
    <col min="6666" max="6666" width="30" bestFit="1" customWidth="1"/>
    <col min="6668" max="6668" width="31.28515625" bestFit="1" customWidth="1"/>
    <col min="6669" max="6669" width="18.7109375" bestFit="1" customWidth="1"/>
    <col min="6670" max="6670" width="4.5703125" bestFit="1" customWidth="1"/>
    <col min="6913" max="6913" width="37.140625" bestFit="1" customWidth="1"/>
    <col min="6914" max="6914" width="37.140625" customWidth="1"/>
    <col min="6915" max="6916" width="30.5703125" bestFit="1" customWidth="1"/>
    <col min="6917" max="6917" width="30.5703125" customWidth="1"/>
    <col min="6918" max="6919" width="30.5703125" bestFit="1" customWidth="1"/>
    <col min="6920" max="6920" width="37.28515625" bestFit="1" customWidth="1"/>
    <col min="6921" max="6921" width="32" bestFit="1" customWidth="1"/>
    <col min="6922" max="6922" width="30" bestFit="1" customWidth="1"/>
    <col min="6924" max="6924" width="31.28515625" bestFit="1" customWidth="1"/>
    <col min="6925" max="6925" width="18.7109375" bestFit="1" customWidth="1"/>
    <col min="6926" max="6926" width="4.5703125" bestFit="1" customWidth="1"/>
    <col min="7169" max="7169" width="37.140625" bestFit="1" customWidth="1"/>
    <col min="7170" max="7170" width="37.140625" customWidth="1"/>
    <col min="7171" max="7172" width="30.5703125" bestFit="1" customWidth="1"/>
    <col min="7173" max="7173" width="30.5703125" customWidth="1"/>
    <col min="7174" max="7175" width="30.5703125" bestFit="1" customWidth="1"/>
    <col min="7176" max="7176" width="37.28515625" bestFit="1" customWidth="1"/>
    <col min="7177" max="7177" width="32" bestFit="1" customWidth="1"/>
    <col min="7178" max="7178" width="30" bestFit="1" customWidth="1"/>
    <col min="7180" max="7180" width="31.28515625" bestFit="1" customWidth="1"/>
    <col min="7181" max="7181" width="18.7109375" bestFit="1" customWidth="1"/>
    <col min="7182" max="7182" width="4.5703125" bestFit="1" customWidth="1"/>
    <col min="7425" max="7425" width="37.140625" bestFit="1" customWidth="1"/>
    <col min="7426" max="7426" width="37.140625" customWidth="1"/>
    <col min="7427" max="7428" width="30.5703125" bestFit="1" customWidth="1"/>
    <col min="7429" max="7429" width="30.5703125" customWidth="1"/>
    <col min="7430" max="7431" width="30.5703125" bestFit="1" customWidth="1"/>
    <col min="7432" max="7432" width="37.28515625" bestFit="1" customWidth="1"/>
    <col min="7433" max="7433" width="32" bestFit="1" customWidth="1"/>
    <col min="7434" max="7434" width="30" bestFit="1" customWidth="1"/>
    <col min="7436" max="7436" width="31.28515625" bestFit="1" customWidth="1"/>
    <col min="7437" max="7437" width="18.7109375" bestFit="1" customWidth="1"/>
    <col min="7438" max="7438" width="4.5703125" bestFit="1" customWidth="1"/>
    <col min="7681" max="7681" width="37.140625" bestFit="1" customWidth="1"/>
    <col min="7682" max="7682" width="37.140625" customWidth="1"/>
    <col min="7683" max="7684" width="30.5703125" bestFit="1" customWidth="1"/>
    <col min="7685" max="7685" width="30.5703125" customWidth="1"/>
    <col min="7686" max="7687" width="30.5703125" bestFit="1" customWidth="1"/>
    <col min="7688" max="7688" width="37.28515625" bestFit="1" customWidth="1"/>
    <col min="7689" max="7689" width="32" bestFit="1" customWidth="1"/>
    <col min="7690" max="7690" width="30" bestFit="1" customWidth="1"/>
    <col min="7692" max="7692" width="31.28515625" bestFit="1" customWidth="1"/>
    <col min="7693" max="7693" width="18.7109375" bestFit="1" customWidth="1"/>
    <col min="7694" max="7694" width="4.5703125" bestFit="1" customWidth="1"/>
    <col min="7937" max="7937" width="37.140625" bestFit="1" customWidth="1"/>
    <col min="7938" max="7938" width="37.140625" customWidth="1"/>
    <col min="7939" max="7940" width="30.5703125" bestFit="1" customWidth="1"/>
    <col min="7941" max="7941" width="30.5703125" customWidth="1"/>
    <col min="7942" max="7943" width="30.5703125" bestFit="1" customWidth="1"/>
    <col min="7944" max="7944" width="37.28515625" bestFit="1" customWidth="1"/>
    <col min="7945" max="7945" width="32" bestFit="1" customWidth="1"/>
    <col min="7946" max="7946" width="30" bestFit="1" customWidth="1"/>
    <col min="7948" max="7948" width="31.28515625" bestFit="1" customWidth="1"/>
    <col min="7949" max="7949" width="18.7109375" bestFit="1" customWidth="1"/>
    <col min="7950" max="7950" width="4.5703125" bestFit="1" customWidth="1"/>
    <col min="8193" max="8193" width="37.140625" bestFit="1" customWidth="1"/>
    <col min="8194" max="8194" width="37.140625" customWidth="1"/>
    <col min="8195" max="8196" width="30.5703125" bestFit="1" customWidth="1"/>
    <col min="8197" max="8197" width="30.5703125" customWidth="1"/>
    <col min="8198" max="8199" width="30.5703125" bestFit="1" customWidth="1"/>
    <col min="8200" max="8200" width="37.28515625" bestFit="1" customWidth="1"/>
    <col min="8201" max="8201" width="32" bestFit="1" customWidth="1"/>
    <col min="8202" max="8202" width="30" bestFit="1" customWidth="1"/>
    <col min="8204" max="8204" width="31.28515625" bestFit="1" customWidth="1"/>
    <col min="8205" max="8205" width="18.7109375" bestFit="1" customWidth="1"/>
    <col min="8206" max="8206" width="4.5703125" bestFit="1" customWidth="1"/>
    <col min="8449" max="8449" width="37.140625" bestFit="1" customWidth="1"/>
    <col min="8450" max="8450" width="37.140625" customWidth="1"/>
    <col min="8451" max="8452" width="30.5703125" bestFit="1" customWidth="1"/>
    <col min="8453" max="8453" width="30.5703125" customWidth="1"/>
    <col min="8454" max="8455" width="30.5703125" bestFit="1" customWidth="1"/>
    <col min="8456" max="8456" width="37.28515625" bestFit="1" customWidth="1"/>
    <col min="8457" max="8457" width="32" bestFit="1" customWidth="1"/>
    <col min="8458" max="8458" width="30" bestFit="1" customWidth="1"/>
    <col min="8460" max="8460" width="31.28515625" bestFit="1" customWidth="1"/>
    <col min="8461" max="8461" width="18.7109375" bestFit="1" customWidth="1"/>
    <col min="8462" max="8462" width="4.5703125" bestFit="1" customWidth="1"/>
    <col min="8705" max="8705" width="37.140625" bestFit="1" customWidth="1"/>
    <col min="8706" max="8706" width="37.140625" customWidth="1"/>
    <col min="8707" max="8708" width="30.5703125" bestFit="1" customWidth="1"/>
    <col min="8709" max="8709" width="30.5703125" customWidth="1"/>
    <col min="8710" max="8711" width="30.5703125" bestFit="1" customWidth="1"/>
    <col min="8712" max="8712" width="37.28515625" bestFit="1" customWidth="1"/>
    <col min="8713" max="8713" width="32" bestFit="1" customWidth="1"/>
    <col min="8714" max="8714" width="30" bestFit="1" customWidth="1"/>
    <col min="8716" max="8716" width="31.28515625" bestFit="1" customWidth="1"/>
    <col min="8717" max="8717" width="18.7109375" bestFit="1" customWidth="1"/>
    <col min="8718" max="8718" width="4.5703125" bestFit="1" customWidth="1"/>
    <col min="8961" max="8961" width="37.140625" bestFit="1" customWidth="1"/>
    <col min="8962" max="8962" width="37.140625" customWidth="1"/>
    <col min="8963" max="8964" width="30.5703125" bestFit="1" customWidth="1"/>
    <col min="8965" max="8965" width="30.5703125" customWidth="1"/>
    <col min="8966" max="8967" width="30.5703125" bestFit="1" customWidth="1"/>
    <col min="8968" max="8968" width="37.28515625" bestFit="1" customWidth="1"/>
    <col min="8969" max="8969" width="32" bestFit="1" customWidth="1"/>
    <col min="8970" max="8970" width="30" bestFit="1" customWidth="1"/>
    <col min="8972" max="8972" width="31.28515625" bestFit="1" customWidth="1"/>
    <col min="8973" max="8973" width="18.7109375" bestFit="1" customWidth="1"/>
    <col min="8974" max="8974" width="4.5703125" bestFit="1" customWidth="1"/>
    <col min="9217" max="9217" width="37.140625" bestFit="1" customWidth="1"/>
    <col min="9218" max="9218" width="37.140625" customWidth="1"/>
    <col min="9219" max="9220" width="30.5703125" bestFit="1" customWidth="1"/>
    <col min="9221" max="9221" width="30.5703125" customWidth="1"/>
    <col min="9222" max="9223" width="30.5703125" bestFit="1" customWidth="1"/>
    <col min="9224" max="9224" width="37.28515625" bestFit="1" customWidth="1"/>
    <col min="9225" max="9225" width="32" bestFit="1" customWidth="1"/>
    <col min="9226" max="9226" width="30" bestFit="1" customWidth="1"/>
    <col min="9228" max="9228" width="31.28515625" bestFit="1" customWidth="1"/>
    <col min="9229" max="9229" width="18.7109375" bestFit="1" customWidth="1"/>
    <col min="9230" max="9230" width="4.5703125" bestFit="1" customWidth="1"/>
    <col min="9473" max="9473" width="37.140625" bestFit="1" customWidth="1"/>
    <col min="9474" max="9474" width="37.140625" customWidth="1"/>
    <col min="9475" max="9476" width="30.5703125" bestFit="1" customWidth="1"/>
    <col min="9477" max="9477" width="30.5703125" customWidth="1"/>
    <col min="9478" max="9479" width="30.5703125" bestFit="1" customWidth="1"/>
    <col min="9480" max="9480" width="37.28515625" bestFit="1" customWidth="1"/>
    <col min="9481" max="9481" width="32" bestFit="1" customWidth="1"/>
    <col min="9482" max="9482" width="30" bestFit="1" customWidth="1"/>
    <col min="9484" max="9484" width="31.28515625" bestFit="1" customWidth="1"/>
    <col min="9485" max="9485" width="18.7109375" bestFit="1" customWidth="1"/>
    <col min="9486" max="9486" width="4.5703125" bestFit="1" customWidth="1"/>
    <col min="9729" max="9729" width="37.140625" bestFit="1" customWidth="1"/>
    <col min="9730" max="9730" width="37.140625" customWidth="1"/>
    <col min="9731" max="9732" width="30.5703125" bestFit="1" customWidth="1"/>
    <col min="9733" max="9733" width="30.5703125" customWidth="1"/>
    <col min="9734" max="9735" width="30.5703125" bestFit="1" customWidth="1"/>
    <col min="9736" max="9736" width="37.28515625" bestFit="1" customWidth="1"/>
    <col min="9737" max="9737" width="32" bestFit="1" customWidth="1"/>
    <col min="9738" max="9738" width="30" bestFit="1" customWidth="1"/>
    <col min="9740" max="9740" width="31.28515625" bestFit="1" customWidth="1"/>
    <col min="9741" max="9741" width="18.7109375" bestFit="1" customWidth="1"/>
    <col min="9742" max="9742" width="4.5703125" bestFit="1" customWidth="1"/>
    <col min="9985" max="9985" width="37.140625" bestFit="1" customWidth="1"/>
    <col min="9986" max="9986" width="37.140625" customWidth="1"/>
    <col min="9987" max="9988" width="30.5703125" bestFit="1" customWidth="1"/>
    <col min="9989" max="9989" width="30.5703125" customWidth="1"/>
    <col min="9990" max="9991" width="30.5703125" bestFit="1" customWidth="1"/>
    <col min="9992" max="9992" width="37.28515625" bestFit="1" customWidth="1"/>
    <col min="9993" max="9993" width="32" bestFit="1" customWidth="1"/>
    <col min="9994" max="9994" width="30" bestFit="1" customWidth="1"/>
    <col min="9996" max="9996" width="31.28515625" bestFit="1" customWidth="1"/>
    <col min="9997" max="9997" width="18.7109375" bestFit="1" customWidth="1"/>
    <col min="9998" max="9998" width="4.5703125" bestFit="1" customWidth="1"/>
    <col min="10241" max="10241" width="37.140625" bestFit="1" customWidth="1"/>
    <col min="10242" max="10242" width="37.140625" customWidth="1"/>
    <col min="10243" max="10244" width="30.5703125" bestFit="1" customWidth="1"/>
    <col min="10245" max="10245" width="30.5703125" customWidth="1"/>
    <col min="10246" max="10247" width="30.5703125" bestFit="1" customWidth="1"/>
    <col min="10248" max="10248" width="37.28515625" bestFit="1" customWidth="1"/>
    <col min="10249" max="10249" width="32" bestFit="1" customWidth="1"/>
    <col min="10250" max="10250" width="30" bestFit="1" customWidth="1"/>
    <col min="10252" max="10252" width="31.28515625" bestFit="1" customWidth="1"/>
    <col min="10253" max="10253" width="18.7109375" bestFit="1" customWidth="1"/>
    <col min="10254" max="10254" width="4.5703125" bestFit="1" customWidth="1"/>
    <col min="10497" max="10497" width="37.140625" bestFit="1" customWidth="1"/>
    <col min="10498" max="10498" width="37.140625" customWidth="1"/>
    <col min="10499" max="10500" width="30.5703125" bestFit="1" customWidth="1"/>
    <col min="10501" max="10501" width="30.5703125" customWidth="1"/>
    <col min="10502" max="10503" width="30.5703125" bestFit="1" customWidth="1"/>
    <col min="10504" max="10504" width="37.28515625" bestFit="1" customWidth="1"/>
    <col min="10505" max="10505" width="32" bestFit="1" customWidth="1"/>
    <col min="10506" max="10506" width="30" bestFit="1" customWidth="1"/>
    <col min="10508" max="10508" width="31.28515625" bestFit="1" customWidth="1"/>
    <col min="10509" max="10509" width="18.7109375" bestFit="1" customWidth="1"/>
    <col min="10510" max="10510" width="4.5703125" bestFit="1" customWidth="1"/>
    <col min="10753" max="10753" width="37.140625" bestFit="1" customWidth="1"/>
    <col min="10754" max="10754" width="37.140625" customWidth="1"/>
    <col min="10755" max="10756" width="30.5703125" bestFit="1" customWidth="1"/>
    <col min="10757" max="10757" width="30.5703125" customWidth="1"/>
    <col min="10758" max="10759" width="30.5703125" bestFit="1" customWidth="1"/>
    <col min="10760" max="10760" width="37.28515625" bestFit="1" customWidth="1"/>
    <col min="10761" max="10761" width="32" bestFit="1" customWidth="1"/>
    <col min="10762" max="10762" width="30" bestFit="1" customWidth="1"/>
    <col min="10764" max="10764" width="31.28515625" bestFit="1" customWidth="1"/>
    <col min="10765" max="10765" width="18.7109375" bestFit="1" customWidth="1"/>
    <col min="10766" max="10766" width="4.5703125" bestFit="1" customWidth="1"/>
    <col min="11009" max="11009" width="37.140625" bestFit="1" customWidth="1"/>
    <col min="11010" max="11010" width="37.140625" customWidth="1"/>
    <col min="11011" max="11012" width="30.5703125" bestFit="1" customWidth="1"/>
    <col min="11013" max="11013" width="30.5703125" customWidth="1"/>
    <col min="11014" max="11015" width="30.5703125" bestFit="1" customWidth="1"/>
    <col min="11016" max="11016" width="37.28515625" bestFit="1" customWidth="1"/>
    <col min="11017" max="11017" width="32" bestFit="1" customWidth="1"/>
    <col min="11018" max="11018" width="30" bestFit="1" customWidth="1"/>
    <col min="11020" max="11020" width="31.28515625" bestFit="1" customWidth="1"/>
    <col min="11021" max="11021" width="18.7109375" bestFit="1" customWidth="1"/>
    <col min="11022" max="11022" width="4.5703125" bestFit="1" customWidth="1"/>
    <col min="11265" max="11265" width="37.140625" bestFit="1" customWidth="1"/>
    <col min="11266" max="11266" width="37.140625" customWidth="1"/>
    <col min="11267" max="11268" width="30.5703125" bestFit="1" customWidth="1"/>
    <col min="11269" max="11269" width="30.5703125" customWidth="1"/>
    <col min="11270" max="11271" width="30.5703125" bestFit="1" customWidth="1"/>
    <col min="11272" max="11272" width="37.28515625" bestFit="1" customWidth="1"/>
    <col min="11273" max="11273" width="32" bestFit="1" customWidth="1"/>
    <col min="11274" max="11274" width="30" bestFit="1" customWidth="1"/>
    <col min="11276" max="11276" width="31.28515625" bestFit="1" customWidth="1"/>
    <col min="11277" max="11277" width="18.7109375" bestFit="1" customWidth="1"/>
    <col min="11278" max="11278" width="4.5703125" bestFit="1" customWidth="1"/>
    <col min="11521" max="11521" width="37.140625" bestFit="1" customWidth="1"/>
    <col min="11522" max="11522" width="37.140625" customWidth="1"/>
    <col min="11523" max="11524" width="30.5703125" bestFit="1" customWidth="1"/>
    <col min="11525" max="11525" width="30.5703125" customWidth="1"/>
    <col min="11526" max="11527" width="30.5703125" bestFit="1" customWidth="1"/>
    <col min="11528" max="11528" width="37.28515625" bestFit="1" customWidth="1"/>
    <col min="11529" max="11529" width="32" bestFit="1" customWidth="1"/>
    <col min="11530" max="11530" width="30" bestFit="1" customWidth="1"/>
    <col min="11532" max="11532" width="31.28515625" bestFit="1" customWidth="1"/>
    <col min="11533" max="11533" width="18.7109375" bestFit="1" customWidth="1"/>
    <col min="11534" max="11534" width="4.5703125" bestFit="1" customWidth="1"/>
    <col min="11777" max="11777" width="37.140625" bestFit="1" customWidth="1"/>
    <col min="11778" max="11778" width="37.140625" customWidth="1"/>
    <col min="11779" max="11780" width="30.5703125" bestFit="1" customWidth="1"/>
    <col min="11781" max="11781" width="30.5703125" customWidth="1"/>
    <col min="11782" max="11783" width="30.5703125" bestFit="1" customWidth="1"/>
    <col min="11784" max="11784" width="37.28515625" bestFit="1" customWidth="1"/>
    <col min="11785" max="11785" width="32" bestFit="1" customWidth="1"/>
    <col min="11786" max="11786" width="30" bestFit="1" customWidth="1"/>
    <col min="11788" max="11788" width="31.28515625" bestFit="1" customWidth="1"/>
    <col min="11789" max="11789" width="18.7109375" bestFit="1" customWidth="1"/>
    <col min="11790" max="11790" width="4.5703125" bestFit="1" customWidth="1"/>
    <col min="12033" max="12033" width="37.140625" bestFit="1" customWidth="1"/>
    <col min="12034" max="12034" width="37.140625" customWidth="1"/>
    <col min="12035" max="12036" width="30.5703125" bestFit="1" customWidth="1"/>
    <col min="12037" max="12037" width="30.5703125" customWidth="1"/>
    <col min="12038" max="12039" width="30.5703125" bestFit="1" customWidth="1"/>
    <col min="12040" max="12040" width="37.28515625" bestFit="1" customWidth="1"/>
    <col min="12041" max="12041" width="32" bestFit="1" customWidth="1"/>
    <col min="12042" max="12042" width="30" bestFit="1" customWidth="1"/>
    <col min="12044" max="12044" width="31.28515625" bestFit="1" customWidth="1"/>
    <col min="12045" max="12045" width="18.7109375" bestFit="1" customWidth="1"/>
    <col min="12046" max="12046" width="4.5703125" bestFit="1" customWidth="1"/>
    <col min="12289" max="12289" width="37.140625" bestFit="1" customWidth="1"/>
    <col min="12290" max="12290" width="37.140625" customWidth="1"/>
    <col min="12291" max="12292" width="30.5703125" bestFit="1" customWidth="1"/>
    <col min="12293" max="12293" width="30.5703125" customWidth="1"/>
    <col min="12294" max="12295" width="30.5703125" bestFit="1" customWidth="1"/>
    <col min="12296" max="12296" width="37.28515625" bestFit="1" customWidth="1"/>
    <col min="12297" max="12297" width="32" bestFit="1" customWidth="1"/>
    <col min="12298" max="12298" width="30" bestFit="1" customWidth="1"/>
    <col min="12300" max="12300" width="31.28515625" bestFit="1" customWidth="1"/>
    <col min="12301" max="12301" width="18.7109375" bestFit="1" customWidth="1"/>
    <col min="12302" max="12302" width="4.5703125" bestFit="1" customWidth="1"/>
    <col min="12545" max="12545" width="37.140625" bestFit="1" customWidth="1"/>
    <col min="12546" max="12546" width="37.140625" customWidth="1"/>
    <col min="12547" max="12548" width="30.5703125" bestFit="1" customWidth="1"/>
    <col min="12549" max="12549" width="30.5703125" customWidth="1"/>
    <col min="12550" max="12551" width="30.5703125" bestFit="1" customWidth="1"/>
    <col min="12552" max="12552" width="37.28515625" bestFit="1" customWidth="1"/>
    <col min="12553" max="12553" width="32" bestFit="1" customWidth="1"/>
    <col min="12554" max="12554" width="30" bestFit="1" customWidth="1"/>
    <col min="12556" max="12556" width="31.28515625" bestFit="1" customWidth="1"/>
    <col min="12557" max="12557" width="18.7109375" bestFit="1" customWidth="1"/>
    <col min="12558" max="12558" width="4.5703125" bestFit="1" customWidth="1"/>
    <col min="12801" max="12801" width="37.140625" bestFit="1" customWidth="1"/>
    <col min="12802" max="12802" width="37.140625" customWidth="1"/>
    <col min="12803" max="12804" width="30.5703125" bestFit="1" customWidth="1"/>
    <col min="12805" max="12805" width="30.5703125" customWidth="1"/>
    <col min="12806" max="12807" width="30.5703125" bestFit="1" customWidth="1"/>
    <col min="12808" max="12808" width="37.28515625" bestFit="1" customWidth="1"/>
    <col min="12809" max="12809" width="32" bestFit="1" customWidth="1"/>
    <col min="12810" max="12810" width="30" bestFit="1" customWidth="1"/>
    <col min="12812" max="12812" width="31.28515625" bestFit="1" customWidth="1"/>
    <col min="12813" max="12813" width="18.7109375" bestFit="1" customWidth="1"/>
    <col min="12814" max="12814" width="4.5703125" bestFit="1" customWidth="1"/>
    <col min="13057" max="13057" width="37.140625" bestFit="1" customWidth="1"/>
    <col min="13058" max="13058" width="37.140625" customWidth="1"/>
    <col min="13059" max="13060" width="30.5703125" bestFit="1" customWidth="1"/>
    <col min="13061" max="13061" width="30.5703125" customWidth="1"/>
    <col min="13062" max="13063" width="30.5703125" bestFit="1" customWidth="1"/>
    <col min="13064" max="13064" width="37.28515625" bestFit="1" customWidth="1"/>
    <col min="13065" max="13065" width="32" bestFit="1" customWidth="1"/>
    <col min="13066" max="13066" width="30" bestFit="1" customWidth="1"/>
    <col min="13068" max="13068" width="31.28515625" bestFit="1" customWidth="1"/>
    <col min="13069" max="13069" width="18.7109375" bestFit="1" customWidth="1"/>
    <col min="13070" max="13070" width="4.5703125" bestFit="1" customWidth="1"/>
    <col min="13313" max="13313" width="37.140625" bestFit="1" customWidth="1"/>
    <col min="13314" max="13314" width="37.140625" customWidth="1"/>
    <col min="13315" max="13316" width="30.5703125" bestFit="1" customWidth="1"/>
    <col min="13317" max="13317" width="30.5703125" customWidth="1"/>
    <col min="13318" max="13319" width="30.5703125" bestFit="1" customWidth="1"/>
    <col min="13320" max="13320" width="37.28515625" bestFit="1" customWidth="1"/>
    <col min="13321" max="13321" width="32" bestFit="1" customWidth="1"/>
    <col min="13322" max="13322" width="30" bestFit="1" customWidth="1"/>
    <col min="13324" max="13324" width="31.28515625" bestFit="1" customWidth="1"/>
    <col min="13325" max="13325" width="18.7109375" bestFit="1" customWidth="1"/>
    <col min="13326" max="13326" width="4.5703125" bestFit="1" customWidth="1"/>
    <col min="13569" max="13569" width="37.140625" bestFit="1" customWidth="1"/>
    <col min="13570" max="13570" width="37.140625" customWidth="1"/>
    <col min="13571" max="13572" width="30.5703125" bestFit="1" customWidth="1"/>
    <col min="13573" max="13573" width="30.5703125" customWidth="1"/>
    <col min="13574" max="13575" width="30.5703125" bestFit="1" customWidth="1"/>
    <col min="13576" max="13576" width="37.28515625" bestFit="1" customWidth="1"/>
    <col min="13577" max="13577" width="32" bestFit="1" customWidth="1"/>
    <col min="13578" max="13578" width="30" bestFit="1" customWidth="1"/>
    <col min="13580" max="13580" width="31.28515625" bestFit="1" customWidth="1"/>
    <col min="13581" max="13581" width="18.7109375" bestFit="1" customWidth="1"/>
    <col min="13582" max="13582" width="4.5703125" bestFit="1" customWidth="1"/>
    <col min="13825" max="13825" width="37.140625" bestFit="1" customWidth="1"/>
    <col min="13826" max="13826" width="37.140625" customWidth="1"/>
    <col min="13827" max="13828" width="30.5703125" bestFit="1" customWidth="1"/>
    <col min="13829" max="13829" width="30.5703125" customWidth="1"/>
    <col min="13830" max="13831" width="30.5703125" bestFit="1" customWidth="1"/>
    <col min="13832" max="13832" width="37.28515625" bestFit="1" customWidth="1"/>
    <col min="13833" max="13833" width="32" bestFit="1" customWidth="1"/>
    <col min="13834" max="13834" width="30" bestFit="1" customWidth="1"/>
    <col min="13836" max="13836" width="31.28515625" bestFit="1" customWidth="1"/>
    <col min="13837" max="13837" width="18.7109375" bestFit="1" customWidth="1"/>
    <col min="13838" max="13838" width="4.5703125" bestFit="1" customWidth="1"/>
    <col min="14081" max="14081" width="37.140625" bestFit="1" customWidth="1"/>
    <col min="14082" max="14082" width="37.140625" customWidth="1"/>
    <col min="14083" max="14084" width="30.5703125" bestFit="1" customWidth="1"/>
    <col min="14085" max="14085" width="30.5703125" customWidth="1"/>
    <col min="14086" max="14087" width="30.5703125" bestFit="1" customWidth="1"/>
    <col min="14088" max="14088" width="37.28515625" bestFit="1" customWidth="1"/>
    <col min="14089" max="14089" width="32" bestFit="1" customWidth="1"/>
    <col min="14090" max="14090" width="30" bestFit="1" customWidth="1"/>
    <col min="14092" max="14092" width="31.28515625" bestFit="1" customWidth="1"/>
    <col min="14093" max="14093" width="18.7109375" bestFit="1" customWidth="1"/>
    <col min="14094" max="14094" width="4.5703125" bestFit="1" customWidth="1"/>
    <col min="14337" max="14337" width="37.140625" bestFit="1" customWidth="1"/>
    <col min="14338" max="14338" width="37.140625" customWidth="1"/>
    <col min="14339" max="14340" width="30.5703125" bestFit="1" customWidth="1"/>
    <col min="14341" max="14341" width="30.5703125" customWidth="1"/>
    <col min="14342" max="14343" width="30.5703125" bestFit="1" customWidth="1"/>
    <col min="14344" max="14344" width="37.28515625" bestFit="1" customWidth="1"/>
    <col min="14345" max="14345" width="32" bestFit="1" customWidth="1"/>
    <col min="14346" max="14346" width="30" bestFit="1" customWidth="1"/>
    <col min="14348" max="14348" width="31.28515625" bestFit="1" customWidth="1"/>
    <col min="14349" max="14349" width="18.7109375" bestFit="1" customWidth="1"/>
    <col min="14350" max="14350" width="4.5703125" bestFit="1" customWidth="1"/>
    <col min="14593" max="14593" width="37.140625" bestFit="1" customWidth="1"/>
    <col min="14594" max="14594" width="37.140625" customWidth="1"/>
    <col min="14595" max="14596" width="30.5703125" bestFit="1" customWidth="1"/>
    <col min="14597" max="14597" width="30.5703125" customWidth="1"/>
    <col min="14598" max="14599" width="30.5703125" bestFit="1" customWidth="1"/>
    <col min="14600" max="14600" width="37.28515625" bestFit="1" customWidth="1"/>
    <col min="14601" max="14601" width="32" bestFit="1" customWidth="1"/>
    <col min="14602" max="14602" width="30" bestFit="1" customWidth="1"/>
    <col min="14604" max="14604" width="31.28515625" bestFit="1" customWidth="1"/>
    <col min="14605" max="14605" width="18.7109375" bestFit="1" customWidth="1"/>
    <col min="14606" max="14606" width="4.5703125" bestFit="1" customWidth="1"/>
    <col min="14849" max="14849" width="37.140625" bestFit="1" customWidth="1"/>
    <col min="14850" max="14850" width="37.140625" customWidth="1"/>
    <col min="14851" max="14852" width="30.5703125" bestFit="1" customWidth="1"/>
    <col min="14853" max="14853" width="30.5703125" customWidth="1"/>
    <col min="14854" max="14855" width="30.5703125" bestFit="1" customWidth="1"/>
    <col min="14856" max="14856" width="37.28515625" bestFit="1" customWidth="1"/>
    <col min="14857" max="14857" width="32" bestFit="1" customWidth="1"/>
    <col min="14858" max="14858" width="30" bestFit="1" customWidth="1"/>
    <col min="14860" max="14860" width="31.28515625" bestFit="1" customWidth="1"/>
    <col min="14861" max="14861" width="18.7109375" bestFit="1" customWidth="1"/>
    <col min="14862" max="14862" width="4.5703125" bestFit="1" customWidth="1"/>
    <col min="15105" max="15105" width="37.140625" bestFit="1" customWidth="1"/>
    <col min="15106" max="15106" width="37.140625" customWidth="1"/>
    <col min="15107" max="15108" width="30.5703125" bestFit="1" customWidth="1"/>
    <col min="15109" max="15109" width="30.5703125" customWidth="1"/>
    <col min="15110" max="15111" width="30.5703125" bestFit="1" customWidth="1"/>
    <col min="15112" max="15112" width="37.28515625" bestFit="1" customWidth="1"/>
    <col min="15113" max="15113" width="32" bestFit="1" customWidth="1"/>
    <col min="15114" max="15114" width="30" bestFit="1" customWidth="1"/>
    <col min="15116" max="15116" width="31.28515625" bestFit="1" customWidth="1"/>
    <col min="15117" max="15117" width="18.7109375" bestFit="1" customWidth="1"/>
    <col min="15118" max="15118" width="4.5703125" bestFit="1" customWidth="1"/>
    <col min="15361" max="15361" width="37.140625" bestFit="1" customWidth="1"/>
    <col min="15362" max="15362" width="37.140625" customWidth="1"/>
    <col min="15363" max="15364" width="30.5703125" bestFit="1" customWidth="1"/>
    <col min="15365" max="15365" width="30.5703125" customWidth="1"/>
    <col min="15366" max="15367" width="30.5703125" bestFit="1" customWidth="1"/>
    <col min="15368" max="15368" width="37.28515625" bestFit="1" customWidth="1"/>
    <col min="15369" max="15369" width="32" bestFit="1" customWidth="1"/>
    <col min="15370" max="15370" width="30" bestFit="1" customWidth="1"/>
    <col min="15372" max="15372" width="31.28515625" bestFit="1" customWidth="1"/>
    <col min="15373" max="15373" width="18.7109375" bestFit="1" customWidth="1"/>
    <col min="15374" max="15374" width="4.5703125" bestFit="1" customWidth="1"/>
    <col min="15617" max="15617" width="37.140625" bestFit="1" customWidth="1"/>
    <col min="15618" max="15618" width="37.140625" customWidth="1"/>
    <col min="15619" max="15620" width="30.5703125" bestFit="1" customWidth="1"/>
    <col min="15621" max="15621" width="30.5703125" customWidth="1"/>
    <col min="15622" max="15623" width="30.5703125" bestFit="1" customWidth="1"/>
    <col min="15624" max="15624" width="37.28515625" bestFit="1" customWidth="1"/>
    <col min="15625" max="15625" width="32" bestFit="1" customWidth="1"/>
    <col min="15626" max="15626" width="30" bestFit="1" customWidth="1"/>
    <col min="15628" max="15628" width="31.28515625" bestFit="1" customWidth="1"/>
    <col min="15629" max="15629" width="18.7109375" bestFit="1" customWidth="1"/>
    <col min="15630" max="15630" width="4.5703125" bestFit="1" customWidth="1"/>
    <col min="15873" max="15873" width="37.140625" bestFit="1" customWidth="1"/>
    <col min="15874" max="15874" width="37.140625" customWidth="1"/>
    <col min="15875" max="15876" width="30.5703125" bestFit="1" customWidth="1"/>
    <col min="15877" max="15877" width="30.5703125" customWidth="1"/>
    <col min="15878" max="15879" width="30.5703125" bestFit="1" customWidth="1"/>
    <col min="15880" max="15880" width="37.28515625" bestFit="1" customWidth="1"/>
    <col min="15881" max="15881" width="32" bestFit="1" customWidth="1"/>
    <col min="15882" max="15882" width="30" bestFit="1" customWidth="1"/>
    <col min="15884" max="15884" width="31.28515625" bestFit="1" customWidth="1"/>
    <col min="15885" max="15885" width="18.7109375" bestFit="1" customWidth="1"/>
    <col min="15886" max="15886" width="4.5703125" bestFit="1" customWidth="1"/>
    <col min="16129" max="16129" width="37.140625" bestFit="1" customWidth="1"/>
    <col min="16130" max="16130" width="37.140625" customWidth="1"/>
    <col min="16131" max="16132" width="30.5703125" bestFit="1" customWidth="1"/>
    <col min="16133" max="16133" width="30.5703125" customWidth="1"/>
    <col min="16134" max="16135" width="30.5703125" bestFit="1" customWidth="1"/>
    <col min="16136" max="16136" width="37.28515625" bestFit="1" customWidth="1"/>
    <col min="16137" max="16137" width="32" bestFit="1" customWidth="1"/>
    <col min="16138" max="16138" width="30" bestFit="1" customWidth="1"/>
    <col min="16140" max="16140" width="31.28515625" bestFit="1" customWidth="1"/>
    <col min="16141" max="16141" width="18.7109375" bestFit="1" customWidth="1"/>
    <col min="16142" max="16142" width="4.5703125" bestFit="1" customWidth="1"/>
  </cols>
  <sheetData>
    <row r="1" spans="1:15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19" t="s">
        <v>699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0</v>
      </c>
      <c r="N1" s="3"/>
      <c r="O1" s="41" t="s">
        <v>185</v>
      </c>
    </row>
    <row r="2" spans="1:15" x14ac:dyDescent="0.25">
      <c r="A2" s="5" t="s">
        <v>700</v>
      </c>
      <c r="B2" s="6">
        <f>J2/1000</f>
        <v>0</v>
      </c>
      <c r="C2" s="7" t="s">
        <v>840</v>
      </c>
      <c r="D2" s="7" t="s">
        <v>15</v>
      </c>
      <c r="E2" s="7" t="s">
        <v>826</v>
      </c>
      <c r="F2" s="8">
        <v>0</v>
      </c>
      <c r="G2" s="7" t="s">
        <v>701</v>
      </c>
      <c r="H2" s="7" t="s">
        <v>672</v>
      </c>
      <c r="I2" s="10">
        <v>70</v>
      </c>
      <c r="J2" s="10">
        <v>0</v>
      </c>
      <c r="K2" s="35">
        <f>J428</f>
        <v>232509.25999999983</v>
      </c>
      <c r="L2" s="38"/>
      <c r="M2" s="37" t="str">
        <f>VLOOKUP($M1,B2:C428,2)</f>
        <v>PÓRTICO SE BJD</v>
      </c>
      <c r="N2" s="37" t="str">
        <f>VLOOKUP($M1,B2:D428,3)</f>
        <v>TORRE 001</v>
      </c>
      <c r="O2" s="37" t="str">
        <f>VLOOKUP($M1,$B2:$K428,4)</f>
        <v>CBA</v>
      </c>
    </row>
    <row r="3" spans="1:15" x14ac:dyDescent="0.25">
      <c r="A3" s="5" t="s">
        <v>700</v>
      </c>
      <c r="B3" s="6">
        <f t="shared" ref="B3:B66" si="0">J3/1000</f>
        <v>7.0000000000000007E-2</v>
      </c>
      <c r="C3" s="7" t="s">
        <v>15</v>
      </c>
      <c r="D3" s="7" t="s">
        <v>20</v>
      </c>
      <c r="E3" s="7" t="s">
        <v>826</v>
      </c>
      <c r="F3" s="8">
        <v>7.0019999999969967E-2</v>
      </c>
      <c r="G3" s="7" t="s">
        <v>672</v>
      </c>
      <c r="H3" s="7" t="s">
        <v>673</v>
      </c>
      <c r="I3" s="10">
        <v>459</v>
      </c>
      <c r="J3" s="10">
        <f>I2</f>
        <v>70</v>
      </c>
      <c r="K3" s="6">
        <f>K2-I2</f>
        <v>232439.25999999983</v>
      </c>
      <c r="L3" s="37"/>
      <c r="M3" s="37" t="s">
        <v>862</v>
      </c>
      <c r="N3" s="11" t="s">
        <v>863</v>
      </c>
    </row>
    <row r="4" spans="1:15" x14ac:dyDescent="0.25">
      <c r="A4" s="5" t="s">
        <v>700</v>
      </c>
      <c r="B4" s="6">
        <f t="shared" si="0"/>
        <v>0.52900000000000003</v>
      </c>
      <c r="C4" s="7" t="s">
        <v>20</v>
      </c>
      <c r="D4" s="7" t="s">
        <v>23</v>
      </c>
      <c r="E4" s="7" t="s">
        <v>826</v>
      </c>
      <c r="F4" s="8">
        <v>0.51126999999996992</v>
      </c>
      <c r="G4" s="7" t="s">
        <v>673</v>
      </c>
      <c r="H4" s="7" t="s">
        <v>674</v>
      </c>
      <c r="I4" s="10">
        <v>532.09</v>
      </c>
      <c r="J4" s="10">
        <f>J3+I3</f>
        <v>529</v>
      </c>
      <c r="K4" s="6">
        <f t="shared" ref="K4:K67" si="1">K3-I3</f>
        <v>231980.25999999983</v>
      </c>
      <c r="M4" s="37" t="s">
        <v>862</v>
      </c>
    </row>
    <row r="5" spans="1:15" x14ac:dyDescent="0.25">
      <c r="A5" s="5" t="s">
        <v>700</v>
      </c>
      <c r="B5" s="6">
        <f t="shared" si="0"/>
        <v>1.0610900000000001</v>
      </c>
      <c r="C5" s="7" t="s">
        <v>23</v>
      </c>
      <c r="D5" s="7" t="s">
        <v>25</v>
      </c>
      <c r="E5" s="7" t="s">
        <v>826</v>
      </c>
      <c r="F5" s="8">
        <v>1.0319999999999701</v>
      </c>
      <c r="G5" s="7" t="s">
        <v>674</v>
      </c>
      <c r="H5" s="7" t="s">
        <v>675</v>
      </c>
      <c r="I5" s="10">
        <v>466.99</v>
      </c>
      <c r="J5" s="10">
        <f t="shared" ref="J5:J68" si="2">J4+I4</f>
        <v>1061.0900000000001</v>
      </c>
      <c r="K5" s="6">
        <f t="shared" si="1"/>
        <v>231448.16999999984</v>
      </c>
    </row>
    <row r="6" spans="1:15" x14ac:dyDescent="0.25">
      <c r="A6" s="5" t="s">
        <v>700</v>
      </c>
      <c r="B6" s="6">
        <f t="shared" si="0"/>
        <v>1.5280800000000001</v>
      </c>
      <c r="C6" s="7" t="s">
        <v>25</v>
      </c>
      <c r="D6" s="7" t="s">
        <v>27</v>
      </c>
      <c r="E6" s="7" t="s">
        <v>826</v>
      </c>
      <c r="F6" s="8">
        <v>1.7126199999999698</v>
      </c>
      <c r="G6" s="7" t="s">
        <v>675</v>
      </c>
      <c r="H6" s="7" t="s">
        <v>676</v>
      </c>
      <c r="I6" s="10">
        <v>520.24</v>
      </c>
      <c r="J6" s="10">
        <f t="shared" si="2"/>
        <v>1528.0800000000002</v>
      </c>
      <c r="K6" s="6">
        <f t="shared" si="1"/>
        <v>230981.17999999985</v>
      </c>
    </row>
    <row r="7" spans="1:15" x14ac:dyDescent="0.25">
      <c r="A7" s="5" t="s">
        <v>700</v>
      </c>
      <c r="B7" s="6">
        <f t="shared" si="0"/>
        <v>2.0483200000000004</v>
      </c>
      <c r="C7" s="7" t="s">
        <v>27</v>
      </c>
      <c r="D7" s="7" t="s">
        <v>29</v>
      </c>
      <c r="E7" s="7" t="s">
        <v>826</v>
      </c>
      <c r="F7" s="8">
        <v>2.2652399999999697</v>
      </c>
      <c r="G7" s="7" t="s">
        <v>676</v>
      </c>
      <c r="H7" s="7" t="s">
        <v>677</v>
      </c>
      <c r="I7" s="10">
        <v>558.71</v>
      </c>
      <c r="J7" s="10">
        <f t="shared" si="2"/>
        <v>2048.3200000000002</v>
      </c>
      <c r="K7" s="6">
        <f t="shared" si="1"/>
        <v>230460.93999999986</v>
      </c>
    </row>
    <row r="8" spans="1:15" x14ac:dyDescent="0.25">
      <c r="A8" s="5" t="s">
        <v>700</v>
      </c>
      <c r="B8" s="6">
        <f t="shared" si="0"/>
        <v>2.6070300000000004</v>
      </c>
      <c r="C8" s="7" t="s">
        <v>29</v>
      </c>
      <c r="D8" s="7" t="s">
        <v>31</v>
      </c>
      <c r="E8" s="7" t="s">
        <v>826</v>
      </c>
      <c r="F8" s="8">
        <v>2.7052799999999699</v>
      </c>
      <c r="G8" s="7" t="s">
        <v>677</v>
      </c>
      <c r="H8" s="7" t="s">
        <v>678</v>
      </c>
      <c r="I8" s="10">
        <v>529.6</v>
      </c>
      <c r="J8" s="10">
        <f t="shared" si="2"/>
        <v>2607.0300000000002</v>
      </c>
      <c r="K8" s="6">
        <f t="shared" si="1"/>
        <v>229902.22999999986</v>
      </c>
    </row>
    <row r="9" spans="1:15" x14ac:dyDescent="0.25">
      <c r="A9" s="5" t="s">
        <v>700</v>
      </c>
      <c r="B9" s="6">
        <f t="shared" si="0"/>
        <v>3.1366300000000003</v>
      </c>
      <c r="C9" s="7" t="s">
        <v>31</v>
      </c>
      <c r="D9" s="7" t="s">
        <v>33</v>
      </c>
      <c r="E9" s="7" t="s">
        <v>826</v>
      </c>
      <c r="F9" s="8">
        <v>3.2897899999999698</v>
      </c>
      <c r="G9" s="7" t="s">
        <v>678</v>
      </c>
      <c r="H9" s="7" t="s">
        <v>679</v>
      </c>
      <c r="I9" s="10">
        <v>544.15</v>
      </c>
      <c r="J9" s="10">
        <f t="shared" si="2"/>
        <v>3136.63</v>
      </c>
      <c r="K9" s="6">
        <f t="shared" si="1"/>
        <v>229372.62999999986</v>
      </c>
    </row>
    <row r="10" spans="1:15" x14ac:dyDescent="0.25">
      <c r="A10" s="5" t="s">
        <v>700</v>
      </c>
      <c r="B10" s="6">
        <f t="shared" si="0"/>
        <v>3.6807800000000004</v>
      </c>
      <c r="C10" s="7" t="s">
        <v>33</v>
      </c>
      <c r="D10" s="7" t="s">
        <v>35</v>
      </c>
      <c r="E10" s="7" t="s">
        <v>826</v>
      </c>
      <c r="F10" s="8">
        <v>3.8166899999999702</v>
      </c>
      <c r="G10" s="7" t="s">
        <v>679</v>
      </c>
      <c r="H10" s="7" t="s">
        <v>680</v>
      </c>
      <c r="I10" s="10">
        <v>527.66999999999996</v>
      </c>
      <c r="J10" s="10">
        <f t="shared" si="2"/>
        <v>3680.78</v>
      </c>
      <c r="K10" s="6">
        <f t="shared" si="1"/>
        <v>228828.47999999986</v>
      </c>
    </row>
    <row r="11" spans="1:15" x14ac:dyDescent="0.25">
      <c r="A11" s="5" t="s">
        <v>700</v>
      </c>
      <c r="B11" s="6">
        <f t="shared" si="0"/>
        <v>4.20845</v>
      </c>
      <c r="C11" s="7" t="s">
        <v>35</v>
      </c>
      <c r="D11" s="7" t="s">
        <v>37</v>
      </c>
      <c r="E11" s="7" t="s">
        <v>826</v>
      </c>
      <c r="F11" s="8">
        <v>4.4792099999999699</v>
      </c>
      <c r="G11" s="7" t="s">
        <v>680</v>
      </c>
      <c r="H11" s="7" t="s">
        <v>681</v>
      </c>
      <c r="I11" s="10">
        <v>428.06</v>
      </c>
      <c r="J11" s="10">
        <f t="shared" si="2"/>
        <v>4208.45</v>
      </c>
      <c r="K11" s="6">
        <f t="shared" si="1"/>
        <v>228300.80999999985</v>
      </c>
    </row>
    <row r="12" spans="1:15" x14ac:dyDescent="0.25">
      <c r="A12" s="5" t="s">
        <v>700</v>
      </c>
      <c r="B12" s="6">
        <f t="shared" si="0"/>
        <v>4.6365100000000004</v>
      </c>
      <c r="C12" s="7" t="s">
        <v>37</v>
      </c>
      <c r="D12" s="7" t="s">
        <v>39</v>
      </c>
      <c r="E12" s="7" t="s">
        <v>826</v>
      </c>
      <c r="F12" s="8">
        <v>5.1114499999999694</v>
      </c>
      <c r="G12" s="7" t="s">
        <v>681</v>
      </c>
      <c r="H12" s="7" t="s">
        <v>682</v>
      </c>
      <c r="I12" s="10">
        <v>419.37</v>
      </c>
      <c r="J12" s="10">
        <f t="shared" si="2"/>
        <v>4636.51</v>
      </c>
      <c r="K12" s="6">
        <f t="shared" si="1"/>
        <v>227872.74999999985</v>
      </c>
    </row>
    <row r="13" spans="1:15" x14ac:dyDescent="0.25">
      <c r="A13" s="5" t="s">
        <v>700</v>
      </c>
      <c r="B13" s="6">
        <f t="shared" si="0"/>
        <v>5.0558800000000002</v>
      </c>
      <c r="C13" s="7" t="s">
        <v>39</v>
      </c>
      <c r="D13" s="7" t="s">
        <v>41</v>
      </c>
      <c r="E13" s="7" t="s">
        <v>826</v>
      </c>
      <c r="F13" s="8">
        <v>5.6664699999999701</v>
      </c>
      <c r="G13" s="7" t="s">
        <v>682</v>
      </c>
      <c r="H13" s="7" t="s">
        <v>683</v>
      </c>
      <c r="I13" s="10">
        <v>504.82</v>
      </c>
      <c r="J13" s="10">
        <f t="shared" si="2"/>
        <v>5055.88</v>
      </c>
      <c r="K13" s="6">
        <f t="shared" si="1"/>
        <v>227453.37999999986</v>
      </c>
    </row>
    <row r="14" spans="1:15" x14ac:dyDescent="0.25">
      <c r="A14" s="5" t="s">
        <v>700</v>
      </c>
      <c r="B14" s="6">
        <f t="shared" si="0"/>
        <v>5.5606999999999998</v>
      </c>
      <c r="C14" s="7" t="s">
        <v>41</v>
      </c>
      <c r="D14" s="7" t="s">
        <v>43</v>
      </c>
      <c r="E14" s="7" t="s">
        <v>826</v>
      </c>
      <c r="F14" s="8">
        <v>6.2056899999999704</v>
      </c>
      <c r="G14" s="7" t="s">
        <v>683</v>
      </c>
      <c r="H14" s="7" t="s">
        <v>684</v>
      </c>
      <c r="I14" s="10">
        <v>461.34</v>
      </c>
      <c r="J14" s="10">
        <f t="shared" si="2"/>
        <v>5560.7</v>
      </c>
      <c r="K14" s="6">
        <f t="shared" si="1"/>
        <v>226948.55999999985</v>
      </c>
    </row>
    <row r="15" spans="1:15" x14ac:dyDescent="0.25">
      <c r="A15" s="5" t="s">
        <v>700</v>
      </c>
      <c r="B15" s="6">
        <f t="shared" si="0"/>
        <v>6.0220399999999996</v>
      </c>
      <c r="C15" s="7" t="s">
        <v>43</v>
      </c>
      <c r="D15" s="7" t="s">
        <v>45</v>
      </c>
      <c r="E15" s="7" t="s">
        <v>826</v>
      </c>
      <c r="F15" s="8">
        <v>6.75463999999997</v>
      </c>
      <c r="G15" s="7" t="s">
        <v>684</v>
      </c>
      <c r="H15" s="7" t="s">
        <v>685</v>
      </c>
      <c r="I15" s="10">
        <v>512.67999999999995</v>
      </c>
      <c r="J15" s="10">
        <f t="shared" si="2"/>
        <v>6022.04</v>
      </c>
      <c r="K15" s="6">
        <f t="shared" si="1"/>
        <v>226487.21999999986</v>
      </c>
    </row>
    <row r="16" spans="1:15" x14ac:dyDescent="0.25">
      <c r="A16" s="5" t="s">
        <v>700</v>
      </c>
      <c r="B16" s="6">
        <f t="shared" si="0"/>
        <v>6.5347200000000001</v>
      </c>
      <c r="C16" s="7" t="s">
        <v>45</v>
      </c>
      <c r="D16" s="7" t="s">
        <v>47</v>
      </c>
      <c r="E16" s="7" t="s">
        <v>826</v>
      </c>
      <c r="F16" s="8">
        <v>7.3057999999999703</v>
      </c>
      <c r="G16" s="7" t="s">
        <v>685</v>
      </c>
      <c r="H16" s="7" t="s">
        <v>686</v>
      </c>
      <c r="I16" s="10">
        <v>554.74</v>
      </c>
      <c r="J16" s="10">
        <f t="shared" si="2"/>
        <v>6534.72</v>
      </c>
      <c r="K16" s="6">
        <f t="shared" si="1"/>
        <v>225974.53999999986</v>
      </c>
    </row>
    <row r="17" spans="1:17" x14ac:dyDescent="0.25">
      <c r="A17" s="5" t="s">
        <v>700</v>
      </c>
      <c r="B17" s="6">
        <f t="shared" si="0"/>
        <v>7.0894599999999999</v>
      </c>
      <c r="C17" s="7" t="s">
        <v>47</v>
      </c>
      <c r="D17" s="7" t="s">
        <v>49</v>
      </c>
      <c r="E17" s="7" t="s">
        <v>826</v>
      </c>
      <c r="F17" s="8">
        <v>7.8598499999999705</v>
      </c>
      <c r="G17" s="7" t="s">
        <v>686</v>
      </c>
      <c r="H17" s="7" t="s">
        <v>687</v>
      </c>
      <c r="I17" s="10">
        <v>559.79</v>
      </c>
      <c r="J17" s="10">
        <f t="shared" si="2"/>
        <v>7089.46</v>
      </c>
      <c r="K17" s="6">
        <f t="shared" si="1"/>
        <v>225419.79999999987</v>
      </c>
    </row>
    <row r="18" spans="1:17" x14ac:dyDescent="0.25">
      <c r="A18" s="5" t="s">
        <v>700</v>
      </c>
      <c r="B18" s="6">
        <f t="shared" si="0"/>
        <v>7.6492500000000003</v>
      </c>
      <c r="C18" s="7" t="s">
        <v>49</v>
      </c>
      <c r="D18" s="7" t="s">
        <v>51</v>
      </c>
      <c r="E18" s="7" t="s">
        <v>826</v>
      </c>
      <c r="F18" s="8">
        <v>8.4589799999999702</v>
      </c>
      <c r="G18" s="7" t="s">
        <v>687</v>
      </c>
      <c r="H18" s="7" t="s">
        <v>688</v>
      </c>
      <c r="I18" s="10">
        <v>517.59</v>
      </c>
      <c r="J18" s="10">
        <f t="shared" si="2"/>
        <v>7649.25</v>
      </c>
      <c r="K18" s="6">
        <f t="shared" si="1"/>
        <v>224860.00999999986</v>
      </c>
    </row>
    <row r="19" spans="1:17" x14ac:dyDescent="0.25">
      <c r="A19" s="5" t="s">
        <v>700</v>
      </c>
      <c r="B19" s="6">
        <f t="shared" si="0"/>
        <v>8.1668400000000005</v>
      </c>
      <c r="C19" s="7" t="s">
        <v>51</v>
      </c>
      <c r="D19" s="7" t="s">
        <v>53</v>
      </c>
      <c r="E19" s="7" t="s">
        <v>826</v>
      </c>
      <c r="F19" s="8">
        <v>9.058859999999969</v>
      </c>
      <c r="G19" s="7" t="s">
        <v>688</v>
      </c>
      <c r="H19" s="7" t="s">
        <v>689</v>
      </c>
      <c r="I19" s="10">
        <v>461.51</v>
      </c>
      <c r="J19" s="10">
        <f t="shared" si="2"/>
        <v>8166.84</v>
      </c>
      <c r="K19" s="6">
        <f t="shared" si="1"/>
        <v>224342.41999999987</v>
      </c>
    </row>
    <row r="20" spans="1:17" x14ac:dyDescent="0.25">
      <c r="A20" s="5" t="s">
        <v>700</v>
      </c>
      <c r="B20" s="6">
        <f t="shared" si="0"/>
        <v>8.6283500000000011</v>
      </c>
      <c r="C20" s="7" t="s">
        <v>53</v>
      </c>
      <c r="D20" s="7" t="s">
        <v>55</v>
      </c>
      <c r="E20" s="7" t="s">
        <v>826</v>
      </c>
      <c r="F20" s="8">
        <v>9.7764099999999683</v>
      </c>
      <c r="G20" s="7" t="s">
        <v>689</v>
      </c>
      <c r="H20" s="7" t="s">
        <v>690</v>
      </c>
      <c r="I20" s="10">
        <v>490.06</v>
      </c>
      <c r="J20" s="10">
        <f t="shared" si="2"/>
        <v>8628.35</v>
      </c>
      <c r="K20" s="6">
        <f t="shared" si="1"/>
        <v>223880.90999999986</v>
      </c>
    </row>
    <row r="21" spans="1:17" x14ac:dyDescent="0.25">
      <c r="A21" s="5" t="s">
        <v>700</v>
      </c>
      <c r="B21" s="6">
        <f t="shared" si="0"/>
        <v>9.118409999999999</v>
      </c>
      <c r="C21" s="7" t="s">
        <v>55</v>
      </c>
      <c r="D21" s="7" t="s">
        <v>57</v>
      </c>
      <c r="E21" s="7" t="s">
        <v>826</v>
      </c>
      <c r="F21" s="8">
        <v>10.25092999999997</v>
      </c>
      <c r="G21" s="7" t="s">
        <v>690</v>
      </c>
      <c r="H21" s="7" t="s">
        <v>691</v>
      </c>
      <c r="I21" s="10">
        <v>488.41</v>
      </c>
      <c r="J21" s="10">
        <f t="shared" si="2"/>
        <v>9118.41</v>
      </c>
      <c r="K21" s="6">
        <f t="shared" si="1"/>
        <v>223390.84999999986</v>
      </c>
    </row>
    <row r="22" spans="1:17" x14ac:dyDescent="0.25">
      <c r="A22" s="5" t="s">
        <v>700</v>
      </c>
      <c r="B22" s="6">
        <f t="shared" si="0"/>
        <v>9.606819999999999</v>
      </c>
      <c r="C22" s="7" t="s">
        <v>57</v>
      </c>
      <c r="D22" s="7" t="s">
        <v>59</v>
      </c>
      <c r="E22" s="7" t="s">
        <v>826</v>
      </c>
      <c r="F22" s="8">
        <v>10.766679999999969</v>
      </c>
      <c r="G22" s="7" t="s">
        <v>691</v>
      </c>
      <c r="H22" s="7" t="s">
        <v>692</v>
      </c>
      <c r="I22" s="10">
        <v>481.46</v>
      </c>
      <c r="J22" s="10">
        <f t="shared" si="2"/>
        <v>9606.82</v>
      </c>
      <c r="K22" s="6">
        <f t="shared" si="1"/>
        <v>222902.43999999986</v>
      </c>
    </row>
    <row r="23" spans="1:17" x14ac:dyDescent="0.25">
      <c r="A23" s="5" t="s">
        <v>700</v>
      </c>
      <c r="B23" s="6">
        <f t="shared" si="0"/>
        <v>10.088279999999999</v>
      </c>
      <c r="C23" s="7" t="s">
        <v>59</v>
      </c>
      <c r="D23" s="7" t="s">
        <v>61</v>
      </c>
      <c r="E23" s="7" t="s">
        <v>826</v>
      </c>
      <c r="F23" s="8">
        <v>11.388539999999971</v>
      </c>
      <c r="G23" s="7" t="s">
        <v>692</v>
      </c>
      <c r="H23" s="7" t="s">
        <v>693</v>
      </c>
      <c r="I23" s="10">
        <v>467.87</v>
      </c>
      <c r="J23" s="10">
        <f t="shared" si="2"/>
        <v>10088.279999999999</v>
      </c>
      <c r="K23" s="6">
        <f t="shared" si="1"/>
        <v>222420.97999999986</v>
      </c>
    </row>
    <row r="24" spans="1:17" x14ac:dyDescent="0.25">
      <c r="A24" s="5" t="s">
        <v>700</v>
      </c>
      <c r="B24" s="6">
        <f t="shared" si="0"/>
        <v>10.556149999999999</v>
      </c>
      <c r="C24" s="7" t="s">
        <v>61</v>
      </c>
      <c r="D24" s="7" t="s">
        <v>63</v>
      </c>
      <c r="E24" s="7" t="s">
        <v>826</v>
      </c>
      <c r="F24" s="8">
        <v>12.07355999999997</v>
      </c>
      <c r="G24" s="7" t="s">
        <v>693</v>
      </c>
      <c r="H24" s="7" t="s">
        <v>694</v>
      </c>
      <c r="I24" s="10">
        <v>510.97</v>
      </c>
      <c r="J24" s="10">
        <f t="shared" si="2"/>
        <v>10556.15</v>
      </c>
      <c r="K24" s="6">
        <f t="shared" si="1"/>
        <v>221953.10999999987</v>
      </c>
    </row>
    <row r="25" spans="1:17" x14ac:dyDescent="0.25">
      <c r="A25" s="5" t="s">
        <v>700</v>
      </c>
      <c r="B25" s="6">
        <f t="shared" si="0"/>
        <v>11.067119999999999</v>
      </c>
      <c r="C25" s="7" t="s">
        <v>63</v>
      </c>
      <c r="D25" s="7" t="s">
        <v>65</v>
      </c>
      <c r="E25" s="7" t="s">
        <v>826</v>
      </c>
      <c r="F25" s="8">
        <v>12.79480999999997</v>
      </c>
      <c r="G25" s="7" t="s">
        <v>694</v>
      </c>
      <c r="H25" s="7" t="s">
        <v>695</v>
      </c>
      <c r="I25" s="10">
        <v>579.74</v>
      </c>
      <c r="J25" s="10">
        <f t="shared" si="2"/>
        <v>11067.119999999999</v>
      </c>
      <c r="K25" s="6">
        <f t="shared" si="1"/>
        <v>221442.13999999987</v>
      </c>
    </row>
    <row r="26" spans="1:17" x14ac:dyDescent="0.25">
      <c r="A26" s="5" t="s">
        <v>700</v>
      </c>
      <c r="B26" s="6">
        <f t="shared" si="0"/>
        <v>11.646859999999998</v>
      </c>
      <c r="C26" s="7" t="s">
        <v>65</v>
      </c>
      <c r="D26" s="7" t="s">
        <v>67</v>
      </c>
      <c r="E26" s="7" t="s">
        <v>826</v>
      </c>
      <c r="F26" s="8">
        <v>13.414989999999971</v>
      </c>
      <c r="G26" s="7" t="s">
        <v>695</v>
      </c>
      <c r="H26" s="7" t="s">
        <v>696</v>
      </c>
      <c r="I26" s="10">
        <v>571.25</v>
      </c>
      <c r="J26" s="10">
        <f t="shared" si="2"/>
        <v>11646.859999999999</v>
      </c>
      <c r="K26" s="6">
        <f t="shared" si="1"/>
        <v>220862.39999999988</v>
      </c>
    </row>
    <row r="27" spans="1:17" x14ac:dyDescent="0.25">
      <c r="A27" s="5" t="s">
        <v>700</v>
      </c>
      <c r="B27" s="6">
        <f t="shared" si="0"/>
        <v>12.218109999999999</v>
      </c>
      <c r="C27" s="7" t="s">
        <v>67</v>
      </c>
      <c r="D27" s="7" t="s">
        <v>69</v>
      </c>
      <c r="E27" s="7" t="s">
        <v>826</v>
      </c>
      <c r="F27" s="8">
        <v>13.97113999999997</v>
      </c>
      <c r="G27" s="7" t="s">
        <v>696</v>
      </c>
      <c r="H27" s="7" t="s">
        <v>188</v>
      </c>
      <c r="I27" s="10">
        <v>551.73</v>
      </c>
      <c r="J27" s="10">
        <f t="shared" si="2"/>
        <v>12218.109999999999</v>
      </c>
      <c r="K27" s="6">
        <f t="shared" si="1"/>
        <v>220291.14999999988</v>
      </c>
      <c r="Q27" t="s">
        <v>831</v>
      </c>
    </row>
    <row r="28" spans="1:17" x14ac:dyDescent="0.25">
      <c r="A28" s="5" t="s">
        <v>700</v>
      </c>
      <c r="B28" s="6">
        <f t="shared" si="0"/>
        <v>12.769839999999999</v>
      </c>
      <c r="C28" s="7" t="s">
        <v>69</v>
      </c>
      <c r="D28" s="7" t="s">
        <v>71</v>
      </c>
      <c r="E28" s="7" t="s">
        <v>826</v>
      </c>
      <c r="F28" s="8">
        <v>14.525679999999971</v>
      </c>
      <c r="G28" s="7" t="s">
        <v>188</v>
      </c>
      <c r="H28" s="7" t="s">
        <v>189</v>
      </c>
      <c r="I28" s="10">
        <v>587.38</v>
      </c>
      <c r="J28" s="10">
        <f t="shared" si="2"/>
        <v>12769.839999999998</v>
      </c>
      <c r="K28" s="6">
        <f t="shared" si="1"/>
        <v>219739.41999999987</v>
      </c>
    </row>
    <row r="29" spans="1:17" x14ac:dyDescent="0.25">
      <c r="A29" s="5" t="s">
        <v>700</v>
      </c>
      <c r="B29" s="6">
        <f t="shared" si="0"/>
        <v>13.357219999999998</v>
      </c>
      <c r="C29" s="7" t="s">
        <v>71</v>
      </c>
      <c r="D29" s="7" t="s">
        <v>73</v>
      </c>
      <c r="E29" s="7" t="s">
        <v>826</v>
      </c>
      <c r="F29" s="8">
        <v>15.153209999999971</v>
      </c>
      <c r="G29" s="7" t="s">
        <v>189</v>
      </c>
      <c r="H29" s="7" t="s">
        <v>190</v>
      </c>
      <c r="I29" s="10">
        <v>568.83000000000004</v>
      </c>
      <c r="J29" s="10">
        <f t="shared" si="2"/>
        <v>13357.219999999998</v>
      </c>
      <c r="K29" s="6">
        <f t="shared" si="1"/>
        <v>219152.03999999986</v>
      </c>
    </row>
    <row r="30" spans="1:17" x14ac:dyDescent="0.25">
      <c r="A30" s="5" t="s">
        <v>700</v>
      </c>
      <c r="B30" s="6">
        <f t="shared" si="0"/>
        <v>13.926049999999998</v>
      </c>
      <c r="C30" s="7" t="s">
        <v>73</v>
      </c>
      <c r="D30" s="7" t="s">
        <v>75</v>
      </c>
      <c r="E30" s="7" t="s">
        <v>826</v>
      </c>
      <c r="F30" s="8">
        <v>15.652569999999972</v>
      </c>
      <c r="G30" s="7" t="s">
        <v>190</v>
      </c>
      <c r="H30" s="7" t="s">
        <v>191</v>
      </c>
      <c r="I30" s="10">
        <v>570.65</v>
      </c>
      <c r="J30" s="10">
        <f t="shared" si="2"/>
        <v>13926.049999999997</v>
      </c>
      <c r="K30" s="6">
        <f t="shared" si="1"/>
        <v>218583.20999999988</v>
      </c>
    </row>
    <row r="31" spans="1:17" x14ac:dyDescent="0.25">
      <c r="A31" s="5" t="s">
        <v>700</v>
      </c>
      <c r="B31" s="6">
        <f t="shared" si="0"/>
        <v>14.496699999999997</v>
      </c>
      <c r="C31" s="7" t="s">
        <v>75</v>
      </c>
      <c r="D31" s="7" t="s">
        <v>77</v>
      </c>
      <c r="E31" s="7" t="s">
        <v>826</v>
      </c>
      <c r="F31" s="8">
        <v>16.108459999999972</v>
      </c>
      <c r="G31" s="7" t="s">
        <v>191</v>
      </c>
      <c r="H31" s="7" t="s">
        <v>192</v>
      </c>
      <c r="I31" s="10">
        <v>554.4</v>
      </c>
      <c r="J31" s="10">
        <f t="shared" si="2"/>
        <v>14496.699999999997</v>
      </c>
      <c r="K31" s="6">
        <f t="shared" si="1"/>
        <v>218012.55999999988</v>
      </c>
    </row>
    <row r="32" spans="1:17" x14ac:dyDescent="0.25">
      <c r="A32" s="5" t="s">
        <v>700</v>
      </c>
      <c r="B32" s="6">
        <f t="shared" si="0"/>
        <v>15.051099999999996</v>
      </c>
      <c r="C32" s="7" t="s">
        <v>77</v>
      </c>
      <c r="D32" s="7" t="s">
        <v>79</v>
      </c>
      <c r="E32" s="7" t="s">
        <v>826</v>
      </c>
      <c r="F32" s="8">
        <v>16.525789999999972</v>
      </c>
      <c r="G32" s="7" t="s">
        <v>192</v>
      </c>
      <c r="H32" s="7" t="s">
        <v>193</v>
      </c>
      <c r="I32" s="10">
        <v>570.49</v>
      </c>
      <c r="J32" s="10">
        <f t="shared" si="2"/>
        <v>15051.099999999997</v>
      </c>
      <c r="K32" s="6">
        <f t="shared" si="1"/>
        <v>217458.15999999989</v>
      </c>
    </row>
    <row r="33" spans="1:11" x14ac:dyDescent="0.25">
      <c r="A33" s="5" t="s">
        <v>700</v>
      </c>
      <c r="B33" s="6">
        <f t="shared" si="0"/>
        <v>15.621589999999996</v>
      </c>
      <c r="C33" s="7" t="s">
        <v>79</v>
      </c>
      <c r="D33" s="7" t="s">
        <v>81</v>
      </c>
      <c r="E33" s="7" t="s">
        <v>826</v>
      </c>
      <c r="F33" s="8">
        <v>16.951179999999972</v>
      </c>
      <c r="G33" s="7" t="s">
        <v>193</v>
      </c>
      <c r="H33" s="7" t="s">
        <v>194</v>
      </c>
      <c r="I33" s="10">
        <v>571.86</v>
      </c>
      <c r="J33" s="10">
        <f t="shared" si="2"/>
        <v>15621.589999999997</v>
      </c>
      <c r="K33" s="6">
        <f t="shared" si="1"/>
        <v>216887.6699999999</v>
      </c>
    </row>
    <row r="34" spans="1:11" x14ac:dyDescent="0.25">
      <c r="A34" s="5" t="s">
        <v>700</v>
      </c>
      <c r="B34" s="6">
        <f t="shared" si="0"/>
        <v>16.193449999999999</v>
      </c>
      <c r="C34" s="7" t="s">
        <v>81</v>
      </c>
      <c r="D34" s="7" t="s">
        <v>83</v>
      </c>
      <c r="E34" s="7" t="s">
        <v>826</v>
      </c>
      <c r="F34" s="8">
        <v>17.882959999999969</v>
      </c>
      <c r="G34" s="7" t="s">
        <v>194</v>
      </c>
      <c r="H34" s="7" t="s">
        <v>195</v>
      </c>
      <c r="I34" s="10">
        <v>487.91</v>
      </c>
      <c r="J34" s="10">
        <f t="shared" si="2"/>
        <v>16193.449999999997</v>
      </c>
      <c r="K34" s="6">
        <f t="shared" si="1"/>
        <v>216315.80999999991</v>
      </c>
    </row>
    <row r="35" spans="1:11" x14ac:dyDescent="0.25">
      <c r="A35" s="5" t="s">
        <v>700</v>
      </c>
      <c r="B35" s="6">
        <f t="shared" si="0"/>
        <v>16.681359999999998</v>
      </c>
      <c r="C35" s="7" t="s">
        <v>83</v>
      </c>
      <c r="D35" s="7" t="s">
        <v>85</v>
      </c>
      <c r="E35" s="7" t="s">
        <v>826</v>
      </c>
      <c r="F35" s="8">
        <v>18.456159999999972</v>
      </c>
      <c r="G35" s="7" t="s">
        <v>195</v>
      </c>
      <c r="H35" s="7" t="s">
        <v>196</v>
      </c>
      <c r="I35" s="10">
        <v>488.13</v>
      </c>
      <c r="J35" s="10">
        <f t="shared" si="2"/>
        <v>16681.359999999997</v>
      </c>
      <c r="K35" s="6">
        <f t="shared" si="1"/>
        <v>215827.89999999991</v>
      </c>
    </row>
    <row r="36" spans="1:11" x14ac:dyDescent="0.25">
      <c r="A36" s="5" t="s">
        <v>700</v>
      </c>
      <c r="B36" s="6">
        <f t="shared" si="0"/>
        <v>17.16949</v>
      </c>
      <c r="C36" s="7" t="s">
        <v>85</v>
      </c>
      <c r="D36" s="7" t="s">
        <v>87</v>
      </c>
      <c r="E36" s="7" t="s">
        <v>826</v>
      </c>
      <c r="F36" s="8">
        <v>19.062209999999968</v>
      </c>
      <c r="G36" s="7" t="s">
        <v>196</v>
      </c>
      <c r="H36" s="7" t="s">
        <v>197</v>
      </c>
      <c r="I36" s="10">
        <v>470.06</v>
      </c>
      <c r="J36" s="10">
        <f t="shared" si="2"/>
        <v>17169.489999999998</v>
      </c>
      <c r="K36" s="6">
        <f t="shared" si="1"/>
        <v>215339.7699999999</v>
      </c>
    </row>
    <row r="37" spans="1:11" x14ac:dyDescent="0.25">
      <c r="A37" s="5" t="s">
        <v>700</v>
      </c>
      <c r="B37" s="6">
        <f t="shared" si="0"/>
        <v>17.63955</v>
      </c>
      <c r="C37" s="7" t="s">
        <v>87</v>
      </c>
      <c r="D37" s="7" t="s">
        <v>89</v>
      </c>
      <c r="E37" s="7" t="s">
        <v>826</v>
      </c>
      <c r="F37" s="8">
        <v>19.655309999999968</v>
      </c>
      <c r="G37" s="7" t="s">
        <v>197</v>
      </c>
      <c r="H37" s="7" t="s">
        <v>198</v>
      </c>
      <c r="I37" s="10">
        <v>467.24</v>
      </c>
      <c r="J37" s="10">
        <f t="shared" si="2"/>
        <v>17639.55</v>
      </c>
      <c r="K37" s="6">
        <f t="shared" si="1"/>
        <v>214869.7099999999</v>
      </c>
    </row>
    <row r="38" spans="1:11" x14ac:dyDescent="0.25">
      <c r="A38" s="5" t="s">
        <v>700</v>
      </c>
      <c r="B38" s="6">
        <f t="shared" si="0"/>
        <v>18.10679</v>
      </c>
      <c r="C38" s="7" t="s">
        <v>89</v>
      </c>
      <c r="D38" s="7" t="s">
        <v>91</v>
      </c>
      <c r="E38" s="7" t="s">
        <v>826</v>
      </c>
      <c r="F38" s="8">
        <v>20.570379999999968</v>
      </c>
      <c r="G38" s="7" t="s">
        <v>198</v>
      </c>
      <c r="H38" s="7" t="s">
        <v>199</v>
      </c>
      <c r="I38" s="10">
        <v>478.62</v>
      </c>
      <c r="J38" s="10">
        <f t="shared" si="2"/>
        <v>18106.79</v>
      </c>
      <c r="K38" s="6">
        <f t="shared" si="1"/>
        <v>214402.46999999991</v>
      </c>
    </row>
    <row r="39" spans="1:11" x14ac:dyDescent="0.25">
      <c r="A39" s="5" t="s">
        <v>700</v>
      </c>
      <c r="B39" s="6">
        <f t="shared" si="0"/>
        <v>18.58541</v>
      </c>
      <c r="C39" s="7" t="s">
        <v>91</v>
      </c>
      <c r="D39" s="7" t="s">
        <v>93</v>
      </c>
      <c r="E39" s="7" t="s">
        <v>826</v>
      </c>
      <c r="F39" s="8">
        <v>21.454279999999969</v>
      </c>
      <c r="G39" s="7" t="s">
        <v>199</v>
      </c>
      <c r="H39" s="7" t="s">
        <v>200</v>
      </c>
      <c r="I39" s="10">
        <v>474.56</v>
      </c>
      <c r="J39" s="10">
        <f t="shared" si="2"/>
        <v>18585.41</v>
      </c>
      <c r="K39" s="6">
        <f t="shared" si="1"/>
        <v>213923.84999999992</v>
      </c>
    </row>
    <row r="40" spans="1:11" x14ac:dyDescent="0.25">
      <c r="A40" s="5" t="s">
        <v>700</v>
      </c>
      <c r="B40" s="6">
        <f t="shared" si="0"/>
        <v>19.05997</v>
      </c>
      <c r="C40" s="7" t="s">
        <v>93</v>
      </c>
      <c r="D40" s="7" t="s">
        <v>95</v>
      </c>
      <c r="E40" s="7" t="s">
        <v>826</v>
      </c>
      <c r="F40" s="8">
        <v>22.064119999999971</v>
      </c>
      <c r="G40" s="7" t="s">
        <v>200</v>
      </c>
      <c r="H40" s="7" t="s">
        <v>201</v>
      </c>
      <c r="I40" s="10">
        <v>470.82</v>
      </c>
      <c r="J40" s="10">
        <f t="shared" si="2"/>
        <v>19059.97</v>
      </c>
      <c r="K40" s="6">
        <f t="shared" si="1"/>
        <v>213449.28999999992</v>
      </c>
    </row>
    <row r="41" spans="1:11" x14ac:dyDescent="0.25">
      <c r="A41" s="5" t="s">
        <v>700</v>
      </c>
      <c r="B41" s="6">
        <f t="shared" si="0"/>
        <v>19.53079</v>
      </c>
      <c r="C41" s="7" t="s">
        <v>95</v>
      </c>
      <c r="D41" s="7" t="s">
        <v>97</v>
      </c>
      <c r="E41" s="7" t="s">
        <v>826</v>
      </c>
      <c r="F41" s="8">
        <v>22.84331999999997</v>
      </c>
      <c r="G41" s="7" t="s">
        <v>201</v>
      </c>
      <c r="H41" s="7" t="s">
        <v>202</v>
      </c>
      <c r="I41" s="10">
        <v>481.93</v>
      </c>
      <c r="J41" s="10">
        <f t="shared" si="2"/>
        <v>19530.79</v>
      </c>
      <c r="K41" s="6">
        <f t="shared" si="1"/>
        <v>212978.46999999991</v>
      </c>
    </row>
    <row r="42" spans="1:11" x14ac:dyDescent="0.25">
      <c r="A42" s="5" t="s">
        <v>700</v>
      </c>
      <c r="B42" s="6">
        <f t="shared" si="0"/>
        <v>20.012720000000002</v>
      </c>
      <c r="C42" s="7" t="s">
        <v>97</v>
      </c>
      <c r="D42" s="7" t="s">
        <v>99</v>
      </c>
      <c r="E42" s="7" t="s">
        <v>826</v>
      </c>
      <c r="F42" s="8">
        <v>23.65872999999997</v>
      </c>
      <c r="G42" s="7" t="s">
        <v>202</v>
      </c>
      <c r="H42" s="7" t="s">
        <v>203</v>
      </c>
      <c r="I42" s="10">
        <v>481</v>
      </c>
      <c r="J42" s="10">
        <f t="shared" si="2"/>
        <v>20012.72</v>
      </c>
      <c r="K42" s="6">
        <f t="shared" si="1"/>
        <v>212496.53999999992</v>
      </c>
    </row>
    <row r="43" spans="1:11" x14ac:dyDescent="0.25">
      <c r="A43" s="5" t="s">
        <v>700</v>
      </c>
      <c r="B43" s="6">
        <f t="shared" si="0"/>
        <v>20.49372</v>
      </c>
      <c r="C43" s="7" t="s">
        <v>99</v>
      </c>
      <c r="D43" s="7" t="s">
        <v>101</v>
      </c>
      <c r="E43" s="7" t="s">
        <v>826</v>
      </c>
      <c r="F43" s="8">
        <v>24.128499999999971</v>
      </c>
      <c r="G43" s="7" t="s">
        <v>203</v>
      </c>
      <c r="H43" s="7" t="s">
        <v>204</v>
      </c>
      <c r="I43" s="10">
        <v>496.1</v>
      </c>
      <c r="J43" s="10">
        <f t="shared" si="2"/>
        <v>20493.72</v>
      </c>
      <c r="K43" s="6">
        <f t="shared" si="1"/>
        <v>212015.53999999992</v>
      </c>
    </row>
    <row r="44" spans="1:11" x14ac:dyDescent="0.25">
      <c r="A44" s="5" t="s">
        <v>700</v>
      </c>
      <c r="B44" s="6">
        <f t="shared" si="0"/>
        <v>20.989819999999998</v>
      </c>
      <c r="C44" s="7" t="s">
        <v>101</v>
      </c>
      <c r="D44" s="7" t="s">
        <v>103</v>
      </c>
      <c r="E44" s="7" t="s">
        <v>826</v>
      </c>
      <c r="F44" s="8">
        <v>24.893869999999971</v>
      </c>
      <c r="G44" s="7" t="s">
        <v>204</v>
      </c>
      <c r="H44" s="7" t="s">
        <v>205</v>
      </c>
      <c r="I44" s="10">
        <v>480.82</v>
      </c>
      <c r="J44" s="10">
        <f t="shared" si="2"/>
        <v>20989.82</v>
      </c>
      <c r="K44" s="6">
        <f t="shared" si="1"/>
        <v>211519.43999999992</v>
      </c>
    </row>
    <row r="45" spans="1:11" x14ac:dyDescent="0.25">
      <c r="A45" s="5" t="s">
        <v>700</v>
      </c>
      <c r="B45" s="6">
        <f t="shared" si="0"/>
        <v>21.47064</v>
      </c>
      <c r="C45" s="7" t="s">
        <v>103</v>
      </c>
      <c r="D45" s="7" t="s">
        <v>105</v>
      </c>
      <c r="E45" s="7" t="s">
        <v>826</v>
      </c>
      <c r="F45" s="8">
        <v>25.533499999999972</v>
      </c>
      <c r="G45" s="7" t="s">
        <v>205</v>
      </c>
      <c r="H45" s="7" t="s">
        <v>206</v>
      </c>
      <c r="I45" s="10">
        <v>478.97</v>
      </c>
      <c r="J45" s="10">
        <f t="shared" si="2"/>
        <v>21470.639999999999</v>
      </c>
      <c r="K45" s="6">
        <f t="shared" si="1"/>
        <v>211038.61999999991</v>
      </c>
    </row>
    <row r="46" spans="1:11" x14ac:dyDescent="0.25">
      <c r="A46" s="5" t="s">
        <v>700</v>
      </c>
      <c r="B46" s="6">
        <f t="shared" si="0"/>
        <v>21.94961</v>
      </c>
      <c r="C46" s="7" t="s">
        <v>105</v>
      </c>
      <c r="D46" s="7" t="s">
        <v>107</v>
      </c>
      <c r="E46" s="7" t="s">
        <v>826</v>
      </c>
      <c r="F46" s="8">
        <v>26.333639999999971</v>
      </c>
      <c r="G46" s="7" t="s">
        <v>206</v>
      </c>
      <c r="H46" s="7" t="s">
        <v>207</v>
      </c>
      <c r="I46" s="10">
        <v>480.41</v>
      </c>
      <c r="J46" s="10">
        <f t="shared" si="2"/>
        <v>21949.61</v>
      </c>
      <c r="K46" s="6">
        <f t="shared" si="1"/>
        <v>210559.64999999991</v>
      </c>
    </row>
    <row r="47" spans="1:11" x14ac:dyDescent="0.25">
      <c r="A47" s="5" t="s">
        <v>700</v>
      </c>
      <c r="B47" s="6">
        <f t="shared" si="0"/>
        <v>22.430019999999999</v>
      </c>
      <c r="C47" s="7" t="s">
        <v>107</v>
      </c>
      <c r="D47" s="7" t="s">
        <v>109</v>
      </c>
      <c r="E47" s="7" t="s">
        <v>826</v>
      </c>
      <c r="F47" s="8">
        <v>26.728709999999971</v>
      </c>
      <c r="G47" s="7" t="s">
        <v>207</v>
      </c>
      <c r="H47" s="7" t="s">
        <v>208</v>
      </c>
      <c r="I47" s="10">
        <v>499.57</v>
      </c>
      <c r="J47" s="10">
        <f t="shared" si="2"/>
        <v>22430.02</v>
      </c>
      <c r="K47" s="6">
        <f t="shared" si="1"/>
        <v>210079.2399999999</v>
      </c>
    </row>
    <row r="48" spans="1:11" x14ac:dyDescent="0.25">
      <c r="A48" s="5" t="s">
        <v>700</v>
      </c>
      <c r="B48" s="6">
        <f t="shared" si="0"/>
        <v>22.929590000000001</v>
      </c>
      <c r="C48" s="7" t="s">
        <v>109</v>
      </c>
      <c r="D48" s="7" t="s">
        <v>111</v>
      </c>
      <c r="E48" s="7" t="s">
        <v>826</v>
      </c>
      <c r="F48" s="8">
        <v>27.22441999999997</v>
      </c>
      <c r="G48" s="7" t="s">
        <v>208</v>
      </c>
      <c r="H48" s="7" t="s">
        <v>209</v>
      </c>
      <c r="I48" s="10">
        <v>470.92</v>
      </c>
      <c r="J48" s="10">
        <f t="shared" si="2"/>
        <v>22929.59</v>
      </c>
      <c r="K48" s="6">
        <f t="shared" si="1"/>
        <v>209579.6699999999</v>
      </c>
    </row>
    <row r="49" spans="1:11" x14ac:dyDescent="0.25">
      <c r="A49" s="5" t="s">
        <v>700</v>
      </c>
      <c r="B49" s="6">
        <f t="shared" si="0"/>
        <v>23.400509999999997</v>
      </c>
      <c r="C49" s="7" t="s">
        <v>111</v>
      </c>
      <c r="D49" s="7" t="s">
        <v>113</v>
      </c>
      <c r="E49" s="7" t="s">
        <v>826</v>
      </c>
      <c r="F49" s="8">
        <v>27.64953999999997</v>
      </c>
      <c r="G49" s="7" t="s">
        <v>209</v>
      </c>
      <c r="H49" s="7" t="s">
        <v>210</v>
      </c>
      <c r="I49" s="10">
        <v>407.68</v>
      </c>
      <c r="J49" s="10">
        <f t="shared" si="2"/>
        <v>23400.51</v>
      </c>
      <c r="K49" s="6">
        <f t="shared" si="1"/>
        <v>209108.74999999988</v>
      </c>
    </row>
    <row r="50" spans="1:11" x14ac:dyDescent="0.25">
      <c r="A50" s="5" t="s">
        <v>700</v>
      </c>
      <c r="B50" s="6">
        <f t="shared" si="0"/>
        <v>23.80819</v>
      </c>
      <c r="C50" s="7" t="s">
        <v>113</v>
      </c>
      <c r="D50" s="7" t="s">
        <v>115</v>
      </c>
      <c r="E50" s="7" t="s">
        <v>826</v>
      </c>
      <c r="F50" s="8">
        <v>28.570189999999968</v>
      </c>
      <c r="G50" s="7" t="s">
        <v>210</v>
      </c>
      <c r="H50" s="7" t="s">
        <v>211</v>
      </c>
      <c r="I50" s="10">
        <v>688.87</v>
      </c>
      <c r="J50" s="10">
        <f t="shared" si="2"/>
        <v>23808.19</v>
      </c>
      <c r="K50" s="6">
        <f t="shared" si="1"/>
        <v>208701.06999999989</v>
      </c>
    </row>
    <row r="51" spans="1:11" x14ac:dyDescent="0.25">
      <c r="A51" s="5" t="s">
        <v>700</v>
      </c>
      <c r="B51" s="6">
        <f t="shared" si="0"/>
        <v>24.497059999999998</v>
      </c>
      <c r="C51" s="7" t="s">
        <v>115</v>
      </c>
      <c r="D51" s="7" t="s">
        <v>18</v>
      </c>
      <c r="E51" s="7" t="s">
        <v>826</v>
      </c>
      <c r="F51" s="8">
        <v>29.221939999999968</v>
      </c>
      <c r="G51" s="7" t="s">
        <v>211</v>
      </c>
      <c r="H51" s="7" t="s">
        <v>212</v>
      </c>
      <c r="I51" s="10">
        <v>422.24</v>
      </c>
      <c r="J51" s="10">
        <f t="shared" si="2"/>
        <v>24497.059999999998</v>
      </c>
      <c r="K51" s="6">
        <f t="shared" si="1"/>
        <v>208012.1999999999</v>
      </c>
    </row>
    <row r="52" spans="1:11" x14ac:dyDescent="0.25">
      <c r="A52" s="5" t="s">
        <v>700</v>
      </c>
      <c r="B52" s="6">
        <f t="shared" si="0"/>
        <v>24.9193</v>
      </c>
      <c r="C52" s="7" t="s">
        <v>18</v>
      </c>
      <c r="D52" s="7" t="s">
        <v>19</v>
      </c>
      <c r="E52" s="7" t="s">
        <v>826</v>
      </c>
      <c r="F52" s="8">
        <v>29.938919999999968</v>
      </c>
      <c r="G52" s="7" t="s">
        <v>212</v>
      </c>
      <c r="H52" s="7" t="s">
        <v>213</v>
      </c>
      <c r="I52" s="10">
        <v>493.12</v>
      </c>
      <c r="J52" s="10">
        <f t="shared" si="2"/>
        <v>24919.3</v>
      </c>
      <c r="K52" s="6">
        <f t="shared" si="1"/>
        <v>207589.9599999999</v>
      </c>
    </row>
    <row r="53" spans="1:11" x14ac:dyDescent="0.25">
      <c r="A53" s="5" t="s">
        <v>700</v>
      </c>
      <c r="B53" s="6">
        <f t="shared" si="0"/>
        <v>25.412419999999997</v>
      </c>
      <c r="C53" s="7" t="s">
        <v>19</v>
      </c>
      <c r="D53" s="7" t="s">
        <v>119</v>
      </c>
      <c r="E53" s="7" t="s">
        <v>826</v>
      </c>
      <c r="F53" s="8">
        <v>30.28298999999997</v>
      </c>
      <c r="G53" s="7" t="s">
        <v>213</v>
      </c>
      <c r="H53" s="7" t="s">
        <v>214</v>
      </c>
      <c r="I53" s="10">
        <v>500.8</v>
      </c>
      <c r="J53" s="10">
        <f t="shared" si="2"/>
        <v>25412.42</v>
      </c>
      <c r="K53" s="6">
        <f t="shared" si="1"/>
        <v>207096.83999999991</v>
      </c>
    </row>
    <row r="54" spans="1:11" x14ac:dyDescent="0.25">
      <c r="A54" s="5" t="s">
        <v>700</v>
      </c>
      <c r="B54" s="6">
        <f t="shared" si="0"/>
        <v>25.913219999999999</v>
      </c>
      <c r="C54" s="7" t="s">
        <v>119</v>
      </c>
      <c r="D54" s="7" t="s">
        <v>121</v>
      </c>
      <c r="E54" s="7" t="s">
        <v>826</v>
      </c>
      <c r="F54" s="8">
        <v>31.19306999999997</v>
      </c>
      <c r="G54" s="7" t="s">
        <v>214</v>
      </c>
      <c r="H54" s="7" t="s">
        <v>215</v>
      </c>
      <c r="I54" s="10">
        <v>329.49</v>
      </c>
      <c r="J54" s="10">
        <f t="shared" si="2"/>
        <v>25913.219999999998</v>
      </c>
      <c r="K54" s="6">
        <f t="shared" si="1"/>
        <v>206596.03999999992</v>
      </c>
    </row>
    <row r="55" spans="1:11" x14ac:dyDescent="0.25">
      <c r="A55" s="5" t="s">
        <v>700</v>
      </c>
      <c r="B55" s="6">
        <f t="shared" si="0"/>
        <v>26.242709999999999</v>
      </c>
      <c r="C55" s="7" t="s">
        <v>121</v>
      </c>
      <c r="D55" s="7" t="s">
        <v>123</v>
      </c>
      <c r="E55" s="7" t="s">
        <v>826</v>
      </c>
      <c r="F55" s="8">
        <v>31.660839999999972</v>
      </c>
      <c r="G55" s="7" t="s">
        <v>215</v>
      </c>
      <c r="H55" s="7" t="s">
        <v>216</v>
      </c>
      <c r="I55" s="10">
        <v>392.48</v>
      </c>
      <c r="J55" s="10">
        <f t="shared" si="2"/>
        <v>26242.71</v>
      </c>
      <c r="K55" s="6">
        <f t="shared" si="1"/>
        <v>206266.54999999993</v>
      </c>
    </row>
    <row r="56" spans="1:11" x14ac:dyDescent="0.25">
      <c r="A56" s="5" t="s">
        <v>700</v>
      </c>
      <c r="B56" s="6">
        <f t="shared" si="0"/>
        <v>26.635189999999998</v>
      </c>
      <c r="C56" s="7" t="s">
        <v>123</v>
      </c>
      <c r="D56" s="7" t="s">
        <v>125</v>
      </c>
      <c r="E56" s="7" t="s">
        <v>826</v>
      </c>
      <c r="F56" s="8">
        <v>32.281819999999968</v>
      </c>
      <c r="G56" s="7" t="s">
        <v>216</v>
      </c>
      <c r="H56" s="7" t="s">
        <v>217</v>
      </c>
      <c r="I56" s="10">
        <v>607.4</v>
      </c>
      <c r="J56" s="10">
        <f t="shared" si="2"/>
        <v>26635.19</v>
      </c>
      <c r="K56" s="6">
        <f t="shared" si="1"/>
        <v>205874.06999999992</v>
      </c>
    </row>
    <row r="57" spans="1:11" x14ac:dyDescent="0.25">
      <c r="A57" s="5" t="s">
        <v>700</v>
      </c>
      <c r="B57" s="6">
        <f t="shared" si="0"/>
        <v>27.24259</v>
      </c>
      <c r="C57" s="7" t="s">
        <v>125</v>
      </c>
      <c r="D57" s="7" t="s">
        <v>127</v>
      </c>
      <c r="E57" s="7" t="s">
        <v>826</v>
      </c>
      <c r="F57" s="8">
        <v>32.947289999999974</v>
      </c>
      <c r="G57" s="7" t="s">
        <v>217</v>
      </c>
      <c r="H57" s="7" t="s">
        <v>218</v>
      </c>
      <c r="I57" s="10">
        <v>300.07</v>
      </c>
      <c r="J57" s="10">
        <f t="shared" si="2"/>
        <v>27242.59</v>
      </c>
      <c r="K57" s="6">
        <f t="shared" si="1"/>
        <v>205266.66999999993</v>
      </c>
    </row>
    <row r="58" spans="1:11" x14ac:dyDescent="0.25">
      <c r="A58" s="5" t="s">
        <v>700</v>
      </c>
      <c r="B58" s="6">
        <f t="shared" si="0"/>
        <v>27.542660000000001</v>
      </c>
      <c r="C58" s="7" t="s">
        <v>127</v>
      </c>
      <c r="D58" s="7" t="s">
        <v>129</v>
      </c>
      <c r="E58" s="7" t="s">
        <v>826</v>
      </c>
      <c r="F58" s="8">
        <v>33.429479999999977</v>
      </c>
      <c r="G58" s="7" t="s">
        <v>218</v>
      </c>
      <c r="H58" s="7" t="s">
        <v>219</v>
      </c>
      <c r="I58" s="10">
        <v>277.06</v>
      </c>
      <c r="J58" s="10">
        <f t="shared" si="2"/>
        <v>27542.66</v>
      </c>
      <c r="K58" s="6">
        <f t="shared" si="1"/>
        <v>204966.59999999992</v>
      </c>
    </row>
    <row r="59" spans="1:11" x14ac:dyDescent="0.25">
      <c r="A59" s="5" t="s">
        <v>700</v>
      </c>
      <c r="B59" s="6">
        <f t="shared" si="0"/>
        <v>27.81972</v>
      </c>
      <c r="C59" s="7" t="s">
        <v>129</v>
      </c>
      <c r="D59" s="7" t="s">
        <v>131</v>
      </c>
      <c r="E59" s="7" t="s">
        <v>826</v>
      </c>
      <c r="F59" s="8">
        <v>33.943779999999975</v>
      </c>
      <c r="G59" s="7" t="s">
        <v>219</v>
      </c>
      <c r="H59" s="7" t="s">
        <v>220</v>
      </c>
      <c r="I59" s="10">
        <v>655.79</v>
      </c>
      <c r="J59" s="10">
        <f t="shared" si="2"/>
        <v>27819.72</v>
      </c>
      <c r="K59" s="6">
        <f t="shared" si="1"/>
        <v>204689.53999999992</v>
      </c>
    </row>
    <row r="60" spans="1:11" x14ac:dyDescent="0.25">
      <c r="A60" s="5" t="s">
        <v>700</v>
      </c>
      <c r="B60" s="6">
        <f t="shared" si="0"/>
        <v>28.475510000000003</v>
      </c>
      <c r="C60" s="7" t="s">
        <v>131</v>
      </c>
      <c r="D60" s="7" t="s">
        <v>133</v>
      </c>
      <c r="E60" s="7" t="s">
        <v>826</v>
      </c>
      <c r="F60" s="8">
        <v>34.736599999999974</v>
      </c>
      <c r="G60" s="7" t="s">
        <v>220</v>
      </c>
      <c r="H60" s="7" t="s">
        <v>221</v>
      </c>
      <c r="I60" s="10">
        <v>809.77</v>
      </c>
      <c r="J60" s="10">
        <f t="shared" si="2"/>
        <v>28475.510000000002</v>
      </c>
      <c r="K60" s="6">
        <f t="shared" si="1"/>
        <v>204033.74999999991</v>
      </c>
    </row>
    <row r="61" spans="1:11" x14ac:dyDescent="0.25">
      <c r="A61" s="5" t="s">
        <v>700</v>
      </c>
      <c r="B61" s="6">
        <f t="shared" si="0"/>
        <v>29.285280000000004</v>
      </c>
      <c r="C61" s="7" t="s">
        <v>133</v>
      </c>
      <c r="D61" s="7" t="s">
        <v>135</v>
      </c>
      <c r="E61" s="7" t="s">
        <v>826</v>
      </c>
      <c r="F61" s="8">
        <v>35.490479999999977</v>
      </c>
      <c r="G61" s="7" t="s">
        <v>221</v>
      </c>
      <c r="H61" s="7" t="s">
        <v>222</v>
      </c>
      <c r="I61" s="10">
        <v>232.45</v>
      </c>
      <c r="J61" s="10">
        <f t="shared" si="2"/>
        <v>29285.280000000002</v>
      </c>
      <c r="K61" s="6">
        <f t="shared" si="1"/>
        <v>203223.97999999992</v>
      </c>
    </row>
    <row r="62" spans="1:11" x14ac:dyDescent="0.25">
      <c r="A62" s="5" t="s">
        <v>700</v>
      </c>
      <c r="B62" s="6">
        <f t="shared" si="0"/>
        <v>29.517730000000004</v>
      </c>
      <c r="C62" s="7" t="s">
        <v>135</v>
      </c>
      <c r="D62" s="7" t="s">
        <v>137</v>
      </c>
      <c r="E62" s="7" t="s">
        <v>826</v>
      </c>
      <c r="F62" s="8">
        <v>35.932639999999978</v>
      </c>
      <c r="G62" s="7" t="s">
        <v>222</v>
      </c>
      <c r="H62" s="7" t="s">
        <v>223</v>
      </c>
      <c r="I62" s="10">
        <v>618.14</v>
      </c>
      <c r="J62" s="10">
        <f t="shared" si="2"/>
        <v>29517.730000000003</v>
      </c>
      <c r="K62" s="6">
        <f t="shared" si="1"/>
        <v>202991.52999999991</v>
      </c>
    </row>
    <row r="63" spans="1:11" x14ac:dyDescent="0.25">
      <c r="A63" s="5" t="s">
        <v>700</v>
      </c>
      <c r="B63" s="6">
        <f t="shared" si="0"/>
        <v>30.135870000000004</v>
      </c>
      <c r="C63" s="7" t="s">
        <v>137</v>
      </c>
      <c r="D63" s="7" t="s">
        <v>139</v>
      </c>
      <c r="E63" s="7" t="s">
        <v>826</v>
      </c>
      <c r="F63" s="8">
        <v>36.74471999999998</v>
      </c>
      <c r="G63" s="7" t="s">
        <v>223</v>
      </c>
      <c r="H63" s="7" t="s">
        <v>224</v>
      </c>
      <c r="I63" s="10">
        <v>580.92999999999995</v>
      </c>
      <c r="J63" s="10">
        <f t="shared" si="2"/>
        <v>30135.870000000003</v>
      </c>
      <c r="K63" s="6">
        <f t="shared" si="1"/>
        <v>202373.3899999999</v>
      </c>
    </row>
    <row r="64" spans="1:11" x14ac:dyDescent="0.25">
      <c r="A64" s="5" t="s">
        <v>700</v>
      </c>
      <c r="B64" s="6">
        <f t="shared" si="0"/>
        <v>30.716800000000003</v>
      </c>
      <c r="C64" s="7" t="s">
        <v>139</v>
      </c>
      <c r="D64" s="7" t="s">
        <v>141</v>
      </c>
      <c r="E64" s="7" t="s">
        <v>826</v>
      </c>
      <c r="F64" s="8">
        <v>37.253209999999974</v>
      </c>
      <c r="G64" s="7" t="s">
        <v>224</v>
      </c>
      <c r="H64" s="7" t="s">
        <v>225</v>
      </c>
      <c r="I64" s="10">
        <v>466.55</v>
      </c>
      <c r="J64" s="10">
        <f t="shared" si="2"/>
        <v>30716.800000000003</v>
      </c>
      <c r="K64" s="6">
        <f t="shared" si="1"/>
        <v>201792.4599999999</v>
      </c>
    </row>
    <row r="65" spans="1:11" x14ac:dyDescent="0.25">
      <c r="A65" s="5" t="s">
        <v>700</v>
      </c>
      <c r="B65" s="6">
        <f t="shared" si="0"/>
        <v>31.183350000000001</v>
      </c>
      <c r="C65" s="7" t="s">
        <v>141</v>
      </c>
      <c r="D65" s="7" t="s">
        <v>143</v>
      </c>
      <c r="E65" s="7" t="s">
        <v>826</v>
      </c>
      <c r="F65" s="8">
        <v>37.860699999999973</v>
      </c>
      <c r="G65" s="7" t="s">
        <v>225</v>
      </c>
      <c r="H65" s="7" t="s">
        <v>226</v>
      </c>
      <c r="I65" s="10">
        <v>610.03</v>
      </c>
      <c r="J65" s="10">
        <f t="shared" si="2"/>
        <v>31183.350000000002</v>
      </c>
      <c r="K65" s="6">
        <f t="shared" si="1"/>
        <v>201325.90999999992</v>
      </c>
    </row>
    <row r="66" spans="1:11" x14ac:dyDescent="0.25">
      <c r="A66" s="5" t="s">
        <v>700</v>
      </c>
      <c r="B66" s="6">
        <f t="shared" si="0"/>
        <v>31.793380000000003</v>
      </c>
      <c r="C66" s="7" t="s">
        <v>143</v>
      </c>
      <c r="D66" s="7" t="s">
        <v>145</v>
      </c>
      <c r="E66" s="7" t="s">
        <v>826</v>
      </c>
      <c r="F66" s="8">
        <v>38.501619999999974</v>
      </c>
      <c r="G66" s="7" t="s">
        <v>226</v>
      </c>
      <c r="H66" s="7" t="s">
        <v>227</v>
      </c>
      <c r="I66" s="10">
        <v>498.6</v>
      </c>
      <c r="J66" s="10">
        <f t="shared" si="2"/>
        <v>31793.38</v>
      </c>
      <c r="K66" s="6">
        <f t="shared" si="1"/>
        <v>200715.87999999992</v>
      </c>
    </row>
    <row r="67" spans="1:11" x14ac:dyDescent="0.25">
      <c r="A67" s="5" t="s">
        <v>700</v>
      </c>
      <c r="B67" s="6">
        <f t="shared" ref="B67:B130" si="3">J67/1000</f>
        <v>32.291980000000002</v>
      </c>
      <c r="C67" s="7" t="s">
        <v>145</v>
      </c>
      <c r="D67" s="7" t="s">
        <v>147</v>
      </c>
      <c r="E67" s="7" t="s">
        <v>826</v>
      </c>
      <c r="F67" s="8">
        <v>38.900059999999975</v>
      </c>
      <c r="G67" s="7" t="s">
        <v>227</v>
      </c>
      <c r="H67" s="7" t="s">
        <v>228</v>
      </c>
      <c r="I67" s="10">
        <v>479.28</v>
      </c>
      <c r="J67" s="10">
        <f t="shared" si="2"/>
        <v>32291.98</v>
      </c>
      <c r="K67" s="6">
        <f t="shared" si="1"/>
        <v>200217.27999999991</v>
      </c>
    </row>
    <row r="68" spans="1:11" x14ac:dyDescent="0.25">
      <c r="A68" s="5" t="s">
        <v>700</v>
      </c>
      <c r="B68" s="6">
        <f t="shared" si="3"/>
        <v>32.771260000000005</v>
      </c>
      <c r="C68" s="7" t="s">
        <v>147</v>
      </c>
      <c r="D68" s="7" t="s">
        <v>149</v>
      </c>
      <c r="E68" s="7" t="s">
        <v>826</v>
      </c>
      <c r="F68" s="8">
        <v>39.246799999999972</v>
      </c>
      <c r="G68" s="7" t="s">
        <v>228</v>
      </c>
      <c r="H68" s="7" t="s">
        <v>229</v>
      </c>
      <c r="I68" s="10">
        <v>516.71</v>
      </c>
      <c r="J68" s="10">
        <f t="shared" si="2"/>
        <v>32771.26</v>
      </c>
      <c r="K68" s="6">
        <f t="shared" ref="K68:K131" si="4">K67-I67</f>
        <v>199737.99999999991</v>
      </c>
    </row>
    <row r="69" spans="1:11" x14ac:dyDescent="0.25">
      <c r="A69" s="5" t="s">
        <v>700</v>
      </c>
      <c r="B69" s="6">
        <f t="shared" si="3"/>
        <v>33.287970000000001</v>
      </c>
      <c r="C69" s="7" t="s">
        <v>149</v>
      </c>
      <c r="D69" s="7" t="s">
        <v>151</v>
      </c>
      <c r="E69" s="7" t="s">
        <v>826</v>
      </c>
      <c r="F69" s="8">
        <v>39.678439999999974</v>
      </c>
      <c r="G69" s="7" t="s">
        <v>229</v>
      </c>
      <c r="H69" s="7" t="s">
        <v>230</v>
      </c>
      <c r="I69" s="10">
        <v>476.52</v>
      </c>
      <c r="J69" s="10">
        <f t="shared" ref="J69:J132" si="5">J68+I68</f>
        <v>33287.97</v>
      </c>
      <c r="K69" s="6">
        <f t="shared" si="4"/>
        <v>199221.28999999992</v>
      </c>
    </row>
    <row r="70" spans="1:11" x14ac:dyDescent="0.25">
      <c r="A70" s="5" t="s">
        <v>700</v>
      </c>
      <c r="B70" s="6">
        <f t="shared" si="3"/>
        <v>33.764489999999995</v>
      </c>
      <c r="C70" s="7" t="s">
        <v>151</v>
      </c>
      <c r="D70" s="7" t="s">
        <v>153</v>
      </c>
      <c r="E70" s="7" t="s">
        <v>826</v>
      </c>
      <c r="F70" s="8">
        <v>40.143189999999976</v>
      </c>
      <c r="G70" s="7" t="s">
        <v>230</v>
      </c>
      <c r="H70" s="7" t="s">
        <v>231</v>
      </c>
      <c r="I70" s="10">
        <v>425.85</v>
      </c>
      <c r="J70" s="10">
        <f t="shared" si="5"/>
        <v>33764.49</v>
      </c>
      <c r="K70" s="6">
        <f t="shared" si="4"/>
        <v>198744.76999999993</v>
      </c>
    </row>
    <row r="71" spans="1:11" x14ac:dyDescent="0.25">
      <c r="A71" s="5" t="s">
        <v>700</v>
      </c>
      <c r="B71" s="6">
        <f t="shared" si="3"/>
        <v>34.190339999999999</v>
      </c>
      <c r="C71" s="7" t="s">
        <v>153</v>
      </c>
      <c r="D71" s="7" t="s">
        <v>155</v>
      </c>
      <c r="E71" s="7" t="s">
        <v>826</v>
      </c>
      <c r="F71" s="8">
        <v>40.653729999999975</v>
      </c>
      <c r="G71" s="7" t="s">
        <v>231</v>
      </c>
      <c r="H71" s="7" t="s">
        <v>232</v>
      </c>
      <c r="I71" s="10">
        <v>392.37</v>
      </c>
      <c r="J71" s="10">
        <f t="shared" si="5"/>
        <v>34190.339999999997</v>
      </c>
      <c r="K71" s="6">
        <f t="shared" si="4"/>
        <v>198318.91999999993</v>
      </c>
    </row>
    <row r="72" spans="1:11" x14ac:dyDescent="0.25">
      <c r="A72" s="5" t="s">
        <v>700</v>
      </c>
      <c r="B72" s="6">
        <f t="shared" si="3"/>
        <v>34.582709999999999</v>
      </c>
      <c r="C72" s="7" t="s">
        <v>155</v>
      </c>
      <c r="D72" s="7" t="s">
        <v>157</v>
      </c>
      <c r="E72" s="7" t="s">
        <v>826</v>
      </c>
      <c r="F72" s="8">
        <v>41.225739999999973</v>
      </c>
      <c r="G72" s="7" t="s">
        <v>232</v>
      </c>
      <c r="H72" s="7" t="s">
        <v>233</v>
      </c>
      <c r="I72" s="10">
        <v>389.09</v>
      </c>
      <c r="J72" s="10">
        <f t="shared" si="5"/>
        <v>34582.71</v>
      </c>
      <c r="K72" s="6">
        <f t="shared" si="4"/>
        <v>197926.54999999993</v>
      </c>
    </row>
    <row r="73" spans="1:11" x14ac:dyDescent="0.25">
      <c r="A73" s="5" t="s">
        <v>700</v>
      </c>
      <c r="B73" s="6">
        <f t="shared" si="3"/>
        <v>34.971799999999995</v>
      </c>
      <c r="C73" s="7" t="s">
        <v>157</v>
      </c>
      <c r="D73" s="7" t="s">
        <v>159</v>
      </c>
      <c r="E73" s="7" t="s">
        <v>826</v>
      </c>
      <c r="F73" s="8">
        <v>41.791659999999972</v>
      </c>
      <c r="G73" s="7" t="s">
        <v>233</v>
      </c>
      <c r="H73" s="7" t="s">
        <v>234</v>
      </c>
      <c r="I73" s="10">
        <v>571.71</v>
      </c>
      <c r="J73" s="10">
        <f t="shared" si="5"/>
        <v>34971.799999999996</v>
      </c>
      <c r="K73" s="6">
        <f t="shared" si="4"/>
        <v>197537.45999999993</v>
      </c>
    </row>
    <row r="74" spans="1:11" x14ac:dyDescent="0.25">
      <c r="A74" s="5" t="s">
        <v>700</v>
      </c>
      <c r="B74" s="6">
        <f t="shared" si="3"/>
        <v>35.543509999999998</v>
      </c>
      <c r="C74" s="7" t="s">
        <v>159</v>
      </c>
      <c r="D74" s="7" t="s">
        <v>161</v>
      </c>
      <c r="E74" s="7" t="s">
        <v>826</v>
      </c>
      <c r="F74" s="8">
        <v>42.338089999999973</v>
      </c>
      <c r="G74" s="7" t="s">
        <v>234</v>
      </c>
      <c r="H74" s="7" t="s">
        <v>235</v>
      </c>
      <c r="I74" s="10">
        <v>308.37</v>
      </c>
      <c r="J74" s="10">
        <f t="shared" si="5"/>
        <v>35543.509999999995</v>
      </c>
      <c r="K74" s="6">
        <f t="shared" si="4"/>
        <v>196965.74999999994</v>
      </c>
    </row>
    <row r="75" spans="1:11" x14ac:dyDescent="0.25">
      <c r="A75" s="5" t="s">
        <v>700</v>
      </c>
      <c r="B75" s="6">
        <f t="shared" si="3"/>
        <v>35.851879999999994</v>
      </c>
      <c r="C75" s="7" t="s">
        <v>161</v>
      </c>
      <c r="D75" s="7" t="s">
        <v>163</v>
      </c>
      <c r="E75" s="7" t="s">
        <v>826</v>
      </c>
      <c r="F75" s="8">
        <v>42.947639999999978</v>
      </c>
      <c r="G75" s="7" t="s">
        <v>235</v>
      </c>
      <c r="H75" s="7" t="s">
        <v>236</v>
      </c>
      <c r="I75" s="10">
        <v>777.83</v>
      </c>
      <c r="J75" s="10">
        <f t="shared" si="5"/>
        <v>35851.879999999997</v>
      </c>
      <c r="K75" s="6">
        <f t="shared" si="4"/>
        <v>196657.37999999995</v>
      </c>
    </row>
    <row r="76" spans="1:11" x14ac:dyDescent="0.25">
      <c r="A76" s="5" t="s">
        <v>700</v>
      </c>
      <c r="B76" s="6">
        <f t="shared" si="3"/>
        <v>36.629709999999996</v>
      </c>
      <c r="C76" s="7" t="s">
        <v>163</v>
      </c>
      <c r="D76" s="7" t="s">
        <v>165</v>
      </c>
      <c r="E76" s="7" t="s">
        <v>826</v>
      </c>
      <c r="F76" s="8">
        <v>43.970929999999981</v>
      </c>
      <c r="G76" s="7" t="s">
        <v>236</v>
      </c>
      <c r="H76" s="7" t="s">
        <v>237</v>
      </c>
      <c r="I76" s="10">
        <v>301.41000000000003</v>
      </c>
      <c r="J76" s="10">
        <f t="shared" si="5"/>
        <v>36629.71</v>
      </c>
      <c r="K76" s="6">
        <f t="shared" si="4"/>
        <v>195879.54999999996</v>
      </c>
    </row>
    <row r="77" spans="1:11" x14ac:dyDescent="0.25">
      <c r="A77" s="5" t="s">
        <v>700</v>
      </c>
      <c r="B77" s="6">
        <f t="shared" si="3"/>
        <v>36.93112</v>
      </c>
      <c r="C77" s="7" t="s">
        <v>165</v>
      </c>
      <c r="D77" s="7" t="s">
        <v>167</v>
      </c>
      <c r="E77" s="7" t="s">
        <v>826</v>
      </c>
      <c r="F77" s="8">
        <v>44.441049999999983</v>
      </c>
      <c r="G77" s="7" t="s">
        <v>237</v>
      </c>
      <c r="H77" s="7" t="s">
        <v>238</v>
      </c>
      <c r="I77" s="10">
        <v>725.68</v>
      </c>
      <c r="J77" s="10">
        <f t="shared" si="5"/>
        <v>36931.120000000003</v>
      </c>
      <c r="K77" s="6">
        <f t="shared" si="4"/>
        <v>195578.13999999996</v>
      </c>
    </row>
    <row r="78" spans="1:11" x14ac:dyDescent="0.25">
      <c r="A78" s="5" t="s">
        <v>700</v>
      </c>
      <c r="B78" s="6">
        <f t="shared" si="3"/>
        <v>37.656800000000004</v>
      </c>
      <c r="C78" s="7" t="s">
        <v>167</v>
      </c>
      <c r="D78" s="7" t="s">
        <v>169</v>
      </c>
      <c r="E78" s="7" t="s">
        <v>826</v>
      </c>
      <c r="F78" s="8">
        <v>45.070619999999984</v>
      </c>
      <c r="G78" s="7" t="s">
        <v>238</v>
      </c>
      <c r="H78" s="7" t="s">
        <v>239</v>
      </c>
      <c r="I78" s="10">
        <v>440.88</v>
      </c>
      <c r="J78" s="10">
        <f t="shared" si="5"/>
        <v>37656.800000000003</v>
      </c>
      <c r="K78" s="6">
        <f t="shared" si="4"/>
        <v>194852.45999999996</v>
      </c>
    </row>
    <row r="79" spans="1:11" x14ac:dyDescent="0.25">
      <c r="A79" s="5" t="s">
        <v>700</v>
      </c>
      <c r="B79" s="6">
        <f t="shared" si="3"/>
        <v>38.097679999999997</v>
      </c>
      <c r="C79" s="7" t="s">
        <v>169</v>
      </c>
      <c r="D79" s="7" t="s">
        <v>171</v>
      </c>
      <c r="E79" s="7" t="s">
        <v>827</v>
      </c>
      <c r="F79" s="8">
        <v>45.944249999999975</v>
      </c>
      <c r="G79" s="7" t="s">
        <v>239</v>
      </c>
      <c r="H79" s="7" t="s">
        <v>240</v>
      </c>
      <c r="I79" s="10">
        <v>430.25</v>
      </c>
      <c r="J79" s="10">
        <f t="shared" si="5"/>
        <v>38097.68</v>
      </c>
      <c r="K79" s="6">
        <f t="shared" si="4"/>
        <v>194411.57999999996</v>
      </c>
    </row>
    <row r="80" spans="1:11" x14ac:dyDescent="0.25">
      <c r="A80" s="5" t="s">
        <v>700</v>
      </c>
      <c r="B80" s="6">
        <f t="shared" si="3"/>
        <v>38.527929999999998</v>
      </c>
      <c r="C80" s="7" t="s">
        <v>171</v>
      </c>
      <c r="D80" s="7" t="s">
        <v>173</v>
      </c>
      <c r="E80" s="7" t="s">
        <v>0</v>
      </c>
      <c r="F80" s="8">
        <v>46.391529999999975</v>
      </c>
      <c r="G80" s="7" t="s">
        <v>240</v>
      </c>
      <c r="H80" s="7" t="s">
        <v>241</v>
      </c>
      <c r="I80" s="10">
        <v>540.86</v>
      </c>
      <c r="J80" s="10">
        <f t="shared" si="5"/>
        <v>38527.93</v>
      </c>
      <c r="K80" s="6">
        <f t="shared" si="4"/>
        <v>193981.32999999996</v>
      </c>
    </row>
    <row r="81" spans="1:11" x14ac:dyDescent="0.25">
      <c r="A81" s="5" t="s">
        <v>700</v>
      </c>
      <c r="B81" s="6">
        <f t="shared" si="3"/>
        <v>39.06879</v>
      </c>
      <c r="C81" s="7" t="s">
        <v>173</v>
      </c>
      <c r="D81" s="7" t="s">
        <v>175</v>
      </c>
      <c r="E81" s="7" t="s">
        <v>0</v>
      </c>
      <c r="F81" s="8">
        <v>46.745019999999975</v>
      </c>
      <c r="G81" s="7" t="s">
        <v>241</v>
      </c>
      <c r="H81" s="7" t="s">
        <v>242</v>
      </c>
      <c r="I81" s="10">
        <v>457.47</v>
      </c>
      <c r="J81" s="10">
        <f t="shared" si="5"/>
        <v>39068.79</v>
      </c>
      <c r="K81" s="6">
        <f t="shared" si="4"/>
        <v>193440.46999999997</v>
      </c>
    </row>
    <row r="82" spans="1:11" x14ac:dyDescent="0.25">
      <c r="A82" s="5" t="s">
        <v>700</v>
      </c>
      <c r="B82" s="6">
        <f t="shared" si="3"/>
        <v>39.526260000000001</v>
      </c>
      <c r="C82" s="7" t="s">
        <v>175</v>
      </c>
      <c r="D82" s="7" t="s">
        <v>177</v>
      </c>
      <c r="E82" s="7" t="s">
        <v>0</v>
      </c>
      <c r="F82" s="8">
        <v>47.597119999999975</v>
      </c>
      <c r="G82" s="7" t="s">
        <v>242</v>
      </c>
      <c r="H82" s="7" t="s">
        <v>243</v>
      </c>
      <c r="I82" s="10">
        <v>396.52</v>
      </c>
      <c r="J82" s="10">
        <f t="shared" si="5"/>
        <v>39526.26</v>
      </c>
      <c r="K82" s="6">
        <f t="shared" si="4"/>
        <v>192982.99999999997</v>
      </c>
    </row>
    <row r="83" spans="1:11" x14ac:dyDescent="0.25">
      <c r="A83" s="5" t="s">
        <v>700</v>
      </c>
      <c r="B83" s="6">
        <f t="shared" si="3"/>
        <v>39.922779999999996</v>
      </c>
      <c r="C83" s="7" t="s">
        <v>177</v>
      </c>
      <c r="D83" s="7" t="s">
        <v>179</v>
      </c>
      <c r="E83" s="7" t="s">
        <v>0</v>
      </c>
      <c r="F83" s="8">
        <v>48.683149999999969</v>
      </c>
      <c r="G83" s="7" t="s">
        <v>243</v>
      </c>
      <c r="H83" s="7" t="s">
        <v>244</v>
      </c>
      <c r="I83" s="10">
        <v>468.96</v>
      </c>
      <c r="J83" s="10">
        <f t="shared" si="5"/>
        <v>39922.78</v>
      </c>
      <c r="K83" s="6">
        <f t="shared" si="4"/>
        <v>192586.47999999998</v>
      </c>
    </row>
    <row r="84" spans="1:11" x14ac:dyDescent="0.25">
      <c r="A84" s="5" t="s">
        <v>700</v>
      </c>
      <c r="B84" s="6">
        <f t="shared" si="3"/>
        <v>40.391739999999999</v>
      </c>
      <c r="C84" s="7" t="s">
        <v>179</v>
      </c>
      <c r="D84" s="7" t="s">
        <v>181</v>
      </c>
      <c r="E84" s="7" t="s">
        <v>0</v>
      </c>
      <c r="F84" s="8">
        <v>49.237309999999972</v>
      </c>
      <c r="G84" s="7" t="s">
        <v>244</v>
      </c>
      <c r="H84" s="7" t="s">
        <v>245</v>
      </c>
      <c r="I84" s="10">
        <v>470.55</v>
      </c>
      <c r="J84" s="10">
        <f t="shared" si="5"/>
        <v>40391.74</v>
      </c>
      <c r="K84" s="6">
        <f t="shared" si="4"/>
        <v>192117.52</v>
      </c>
    </row>
    <row r="85" spans="1:11" x14ac:dyDescent="0.25">
      <c r="A85" s="5" t="s">
        <v>700</v>
      </c>
      <c r="B85" s="6">
        <f t="shared" si="3"/>
        <v>40.862290000000002</v>
      </c>
      <c r="C85" s="7" t="s">
        <v>181</v>
      </c>
      <c r="D85" s="7" t="s">
        <v>183</v>
      </c>
      <c r="E85" s="7" t="s">
        <v>0</v>
      </c>
      <c r="F85" s="8">
        <v>49.716239999999978</v>
      </c>
      <c r="G85" s="7" t="s">
        <v>245</v>
      </c>
      <c r="H85" s="7" t="s">
        <v>246</v>
      </c>
      <c r="I85" s="10">
        <v>593.04</v>
      </c>
      <c r="J85" s="10">
        <f t="shared" si="5"/>
        <v>40862.29</v>
      </c>
      <c r="K85" s="6">
        <f t="shared" si="4"/>
        <v>191646.97</v>
      </c>
    </row>
    <row r="86" spans="1:11" x14ac:dyDescent="0.25">
      <c r="A86" s="5" t="s">
        <v>700</v>
      </c>
      <c r="B86" s="6">
        <f t="shared" si="3"/>
        <v>41.455330000000004</v>
      </c>
      <c r="C86" s="7" t="s">
        <v>183</v>
      </c>
      <c r="D86" s="7" t="s">
        <v>272</v>
      </c>
      <c r="E86" s="7" t="s">
        <v>0</v>
      </c>
      <c r="F86" s="8">
        <v>50.408529999999978</v>
      </c>
      <c r="G86" s="7" t="s">
        <v>246</v>
      </c>
      <c r="H86" s="7" t="s">
        <v>247</v>
      </c>
      <c r="I86" s="10">
        <v>564.28</v>
      </c>
      <c r="J86" s="10">
        <f t="shared" si="5"/>
        <v>41455.33</v>
      </c>
      <c r="K86" s="6">
        <f t="shared" si="4"/>
        <v>191053.93</v>
      </c>
    </row>
    <row r="87" spans="1:11" x14ac:dyDescent="0.25">
      <c r="A87" s="5" t="s">
        <v>700</v>
      </c>
      <c r="B87" s="6">
        <f t="shared" si="3"/>
        <v>42.01961</v>
      </c>
      <c r="C87" s="7" t="s">
        <v>272</v>
      </c>
      <c r="D87" s="7" t="s">
        <v>274</v>
      </c>
      <c r="E87" s="7" t="s">
        <v>0</v>
      </c>
      <c r="F87" s="8">
        <v>50.885309999999976</v>
      </c>
      <c r="G87" s="7" t="s">
        <v>247</v>
      </c>
      <c r="H87" s="7" t="s">
        <v>248</v>
      </c>
      <c r="I87" s="10">
        <v>566.15</v>
      </c>
      <c r="J87" s="10">
        <f t="shared" si="5"/>
        <v>42019.61</v>
      </c>
      <c r="K87" s="6">
        <f t="shared" si="4"/>
        <v>190489.65</v>
      </c>
    </row>
    <row r="88" spans="1:11" x14ac:dyDescent="0.25">
      <c r="A88" s="5" t="s">
        <v>700</v>
      </c>
      <c r="B88" s="6">
        <f t="shared" si="3"/>
        <v>42.585760000000001</v>
      </c>
      <c r="C88" s="7" t="s">
        <v>274</v>
      </c>
      <c r="D88" s="7" t="s">
        <v>276</v>
      </c>
      <c r="E88" s="7" t="s">
        <v>0</v>
      </c>
      <c r="F88" s="8">
        <v>51.496939999999974</v>
      </c>
      <c r="G88" s="7" t="s">
        <v>248</v>
      </c>
      <c r="H88" s="7" t="s">
        <v>249</v>
      </c>
      <c r="I88" s="10">
        <v>547.64</v>
      </c>
      <c r="J88" s="10">
        <f t="shared" si="5"/>
        <v>42585.760000000002</v>
      </c>
      <c r="K88" s="6">
        <f t="shared" si="4"/>
        <v>189923.5</v>
      </c>
    </row>
    <row r="89" spans="1:11" x14ac:dyDescent="0.25">
      <c r="A89" s="5" t="s">
        <v>700</v>
      </c>
      <c r="B89" s="6">
        <f t="shared" si="3"/>
        <v>43.133400000000002</v>
      </c>
      <c r="C89" s="7" t="s">
        <v>276</v>
      </c>
      <c r="D89" s="7" t="s">
        <v>278</v>
      </c>
      <c r="E89" s="7" t="s">
        <v>0</v>
      </c>
      <c r="F89" s="8">
        <v>51.90702999999997</v>
      </c>
      <c r="G89" s="7" t="s">
        <v>249</v>
      </c>
      <c r="H89" s="7" t="s">
        <v>250</v>
      </c>
      <c r="I89" s="10">
        <v>575.63</v>
      </c>
      <c r="J89" s="10">
        <f t="shared" si="5"/>
        <v>43133.4</v>
      </c>
      <c r="K89" s="6">
        <f t="shared" si="4"/>
        <v>189375.86</v>
      </c>
    </row>
    <row r="90" spans="1:11" x14ac:dyDescent="0.25">
      <c r="A90" s="5" t="s">
        <v>700</v>
      </c>
      <c r="B90" s="6">
        <f t="shared" si="3"/>
        <v>43.709029999999998</v>
      </c>
      <c r="C90" s="7" t="s">
        <v>278</v>
      </c>
      <c r="D90" s="7" t="s">
        <v>280</v>
      </c>
      <c r="E90" s="7" t="s">
        <v>0</v>
      </c>
      <c r="F90" s="8">
        <v>52.405359999999973</v>
      </c>
      <c r="G90" s="7" t="s">
        <v>250</v>
      </c>
      <c r="H90" s="7" t="s">
        <v>251</v>
      </c>
      <c r="I90" s="10">
        <v>585.11</v>
      </c>
      <c r="J90" s="10">
        <f t="shared" si="5"/>
        <v>43709.03</v>
      </c>
      <c r="K90" s="6">
        <f t="shared" si="4"/>
        <v>188800.22999999998</v>
      </c>
    </row>
    <row r="91" spans="1:11" x14ac:dyDescent="0.25">
      <c r="A91" s="5" t="s">
        <v>700</v>
      </c>
      <c r="B91" s="6">
        <f t="shared" si="3"/>
        <v>44.294139999999999</v>
      </c>
      <c r="C91" s="7" t="s">
        <v>280</v>
      </c>
      <c r="D91" s="7" t="s">
        <v>282</v>
      </c>
      <c r="E91" s="7" t="s">
        <v>0</v>
      </c>
      <c r="F91" s="8">
        <v>52.918529999999969</v>
      </c>
      <c r="G91" s="7" t="s">
        <v>251</v>
      </c>
      <c r="H91" s="7" t="s">
        <v>252</v>
      </c>
      <c r="I91" s="10">
        <v>506.88</v>
      </c>
      <c r="J91" s="10">
        <f t="shared" si="5"/>
        <v>44294.14</v>
      </c>
      <c r="K91" s="6">
        <f t="shared" si="4"/>
        <v>188215.12</v>
      </c>
    </row>
    <row r="92" spans="1:11" x14ac:dyDescent="0.25">
      <c r="A92" s="5" t="s">
        <v>700</v>
      </c>
      <c r="B92" s="6">
        <f t="shared" si="3"/>
        <v>44.801019999999994</v>
      </c>
      <c r="C92" s="7" t="s">
        <v>282</v>
      </c>
      <c r="D92" s="7" t="s">
        <v>284</v>
      </c>
      <c r="E92" s="7" t="s">
        <v>0</v>
      </c>
      <c r="F92" s="8">
        <v>53.500469999999972</v>
      </c>
      <c r="G92" s="7" t="s">
        <v>252</v>
      </c>
      <c r="H92" s="7" t="s">
        <v>253</v>
      </c>
      <c r="I92" s="10">
        <v>522.33000000000004</v>
      </c>
      <c r="J92" s="10">
        <f t="shared" si="5"/>
        <v>44801.02</v>
      </c>
      <c r="K92" s="6">
        <f t="shared" si="4"/>
        <v>187708.24</v>
      </c>
    </row>
    <row r="93" spans="1:11" x14ac:dyDescent="0.25">
      <c r="A93" s="5" t="s">
        <v>700</v>
      </c>
      <c r="B93" s="6">
        <f t="shared" si="3"/>
        <v>45.323349999999998</v>
      </c>
      <c r="C93" s="7" t="s">
        <v>284</v>
      </c>
      <c r="D93" s="7" t="s">
        <v>286</v>
      </c>
      <c r="E93" s="7" t="s">
        <v>0</v>
      </c>
      <c r="F93" s="8">
        <v>53.976559999999971</v>
      </c>
      <c r="G93" s="7" t="s">
        <v>253</v>
      </c>
      <c r="H93" s="7" t="s">
        <v>254</v>
      </c>
      <c r="I93" s="10">
        <v>472.23</v>
      </c>
      <c r="J93" s="10">
        <f t="shared" si="5"/>
        <v>45323.35</v>
      </c>
      <c r="K93" s="6">
        <f t="shared" si="4"/>
        <v>187185.91</v>
      </c>
    </row>
    <row r="94" spans="1:11" x14ac:dyDescent="0.25">
      <c r="A94" s="5" t="s">
        <v>700</v>
      </c>
      <c r="B94" s="6">
        <f t="shared" si="3"/>
        <v>45.795580000000001</v>
      </c>
      <c r="C94" s="7" t="s">
        <v>286</v>
      </c>
      <c r="D94" s="7" t="s">
        <v>288</v>
      </c>
      <c r="E94" s="7" t="s">
        <v>0</v>
      </c>
      <c r="F94" s="8">
        <v>54.408339999999967</v>
      </c>
      <c r="G94" s="7" t="s">
        <v>254</v>
      </c>
      <c r="H94" s="7" t="s">
        <v>255</v>
      </c>
      <c r="I94" s="10">
        <v>635.39</v>
      </c>
      <c r="J94" s="10">
        <f t="shared" si="5"/>
        <v>45795.58</v>
      </c>
      <c r="K94" s="6">
        <f t="shared" si="4"/>
        <v>186713.68</v>
      </c>
    </row>
    <row r="95" spans="1:11" x14ac:dyDescent="0.25">
      <c r="A95" s="5" t="s">
        <v>700</v>
      </c>
      <c r="B95" s="6">
        <f t="shared" si="3"/>
        <v>46.430970000000002</v>
      </c>
      <c r="C95" s="7" t="s">
        <v>288</v>
      </c>
      <c r="D95" s="7" t="s">
        <v>290</v>
      </c>
      <c r="E95" s="7" t="s">
        <v>0</v>
      </c>
      <c r="F95" s="8">
        <v>54.929329999999965</v>
      </c>
      <c r="G95" s="7" t="s">
        <v>255</v>
      </c>
      <c r="H95" s="7" t="s">
        <v>256</v>
      </c>
      <c r="I95" s="10">
        <v>1018.38</v>
      </c>
      <c r="J95" s="10">
        <f t="shared" si="5"/>
        <v>46430.97</v>
      </c>
      <c r="K95" s="6">
        <f t="shared" si="4"/>
        <v>186078.28999999998</v>
      </c>
    </row>
    <row r="96" spans="1:11" x14ac:dyDescent="0.25">
      <c r="A96" s="5" t="s">
        <v>700</v>
      </c>
      <c r="B96" s="6">
        <f t="shared" si="3"/>
        <v>47.449349999999995</v>
      </c>
      <c r="C96" s="7" t="s">
        <v>290</v>
      </c>
      <c r="D96" s="7" t="s">
        <v>292</v>
      </c>
      <c r="E96" s="7" t="s">
        <v>0</v>
      </c>
      <c r="F96" s="8">
        <v>55.436849999999964</v>
      </c>
      <c r="G96" s="7" t="s">
        <v>256</v>
      </c>
      <c r="H96" s="7" t="s">
        <v>257</v>
      </c>
      <c r="I96" s="10">
        <v>690.21</v>
      </c>
      <c r="J96" s="10">
        <f t="shared" si="5"/>
        <v>47449.35</v>
      </c>
      <c r="K96" s="6">
        <f t="shared" si="4"/>
        <v>185059.90999999997</v>
      </c>
    </row>
    <row r="97" spans="1:11" x14ac:dyDescent="0.25">
      <c r="A97" s="5" t="s">
        <v>700</v>
      </c>
      <c r="B97" s="6">
        <f t="shared" si="3"/>
        <v>48.139559999999996</v>
      </c>
      <c r="C97" s="7" t="s">
        <v>292</v>
      </c>
      <c r="D97" s="7" t="s">
        <v>294</v>
      </c>
      <c r="E97" s="7" t="s">
        <v>0</v>
      </c>
      <c r="F97" s="8">
        <v>55.851649999999964</v>
      </c>
      <c r="G97" s="7" t="s">
        <v>257</v>
      </c>
      <c r="H97" s="7" t="s">
        <v>258</v>
      </c>
      <c r="I97" s="10">
        <v>467.84</v>
      </c>
      <c r="J97" s="10">
        <f t="shared" si="5"/>
        <v>48139.56</v>
      </c>
      <c r="K97" s="6">
        <f t="shared" si="4"/>
        <v>184369.69999999998</v>
      </c>
    </row>
    <row r="98" spans="1:11" x14ac:dyDescent="0.25">
      <c r="A98" s="5" t="s">
        <v>700</v>
      </c>
      <c r="B98" s="6">
        <f t="shared" si="3"/>
        <v>48.607399999999991</v>
      </c>
      <c r="C98" s="7" t="s">
        <v>294</v>
      </c>
      <c r="D98" s="7" t="s">
        <v>296</v>
      </c>
      <c r="E98" s="7" t="s">
        <v>0</v>
      </c>
      <c r="F98" s="8">
        <v>56.251289999999962</v>
      </c>
      <c r="G98" s="7" t="s">
        <v>258</v>
      </c>
      <c r="H98" s="7" t="s">
        <v>259</v>
      </c>
      <c r="I98" s="10">
        <v>528.65</v>
      </c>
      <c r="J98" s="10">
        <f t="shared" si="5"/>
        <v>48607.399999999994</v>
      </c>
      <c r="K98" s="6">
        <f t="shared" si="4"/>
        <v>183901.86</v>
      </c>
    </row>
    <row r="99" spans="1:11" x14ac:dyDescent="0.25">
      <c r="A99" s="5" t="s">
        <v>700</v>
      </c>
      <c r="B99" s="6">
        <f t="shared" si="3"/>
        <v>49.136049999999997</v>
      </c>
      <c r="C99" s="7" t="s">
        <v>296</v>
      </c>
      <c r="D99" s="7" t="s">
        <v>298</v>
      </c>
      <c r="E99" s="7" t="s">
        <v>0</v>
      </c>
      <c r="F99" s="8">
        <v>56.684119999999965</v>
      </c>
      <c r="G99" s="7" t="s">
        <v>259</v>
      </c>
      <c r="H99" s="7" t="s">
        <v>260</v>
      </c>
      <c r="I99" s="10">
        <v>447.19</v>
      </c>
      <c r="J99" s="10">
        <f t="shared" si="5"/>
        <v>49136.049999999996</v>
      </c>
      <c r="K99" s="6">
        <f t="shared" si="4"/>
        <v>183373.21</v>
      </c>
    </row>
    <row r="100" spans="1:11" x14ac:dyDescent="0.25">
      <c r="A100" s="5" t="s">
        <v>700</v>
      </c>
      <c r="B100" s="6">
        <f t="shared" si="3"/>
        <v>49.583239999999996</v>
      </c>
      <c r="C100" s="7" t="s">
        <v>298</v>
      </c>
      <c r="D100" s="7" t="s">
        <v>300</v>
      </c>
      <c r="E100" s="7" t="s">
        <v>0</v>
      </c>
      <c r="F100" s="8">
        <v>57.233169999999966</v>
      </c>
      <c r="G100" s="7" t="s">
        <v>260</v>
      </c>
      <c r="H100" s="7" t="s">
        <v>261</v>
      </c>
      <c r="I100" s="10">
        <v>370.17</v>
      </c>
      <c r="J100" s="10">
        <f t="shared" si="5"/>
        <v>49583.24</v>
      </c>
      <c r="K100" s="6">
        <f t="shared" si="4"/>
        <v>182926.02</v>
      </c>
    </row>
    <row r="101" spans="1:11" x14ac:dyDescent="0.25">
      <c r="A101" s="5" t="s">
        <v>700</v>
      </c>
      <c r="B101" s="6">
        <f t="shared" si="3"/>
        <v>49.953409999999998</v>
      </c>
      <c r="C101" s="7" t="s">
        <v>300</v>
      </c>
      <c r="D101" s="7" t="s">
        <v>302</v>
      </c>
      <c r="E101" s="7" t="s">
        <v>0</v>
      </c>
      <c r="F101" s="8">
        <v>57.602029999999971</v>
      </c>
      <c r="G101" s="7" t="s">
        <v>261</v>
      </c>
      <c r="H101" s="7" t="s">
        <v>262</v>
      </c>
      <c r="I101" s="10">
        <v>854.37</v>
      </c>
      <c r="J101" s="10">
        <f t="shared" si="5"/>
        <v>49953.409999999996</v>
      </c>
      <c r="K101" s="6">
        <f t="shared" si="4"/>
        <v>182555.84999999998</v>
      </c>
    </row>
    <row r="102" spans="1:11" x14ac:dyDescent="0.25">
      <c r="A102" s="5" t="s">
        <v>700</v>
      </c>
      <c r="B102" s="6">
        <f t="shared" si="3"/>
        <v>50.807780000000001</v>
      </c>
      <c r="C102" s="7" t="s">
        <v>302</v>
      </c>
      <c r="D102" s="7" t="s">
        <v>304</v>
      </c>
      <c r="E102" s="7" t="s">
        <v>0</v>
      </c>
      <c r="F102" s="8">
        <v>58.09904999999997</v>
      </c>
      <c r="G102" s="7" t="s">
        <v>262</v>
      </c>
      <c r="H102" s="7" t="s">
        <v>263</v>
      </c>
      <c r="I102" s="10">
        <v>643.95000000000005</v>
      </c>
      <c r="J102" s="10">
        <f t="shared" si="5"/>
        <v>50807.78</v>
      </c>
      <c r="K102" s="6">
        <f t="shared" si="4"/>
        <v>181701.47999999998</v>
      </c>
    </row>
    <row r="103" spans="1:11" x14ac:dyDescent="0.25">
      <c r="A103" s="5" t="s">
        <v>700</v>
      </c>
      <c r="B103" s="6">
        <f t="shared" si="3"/>
        <v>51.451729999999998</v>
      </c>
      <c r="C103" s="7" t="s">
        <v>304</v>
      </c>
      <c r="D103" s="7" t="s">
        <v>306</v>
      </c>
      <c r="E103" s="7" t="s">
        <v>0</v>
      </c>
      <c r="F103" s="8">
        <v>58.723109999999963</v>
      </c>
      <c r="G103" s="7" t="s">
        <v>263</v>
      </c>
      <c r="H103" s="7" t="s">
        <v>264</v>
      </c>
      <c r="I103" s="10">
        <v>692.28</v>
      </c>
      <c r="J103" s="10">
        <f t="shared" si="5"/>
        <v>51451.729999999996</v>
      </c>
      <c r="K103" s="6">
        <f t="shared" si="4"/>
        <v>181057.52999999997</v>
      </c>
    </row>
    <row r="104" spans="1:11" x14ac:dyDescent="0.25">
      <c r="A104" s="5" t="s">
        <v>700</v>
      </c>
      <c r="B104" s="6">
        <f t="shared" si="3"/>
        <v>52.144009999999994</v>
      </c>
      <c r="C104" s="7" t="s">
        <v>306</v>
      </c>
      <c r="D104" s="7" t="s">
        <v>308</v>
      </c>
      <c r="E104" s="7" t="s">
        <v>0</v>
      </c>
      <c r="F104" s="8">
        <v>59.269849999999963</v>
      </c>
      <c r="G104" s="7" t="s">
        <v>264</v>
      </c>
      <c r="H104" s="7" t="s">
        <v>265</v>
      </c>
      <c r="I104" s="10">
        <v>479.32</v>
      </c>
      <c r="J104" s="10">
        <f t="shared" si="5"/>
        <v>52144.009999999995</v>
      </c>
      <c r="K104" s="6">
        <f t="shared" si="4"/>
        <v>180365.24999999997</v>
      </c>
    </row>
    <row r="105" spans="1:11" x14ac:dyDescent="0.25">
      <c r="A105" s="5" t="s">
        <v>700</v>
      </c>
      <c r="B105" s="6">
        <f t="shared" si="3"/>
        <v>52.623329999999996</v>
      </c>
      <c r="C105" s="7" t="s">
        <v>308</v>
      </c>
      <c r="D105" s="7" t="s">
        <v>310</v>
      </c>
      <c r="E105" s="7" t="s">
        <v>0</v>
      </c>
      <c r="F105" s="8">
        <v>59.844269999999959</v>
      </c>
      <c r="G105" s="7" t="s">
        <v>265</v>
      </c>
      <c r="H105" s="7" t="s">
        <v>266</v>
      </c>
      <c r="I105" s="10">
        <v>527.37</v>
      </c>
      <c r="J105" s="10">
        <f t="shared" si="5"/>
        <v>52623.329999999994</v>
      </c>
      <c r="K105" s="6">
        <f t="shared" si="4"/>
        <v>179885.92999999996</v>
      </c>
    </row>
    <row r="106" spans="1:11" x14ac:dyDescent="0.25">
      <c r="A106" s="5" t="s">
        <v>700</v>
      </c>
      <c r="B106" s="6">
        <f t="shared" si="3"/>
        <v>53.150700000000001</v>
      </c>
      <c r="C106" s="7" t="s">
        <v>310</v>
      </c>
      <c r="D106" s="7" t="s">
        <v>312</v>
      </c>
      <c r="E106" s="7" t="s">
        <v>0</v>
      </c>
      <c r="F106" s="8">
        <v>60.318519999999964</v>
      </c>
      <c r="G106" s="7" t="s">
        <v>266</v>
      </c>
      <c r="H106" s="7" t="s">
        <v>267</v>
      </c>
      <c r="I106" s="10">
        <v>444.82</v>
      </c>
      <c r="J106" s="10">
        <f t="shared" si="5"/>
        <v>53150.7</v>
      </c>
      <c r="K106" s="6">
        <f t="shared" si="4"/>
        <v>179358.55999999997</v>
      </c>
    </row>
    <row r="107" spans="1:11" x14ac:dyDescent="0.25">
      <c r="A107" s="5" t="s">
        <v>700</v>
      </c>
      <c r="B107" s="6">
        <f t="shared" si="3"/>
        <v>53.595519999999993</v>
      </c>
      <c r="C107" s="7" t="s">
        <v>312</v>
      </c>
      <c r="D107" s="7" t="s">
        <v>314</v>
      </c>
      <c r="E107" s="7" t="s">
        <v>0</v>
      </c>
      <c r="F107" s="8">
        <v>60.820919999999958</v>
      </c>
      <c r="G107" s="7" t="s">
        <v>267</v>
      </c>
      <c r="H107" s="7" t="s">
        <v>268</v>
      </c>
      <c r="I107" s="10">
        <v>570.86</v>
      </c>
      <c r="J107" s="10">
        <f t="shared" si="5"/>
        <v>53595.519999999997</v>
      </c>
      <c r="K107" s="6">
        <f t="shared" si="4"/>
        <v>178913.73999999996</v>
      </c>
    </row>
    <row r="108" spans="1:11" x14ac:dyDescent="0.25">
      <c r="A108" s="5" t="s">
        <v>700</v>
      </c>
      <c r="B108" s="6">
        <f t="shared" si="3"/>
        <v>54.166379999999997</v>
      </c>
      <c r="C108" s="7" t="s">
        <v>314</v>
      </c>
      <c r="D108" s="7" t="s">
        <v>316</v>
      </c>
      <c r="E108" s="7" t="s">
        <v>0</v>
      </c>
      <c r="F108" s="8">
        <v>61.317969999999967</v>
      </c>
      <c r="G108" s="7" t="s">
        <v>268</v>
      </c>
      <c r="H108" s="7" t="s">
        <v>269</v>
      </c>
      <c r="I108" s="10">
        <v>482.41</v>
      </c>
      <c r="J108" s="10">
        <f t="shared" si="5"/>
        <v>54166.38</v>
      </c>
      <c r="K108" s="6">
        <f t="shared" si="4"/>
        <v>178342.87999999998</v>
      </c>
    </row>
    <row r="109" spans="1:11" x14ac:dyDescent="0.25">
      <c r="A109" s="5" t="s">
        <v>700</v>
      </c>
      <c r="B109" s="6">
        <f t="shared" si="3"/>
        <v>54.648789999999998</v>
      </c>
      <c r="C109" s="7" t="s">
        <v>316</v>
      </c>
      <c r="D109" s="7" t="s">
        <v>318</v>
      </c>
      <c r="E109" s="7" t="s">
        <v>0</v>
      </c>
      <c r="F109" s="8">
        <v>61.896249999999966</v>
      </c>
      <c r="G109" s="7" t="s">
        <v>269</v>
      </c>
      <c r="H109" s="7" t="s">
        <v>270</v>
      </c>
      <c r="I109" s="10">
        <v>573.36</v>
      </c>
      <c r="J109" s="10">
        <f t="shared" si="5"/>
        <v>54648.79</v>
      </c>
      <c r="K109" s="6">
        <f t="shared" si="4"/>
        <v>177860.46999999997</v>
      </c>
    </row>
    <row r="110" spans="1:11" x14ac:dyDescent="0.25">
      <c r="A110" s="5" t="s">
        <v>700</v>
      </c>
      <c r="B110" s="6">
        <f t="shared" si="3"/>
        <v>55.222149999999999</v>
      </c>
      <c r="C110" s="7" t="s">
        <v>318</v>
      </c>
      <c r="D110" s="7" t="s">
        <v>320</v>
      </c>
      <c r="E110" s="7" t="s">
        <v>0</v>
      </c>
      <c r="F110" s="8">
        <v>62.445159999999966</v>
      </c>
      <c r="G110" s="7" t="s">
        <v>270</v>
      </c>
      <c r="H110" s="7" t="s">
        <v>271</v>
      </c>
      <c r="I110" s="10">
        <v>557.84</v>
      </c>
      <c r="J110" s="10">
        <f t="shared" si="5"/>
        <v>55222.15</v>
      </c>
      <c r="K110" s="6">
        <f t="shared" si="4"/>
        <v>177287.11</v>
      </c>
    </row>
    <row r="111" spans="1:11" x14ac:dyDescent="0.25">
      <c r="A111" s="5" t="s">
        <v>700</v>
      </c>
      <c r="B111" s="6">
        <f t="shared" si="3"/>
        <v>55.779989999999998</v>
      </c>
      <c r="C111" s="7" t="s">
        <v>320</v>
      </c>
      <c r="D111" s="7" t="s">
        <v>322</v>
      </c>
      <c r="E111" s="7" t="s">
        <v>0</v>
      </c>
      <c r="F111" s="8">
        <v>63.004639999999974</v>
      </c>
      <c r="G111" s="7" t="s">
        <v>271</v>
      </c>
      <c r="H111" s="7" t="s">
        <v>273</v>
      </c>
      <c r="I111" s="10">
        <v>510.28</v>
      </c>
      <c r="J111" s="10">
        <f t="shared" si="5"/>
        <v>55779.99</v>
      </c>
      <c r="K111" s="6">
        <f t="shared" si="4"/>
        <v>176729.27</v>
      </c>
    </row>
    <row r="112" spans="1:11" x14ac:dyDescent="0.25">
      <c r="A112" s="5" t="s">
        <v>700</v>
      </c>
      <c r="B112" s="6">
        <f t="shared" si="3"/>
        <v>56.29027</v>
      </c>
      <c r="C112" s="7" t="s">
        <v>322</v>
      </c>
      <c r="D112" s="7" t="s">
        <v>324</v>
      </c>
      <c r="E112" s="7" t="s">
        <v>0</v>
      </c>
      <c r="F112" s="8">
        <v>63.568719999999971</v>
      </c>
      <c r="G112" s="7" t="s">
        <v>273</v>
      </c>
      <c r="H112" s="7" t="s">
        <v>275</v>
      </c>
      <c r="I112" s="10">
        <v>580.46</v>
      </c>
      <c r="J112" s="10">
        <f t="shared" si="5"/>
        <v>56290.27</v>
      </c>
      <c r="K112" s="6">
        <f t="shared" si="4"/>
        <v>176218.99</v>
      </c>
    </row>
    <row r="113" spans="1:11" x14ac:dyDescent="0.25">
      <c r="A113" s="5" t="s">
        <v>700</v>
      </c>
      <c r="B113" s="6">
        <f t="shared" si="3"/>
        <v>56.870729999999995</v>
      </c>
      <c r="C113" s="7" t="s">
        <v>324</v>
      </c>
      <c r="D113" s="7" t="s">
        <v>326</v>
      </c>
      <c r="E113" s="7" t="s">
        <v>0</v>
      </c>
      <c r="F113" s="8">
        <v>64.135309999999976</v>
      </c>
      <c r="G113" s="7" t="s">
        <v>275</v>
      </c>
      <c r="H113" s="7" t="s">
        <v>277</v>
      </c>
      <c r="I113" s="10">
        <v>756.33</v>
      </c>
      <c r="J113" s="10">
        <f t="shared" si="5"/>
        <v>56870.729999999996</v>
      </c>
      <c r="K113" s="6">
        <f t="shared" si="4"/>
        <v>175638.53</v>
      </c>
    </row>
    <row r="114" spans="1:11" x14ac:dyDescent="0.25">
      <c r="A114" s="5" t="s">
        <v>700</v>
      </c>
      <c r="B114" s="6">
        <f t="shared" si="3"/>
        <v>57.62706</v>
      </c>
      <c r="C114" s="7" t="s">
        <v>326</v>
      </c>
      <c r="D114" s="7" t="s">
        <v>328</v>
      </c>
      <c r="E114" s="7" t="s">
        <v>0</v>
      </c>
      <c r="F114" s="8">
        <v>64.689979999999963</v>
      </c>
      <c r="G114" s="7" t="s">
        <v>277</v>
      </c>
      <c r="H114" s="7" t="s">
        <v>279</v>
      </c>
      <c r="I114" s="10">
        <v>414.77</v>
      </c>
      <c r="J114" s="10">
        <f t="shared" si="5"/>
        <v>57627.06</v>
      </c>
      <c r="K114" s="6">
        <f t="shared" si="4"/>
        <v>174882.2</v>
      </c>
    </row>
    <row r="115" spans="1:11" x14ac:dyDescent="0.25">
      <c r="A115" s="5" t="s">
        <v>700</v>
      </c>
      <c r="B115" s="6">
        <f t="shared" si="3"/>
        <v>58.041829999999997</v>
      </c>
      <c r="C115" s="7" t="s">
        <v>328</v>
      </c>
      <c r="D115" s="7" t="s">
        <v>330</v>
      </c>
      <c r="E115" s="7" t="s">
        <v>0</v>
      </c>
      <c r="F115" s="8">
        <v>65.196949999999973</v>
      </c>
      <c r="G115" s="7" t="s">
        <v>279</v>
      </c>
      <c r="H115" s="7" t="s">
        <v>281</v>
      </c>
      <c r="I115" s="10">
        <v>454.03</v>
      </c>
      <c r="J115" s="10">
        <f t="shared" si="5"/>
        <v>58041.829999999994</v>
      </c>
      <c r="K115" s="6">
        <f t="shared" si="4"/>
        <v>174467.43000000002</v>
      </c>
    </row>
    <row r="116" spans="1:11" x14ac:dyDescent="0.25">
      <c r="A116" s="5" t="s">
        <v>700</v>
      </c>
      <c r="B116" s="6">
        <f t="shared" si="3"/>
        <v>58.495859999999993</v>
      </c>
      <c r="C116" s="7" t="s">
        <v>330</v>
      </c>
      <c r="D116" s="7" t="s">
        <v>332</v>
      </c>
      <c r="E116" s="7" t="s">
        <v>0</v>
      </c>
      <c r="F116" s="8">
        <v>65.746699999999962</v>
      </c>
      <c r="G116" s="7" t="s">
        <v>281</v>
      </c>
      <c r="H116" s="7" t="s">
        <v>283</v>
      </c>
      <c r="I116" s="10">
        <v>993.27</v>
      </c>
      <c r="J116" s="10">
        <f t="shared" si="5"/>
        <v>58495.859999999993</v>
      </c>
      <c r="K116" s="6">
        <f t="shared" si="4"/>
        <v>174013.40000000002</v>
      </c>
    </row>
    <row r="117" spans="1:11" x14ac:dyDescent="0.25">
      <c r="A117" s="5" t="s">
        <v>700</v>
      </c>
      <c r="B117" s="6">
        <f t="shared" si="3"/>
        <v>59.489129999999989</v>
      </c>
      <c r="C117" s="7" t="s">
        <v>332</v>
      </c>
      <c r="D117" s="7" t="s">
        <v>334</v>
      </c>
      <c r="E117" s="7" t="s">
        <v>0</v>
      </c>
      <c r="F117" s="8">
        <v>66.290609999999973</v>
      </c>
      <c r="G117" s="7" t="s">
        <v>283</v>
      </c>
      <c r="H117" s="7" t="s">
        <v>285</v>
      </c>
      <c r="I117" s="10">
        <v>396.02</v>
      </c>
      <c r="J117" s="10">
        <f t="shared" si="5"/>
        <v>59489.12999999999</v>
      </c>
      <c r="K117" s="6">
        <f t="shared" si="4"/>
        <v>173020.13000000003</v>
      </c>
    </row>
    <row r="118" spans="1:11" x14ac:dyDescent="0.25">
      <c r="A118" s="5" t="s">
        <v>700</v>
      </c>
      <c r="B118" s="6">
        <f t="shared" si="3"/>
        <v>59.885149999999989</v>
      </c>
      <c r="C118" s="7" t="s">
        <v>334</v>
      </c>
      <c r="D118" s="7" t="s">
        <v>336</v>
      </c>
      <c r="E118" s="7" t="s">
        <v>0</v>
      </c>
      <c r="F118" s="8">
        <v>66.854339999999965</v>
      </c>
      <c r="G118" s="7" t="s">
        <v>285</v>
      </c>
      <c r="H118" s="7" t="s">
        <v>287</v>
      </c>
      <c r="I118" s="10">
        <v>395.56</v>
      </c>
      <c r="J118" s="10">
        <f t="shared" si="5"/>
        <v>59885.149999999987</v>
      </c>
      <c r="K118" s="6">
        <f t="shared" si="4"/>
        <v>172624.11000000004</v>
      </c>
    </row>
    <row r="119" spans="1:11" x14ac:dyDescent="0.25">
      <c r="A119" s="5" t="s">
        <v>700</v>
      </c>
      <c r="B119" s="6">
        <f t="shared" si="3"/>
        <v>60.280709999999985</v>
      </c>
      <c r="C119" s="7" t="s">
        <v>336</v>
      </c>
      <c r="D119" s="7" t="s">
        <v>338</v>
      </c>
      <c r="E119" s="7" t="s">
        <v>0</v>
      </c>
      <c r="F119" s="8">
        <v>67.418769999999967</v>
      </c>
      <c r="G119" s="7" t="s">
        <v>287</v>
      </c>
      <c r="H119" s="7" t="s">
        <v>289</v>
      </c>
      <c r="I119" s="10">
        <v>579.08000000000004</v>
      </c>
      <c r="J119" s="10">
        <f t="shared" si="5"/>
        <v>60280.709999999985</v>
      </c>
      <c r="K119" s="6">
        <f t="shared" si="4"/>
        <v>172228.55000000005</v>
      </c>
    </row>
    <row r="120" spans="1:11" x14ac:dyDescent="0.25">
      <c r="A120" s="5" t="s">
        <v>700</v>
      </c>
      <c r="B120" s="6">
        <f t="shared" si="3"/>
        <v>60.85978999999999</v>
      </c>
      <c r="C120" s="7" t="s">
        <v>338</v>
      </c>
      <c r="D120" s="7" t="s">
        <v>340</v>
      </c>
      <c r="E120" s="7" t="s">
        <v>0</v>
      </c>
      <c r="F120" s="8">
        <v>67.909609999999958</v>
      </c>
      <c r="G120" s="7" t="s">
        <v>289</v>
      </c>
      <c r="H120" s="7" t="s">
        <v>291</v>
      </c>
      <c r="I120" s="10">
        <v>767.45</v>
      </c>
      <c r="J120" s="10">
        <f t="shared" si="5"/>
        <v>60859.789999999986</v>
      </c>
      <c r="K120" s="6">
        <f t="shared" si="4"/>
        <v>171649.47000000006</v>
      </c>
    </row>
    <row r="121" spans="1:11" x14ac:dyDescent="0.25">
      <c r="A121" s="5" t="s">
        <v>700</v>
      </c>
      <c r="B121" s="6">
        <f t="shared" si="3"/>
        <v>61.627239999999986</v>
      </c>
      <c r="C121" s="7" t="s">
        <v>340</v>
      </c>
      <c r="D121" s="7" t="s">
        <v>342</v>
      </c>
      <c r="E121" s="7" t="s">
        <v>0</v>
      </c>
      <c r="F121" s="8">
        <v>68.483689999999953</v>
      </c>
      <c r="G121" s="7" t="s">
        <v>291</v>
      </c>
      <c r="H121" s="7" t="s">
        <v>293</v>
      </c>
      <c r="I121" s="10">
        <v>388.61</v>
      </c>
      <c r="J121" s="10">
        <f t="shared" si="5"/>
        <v>61627.239999999983</v>
      </c>
      <c r="K121" s="6">
        <f t="shared" si="4"/>
        <v>170882.02000000005</v>
      </c>
    </row>
    <row r="122" spans="1:11" x14ac:dyDescent="0.25">
      <c r="A122" s="5" t="s">
        <v>700</v>
      </c>
      <c r="B122" s="6">
        <f t="shared" si="3"/>
        <v>62.015849999999986</v>
      </c>
      <c r="C122" s="7" t="s">
        <v>342</v>
      </c>
      <c r="D122" s="7" t="s">
        <v>344</v>
      </c>
      <c r="E122" s="7" t="s">
        <v>0</v>
      </c>
      <c r="F122" s="8">
        <v>69.075249999999954</v>
      </c>
      <c r="G122" s="7" t="s">
        <v>293</v>
      </c>
      <c r="H122" s="7" t="s">
        <v>295</v>
      </c>
      <c r="I122" s="10">
        <v>350.62</v>
      </c>
      <c r="J122" s="10">
        <f t="shared" si="5"/>
        <v>62015.849999999984</v>
      </c>
      <c r="K122" s="6">
        <f t="shared" si="4"/>
        <v>170493.41000000006</v>
      </c>
    </row>
    <row r="123" spans="1:11" x14ac:dyDescent="0.25">
      <c r="A123" s="5" t="s">
        <v>700</v>
      </c>
      <c r="B123" s="6">
        <f t="shared" si="3"/>
        <v>62.366469999999985</v>
      </c>
      <c r="C123" s="7" t="s">
        <v>344</v>
      </c>
      <c r="D123" s="7" t="s">
        <v>346</v>
      </c>
      <c r="E123" s="7" t="s">
        <v>0</v>
      </c>
      <c r="F123" s="8">
        <v>69.572769999999963</v>
      </c>
      <c r="G123" s="7" t="s">
        <v>295</v>
      </c>
      <c r="H123" s="7" t="s">
        <v>297</v>
      </c>
      <c r="I123" s="10">
        <v>488.35</v>
      </c>
      <c r="J123" s="10">
        <f t="shared" si="5"/>
        <v>62366.469999999987</v>
      </c>
      <c r="K123" s="6">
        <f t="shared" si="4"/>
        <v>170142.79000000007</v>
      </c>
    </row>
    <row r="124" spans="1:11" x14ac:dyDescent="0.25">
      <c r="A124" s="5" t="s">
        <v>700</v>
      </c>
      <c r="B124" s="6">
        <f t="shared" si="3"/>
        <v>62.854819999999982</v>
      </c>
      <c r="C124" s="7" t="s">
        <v>346</v>
      </c>
      <c r="D124" s="7" t="s">
        <v>348</v>
      </c>
      <c r="E124" s="7" t="s">
        <v>0</v>
      </c>
      <c r="F124" s="8">
        <v>70.185749999999956</v>
      </c>
      <c r="G124" s="7" t="s">
        <v>297</v>
      </c>
      <c r="H124" s="7" t="s">
        <v>299</v>
      </c>
      <c r="I124" s="10">
        <v>700.64</v>
      </c>
      <c r="J124" s="10">
        <f t="shared" si="5"/>
        <v>62854.819999999985</v>
      </c>
      <c r="K124" s="6">
        <f t="shared" si="4"/>
        <v>169654.44000000006</v>
      </c>
    </row>
    <row r="125" spans="1:11" x14ac:dyDescent="0.25">
      <c r="A125" s="5" t="s">
        <v>700</v>
      </c>
      <c r="B125" s="6">
        <f t="shared" si="3"/>
        <v>63.555459999999982</v>
      </c>
      <c r="C125" s="7" t="s">
        <v>348</v>
      </c>
      <c r="D125" s="7" t="s">
        <v>350</v>
      </c>
      <c r="E125" s="7" t="s">
        <v>0</v>
      </c>
      <c r="F125" s="8">
        <v>70.519159999999957</v>
      </c>
      <c r="G125" s="7" t="s">
        <v>299</v>
      </c>
      <c r="H125" s="7" t="s">
        <v>301</v>
      </c>
      <c r="I125" s="10">
        <v>396.11</v>
      </c>
      <c r="J125" s="10">
        <f t="shared" si="5"/>
        <v>63555.459999999985</v>
      </c>
      <c r="K125" s="6">
        <f t="shared" si="4"/>
        <v>168953.80000000005</v>
      </c>
    </row>
    <row r="126" spans="1:11" x14ac:dyDescent="0.25">
      <c r="A126" s="5" t="s">
        <v>700</v>
      </c>
      <c r="B126" s="6">
        <f t="shared" si="3"/>
        <v>63.951569999999982</v>
      </c>
      <c r="C126" s="7" t="s">
        <v>350</v>
      </c>
      <c r="D126" s="7" t="s">
        <v>352</v>
      </c>
      <c r="E126" s="7" t="s">
        <v>0</v>
      </c>
      <c r="F126" s="8">
        <v>71.041589999999957</v>
      </c>
      <c r="G126" s="7" t="s">
        <v>301</v>
      </c>
      <c r="H126" s="7" t="s">
        <v>303</v>
      </c>
      <c r="I126" s="10">
        <v>413.11</v>
      </c>
      <c r="J126" s="10">
        <f t="shared" si="5"/>
        <v>63951.569999999985</v>
      </c>
      <c r="K126" s="6">
        <f t="shared" si="4"/>
        <v>168557.69000000006</v>
      </c>
    </row>
    <row r="127" spans="1:11" x14ac:dyDescent="0.25">
      <c r="A127" s="5" t="s">
        <v>700</v>
      </c>
      <c r="B127" s="6">
        <f t="shared" si="3"/>
        <v>64.364679999999993</v>
      </c>
      <c r="C127" s="7" t="s">
        <v>352</v>
      </c>
      <c r="D127" s="7" t="s">
        <v>354</v>
      </c>
      <c r="E127" s="7" t="s">
        <v>0</v>
      </c>
      <c r="F127" s="8">
        <v>71.436229999999952</v>
      </c>
      <c r="G127" s="7" t="s">
        <v>303</v>
      </c>
      <c r="H127" s="7" t="s">
        <v>305</v>
      </c>
      <c r="I127" s="10">
        <v>435.46</v>
      </c>
      <c r="J127" s="10">
        <f t="shared" si="5"/>
        <v>64364.679999999986</v>
      </c>
      <c r="K127" s="6">
        <f t="shared" si="4"/>
        <v>168144.58000000007</v>
      </c>
    </row>
    <row r="128" spans="1:11" x14ac:dyDescent="0.25">
      <c r="A128" s="5" t="s">
        <v>700</v>
      </c>
      <c r="B128" s="6">
        <f t="shared" si="3"/>
        <v>64.800139999999985</v>
      </c>
      <c r="C128" s="7" t="s">
        <v>354</v>
      </c>
      <c r="D128" s="7" t="s">
        <v>356</v>
      </c>
      <c r="E128" s="7" t="s">
        <v>0</v>
      </c>
      <c r="F128" s="8">
        <v>71.966719999999953</v>
      </c>
      <c r="G128" s="7" t="s">
        <v>305</v>
      </c>
      <c r="H128" s="7" t="s">
        <v>307</v>
      </c>
      <c r="I128" s="10">
        <v>540.89</v>
      </c>
      <c r="J128" s="10">
        <f t="shared" si="5"/>
        <v>64800.139999999985</v>
      </c>
      <c r="K128" s="6">
        <f t="shared" si="4"/>
        <v>167709.12000000008</v>
      </c>
    </row>
    <row r="129" spans="1:11" x14ac:dyDescent="0.25">
      <c r="A129" s="5" t="s">
        <v>700</v>
      </c>
      <c r="B129" s="6">
        <f t="shared" si="3"/>
        <v>65.341029999999989</v>
      </c>
      <c r="C129" s="7" t="s">
        <v>356</v>
      </c>
      <c r="D129" s="7" t="s">
        <v>358</v>
      </c>
      <c r="E129" s="7" t="s">
        <v>0</v>
      </c>
      <c r="F129" s="8">
        <v>72.523579999999953</v>
      </c>
      <c r="G129" s="7" t="s">
        <v>307</v>
      </c>
      <c r="H129" s="7" t="s">
        <v>309</v>
      </c>
      <c r="I129" s="10">
        <v>565.04</v>
      </c>
      <c r="J129" s="10">
        <f t="shared" si="5"/>
        <v>65341.029999999984</v>
      </c>
      <c r="K129" s="6">
        <f t="shared" si="4"/>
        <v>167168.23000000007</v>
      </c>
    </row>
    <row r="130" spans="1:11" x14ac:dyDescent="0.25">
      <c r="A130" s="5" t="s">
        <v>700</v>
      </c>
      <c r="B130" s="6">
        <f t="shared" si="3"/>
        <v>65.906069999999971</v>
      </c>
      <c r="C130" s="7" t="s">
        <v>358</v>
      </c>
      <c r="D130" s="7" t="s">
        <v>360</v>
      </c>
      <c r="E130" s="7" t="s">
        <v>0</v>
      </c>
      <c r="F130" s="8">
        <v>73.128719999999959</v>
      </c>
      <c r="G130" s="7" t="s">
        <v>309</v>
      </c>
      <c r="H130" s="7" t="s">
        <v>311</v>
      </c>
      <c r="I130" s="10">
        <v>522.45000000000005</v>
      </c>
      <c r="J130" s="10">
        <f t="shared" si="5"/>
        <v>65906.069999999978</v>
      </c>
      <c r="K130" s="6">
        <f t="shared" si="4"/>
        <v>166603.19000000006</v>
      </c>
    </row>
    <row r="131" spans="1:11" x14ac:dyDescent="0.25">
      <c r="A131" s="5" t="s">
        <v>700</v>
      </c>
      <c r="B131" s="6">
        <f t="shared" ref="B131:B194" si="6">J131/1000</f>
        <v>66.428519999999978</v>
      </c>
      <c r="C131" s="7" t="s">
        <v>360</v>
      </c>
      <c r="D131" s="7" t="s">
        <v>362</v>
      </c>
      <c r="E131" s="7" t="s">
        <v>0</v>
      </c>
      <c r="F131" s="8">
        <v>73.711289999999963</v>
      </c>
      <c r="G131" s="7" t="s">
        <v>311</v>
      </c>
      <c r="H131" s="7" t="s">
        <v>313</v>
      </c>
      <c r="I131" s="10">
        <v>442.38</v>
      </c>
      <c r="J131" s="10">
        <f t="shared" si="5"/>
        <v>66428.519999999975</v>
      </c>
      <c r="K131" s="6">
        <f t="shared" si="4"/>
        <v>166080.74000000005</v>
      </c>
    </row>
    <row r="132" spans="1:11" x14ac:dyDescent="0.25">
      <c r="A132" s="5" t="s">
        <v>700</v>
      </c>
      <c r="B132" s="6">
        <f t="shared" si="6"/>
        <v>66.870899999999978</v>
      </c>
      <c r="C132" s="7" t="s">
        <v>362</v>
      </c>
      <c r="D132" s="7" t="s">
        <v>364</v>
      </c>
      <c r="E132" s="7" t="s">
        <v>0</v>
      </c>
      <c r="F132" s="8">
        <v>74.316309999999973</v>
      </c>
      <c r="G132" s="7" t="s">
        <v>313</v>
      </c>
      <c r="H132" s="7" t="s">
        <v>315</v>
      </c>
      <c r="I132" s="10">
        <v>598.89</v>
      </c>
      <c r="J132" s="10">
        <f t="shared" si="5"/>
        <v>66870.89999999998</v>
      </c>
      <c r="K132" s="6">
        <f t="shared" ref="K132:K195" si="7">K131-I131</f>
        <v>165638.36000000004</v>
      </c>
    </row>
    <row r="133" spans="1:11" x14ac:dyDescent="0.25">
      <c r="A133" s="5" t="s">
        <v>700</v>
      </c>
      <c r="B133" s="6">
        <f t="shared" si="6"/>
        <v>67.469789999999975</v>
      </c>
      <c r="C133" s="7" t="s">
        <v>364</v>
      </c>
      <c r="D133" s="7" t="s">
        <v>366</v>
      </c>
      <c r="E133" s="7" t="s">
        <v>0</v>
      </c>
      <c r="F133" s="8">
        <v>74.79771999999997</v>
      </c>
      <c r="G133" s="7" t="s">
        <v>315</v>
      </c>
      <c r="H133" s="7" t="s">
        <v>317</v>
      </c>
      <c r="I133" s="10">
        <v>647.52</v>
      </c>
      <c r="J133" s="10">
        <f t="shared" ref="J133:J196" si="8">J132+I132</f>
        <v>67469.789999999979</v>
      </c>
      <c r="K133" s="6">
        <f t="shared" si="7"/>
        <v>165039.47000000003</v>
      </c>
    </row>
    <row r="134" spans="1:11" x14ac:dyDescent="0.25">
      <c r="A134" s="5" t="s">
        <v>700</v>
      </c>
      <c r="B134" s="6">
        <f t="shared" si="6"/>
        <v>68.117309999999989</v>
      </c>
      <c r="C134" s="7" t="s">
        <v>366</v>
      </c>
      <c r="D134" s="7" t="s">
        <v>368</v>
      </c>
      <c r="E134" s="7" t="s">
        <v>0</v>
      </c>
      <c r="F134" s="8">
        <v>75.428529999999967</v>
      </c>
      <c r="G134" s="7" t="s">
        <v>317</v>
      </c>
      <c r="H134" s="7" t="s">
        <v>319</v>
      </c>
      <c r="I134" s="10">
        <v>578.97</v>
      </c>
      <c r="J134" s="10">
        <f t="shared" si="8"/>
        <v>68117.309999999983</v>
      </c>
      <c r="K134" s="6">
        <f t="shared" si="7"/>
        <v>164391.95000000004</v>
      </c>
    </row>
    <row r="135" spans="1:11" x14ac:dyDescent="0.25">
      <c r="A135" s="5" t="s">
        <v>700</v>
      </c>
      <c r="B135" s="6">
        <f t="shared" si="6"/>
        <v>68.696279999999987</v>
      </c>
      <c r="C135" s="7" t="s">
        <v>368</v>
      </c>
      <c r="D135" s="7" t="s">
        <v>370</v>
      </c>
      <c r="E135" s="7" t="s">
        <v>0</v>
      </c>
      <c r="F135" s="8">
        <v>75.849569999999957</v>
      </c>
      <c r="G135" s="7" t="s">
        <v>319</v>
      </c>
      <c r="H135" s="7" t="s">
        <v>321</v>
      </c>
      <c r="I135" s="10">
        <v>642.1</v>
      </c>
      <c r="J135" s="10">
        <f t="shared" si="8"/>
        <v>68696.279999999984</v>
      </c>
      <c r="K135" s="6">
        <f t="shared" si="7"/>
        <v>163812.98000000004</v>
      </c>
    </row>
    <row r="136" spans="1:11" x14ac:dyDescent="0.25">
      <c r="A136" s="5" t="s">
        <v>700</v>
      </c>
      <c r="B136" s="6">
        <f t="shared" si="6"/>
        <v>69.338379999999987</v>
      </c>
      <c r="C136" s="7" t="s">
        <v>370</v>
      </c>
      <c r="D136" s="7" t="s">
        <v>372</v>
      </c>
      <c r="E136" s="7" t="s">
        <v>0</v>
      </c>
      <c r="F136" s="8">
        <v>76.477569999999957</v>
      </c>
      <c r="G136" s="7" t="s">
        <v>321</v>
      </c>
      <c r="H136" s="7" t="s">
        <v>323</v>
      </c>
      <c r="I136" s="10">
        <v>788.9</v>
      </c>
      <c r="J136" s="10">
        <f t="shared" si="8"/>
        <v>69338.37999999999</v>
      </c>
      <c r="K136" s="6">
        <f t="shared" si="7"/>
        <v>163170.88000000003</v>
      </c>
    </row>
    <row r="137" spans="1:11" x14ac:dyDescent="0.25">
      <c r="A137" s="5" t="s">
        <v>700</v>
      </c>
      <c r="B137" s="6">
        <f t="shared" si="6"/>
        <v>70.127279999999985</v>
      </c>
      <c r="C137" s="7" t="s">
        <v>372</v>
      </c>
      <c r="D137" s="7" t="s">
        <v>374</v>
      </c>
      <c r="E137" s="7" t="s">
        <v>0</v>
      </c>
      <c r="F137" s="8">
        <v>77.040479999999974</v>
      </c>
      <c r="G137" s="7" t="s">
        <v>323</v>
      </c>
      <c r="H137" s="7" t="s">
        <v>325</v>
      </c>
      <c r="I137" s="10">
        <v>620.35</v>
      </c>
      <c r="J137" s="10">
        <f t="shared" si="8"/>
        <v>70127.279999999984</v>
      </c>
      <c r="K137" s="6">
        <f t="shared" si="7"/>
        <v>162381.98000000004</v>
      </c>
    </row>
    <row r="138" spans="1:11" x14ac:dyDescent="0.25">
      <c r="A138" s="5" t="s">
        <v>700</v>
      </c>
      <c r="B138" s="6">
        <f t="shared" si="6"/>
        <v>70.747629999999987</v>
      </c>
      <c r="C138" s="7" t="s">
        <v>374</v>
      </c>
      <c r="D138" s="7" t="s">
        <v>376</v>
      </c>
      <c r="E138" s="7" t="s">
        <v>0</v>
      </c>
      <c r="F138" s="8">
        <v>77.595139999999972</v>
      </c>
      <c r="G138" s="7" t="s">
        <v>325</v>
      </c>
      <c r="H138" s="7" t="s">
        <v>327</v>
      </c>
      <c r="I138" s="10">
        <v>462.2</v>
      </c>
      <c r="J138" s="10">
        <f t="shared" si="8"/>
        <v>70747.62999999999</v>
      </c>
      <c r="K138" s="6">
        <f t="shared" si="7"/>
        <v>161761.63000000003</v>
      </c>
    </row>
    <row r="139" spans="1:11" x14ac:dyDescent="0.25">
      <c r="A139" s="5" t="s">
        <v>700</v>
      </c>
      <c r="B139" s="6">
        <f t="shared" si="6"/>
        <v>71.209829999999982</v>
      </c>
      <c r="C139" s="7" t="s">
        <v>376</v>
      </c>
      <c r="D139" s="7" t="s">
        <v>378</v>
      </c>
      <c r="E139" s="7" t="s">
        <v>0</v>
      </c>
      <c r="F139" s="8">
        <v>78.263969999999972</v>
      </c>
      <c r="G139" s="7" t="s">
        <v>327</v>
      </c>
      <c r="H139" s="7" t="s">
        <v>329</v>
      </c>
      <c r="I139" s="10">
        <v>688.73</v>
      </c>
      <c r="J139" s="10">
        <f t="shared" si="8"/>
        <v>71209.829999999987</v>
      </c>
      <c r="K139" s="6">
        <f t="shared" si="7"/>
        <v>161299.43000000002</v>
      </c>
    </row>
    <row r="140" spans="1:11" x14ac:dyDescent="0.25">
      <c r="A140" s="5" t="s">
        <v>700</v>
      </c>
      <c r="B140" s="6">
        <f t="shared" si="6"/>
        <v>71.898559999999989</v>
      </c>
      <c r="C140" s="7" t="s">
        <v>378</v>
      </c>
      <c r="D140" s="7" t="s">
        <v>380</v>
      </c>
      <c r="E140" s="7" t="s">
        <v>0</v>
      </c>
      <c r="F140" s="8">
        <v>78.879559999999969</v>
      </c>
      <c r="G140" s="7" t="s">
        <v>329</v>
      </c>
      <c r="H140" s="7" t="s">
        <v>331</v>
      </c>
      <c r="I140" s="10">
        <v>519.23</v>
      </c>
      <c r="J140" s="10">
        <f t="shared" si="8"/>
        <v>71898.559999999983</v>
      </c>
      <c r="K140" s="6">
        <f t="shared" si="7"/>
        <v>160610.70000000001</v>
      </c>
    </row>
    <row r="141" spans="1:11" x14ac:dyDescent="0.25">
      <c r="A141" s="5" t="s">
        <v>700</v>
      </c>
      <c r="B141" s="6">
        <f t="shared" si="6"/>
        <v>72.417789999999982</v>
      </c>
      <c r="C141" s="7" t="s">
        <v>380</v>
      </c>
      <c r="D141" s="7" t="s">
        <v>382</v>
      </c>
      <c r="E141" s="7" t="s">
        <v>0</v>
      </c>
      <c r="F141" s="8">
        <v>79.456979999999973</v>
      </c>
      <c r="G141" s="7" t="s">
        <v>331</v>
      </c>
      <c r="H141" s="7" t="s">
        <v>333</v>
      </c>
      <c r="I141" s="10">
        <v>452.7</v>
      </c>
      <c r="J141" s="10">
        <f t="shared" si="8"/>
        <v>72417.789999999979</v>
      </c>
      <c r="K141" s="6">
        <f t="shared" si="7"/>
        <v>160091.47</v>
      </c>
    </row>
    <row r="142" spans="1:11" x14ac:dyDescent="0.25">
      <c r="A142" s="5" t="s">
        <v>700</v>
      </c>
      <c r="B142" s="6">
        <f t="shared" si="6"/>
        <v>72.870489999999975</v>
      </c>
      <c r="C142" s="7" t="s">
        <v>382</v>
      </c>
      <c r="D142" s="7" t="s">
        <v>384</v>
      </c>
      <c r="E142" s="7" t="s">
        <v>0</v>
      </c>
      <c r="F142" s="8">
        <v>80.019539999999964</v>
      </c>
      <c r="G142" s="7" t="s">
        <v>333</v>
      </c>
      <c r="H142" s="7" t="s">
        <v>335</v>
      </c>
      <c r="I142" s="10">
        <v>370.12</v>
      </c>
      <c r="J142" s="10">
        <f t="shared" si="8"/>
        <v>72870.489999999976</v>
      </c>
      <c r="K142" s="6">
        <f t="shared" si="7"/>
        <v>159638.76999999999</v>
      </c>
    </row>
    <row r="143" spans="1:11" x14ac:dyDescent="0.25">
      <c r="A143" s="5" t="s">
        <v>700</v>
      </c>
      <c r="B143" s="6">
        <f t="shared" si="6"/>
        <v>73.240609999999975</v>
      </c>
      <c r="C143" s="7" t="s">
        <v>384</v>
      </c>
      <c r="D143" s="7" t="s">
        <v>386</v>
      </c>
      <c r="E143" s="7" t="s">
        <v>0</v>
      </c>
      <c r="F143" s="8">
        <v>80.615529999999964</v>
      </c>
      <c r="G143" s="7" t="s">
        <v>335</v>
      </c>
      <c r="H143" s="7" t="s">
        <v>337</v>
      </c>
      <c r="I143" s="10">
        <v>548.67999999999995</v>
      </c>
      <c r="J143" s="10">
        <f t="shared" si="8"/>
        <v>73240.609999999971</v>
      </c>
      <c r="K143" s="6">
        <f t="shared" si="7"/>
        <v>159268.65</v>
      </c>
    </row>
    <row r="144" spans="1:11" x14ac:dyDescent="0.25">
      <c r="A144" s="5" t="s">
        <v>700</v>
      </c>
      <c r="B144" s="6">
        <f t="shared" si="6"/>
        <v>73.789289999999966</v>
      </c>
      <c r="C144" s="7" t="s">
        <v>386</v>
      </c>
      <c r="D144" s="7" t="s">
        <v>388</v>
      </c>
      <c r="E144" s="7" t="s">
        <v>0</v>
      </c>
      <c r="F144" s="8">
        <v>81.232339999999965</v>
      </c>
      <c r="G144" s="7" t="s">
        <v>337</v>
      </c>
      <c r="H144" s="7" t="s">
        <v>339</v>
      </c>
      <c r="I144" s="10">
        <v>435.9</v>
      </c>
      <c r="J144" s="10">
        <f t="shared" si="8"/>
        <v>73789.289999999964</v>
      </c>
      <c r="K144" s="6">
        <f t="shared" si="7"/>
        <v>158719.97</v>
      </c>
    </row>
    <row r="145" spans="1:11" x14ac:dyDescent="0.25">
      <c r="A145" s="5" t="s">
        <v>700</v>
      </c>
      <c r="B145" s="6">
        <f t="shared" si="6"/>
        <v>74.225189999999955</v>
      </c>
      <c r="C145" s="7" t="s">
        <v>388</v>
      </c>
      <c r="D145" s="7" t="s">
        <v>390</v>
      </c>
      <c r="E145" s="7" t="s">
        <v>0</v>
      </c>
      <c r="F145" s="8">
        <v>81.796529999999976</v>
      </c>
      <c r="G145" s="7" t="s">
        <v>339</v>
      </c>
      <c r="H145" s="7" t="s">
        <v>341</v>
      </c>
      <c r="I145" s="10">
        <v>509.81</v>
      </c>
      <c r="J145" s="10">
        <f t="shared" si="8"/>
        <v>74225.189999999959</v>
      </c>
      <c r="K145" s="6">
        <f t="shared" si="7"/>
        <v>158284.07</v>
      </c>
    </row>
    <row r="146" spans="1:11" x14ac:dyDescent="0.25">
      <c r="A146" s="5" t="s">
        <v>700</v>
      </c>
      <c r="B146" s="6">
        <f t="shared" si="6"/>
        <v>74.734999999999957</v>
      </c>
      <c r="C146" s="7" t="s">
        <v>390</v>
      </c>
      <c r="D146" s="7" t="s">
        <v>392</v>
      </c>
      <c r="E146" s="7" t="s">
        <v>0</v>
      </c>
      <c r="F146" s="8">
        <v>82.37812999999997</v>
      </c>
      <c r="G146" s="7" t="s">
        <v>341</v>
      </c>
      <c r="H146" s="7" t="s">
        <v>343</v>
      </c>
      <c r="I146" s="10">
        <v>466.78</v>
      </c>
      <c r="J146" s="10">
        <f t="shared" si="8"/>
        <v>74734.999999999956</v>
      </c>
      <c r="K146" s="6">
        <f t="shared" si="7"/>
        <v>157774.26</v>
      </c>
    </row>
    <row r="147" spans="1:11" x14ac:dyDescent="0.25">
      <c r="A147" s="5" t="s">
        <v>700</v>
      </c>
      <c r="B147" s="6">
        <f t="shared" si="6"/>
        <v>75.201779999999957</v>
      </c>
      <c r="C147" s="7" t="s">
        <v>392</v>
      </c>
      <c r="D147" s="7" t="s">
        <v>394</v>
      </c>
      <c r="E147" s="7" t="s">
        <v>0</v>
      </c>
      <c r="F147" s="8">
        <v>82.865499999999969</v>
      </c>
      <c r="G147" s="7" t="s">
        <v>343</v>
      </c>
      <c r="H147" s="7" t="s">
        <v>345</v>
      </c>
      <c r="I147" s="10">
        <v>558.91</v>
      </c>
      <c r="J147" s="10">
        <f t="shared" si="8"/>
        <v>75201.779999999955</v>
      </c>
      <c r="K147" s="6">
        <f t="shared" si="7"/>
        <v>157307.48000000001</v>
      </c>
    </row>
    <row r="148" spans="1:11" x14ac:dyDescent="0.25">
      <c r="A148" s="5" t="s">
        <v>700</v>
      </c>
      <c r="B148" s="6">
        <f t="shared" si="6"/>
        <v>75.760689999999954</v>
      </c>
      <c r="C148" s="7" t="s">
        <v>394</v>
      </c>
      <c r="D148" s="7" t="s">
        <v>396</v>
      </c>
      <c r="E148" s="7" t="s">
        <v>0</v>
      </c>
      <c r="F148" s="8">
        <v>83.473429999999965</v>
      </c>
      <c r="G148" s="7" t="s">
        <v>345</v>
      </c>
      <c r="H148" s="7" t="s">
        <v>347</v>
      </c>
      <c r="I148" s="10">
        <v>607.34</v>
      </c>
      <c r="J148" s="10">
        <f t="shared" si="8"/>
        <v>75760.689999999959</v>
      </c>
      <c r="K148" s="6">
        <f t="shared" si="7"/>
        <v>156748.57</v>
      </c>
    </row>
    <row r="149" spans="1:11" x14ac:dyDescent="0.25">
      <c r="A149" s="5" t="s">
        <v>700</v>
      </c>
      <c r="B149" s="6">
        <f t="shared" si="6"/>
        <v>76.368029999999962</v>
      </c>
      <c r="C149" s="7" t="s">
        <v>396</v>
      </c>
      <c r="D149" s="7" t="s">
        <v>398</v>
      </c>
      <c r="E149" s="7" t="s">
        <v>0</v>
      </c>
      <c r="F149" s="8">
        <v>84.031249999999972</v>
      </c>
      <c r="G149" s="7" t="s">
        <v>347</v>
      </c>
      <c r="H149" s="7" t="s">
        <v>349</v>
      </c>
      <c r="I149" s="10">
        <v>469.13</v>
      </c>
      <c r="J149" s="10">
        <f t="shared" si="8"/>
        <v>76368.029999999955</v>
      </c>
      <c r="K149" s="6">
        <f t="shared" si="7"/>
        <v>156141.23000000001</v>
      </c>
    </row>
    <row r="150" spans="1:11" x14ac:dyDescent="0.25">
      <c r="A150" s="5" t="s">
        <v>700</v>
      </c>
      <c r="B150" s="6">
        <f t="shared" si="6"/>
        <v>76.837159999999955</v>
      </c>
      <c r="C150" s="7" t="s">
        <v>398</v>
      </c>
      <c r="D150" s="7" t="s">
        <v>400</v>
      </c>
      <c r="E150" s="7" t="s">
        <v>0</v>
      </c>
      <c r="F150" s="8">
        <v>84.720269999999971</v>
      </c>
      <c r="G150" s="7" t="s">
        <v>349</v>
      </c>
      <c r="H150" s="7" t="s">
        <v>351</v>
      </c>
      <c r="I150" s="10">
        <v>617.29999999999995</v>
      </c>
      <c r="J150" s="10">
        <f t="shared" si="8"/>
        <v>76837.15999999996</v>
      </c>
      <c r="K150" s="6">
        <f t="shared" si="7"/>
        <v>155672.1</v>
      </c>
    </row>
    <row r="151" spans="1:11" x14ac:dyDescent="0.25">
      <c r="A151" s="5" t="s">
        <v>700</v>
      </c>
      <c r="B151" s="6">
        <f t="shared" si="6"/>
        <v>77.454459999999969</v>
      </c>
      <c r="C151" s="7" t="s">
        <v>400</v>
      </c>
      <c r="D151" s="7" t="s">
        <v>402</v>
      </c>
      <c r="E151" s="7" t="s">
        <v>0</v>
      </c>
      <c r="F151" s="8">
        <v>85.330779999999976</v>
      </c>
      <c r="G151" s="7" t="s">
        <v>351</v>
      </c>
      <c r="H151" s="7" t="s">
        <v>353</v>
      </c>
      <c r="I151" s="10">
        <v>543.71</v>
      </c>
      <c r="J151" s="10">
        <f t="shared" si="8"/>
        <v>77454.459999999963</v>
      </c>
      <c r="K151" s="6">
        <f t="shared" si="7"/>
        <v>155054.80000000002</v>
      </c>
    </row>
    <row r="152" spans="1:11" x14ac:dyDescent="0.25">
      <c r="A152" s="5" t="s">
        <v>700</v>
      </c>
      <c r="B152" s="6">
        <f t="shared" si="6"/>
        <v>77.998169999999973</v>
      </c>
      <c r="C152" s="7" t="s">
        <v>402</v>
      </c>
      <c r="D152" s="7" t="s">
        <v>404</v>
      </c>
      <c r="E152" s="7" t="s">
        <v>0</v>
      </c>
      <c r="F152" s="8">
        <v>85.970689999999976</v>
      </c>
      <c r="G152" s="7" t="s">
        <v>353</v>
      </c>
      <c r="H152" s="7" t="s">
        <v>355</v>
      </c>
      <c r="I152" s="10">
        <v>573.04</v>
      </c>
      <c r="J152" s="10">
        <f t="shared" si="8"/>
        <v>77998.169999999969</v>
      </c>
      <c r="K152" s="6">
        <f t="shared" si="7"/>
        <v>154511.09000000003</v>
      </c>
    </row>
    <row r="153" spans="1:11" x14ac:dyDescent="0.25">
      <c r="A153" s="5" t="s">
        <v>700</v>
      </c>
      <c r="B153" s="6">
        <f t="shared" si="6"/>
        <v>78.571209999999965</v>
      </c>
      <c r="C153" s="7" t="s">
        <v>404</v>
      </c>
      <c r="D153" s="7" t="s">
        <v>406</v>
      </c>
      <c r="E153" s="7" t="s">
        <v>0</v>
      </c>
      <c r="F153" s="8">
        <v>86.515459999999976</v>
      </c>
      <c r="G153" s="7" t="s">
        <v>355</v>
      </c>
      <c r="H153" s="7" t="s">
        <v>357</v>
      </c>
      <c r="I153" s="10">
        <v>609.4</v>
      </c>
      <c r="J153" s="10">
        <f t="shared" si="8"/>
        <v>78571.209999999963</v>
      </c>
      <c r="K153" s="6">
        <f t="shared" si="7"/>
        <v>153938.05000000002</v>
      </c>
    </row>
    <row r="154" spans="1:11" x14ac:dyDescent="0.25">
      <c r="A154" s="5" t="s">
        <v>700</v>
      </c>
      <c r="B154" s="6">
        <f t="shared" si="6"/>
        <v>79.180609999999959</v>
      </c>
      <c r="C154" s="7" t="s">
        <v>406</v>
      </c>
      <c r="D154" s="7" t="s">
        <v>408</v>
      </c>
      <c r="E154" s="7" t="s">
        <v>0</v>
      </c>
      <c r="F154" s="8">
        <v>87.169279999999986</v>
      </c>
      <c r="G154" s="7" t="s">
        <v>357</v>
      </c>
      <c r="H154" s="7" t="s">
        <v>359</v>
      </c>
      <c r="I154" s="10">
        <v>683.76</v>
      </c>
      <c r="J154" s="10">
        <f t="shared" si="8"/>
        <v>79180.609999999957</v>
      </c>
      <c r="K154" s="6">
        <f t="shared" si="7"/>
        <v>153328.65000000002</v>
      </c>
    </row>
    <row r="155" spans="1:11" x14ac:dyDescent="0.25">
      <c r="A155" s="5" t="s">
        <v>700</v>
      </c>
      <c r="B155" s="6">
        <f t="shared" si="6"/>
        <v>79.864369999999951</v>
      </c>
      <c r="C155" s="7" t="s">
        <v>408</v>
      </c>
      <c r="D155" s="7" t="s">
        <v>410</v>
      </c>
      <c r="E155" s="7" t="s">
        <v>0</v>
      </c>
      <c r="F155" s="8">
        <v>87.845659999999995</v>
      </c>
      <c r="G155" s="7" t="s">
        <v>359</v>
      </c>
      <c r="H155" s="7" t="s">
        <v>361</v>
      </c>
      <c r="I155" s="10">
        <v>472.11</v>
      </c>
      <c r="J155" s="10">
        <f t="shared" si="8"/>
        <v>79864.369999999952</v>
      </c>
      <c r="K155" s="6">
        <f t="shared" si="7"/>
        <v>152644.89000000001</v>
      </c>
    </row>
    <row r="156" spans="1:11" x14ac:dyDescent="0.25">
      <c r="A156" s="5" t="s">
        <v>700</v>
      </c>
      <c r="B156" s="6">
        <f t="shared" si="6"/>
        <v>80.336479999999952</v>
      </c>
      <c r="C156" s="7" t="s">
        <v>410</v>
      </c>
      <c r="D156" s="7" t="s">
        <v>412</v>
      </c>
      <c r="E156" s="7" t="s">
        <v>0</v>
      </c>
      <c r="F156" s="8">
        <v>88.474869999999996</v>
      </c>
      <c r="G156" s="7" t="s">
        <v>361</v>
      </c>
      <c r="H156" s="7" t="s">
        <v>363</v>
      </c>
      <c r="I156" s="10">
        <v>449.29</v>
      </c>
      <c r="J156" s="10">
        <f t="shared" si="8"/>
        <v>80336.479999999952</v>
      </c>
      <c r="K156" s="6">
        <f t="shared" si="7"/>
        <v>152172.78000000003</v>
      </c>
    </row>
    <row r="157" spans="1:11" x14ac:dyDescent="0.25">
      <c r="A157" s="5" t="s">
        <v>700</v>
      </c>
      <c r="B157" s="6">
        <f t="shared" si="6"/>
        <v>80.785769999999943</v>
      </c>
      <c r="C157" s="7" t="s">
        <v>412</v>
      </c>
      <c r="D157" s="7" t="s">
        <v>414</v>
      </c>
      <c r="E157" s="7" t="s">
        <v>0</v>
      </c>
      <c r="F157" s="8">
        <v>89.169309999999996</v>
      </c>
      <c r="G157" s="7" t="s">
        <v>363</v>
      </c>
      <c r="H157" s="7" t="s">
        <v>365</v>
      </c>
      <c r="I157" s="10">
        <v>472.37</v>
      </c>
      <c r="J157" s="10">
        <f t="shared" si="8"/>
        <v>80785.769999999946</v>
      </c>
      <c r="K157" s="6">
        <f t="shared" si="7"/>
        <v>151723.49000000002</v>
      </c>
    </row>
    <row r="158" spans="1:11" x14ac:dyDescent="0.25">
      <c r="A158" s="5" t="s">
        <v>700</v>
      </c>
      <c r="B158" s="6">
        <f t="shared" si="6"/>
        <v>81.258139999999941</v>
      </c>
      <c r="C158" s="7" t="s">
        <v>414</v>
      </c>
      <c r="D158" s="7" t="s">
        <v>416</v>
      </c>
      <c r="E158" s="7" t="s">
        <v>0</v>
      </c>
      <c r="F158" s="8">
        <v>89.893690000000007</v>
      </c>
      <c r="G158" s="7" t="s">
        <v>365</v>
      </c>
      <c r="H158" s="7" t="s">
        <v>367</v>
      </c>
      <c r="I158" s="10">
        <v>489.1</v>
      </c>
      <c r="J158" s="10">
        <f t="shared" si="8"/>
        <v>81258.139999999941</v>
      </c>
      <c r="K158" s="6">
        <f t="shared" si="7"/>
        <v>151251.12000000002</v>
      </c>
    </row>
    <row r="159" spans="1:11" x14ac:dyDescent="0.25">
      <c r="A159" s="5" t="s">
        <v>700</v>
      </c>
      <c r="B159" s="6">
        <f t="shared" si="6"/>
        <v>81.747239999999948</v>
      </c>
      <c r="C159" s="7" t="s">
        <v>416</v>
      </c>
      <c r="D159" s="7" t="s">
        <v>418</v>
      </c>
      <c r="E159" s="7" t="s">
        <v>0</v>
      </c>
      <c r="F159" s="8">
        <v>90.570359999999994</v>
      </c>
      <c r="G159" s="7" t="s">
        <v>367</v>
      </c>
      <c r="H159" s="7" t="s">
        <v>369</v>
      </c>
      <c r="I159" s="10">
        <v>489.28</v>
      </c>
      <c r="J159" s="10">
        <f t="shared" si="8"/>
        <v>81747.239999999947</v>
      </c>
      <c r="K159" s="6">
        <f t="shared" si="7"/>
        <v>150762.02000000002</v>
      </c>
    </row>
    <row r="160" spans="1:11" x14ac:dyDescent="0.25">
      <c r="A160" s="5" t="s">
        <v>700</v>
      </c>
      <c r="B160" s="6">
        <f t="shared" si="6"/>
        <v>82.236519999999942</v>
      </c>
      <c r="C160" s="7" t="s">
        <v>418</v>
      </c>
      <c r="D160" s="7" t="s">
        <v>420</v>
      </c>
      <c r="E160" s="7" t="s">
        <v>0</v>
      </c>
      <c r="F160" s="8">
        <v>91.039380000000008</v>
      </c>
      <c r="G160" s="7" t="s">
        <v>369</v>
      </c>
      <c r="H160" s="7" t="s">
        <v>371</v>
      </c>
      <c r="I160" s="10">
        <v>550.79</v>
      </c>
      <c r="J160" s="10">
        <f t="shared" si="8"/>
        <v>82236.519999999946</v>
      </c>
      <c r="K160" s="6">
        <f t="shared" si="7"/>
        <v>150272.74000000002</v>
      </c>
    </row>
    <row r="161" spans="1:11" x14ac:dyDescent="0.25">
      <c r="A161" s="5" t="s">
        <v>700</v>
      </c>
      <c r="B161" s="6">
        <f t="shared" si="6"/>
        <v>82.787309999999934</v>
      </c>
      <c r="C161" s="7" t="s">
        <v>420</v>
      </c>
      <c r="D161" s="7" t="s">
        <v>422</v>
      </c>
      <c r="E161" s="7" t="s">
        <v>0</v>
      </c>
      <c r="F161" s="8">
        <v>91.570200000000014</v>
      </c>
      <c r="G161" s="7" t="s">
        <v>371</v>
      </c>
      <c r="H161" s="7" t="s">
        <v>373</v>
      </c>
      <c r="I161" s="10">
        <v>561.97</v>
      </c>
      <c r="J161" s="10">
        <f t="shared" si="8"/>
        <v>82787.309999999939</v>
      </c>
      <c r="K161" s="6">
        <f t="shared" si="7"/>
        <v>149721.95000000001</v>
      </c>
    </row>
    <row r="162" spans="1:11" x14ac:dyDescent="0.25">
      <c r="A162" s="5" t="s">
        <v>700</v>
      </c>
      <c r="B162" s="6">
        <f t="shared" si="6"/>
        <v>83.349279999999936</v>
      </c>
      <c r="C162" s="7" t="s">
        <v>422</v>
      </c>
      <c r="D162" s="7" t="s">
        <v>424</v>
      </c>
      <c r="E162" s="7" t="s">
        <v>0</v>
      </c>
      <c r="F162" s="8">
        <v>92.047430000000006</v>
      </c>
      <c r="G162" s="7" t="s">
        <v>373</v>
      </c>
      <c r="H162" s="7" t="s">
        <v>375</v>
      </c>
      <c r="I162" s="10">
        <v>603.79999999999995</v>
      </c>
      <c r="J162" s="10">
        <f t="shared" si="8"/>
        <v>83349.279999999941</v>
      </c>
      <c r="K162" s="6">
        <f t="shared" si="7"/>
        <v>149159.98000000001</v>
      </c>
    </row>
    <row r="163" spans="1:11" x14ac:dyDescent="0.25">
      <c r="A163" s="5" t="s">
        <v>700</v>
      </c>
      <c r="B163" s="6">
        <f t="shared" si="6"/>
        <v>83.953079999999943</v>
      </c>
      <c r="C163" s="7" t="s">
        <v>424</v>
      </c>
      <c r="D163" s="7" t="s">
        <v>426</v>
      </c>
      <c r="E163" s="7" t="s">
        <v>0</v>
      </c>
      <c r="F163" s="8">
        <v>92.598540000000014</v>
      </c>
      <c r="G163" s="7" t="s">
        <v>375</v>
      </c>
      <c r="H163" s="7" t="s">
        <v>377</v>
      </c>
      <c r="I163" s="10">
        <v>542.66999999999996</v>
      </c>
      <c r="J163" s="10">
        <f t="shared" si="8"/>
        <v>83953.079999999944</v>
      </c>
      <c r="K163" s="6">
        <f t="shared" si="7"/>
        <v>148556.18000000002</v>
      </c>
    </row>
    <row r="164" spans="1:11" x14ac:dyDescent="0.25">
      <c r="A164" s="5" t="s">
        <v>700</v>
      </c>
      <c r="B164" s="6">
        <f t="shared" si="6"/>
        <v>84.495749999999944</v>
      </c>
      <c r="C164" s="7" t="s">
        <v>426</v>
      </c>
      <c r="D164" s="7" t="s">
        <v>428</v>
      </c>
      <c r="E164" s="7" t="s">
        <v>0</v>
      </c>
      <c r="F164" s="8">
        <v>93.142740000000003</v>
      </c>
      <c r="G164" s="7" t="s">
        <v>377</v>
      </c>
      <c r="H164" s="7" t="s">
        <v>379</v>
      </c>
      <c r="I164" s="10">
        <v>431.89</v>
      </c>
      <c r="J164" s="10">
        <f t="shared" si="8"/>
        <v>84495.749999999942</v>
      </c>
      <c r="K164" s="6">
        <f t="shared" si="7"/>
        <v>148013.51</v>
      </c>
    </row>
    <row r="165" spans="1:11" x14ac:dyDescent="0.25">
      <c r="A165" s="5" t="s">
        <v>700</v>
      </c>
      <c r="B165" s="6">
        <f t="shared" si="6"/>
        <v>84.92763999999994</v>
      </c>
      <c r="C165" s="7" t="s">
        <v>428</v>
      </c>
      <c r="D165" s="7" t="s">
        <v>430</v>
      </c>
      <c r="E165" s="7" t="s">
        <v>0</v>
      </c>
      <c r="F165" s="8">
        <v>93.748940000000005</v>
      </c>
      <c r="G165" s="7" t="s">
        <v>379</v>
      </c>
      <c r="H165" s="7" t="s">
        <v>381</v>
      </c>
      <c r="I165" s="10">
        <v>506.36</v>
      </c>
      <c r="J165" s="10">
        <f t="shared" si="8"/>
        <v>84927.639999999941</v>
      </c>
      <c r="K165" s="6">
        <f t="shared" si="7"/>
        <v>147581.62</v>
      </c>
    </row>
    <row r="166" spans="1:11" x14ac:dyDescent="0.25">
      <c r="A166" s="5" t="s">
        <v>700</v>
      </c>
      <c r="B166" s="6">
        <f t="shared" si="6"/>
        <v>85.433999999999941</v>
      </c>
      <c r="C166" s="7" t="s">
        <v>430</v>
      </c>
      <c r="D166" s="7" t="s">
        <v>432</v>
      </c>
      <c r="E166" s="7" t="s">
        <v>0</v>
      </c>
      <c r="F166" s="8">
        <v>94.436530000000005</v>
      </c>
      <c r="G166" s="7" t="s">
        <v>381</v>
      </c>
      <c r="H166" s="7" t="s">
        <v>383</v>
      </c>
      <c r="I166" s="10">
        <v>468.85</v>
      </c>
      <c r="J166" s="10">
        <f t="shared" si="8"/>
        <v>85433.999999999942</v>
      </c>
      <c r="K166" s="6">
        <f t="shared" si="7"/>
        <v>147075.26</v>
      </c>
    </row>
    <row r="167" spans="1:11" x14ac:dyDescent="0.25">
      <c r="A167" s="5" t="s">
        <v>700</v>
      </c>
      <c r="B167" s="6">
        <f t="shared" si="6"/>
        <v>85.902849999999944</v>
      </c>
      <c r="C167" s="7" t="s">
        <v>432</v>
      </c>
      <c r="D167" s="7" t="s">
        <v>434</v>
      </c>
      <c r="E167" s="7" t="s">
        <v>0</v>
      </c>
      <c r="F167" s="8">
        <v>95.186279999999996</v>
      </c>
      <c r="G167" s="7" t="s">
        <v>383</v>
      </c>
      <c r="H167" s="7" t="s">
        <v>385</v>
      </c>
      <c r="I167" s="10">
        <v>442.15</v>
      </c>
      <c r="J167" s="10">
        <f t="shared" si="8"/>
        <v>85902.849999999948</v>
      </c>
      <c r="K167" s="6">
        <f t="shared" si="7"/>
        <v>146606.41</v>
      </c>
    </row>
    <row r="168" spans="1:11" x14ac:dyDescent="0.25">
      <c r="A168" s="5" t="s">
        <v>700</v>
      </c>
      <c r="B168" s="6">
        <f t="shared" si="6"/>
        <v>86.344999999999942</v>
      </c>
      <c r="C168" s="7" t="s">
        <v>434</v>
      </c>
      <c r="D168" s="7" t="s">
        <v>436</v>
      </c>
      <c r="E168" s="7" t="s">
        <v>0</v>
      </c>
      <c r="F168" s="8">
        <v>95.781589999999994</v>
      </c>
      <c r="G168" s="7" t="s">
        <v>385</v>
      </c>
      <c r="H168" s="7" t="s">
        <v>387</v>
      </c>
      <c r="I168" s="10">
        <v>579.89</v>
      </c>
      <c r="J168" s="10">
        <f t="shared" si="8"/>
        <v>86344.999999999942</v>
      </c>
      <c r="K168" s="6">
        <f t="shared" si="7"/>
        <v>146164.26</v>
      </c>
    </row>
    <row r="169" spans="1:11" x14ac:dyDescent="0.25">
      <c r="A169" s="5" t="s">
        <v>700</v>
      </c>
      <c r="B169" s="6">
        <f t="shared" si="6"/>
        <v>86.924889999999948</v>
      </c>
      <c r="C169" s="7" t="s">
        <v>436</v>
      </c>
      <c r="D169" s="7" t="s">
        <v>438</v>
      </c>
      <c r="E169" s="7" t="s">
        <v>0</v>
      </c>
      <c r="F169" s="8">
        <v>96.578589999999991</v>
      </c>
      <c r="G169" s="7" t="s">
        <v>387</v>
      </c>
      <c r="H169" s="7" t="s">
        <v>389</v>
      </c>
      <c r="I169" s="10">
        <v>566.82000000000005</v>
      </c>
      <c r="J169" s="10">
        <f t="shared" si="8"/>
        <v>86924.889999999941</v>
      </c>
      <c r="K169" s="6">
        <f t="shared" si="7"/>
        <v>145584.37</v>
      </c>
    </row>
    <row r="170" spans="1:11" x14ac:dyDescent="0.25">
      <c r="A170" s="5" t="s">
        <v>700</v>
      </c>
      <c r="B170" s="6">
        <f t="shared" si="6"/>
        <v>87.491709999999955</v>
      </c>
      <c r="C170" s="7" t="s">
        <v>438</v>
      </c>
      <c r="D170" s="7" t="s">
        <v>440</v>
      </c>
      <c r="E170" s="7" t="s">
        <v>0</v>
      </c>
      <c r="F170" s="8">
        <v>97.195019999999985</v>
      </c>
      <c r="G170" s="7" t="s">
        <v>389</v>
      </c>
      <c r="H170" s="7" t="s">
        <v>391</v>
      </c>
      <c r="I170" s="10">
        <v>356.76</v>
      </c>
      <c r="J170" s="10">
        <f t="shared" si="8"/>
        <v>87491.709999999948</v>
      </c>
      <c r="K170" s="6">
        <f t="shared" si="7"/>
        <v>145017.54999999999</v>
      </c>
    </row>
    <row r="171" spans="1:11" x14ac:dyDescent="0.25">
      <c r="A171" s="5" t="s">
        <v>700</v>
      </c>
      <c r="B171" s="6">
        <f t="shared" si="6"/>
        <v>87.848469999999949</v>
      </c>
      <c r="C171" s="7" t="s">
        <v>440</v>
      </c>
      <c r="D171" s="7" t="s">
        <v>442</v>
      </c>
      <c r="E171" s="7" t="s">
        <v>0</v>
      </c>
      <c r="F171" s="8">
        <v>97.824649999999991</v>
      </c>
      <c r="G171" s="7" t="s">
        <v>391</v>
      </c>
      <c r="H171" s="7" t="s">
        <v>393</v>
      </c>
      <c r="I171" s="10">
        <v>464.44</v>
      </c>
      <c r="J171" s="10">
        <f t="shared" si="8"/>
        <v>87848.469999999943</v>
      </c>
      <c r="K171" s="6">
        <f t="shared" si="7"/>
        <v>144660.78999999998</v>
      </c>
    </row>
    <row r="172" spans="1:11" x14ac:dyDescent="0.25">
      <c r="A172" s="5" t="s">
        <v>700</v>
      </c>
      <c r="B172" s="6">
        <f t="shared" si="6"/>
        <v>88.312909999999945</v>
      </c>
      <c r="C172" s="7" t="s">
        <v>442</v>
      </c>
      <c r="D172" s="7" t="s">
        <v>444</v>
      </c>
      <c r="E172" s="7" t="s">
        <v>0</v>
      </c>
      <c r="F172" s="8">
        <v>98.304379999999995</v>
      </c>
      <c r="G172" s="7" t="s">
        <v>393</v>
      </c>
      <c r="H172" s="7" t="s">
        <v>395</v>
      </c>
      <c r="I172" s="10">
        <v>488.57</v>
      </c>
      <c r="J172" s="10">
        <f t="shared" si="8"/>
        <v>88312.909999999945</v>
      </c>
      <c r="K172" s="6">
        <f t="shared" si="7"/>
        <v>144196.34999999998</v>
      </c>
    </row>
    <row r="173" spans="1:11" x14ac:dyDescent="0.25">
      <c r="A173" s="5" t="s">
        <v>700</v>
      </c>
      <c r="B173" s="6">
        <f t="shared" si="6"/>
        <v>88.801479999999955</v>
      </c>
      <c r="C173" s="7" t="s">
        <v>444</v>
      </c>
      <c r="D173" s="7" t="s">
        <v>446</v>
      </c>
      <c r="E173" s="7" t="s">
        <v>0</v>
      </c>
      <c r="F173" s="8">
        <v>99.347639999999984</v>
      </c>
      <c r="G173" s="7" t="s">
        <v>395</v>
      </c>
      <c r="H173" s="7" t="s">
        <v>397</v>
      </c>
      <c r="I173" s="10">
        <v>609.4</v>
      </c>
      <c r="J173" s="10">
        <f t="shared" si="8"/>
        <v>88801.479999999952</v>
      </c>
      <c r="K173" s="6">
        <f t="shared" si="7"/>
        <v>143707.77999999997</v>
      </c>
    </row>
    <row r="174" spans="1:11" x14ac:dyDescent="0.25">
      <c r="A174" s="5" t="s">
        <v>700</v>
      </c>
      <c r="B174" s="6">
        <f t="shared" si="6"/>
        <v>89.410879999999949</v>
      </c>
      <c r="C174" s="7" t="s">
        <v>446</v>
      </c>
      <c r="D174" s="7" t="s">
        <v>448</v>
      </c>
      <c r="E174" s="7" t="s">
        <v>0</v>
      </c>
      <c r="F174" s="8">
        <v>100.00415999999998</v>
      </c>
      <c r="G174" s="7" t="s">
        <v>397</v>
      </c>
      <c r="H174" s="7" t="s">
        <v>399</v>
      </c>
      <c r="I174" s="10">
        <v>300.22000000000003</v>
      </c>
      <c r="J174" s="10">
        <f t="shared" si="8"/>
        <v>89410.879999999946</v>
      </c>
      <c r="K174" s="6">
        <f t="shared" si="7"/>
        <v>143098.37999999998</v>
      </c>
    </row>
    <row r="175" spans="1:11" x14ac:dyDescent="0.25">
      <c r="A175" s="5" t="s">
        <v>700</v>
      </c>
      <c r="B175" s="6">
        <f t="shared" si="6"/>
        <v>89.711099999999945</v>
      </c>
      <c r="C175" s="7" t="s">
        <v>448</v>
      </c>
      <c r="D175" s="7" t="s">
        <v>450</v>
      </c>
      <c r="E175" s="7" t="s">
        <v>0</v>
      </c>
      <c r="F175" s="8">
        <v>100.51158999999998</v>
      </c>
      <c r="G175" s="7" t="s">
        <v>399</v>
      </c>
      <c r="H175" s="7" t="s">
        <v>401</v>
      </c>
      <c r="I175" s="10">
        <v>303.2</v>
      </c>
      <c r="J175" s="10">
        <f t="shared" si="8"/>
        <v>89711.099999999948</v>
      </c>
      <c r="K175" s="6">
        <f t="shared" si="7"/>
        <v>142798.15999999997</v>
      </c>
    </row>
    <row r="176" spans="1:11" x14ac:dyDescent="0.25">
      <c r="A176" s="5" t="s">
        <v>700</v>
      </c>
      <c r="B176" s="6">
        <f t="shared" si="6"/>
        <v>90.014299999999949</v>
      </c>
      <c r="C176" s="7" t="s">
        <v>450</v>
      </c>
      <c r="D176" s="7" t="s">
        <v>452</v>
      </c>
      <c r="E176" s="7" t="s">
        <v>0</v>
      </c>
      <c r="F176" s="8">
        <v>101.14652999999998</v>
      </c>
      <c r="G176" s="7" t="s">
        <v>401</v>
      </c>
      <c r="H176" s="7" t="s">
        <v>403</v>
      </c>
      <c r="I176" s="10">
        <v>456.65</v>
      </c>
      <c r="J176" s="10">
        <f t="shared" si="8"/>
        <v>90014.299999999945</v>
      </c>
      <c r="K176" s="6">
        <f t="shared" si="7"/>
        <v>142494.95999999996</v>
      </c>
    </row>
    <row r="177" spans="1:11" x14ac:dyDescent="0.25">
      <c r="A177" s="5" t="s">
        <v>700</v>
      </c>
      <c r="B177" s="6">
        <f t="shared" si="6"/>
        <v>90.470949999999945</v>
      </c>
      <c r="C177" s="7" t="s">
        <v>452</v>
      </c>
      <c r="D177" s="7" t="s">
        <v>454</v>
      </c>
      <c r="E177" s="7" t="s">
        <v>0</v>
      </c>
      <c r="F177" s="8">
        <v>101.95108999999998</v>
      </c>
      <c r="G177" s="7" t="s">
        <v>403</v>
      </c>
      <c r="H177" s="7" t="s">
        <v>405</v>
      </c>
      <c r="I177" s="10">
        <v>675.09</v>
      </c>
      <c r="J177" s="10">
        <f t="shared" si="8"/>
        <v>90470.949999999939</v>
      </c>
      <c r="K177" s="6">
        <f t="shared" si="7"/>
        <v>142038.30999999997</v>
      </c>
    </row>
    <row r="178" spans="1:11" x14ac:dyDescent="0.25">
      <c r="A178" s="5" t="s">
        <v>700</v>
      </c>
      <c r="B178" s="6">
        <f t="shared" si="6"/>
        <v>91.146039999999942</v>
      </c>
      <c r="C178" s="7" t="s">
        <v>454</v>
      </c>
      <c r="D178" s="7" t="s">
        <v>456</v>
      </c>
      <c r="E178" s="7" t="s">
        <v>0</v>
      </c>
      <c r="F178" s="8">
        <v>102.50075999999999</v>
      </c>
      <c r="G178" s="7" t="s">
        <v>405</v>
      </c>
      <c r="H178" s="7" t="s">
        <v>407</v>
      </c>
      <c r="I178" s="10">
        <v>790.69</v>
      </c>
      <c r="J178" s="10">
        <f t="shared" si="8"/>
        <v>91146.039999999935</v>
      </c>
      <c r="K178" s="6">
        <f t="shared" si="7"/>
        <v>141363.21999999997</v>
      </c>
    </row>
    <row r="179" spans="1:11" x14ac:dyDescent="0.25">
      <c r="A179" s="5" t="s">
        <v>700</v>
      </c>
      <c r="B179" s="6">
        <f t="shared" si="6"/>
        <v>91.93672999999994</v>
      </c>
      <c r="C179" s="7" t="s">
        <v>456</v>
      </c>
      <c r="D179" s="7" t="s">
        <v>458</v>
      </c>
      <c r="E179" s="7" t="s">
        <v>0</v>
      </c>
      <c r="F179" s="8">
        <v>103.02078999999998</v>
      </c>
      <c r="G179" s="7" t="s">
        <v>407</v>
      </c>
      <c r="H179" s="7" t="s">
        <v>409</v>
      </c>
      <c r="I179" s="10">
        <v>508.11</v>
      </c>
      <c r="J179" s="10">
        <f t="shared" si="8"/>
        <v>91936.729999999938</v>
      </c>
      <c r="K179" s="6">
        <f t="shared" si="7"/>
        <v>140572.52999999997</v>
      </c>
    </row>
    <row r="180" spans="1:11" x14ac:dyDescent="0.25">
      <c r="A180" s="5" t="s">
        <v>700</v>
      </c>
      <c r="B180" s="6">
        <f t="shared" si="6"/>
        <v>92.444839999999942</v>
      </c>
      <c r="C180" s="7" t="s">
        <v>458</v>
      </c>
      <c r="D180" s="7" t="s">
        <v>460</v>
      </c>
      <c r="E180" s="7" t="s">
        <v>0</v>
      </c>
      <c r="F180" s="8">
        <v>103.69992999999998</v>
      </c>
      <c r="G180" s="7" t="s">
        <v>409</v>
      </c>
      <c r="H180" s="7" t="s">
        <v>411</v>
      </c>
      <c r="I180" s="10">
        <v>468.95</v>
      </c>
      <c r="J180" s="10">
        <f t="shared" si="8"/>
        <v>92444.839999999938</v>
      </c>
      <c r="K180" s="6">
        <f t="shared" si="7"/>
        <v>140064.41999999998</v>
      </c>
    </row>
    <row r="181" spans="1:11" x14ac:dyDescent="0.25">
      <c r="A181" s="5" t="s">
        <v>700</v>
      </c>
      <c r="B181" s="6">
        <f t="shared" si="6"/>
        <v>92.913789999999935</v>
      </c>
      <c r="C181" s="7" t="s">
        <v>460</v>
      </c>
      <c r="D181" s="7" t="s">
        <v>462</v>
      </c>
      <c r="E181" s="7" t="s">
        <v>0</v>
      </c>
      <c r="F181" s="8">
        <v>104.01951999999997</v>
      </c>
      <c r="G181" s="7" t="s">
        <v>411</v>
      </c>
      <c r="H181" s="7" t="s">
        <v>413</v>
      </c>
      <c r="I181" s="10">
        <v>493.63</v>
      </c>
      <c r="J181" s="10">
        <f t="shared" si="8"/>
        <v>92913.789999999935</v>
      </c>
      <c r="K181" s="6">
        <f t="shared" si="7"/>
        <v>139595.46999999997</v>
      </c>
    </row>
    <row r="182" spans="1:11" x14ac:dyDescent="0.25">
      <c r="A182" s="5" t="s">
        <v>700</v>
      </c>
      <c r="B182" s="6">
        <f t="shared" si="6"/>
        <v>93.407419999999945</v>
      </c>
      <c r="C182" s="7" t="s">
        <v>462</v>
      </c>
      <c r="D182" s="7" t="s">
        <v>464</v>
      </c>
      <c r="E182" s="7" t="s">
        <v>0</v>
      </c>
      <c r="F182" s="8">
        <v>105.06281999999997</v>
      </c>
      <c r="G182" s="7" t="s">
        <v>413</v>
      </c>
      <c r="H182" s="7" t="s">
        <v>415</v>
      </c>
      <c r="I182" s="10">
        <v>471.89</v>
      </c>
      <c r="J182" s="10">
        <f t="shared" si="8"/>
        <v>93407.41999999994</v>
      </c>
      <c r="K182" s="6">
        <f t="shared" si="7"/>
        <v>139101.83999999997</v>
      </c>
    </row>
    <row r="183" spans="1:11" x14ac:dyDescent="0.25">
      <c r="A183" s="5" t="s">
        <v>700</v>
      </c>
      <c r="B183" s="6">
        <f t="shared" si="6"/>
        <v>93.879309999999933</v>
      </c>
      <c r="C183" s="7" t="s">
        <v>464</v>
      </c>
      <c r="D183" s="7" t="s">
        <v>466</v>
      </c>
      <c r="E183" s="7" t="s">
        <v>0</v>
      </c>
      <c r="F183" s="8">
        <v>105.78749999999997</v>
      </c>
      <c r="G183" s="7" t="s">
        <v>415</v>
      </c>
      <c r="H183" s="7" t="s">
        <v>417</v>
      </c>
      <c r="I183" s="10">
        <v>633.92999999999995</v>
      </c>
      <c r="J183" s="10">
        <f t="shared" si="8"/>
        <v>93879.309999999939</v>
      </c>
      <c r="K183" s="6">
        <f t="shared" si="7"/>
        <v>138629.94999999995</v>
      </c>
    </row>
    <row r="184" spans="1:11" x14ac:dyDescent="0.25">
      <c r="A184" s="5" t="s">
        <v>700</v>
      </c>
      <c r="B184" s="6">
        <f t="shared" si="6"/>
        <v>94.513239999999939</v>
      </c>
      <c r="C184" s="7" t="s">
        <v>466</v>
      </c>
      <c r="D184" s="7" t="s">
        <v>468</v>
      </c>
      <c r="E184" s="7" t="s">
        <v>0</v>
      </c>
      <c r="F184" s="8">
        <v>106.42088999999997</v>
      </c>
      <c r="G184" s="7" t="s">
        <v>417</v>
      </c>
      <c r="H184" s="7" t="s">
        <v>419</v>
      </c>
      <c r="I184" s="10">
        <v>539.78</v>
      </c>
      <c r="J184" s="10">
        <f t="shared" si="8"/>
        <v>94513.239999999932</v>
      </c>
      <c r="K184" s="6">
        <f t="shared" si="7"/>
        <v>137996.01999999996</v>
      </c>
    </row>
    <row r="185" spans="1:11" x14ac:dyDescent="0.25">
      <c r="A185" s="5" t="s">
        <v>700</v>
      </c>
      <c r="B185" s="6">
        <f t="shared" si="6"/>
        <v>95.053019999999933</v>
      </c>
      <c r="C185" s="7" t="s">
        <v>468</v>
      </c>
      <c r="D185" s="7" t="s">
        <v>470</v>
      </c>
      <c r="E185" s="7" t="s">
        <v>0</v>
      </c>
      <c r="F185" s="8">
        <v>106.97903999999997</v>
      </c>
      <c r="G185" s="7" t="s">
        <v>419</v>
      </c>
      <c r="H185" s="7" t="s">
        <v>421</v>
      </c>
      <c r="I185" s="10">
        <v>539.94000000000005</v>
      </c>
      <c r="J185" s="10">
        <f t="shared" si="8"/>
        <v>95053.019999999931</v>
      </c>
      <c r="K185" s="6">
        <f t="shared" si="7"/>
        <v>137456.23999999996</v>
      </c>
    </row>
    <row r="186" spans="1:11" x14ac:dyDescent="0.25">
      <c r="A186" s="5" t="s">
        <v>700</v>
      </c>
      <c r="B186" s="6">
        <f t="shared" si="6"/>
        <v>95.592959999999934</v>
      </c>
      <c r="C186" s="7" t="s">
        <v>470</v>
      </c>
      <c r="D186" s="7" t="s">
        <v>472</v>
      </c>
      <c r="E186" s="7" t="s">
        <v>0</v>
      </c>
      <c r="F186" s="8">
        <v>107.51776999999996</v>
      </c>
      <c r="G186" s="7" t="s">
        <v>421</v>
      </c>
      <c r="H186" s="7" t="s">
        <v>423</v>
      </c>
      <c r="I186" s="10">
        <v>565.79999999999995</v>
      </c>
      <c r="J186" s="10">
        <f t="shared" si="8"/>
        <v>95592.959999999934</v>
      </c>
      <c r="K186" s="6">
        <f t="shared" si="7"/>
        <v>136916.29999999996</v>
      </c>
    </row>
    <row r="187" spans="1:11" x14ac:dyDescent="0.25">
      <c r="A187" s="5" t="s">
        <v>700</v>
      </c>
      <c r="B187" s="6">
        <f t="shared" si="6"/>
        <v>96.15875999999993</v>
      </c>
      <c r="C187" s="7" t="s">
        <v>472</v>
      </c>
      <c r="D187" s="7" t="s">
        <v>474</v>
      </c>
      <c r="E187" s="7" t="s">
        <v>0</v>
      </c>
      <c r="F187" s="8">
        <v>108.46705999999996</v>
      </c>
      <c r="G187" s="7" t="s">
        <v>423</v>
      </c>
      <c r="H187" s="7" t="s">
        <v>425</v>
      </c>
      <c r="I187" s="10">
        <v>536.74</v>
      </c>
      <c r="J187" s="10">
        <f t="shared" si="8"/>
        <v>96158.759999999937</v>
      </c>
      <c r="K187" s="6">
        <f t="shared" si="7"/>
        <v>136350.49999999997</v>
      </c>
    </row>
    <row r="188" spans="1:11" x14ac:dyDescent="0.25">
      <c r="A188" s="5" t="s">
        <v>700</v>
      </c>
      <c r="B188" s="6">
        <f t="shared" si="6"/>
        <v>96.695499999999939</v>
      </c>
      <c r="C188" s="7" t="s">
        <v>474</v>
      </c>
      <c r="D188" s="7" t="s">
        <v>476</v>
      </c>
      <c r="E188" s="7" t="s">
        <v>0</v>
      </c>
      <c r="F188" s="8">
        <v>108.97248999999995</v>
      </c>
      <c r="G188" s="7" t="s">
        <v>425</v>
      </c>
      <c r="H188" s="7" t="s">
        <v>427</v>
      </c>
      <c r="I188" s="10">
        <v>781.89</v>
      </c>
      <c r="J188" s="10">
        <f t="shared" si="8"/>
        <v>96695.499999999942</v>
      </c>
      <c r="K188" s="6">
        <f t="shared" si="7"/>
        <v>135813.75999999998</v>
      </c>
    </row>
    <row r="189" spans="1:11" x14ac:dyDescent="0.25">
      <c r="A189" s="5" t="s">
        <v>700</v>
      </c>
      <c r="B189" s="6">
        <f t="shared" si="6"/>
        <v>97.477389999999943</v>
      </c>
      <c r="C189" s="7" t="s">
        <v>476</v>
      </c>
      <c r="D189" s="7" t="s">
        <v>478</v>
      </c>
      <c r="E189" s="7" t="s">
        <v>0</v>
      </c>
      <c r="F189" s="8">
        <v>109.54909999999995</v>
      </c>
      <c r="G189" s="7" t="s">
        <v>427</v>
      </c>
      <c r="H189" s="7" t="s">
        <v>429</v>
      </c>
      <c r="I189" s="10">
        <v>417.65</v>
      </c>
      <c r="J189" s="10">
        <f t="shared" si="8"/>
        <v>97477.389999999941</v>
      </c>
      <c r="K189" s="6">
        <f t="shared" si="7"/>
        <v>135031.86999999997</v>
      </c>
    </row>
    <row r="190" spans="1:11" x14ac:dyDescent="0.25">
      <c r="A190" s="5" t="s">
        <v>700</v>
      </c>
      <c r="B190" s="6">
        <f t="shared" si="6"/>
        <v>97.895039999999938</v>
      </c>
      <c r="C190" s="7" t="s">
        <v>478</v>
      </c>
      <c r="D190" s="7" t="s">
        <v>480</v>
      </c>
      <c r="E190" s="7" t="s">
        <v>0</v>
      </c>
      <c r="F190" s="8">
        <v>110.14318999999995</v>
      </c>
      <c r="G190" s="7" t="s">
        <v>429</v>
      </c>
      <c r="H190" s="7" t="s">
        <v>431</v>
      </c>
      <c r="I190" s="10">
        <v>485.92</v>
      </c>
      <c r="J190" s="10">
        <f t="shared" si="8"/>
        <v>97895.039999999935</v>
      </c>
      <c r="K190" s="6">
        <f t="shared" si="7"/>
        <v>134614.21999999997</v>
      </c>
    </row>
    <row r="191" spans="1:11" x14ac:dyDescent="0.25">
      <c r="A191" s="5" t="s">
        <v>700</v>
      </c>
      <c r="B191" s="6">
        <f t="shared" si="6"/>
        <v>98.380959999999931</v>
      </c>
      <c r="C191" s="7" t="s">
        <v>480</v>
      </c>
      <c r="D191" s="7" t="s">
        <v>482</v>
      </c>
      <c r="E191" s="7" t="s">
        <v>0</v>
      </c>
      <c r="F191" s="8">
        <v>110.74128999999995</v>
      </c>
      <c r="G191" s="7" t="s">
        <v>431</v>
      </c>
      <c r="H191" s="7" t="s">
        <v>433</v>
      </c>
      <c r="I191" s="10">
        <v>408.89</v>
      </c>
      <c r="J191" s="10">
        <f t="shared" si="8"/>
        <v>98380.959999999934</v>
      </c>
      <c r="K191" s="6">
        <f t="shared" si="7"/>
        <v>134128.29999999996</v>
      </c>
    </row>
    <row r="192" spans="1:11" x14ac:dyDescent="0.25">
      <c r="A192" s="5" t="s">
        <v>700</v>
      </c>
      <c r="B192" s="6">
        <f t="shared" si="6"/>
        <v>98.78984999999993</v>
      </c>
      <c r="C192" s="7" t="s">
        <v>482</v>
      </c>
      <c r="D192" s="7" t="s">
        <v>484</v>
      </c>
      <c r="E192" s="7" t="s">
        <v>0</v>
      </c>
      <c r="F192" s="8">
        <v>111.25860999999996</v>
      </c>
      <c r="G192" s="7" t="s">
        <v>433</v>
      </c>
      <c r="H192" s="7" t="s">
        <v>435</v>
      </c>
      <c r="I192" s="10">
        <v>411.16</v>
      </c>
      <c r="J192" s="10">
        <f t="shared" si="8"/>
        <v>98789.849999999933</v>
      </c>
      <c r="K192" s="6">
        <f t="shared" si="7"/>
        <v>133719.40999999995</v>
      </c>
    </row>
    <row r="193" spans="1:11" x14ac:dyDescent="0.25">
      <c r="A193" s="5" t="s">
        <v>700</v>
      </c>
      <c r="B193" s="6">
        <f t="shared" si="6"/>
        <v>99.20100999999994</v>
      </c>
      <c r="C193" s="7" t="s">
        <v>484</v>
      </c>
      <c r="D193" s="7" t="s">
        <v>486</v>
      </c>
      <c r="E193" s="7" t="s">
        <v>0</v>
      </c>
      <c r="F193" s="8">
        <v>111.90682999999996</v>
      </c>
      <c r="G193" s="7" t="s">
        <v>435</v>
      </c>
      <c r="H193" s="7" t="s">
        <v>437</v>
      </c>
      <c r="I193" s="10">
        <v>519.86</v>
      </c>
      <c r="J193" s="10">
        <f t="shared" si="8"/>
        <v>99201.009999999937</v>
      </c>
      <c r="K193" s="6">
        <f t="shared" si="7"/>
        <v>133308.24999999994</v>
      </c>
    </row>
    <row r="194" spans="1:11" x14ac:dyDescent="0.25">
      <c r="A194" s="5" t="s">
        <v>700</v>
      </c>
      <c r="B194" s="6">
        <f t="shared" si="6"/>
        <v>99.720869999999934</v>
      </c>
      <c r="C194" s="7" t="s">
        <v>486</v>
      </c>
      <c r="D194" s="7" t="s">
        <v>488</v>
      </c>
      <c r="E194" s="7" t="s">
        <v>0</v>
      </c>
      <c r="F194" s="8">
        <v>112.41705999999995</v>
      </c>
      <c r="G194" s="7" t="s">
        <v>437</v>
      </c>
      <c r="H194" s="7" t="s">
        <v>439</v>
      </c>
      <c r="I194" s="10">
        <v>582.04999999999995</v>
      </c>
      <c r="J194" s="10">
        <f t="shared" si="8"/>
        <v>99720.869999999937</v>
      </c>
      <c r="K194" s="6">
        <f t="shared" si="7"/>
        <v>132788.38999999996</v>
      </c>
    </row>
    <row r="195" spans="1:11" x14ac:dyDescent="0.25">
      <c r="A195" s="5" t="s">
        <v>700</v>
      </c>
      <c r="B195" s="6">
        <f t="shared" ref="B195:B258" si="9">J195/1000</f>
        <v>100.30291999999994</v>
      </c>
      <c r="C195" s="7" t="s">
        <v>488</v>
      </c>
      <c r="D195" s="7" t="s">
        <v>490</v>
      </c>
      <c r="E195" s="7" t="s">
        <v>0</v>
      </c>
      <c r="F195" s="8">
        <v>112.88716999999995</v>
      </c>
      <c r="G195" s="7" t="s">
        <v>439</v>
      </c>
      <c r="H195" s="7" t="s">
        <v>441</v>
      </c>
      <c r="I195" s="10">
        <v>523.87</v>
      </c>
      <c r="J195" s="10">
        <f t="shared" si="8"/>
        <v>100302.91999999994</v>
      </c>
      <c r="K195" s="6">
        <f t="shared" si="7"/>
        <v>132206.33999999997</v>
      </c>
    </row>
    <row r="196" spans="1:11" x14ac:dyDescent="0.25">
      <c r="A196" s="5" t="s">
        <v>700</v>
      </c>
      <c r="B196" s="6">
        <f t="shared" si="9"/>
        <v>100.82678999999993</v>
      </c>
      <c r="C196" s="7" t="s">
        <v>490</v>
      </c>
      <c r="D196" s="7" t="s">
        <v>492</v>
      </c>
      <c r="E196" s="7" t="s">
        <v>0</v>
      </c>
      <c r="F196" s="8">
        <v>113.33068999999996</v>
      </c>
      <c r="G196" s="7" t="s">
        <v>441</v>
      </c>
      <c r="H196" s="7" t="s">
        <v>443</v>
      </c>
      <c r="I196" s="10">
        <v>446.25</v>
      </c>
      <c r="J196" s="10">
        <f t="shared" si="8"/>
        <v>100826.78999999994</v>
      </c>
      <c r="K196" s="6">
        <f t="shared" ref="K196:K259" si="10">K195-I195</f>
        <v>131682.46999999997</v>
      </c>
    </row>
    <row r="197" spans="1:11" x14ac:dyDescent="0.25">
      <c r="A197" s="5" t="s">
        <v>700</v>
      </c>
      <c r="B197" s="6">
        <f t="shared" si="9"/>
        <v>101.27303999999994</v>
      </c>
      <c r="C197" s="7" t="s">
        <v>492</v>
      </c>
      <c r="D197" s="7" t="s">
        <v>494</v>
      </c>
      <c r="E197" s="7" t="s">
        <v>0</v>
      </c>
      <c r="F197" s="8">
        <v>113.78719999999996</v>
      </c>
      <c r="G197" s="7" t="s">
        <v>443</v>
      </c>
      <c r="H197" s="7" t="s">
        <v>445</v>
      </c>
      <c r="I197" s="10">
        <v>392.2</v>
      </c>
      <c r="J197" s="10">
        <f t="shared" ref="J197:J260" si="11">J196+I196</f>
        <v>101273.03999999994</v>
      </c>
      <c r="K197" s="6">
        <f t="shared" si="10"/>
        <v>131236.21999999997</v>
      </c>
    </row>
    <row r="198" spans="1:11" x14ac:dyDescent="0.25">
      <c r="A198" s="5" t="s">
        <v>700</v>
      </c>
      <c r="B198" s="6">
        <f t="shared" si="9"/>
        <v>101.66523999999993</v>
      </c>
      <c r="C198" s="7" t="s">
        <v>494</v>
      </c>
      <c r="D198" s="7" t="s">
        <v>496</v>
      </c>
      <c r="E198" s="7" t="s">
        <v>0</v>
      </c>
      <c r="F198" s="8">
        <v>114.16104999999996</v>
      </c>
      <c r="G198" s="7" t="s">
        <v>445</v>
      </c>
      <c r="H198" s="7" t="s">
        <v>447</v>
      </c>
      <c r="I198" s="10">
        <v>526.39</v>
      </c>
      <c r="J198" s="10">
        <f t="shared" si="11"/>
        <v>101665.23999999993</v>
      </c>
      <c r="K198" s="6">
        <f t="shared" si="10"/>
        <v>130844.01999999997</v>
      </c>
    </row>
    <row r="199" spans="1:11" x14ac:dyDescent="0.25">
      <c r="A199" s="5" t="s">
        <v>700</v>
      </c>
      <c r="B199" s="6">
        <f t="shared" si="9"/>
        <v>102.19162999999993</v>
      </c>
      <c r="C199" s="7" t="s">
        <v>496</v>
      </c>
      <c r="D199" s="7" t="s">
        <v>498</v>
      </c>
      <c r="E199" s="7" t="s">
        <v>0</v>
      </c>
      <c r="F199" s="8">
        <v>114.54062999999996</v>
      </c>
      <c r="G199" s="7" t="s">
        <v>447</v>
      </c>
      <c r="H199" s="7" t="s">
        <v>449</v>
      </c>
      <c r="I199" s="10">
        <v>507.88</v>
      </c>
      <c r="J199" s="10">
        <f t="shared" si="11"/>
        <v>102191.62999999993</v>
      </c>
      <c r="K199" s="6">
        <f t="shared" si="10"/>
        <v>130317.62999999998</v>
      </c>
    </row>
    <row r="200" spans="1:11" x14ac:dyDescent="0.25">
      <c r="A200" s="5" t="s">
        <v>700</v>
      </c>
      <c r="B200" s="6">
        <f t="shared" si="9"/>
        <v>102.69950999999993</v>
      </c>
      <c r="C200" s="7" t="s">
        <v>498</v>
      </c>
      <c r="D200" s="7" t="s">
        <v>500</v>
      </c>
      <c r="E200" s="7" t="s">
        <v>0</v>
      </c>
      <c r="F200" s="8">
        <v>114.92975999999996</v>
      </c>
      <c r="G200" s="7" t="s">
        <v>449</v>
      </c>
      <c r="H200" s="7" t="s">
        <v>451</v>
      </c>
      <c r="I200" s="10">
        <v>469.56</v>
      </c>
      <c r="J200" s="10">
        <f t="shared" si="11"/>
        <v>102699.50999999994</v>
      </c>
      <c r="K200" s="6">
        <f t="shared" si="10"/>
        <v>129809.74999999997</v>
      </c>
    </row>
    <row r="201" spans="1:11" x14ac:dyDescent="0.25">
      <c r="A201" s="5" t="s">
        <v>700</v>
      </c>
      <c r="B201" s="6">
        <f t="shared" si="9"/>
        <v>103.16906999999993</v>
      </c>
      <c r="C201" s="7" t="s">
        <v>500</v>
      </c>
      <c r="D201" s="7" t="s">
        <v>502</v>
      </c>
      <c r="E201" s="7" t="s">
        <v>0</v>
      </c>
      <c r="F201" s="8">
        <v>115.47587999999996</v>
      </c>
      <c r="G201" s="7" t="s">
        <v>451</v>
      </c>
      <c r="H201" s="7" t="s">
        <v>453</v>
      </c>
      <c r="I201" s="10">
        <v>383.98</v>
      </c>
      <c r="J201" s="10">
        <f t="shared" si="11"/>
        <v>103169.06999999993</v>
      </c>
      <c r="K201" s="6">
        <f t="shared" si="10"/>
        <v>129340.18999999997</v>
      </c>
    </row>
    <row r="202" spans="1:11" x14ac:dyDescent="0.25">
      <c r="A202" s="5" t="s">
        <v>700</v>
      </c>
      <c r="B202" s="6">
        <f t="shared" si="9"/>
        <v>103.55304999999993</v>
      </c>
      <c r="C202" s="7" t="s">
        <v>502</v>
      </c>
      <c r="D202" s="7" t="s">
        <v>503</v>
      </c>
      <c r="E202" s="7" t="s">
        <v>0</v>
      </c>
      <c r="F202" s="8">
        <v>115.87699999999995</v>
      </c>
      <c r="G202" s="7" t="s">
        <v>453</v>
      </c>
      <c r="H202" s="7" t="s">
        <v>455</v>
      </c>
      <c r="I202" s="10">
        <v>456.48</v>
      </c>
      <c r="J202" s="10">
        <f t="shared" si="11"/>
        <v>103553.04999999993</v>
      </c>
      <c r="K202" s="6">
        <f t="shared" si="10"/>
        <v>128956.20999999998</v>
      </c>
    </row>
    <row r="203" spans="1:11" x14ac:dyDescent="0.25">
      <c r="A203" s="5" t="s">
        <v>700</v>
      </c>
      <c r="B203" s="6">
        <f t="shared" si="9"/>
        <v>104.00952999999993</v>
      </c>
      <c r="C203" s="7" t="s">
        <v>503</v>
      </c>
      <c r="D203" s="7" t="s">
        <v>501</v>
      </c>
      <c r="E203" s="7" t="s">
        <v>0</v>
      </c>
      <c r="F203" s="8">
        <v>116.34854999999996</v>
      </c>
      <c r="G203" s="7" t="s">
        <v>455</v>
      </c>
      <c r="H203" s="7" t="s">
        <v>457</v>
      </c>
      <c r="I203" s="10">
        <v>517.52</v>
      </c>
      <c r="J203" s="10">
        <f t="shared" si="11"/>
        <v>104009.52999999993</v>
      </c>
      <c r="K203" s="6">
        <f t="shared" si="10"/>
        <v>128499.72999999998</v>
      </c>
    </row>
    <row r="204" spans="1:11" x14ac:dyDescent="0.25">
      <c r="A204" s="5" t="s">
        <v>700</v>
      </c>
      <c r="B204" s="6">
        <f t="shared" si="9"/>
        <v>104.52704999999993</v>
      </c>
      <c r="C204" s="7" t="s">
        <v>501</v>
      </c>
      <c r="D204" s="7" t="s">
        <v>499</v>
      </c>
      <c r="E204" s="7" t="s">
        <v>0</v>
      </c>
      <c r="F204" s="8">
        <v>116.83972999999995</v>
      </c>
      <c r="G204" s="7" t="s">
        <v>457</v>
      </c>
      <c r="H204" s="7" t="s">
        <v>459</v>
      </c>
      <c r="I204" s="10">
        <v>461.48</v>
      </c>
      <c r="J204" s="10">
        <f t="shared" si="11"/>
        <v>104527.04999999993</v>
      </c>
      <c r="K204" s="6">
        <f t="shared" si="10"/>
        <v>127982.20999999998</v>
      </c>
    </row>
    <row r="205" spans="1:11" x14ac:dyDescent="0.25">
      <c r="A205" s="5" t="s">
        <v>700</v>
      </c>
      <c r="B205" s="6">
        <f t="shared" si="9"/>
        <v>104.98852999999993</v>
      </c>
      <c r="C205" s="7" t="s">
        <v>499</v>
      </c>
      <c r="D205" s="7" t="s">
        <v>497</v>
      </c>
      <c r="E205" s="7" t="s">
        <v>0</v>
      </c>
      <c r="F205" s="8">
        <v>117.31693999999996</v>
      </c>
      <c r="G205" s="7" t="s">
        <v>459</v>
      </c>
      <c r="H205" s="7" t="s">
        <v>461</v>
      </c>
      <c r="I205" s="10">
        <v>510.6</v>
      </c>
      <c r="J205" s="10">
        <f t="shared" si="11"/>
        <v>104988.52999999993</v>
      </c>
      <c r="K205" s="6">
        <f t="shared" si="10"/>
        <v>127520.72999999998</v>
      </c>
    </row>
    <row r="206" spans="1:11" x14ac:dyDescent="0.25">
      <c r="A206" s="5" t="s">
        <v>700</v>
      </c>
      <c r="B206" s="6">
        <f t="shared" si="9"/>
        <v>105.49912999999994</v>
      </c>
      <c r="C206" s="7" t="s">
        <v>497</v>
      </c>
      <c r="D206" s="7" t="s">
        <v>495</v>
      </c>
      <c r="E206" s="7" t="s">
        <v>0</v>
      </c>
      <c r="F206" s="8">
        <v>117.81151999999996</v>
      </c>
      <c r="G206" s="7" t="s">
        <v>461</v>
      </c>
      <c r="H206" s="7" t="s">
        <v>463</v>
      </c>
      <c r="I206" s="10">
        <v>464.35</v>
      </c>
      <c r="J206" s="10">
        <f t="shared" si="11"/>
        <v>105499.12999999993</v>
      </c>
      <c r="K206" s="6">
        <f t="shared" si="10"/>
        <v>127010.12999999998</v>
      </c>
    </row>
    <row r="207" spans="1:11" x14ac:dyDescent="0.25">
      <c r="A207" s="5" t="s">
        <v>700</v>
      </c>
      <c r="B207" s="6">
        <f t="shared" si="9"/>
        <v>105.96347999999993</v>
      </c>
      <c r="C207" s="7" t="s">
        <v>495</v>
      </c>
      <c r="D207" s="7" t="s">
        <v>493</v>
      </c>
      <c r="E207" s="7" t="s">
        <v>0</v>
      </c>
      <c r="F207" s="8">
        <v>118.42637999999997</v>
      </c>
      <c r="G207" s="7" t="s">
        <v>463</v>
      </c>
      <c r="H207" s="7" t="s">
        <v>465</v>
      </c>
      <c r="I207" s="10">
        <v>479.22</v>
      </c>
      <c r="J207" s="10">
        <f t="shared" si="11"/>
        <v>105963.47999999994</v>
      </c>
      <c r="K207" s="6">
        <f t="shared" si="10"/>
        <v>126545.77999999997</v>
      </c>
    </row>
    <row r="208" spans="1:11" x14ac:dyDescent="0.25">
      <c r="A208" s="5" t="s">
        <v>700</v>
      </c>
      <c r="B208" s="6">
        <f t="shared" si="9"/>
        <v>106.44269999999995</v>
      </c>
      <c r="C208" s="7" t="s">
        <v>493</v>
      </c>
      <c r="D208" s="7" t="s">
        <v>491</v>
      </c>
      <c r="E208" s="7" t="s">
        <v>0</v>
      </c>
      <c r="F208" s="8">
        <v>118.98621999999996</v>
      </c>
      <c r="G208" s="7" t="s">
        <v>465</v>
      </c>
      <c r="H208" s="7" t="s">
        <v>467</v>
      </c>
      <c r="I208" s="10">
        <v>491.91</v>
      </c>
      <c r="J208" s="10">
        <f t="shared" si="11"/>
        <v>106442.69999999994</v>
      </c>
      <c r="K208" s="6">
        <f t="shared" si="10"/>
        <v>126066.55999999997</v>
      </c>
    </row>
    <row r="209" spans="1:11" x14ac:dyDescent="0.25">
      <c r="A209" s="5" t="s">
        <v>700</v>
      </c>
      <c r="B209" s="6">
        <f t="shared" si="9"/>
        <v>106.93460999999994</v>
      </c>
      <c r="C209" s="7" t="s">
        <v>491</v>
      </c>
      <c r="D209" s="7" t="s">
        <v>489</v>
      </c>
      <c r="E209" s="7" t="s">
        <v>0</v>
      </c>
      <c r="F209" s="8">
        <v>119.55831999999997</v>
      </c>
      <c r="G209" s="7" t="s">
        <v>467</v>
      </c>
      <c r="H209" s="7" t="s">
        <v>469</v>
      </c>
      <c r="I209" s="10">
        <v>487.7</v>
      </c>
      <c r="J209" s="10">
        <f t="shared" si="11"/>
        <v>106934.60999999994</v>
      </c>
      <c r="K209" s="6">
        <f t="shared" si="10"/>
        <v>125574.64999999997</v>
      </c>
    </row>
    <row r="210" spans="1:11" x14ac:dyDescent="0.25">
      <c r="A210" s="5" t="s">
        <v>700</v>
      </c>
      <c r="B210" s="6">
        <f t="shared" si="9"/>
        <v>107.42230999999994</v>
      </c>
      <c r="C210" s="7" t="s">
        <v>489</v>
      </c>
      <c r="D210" s="7" t="s">
        <v>487</v>
      </c>
      <c r="E210" s="7" t="s">
        <v>0</v>
      </c>
      <c r="F210" s="8">
        <v>120.08673999999996</v>
      </c>
      <c r="G210" s="7" t="s">
        <v>469</v>
      </c>
      <c r="H210" s="7" t="s">
        <v>471</v>
      </c>
      <c r="I210" s="10">
        <v>490.67</v>
      </c>
      <c r="J210" s="10">
        <f t="shared" si="11"/>
        <v>107422.30999999994</v>
      </c>
      <c r="K210" s="6">
        <f t="shared" si="10"/>
        <v>125086.94999999997</v>
      </c>
    </row>
    <row r="211" spans="1:11" x14ac:dyDescent="0.25">
      <c r="A211" s="5" t="s">
        <v>700</v>
      </c>
      <c r="B211" s="6">
        <f t="shared" si="9"/>
        <v>107.91297999999993</v>
      </c>
      <c r="C211" s="7" t="s">
        <v>487</v>
      </c>
      <c r="D211" s="7" t="s">
        <v>485</v>
      </c>
      <c r="E211" s="7" t="s">
        <v>0</v>
      </c>
      <c r="F211" s="8">
        <v>120.57369999999997</v>
      </c>
      <c r="G211" s="7" t="s">
        <v>471</v>
      </c>
      <c r="H211" s="7" t="s">
        <v>473</v>
      </c>
      <c r="I211" s="10">
        <v>488.98</v>
      </c>
      <c r="J211" s="10">
        <f t="shared" si="11"/>
        <v>107912.97999999994</v>
      </c>
      <c r="K211" s="6">
        <f t="shared" si="10"/>
        <v>124596.27999999997</v>
      </c>
    </row>
    <row r="212" spans="1:11" x14ac:dyDescent="0.25">
      <c r="A212" s="5" t="s">
        <v>700</v>
      </c>
      <c r="B212" s="6">
        <f t="shared" si="9"/>
        <v>108.40195999999993</v>
      </c>
      <c r="C212" s="7" t="s">
        <v>485</v>
      </c>
      <c r="D212" s="7" t="s">
        <v>483</v>
      </c>
      <c r="E212" s="7" t="s">
        <v>0</v>
      </c>
      <c r="F212" s="8">
        <v>121.05885999999997</v>
      </c>
      <c r="G212" s="7" t="s">
        <v>473</v>
      </c>
      <c r="H212" s="7" t="s">
        <v>475</v>
      </c>
      <c r="I212" s="10">
        <v>476.92</v>
      </c>
      <c r="J212" s="10">
        <f t="shared" si="11"/>
        <v>108401.95999999993</v>
      </c>
      <c r="K212" s="6">
        <f t="shared" si="10"/>
        <v>124107.29999999997</v>
      </c>
    </row>
    <row r="213" spans="1:11" x14ac:dyDescent="0.25">
      <c r="A213" s="5" t="s">
        <v>700</v>
      </c>
      <c r="B213" s="6">
        <f t="shared" si="9"/>
        <v>108.87887999999994</v>
      </c>
      <c r="C213" s="7" t="s">
        <v>483</v>
      </c>
      <c r="D213" s="7" t="s">
        <v>481</v>
      </c>
      <c r="E213" s="7" t="s">
        <v>0</v>
      </c>
      <c r="F213" s="8">
        <v>121.53991999999997</v>
      </c>
      <c r="G213" s="7" t="s">
        <v>475</v>
      </c>
      <c r="H213" s="7" t="s">
        <v>477</v>
      </c>
      <c r="I213" s="10">
        <v>528.86</v>
      </c>
      <c r="J213" s="10">
        <f t="shared" si="11"/>
        <v>108878.87999999993</v>
      </c>
      <c r="K213" s="6">
        <f t="shared" si="10"/>
        <v>123630.37999999998</v>
      </c>
    </row>
    <row r="214" spans="1:11" x14ac:dyDescent="0.25">
      <c r="A214" s="5" t="s">
        <v>700</v>
      </c>
      <c r="B214" s="6">
        <f t="shared" si="9"/>
        <v>109.40773999999993</v>
      </c>
      <c r="C214" s="7" t="s">
        <v>481</v>
      </c>
      <c r="D214" s="7" t="s">
        <v>479</v>
      </c>
      <c r="E214" s="7" t="s">
        <v>0</v>
      </c>
      <c r="F214" s="8">
        <v>121.96304999999997</v>
      </c>
      <c r="G214" s="7" t="s">
        <v>477</v>
      </c>
      <c r="H214" s="7" t="s">
        <v>479</v>
      </c>
      <c r="I214" s="10">
        <v>602.58000000000004</v>
      </c>
      <c r="J214" s="10">
        <f t="shared" si="11"/>
        <v>109407.73999999993</v>
      </c>
      <c r="K214" s="6">
        <f t="shared" si="10"/>
        <v>123101.51999999997</v>
      </c>
    </row>
    <row r="215" spans="1:11" x14ac:dyDescent="0.25">
      <c r="A215" s="5" t="s">
        <v>700</v>
      </c>
      <c r="B215" s="6">
        <f t="shared" si="9"/>
        <v>110.01031999999994</v>
      </c>
      <c r="C215" s="7" t="s">
        <v>479</v>
      </c>
      <c r="D215" s="7" t="s">
        <v>477</v>
      </c>
      <c r="E215" s="7" t="s">
        <v>0</v>
      </c>
      <c r="F215" s="8">
        <v>122.49893999999998</v>
      </c>
      <c r="G215" s="7" t="s">
        <v>479</v>
      </c>
      <c r="H215" s="7" t="s">
        <v>481</v>
      </c>
      <c r="I215" s="10">
        <v>535.89</v>
      </c>
      <c r="J215" s="10">
        <f t="shared" si="11"/>
        <v>110010.31999999993</v>
      </c>
      <c r="K215" s="6">
        <f t="shared" si="10"/>
        <v>122498.93999999997</v>
      </c>
    </row>
    <row r="216" spans="1:11" x14ac:dyDescent="0.25">
      <c r="A216" s="5" t="s">
        <v>700</v>
      </c>
      <c r="B216" s="6">
        <f t="shared" si="9"/>
        <v>110.54620999999993</v>
      </c>
      <c r="C216" s="7" t="s">
        <v>477</v>
      </c>
      <c r="D216" s="7" t="s">
        <v>475</v>
      </c>
      <c r="E216" s="7" t="s">
        <v>0</v>
      </c>
      <c r="F216" s="8">
        <v>123.10151999999998</v>
      </c>
      <c r="G216" s="7" t="s">
        <v>481</v>
      </c>
      <c r="H216" s="7" t="s">
        <v>483</v>
      </c>
      <c r="I216" s="10">
        <v>423.13</v>
      </c>
      <c r="J216" s="10">
        <f t="shared" si="11"/>
        <v>110546.20999999993</v>
      </c>
      <c r="K216" s="6">
        <f t="shared" si="10"/>
        <v>121963.04999999997</v>
      </c>
    </row>
    <row r="217" spans="1:11" x14ac:dyDescent="0.25">
      <c r="A217" s="5" t="s">
        <v>700</v>
      </c>
      <c r="B217" s="6">
        <f t="shared" si="9"/>
        <v>110.96933999999993</v>
      </c>
      <c r="C217" s="7" t="s">
        <v>475</v>
      </c>
      <c r="D217" s="7" t="s">
        <v>473</v>
      </c>
      <c r="E217" s="7" t="s">
        <v>0</v>
      </c>
      <c r="F217" s="8">
        <v>123.63037999999997</v>
      </c>
      <c r="G217" s="7" t="s">
        <v>483</v>
      </c>
      <c r="H217" s="7" t="s">
        <v>485</v>
      </c>
      <c r="I217" s="10">
        <v>481.06</v>
      </c>
      <c r="J217" s="10">
        <f t="shared" si="11"/>
        <v>110969.33999999994</v>
      </c>
      <c r="K217" s="6">
        <f t="shared" si="10"/>
        <v>121539.91999999997</v>
      </c>
    </row>
    <row r="218" spans="1:11" x14ac:dyDescent="0.25">
      <c r="A218" s="5" t="s">
        <v>700</v>
      </c>
      <c r="B218" s="6">
        <f t="shared" si="9"/>
        <v>111.45039999999993</v>
      </c>
      <c r="C218" s="7" t="s">
        <v>473</v>
      </c>
      <c r="D218" s="7" t="s">
        <v>471</v>
      </c>
      <c r="E218" s="7" t="s">
        <v>0</v>
      </c>
      <c r="F218" s="8">
        <v>124.10729999999998</v>
      </c>
      <c r="G218" s="7" t="s">
        <v>485</v>
      </c>
      <c r="H218" s="7" t="s">
        <v>487</v>
      </c>
      <c r="I218" s="10">
        <v>485.16</v>
      </c>
      <c r="J218" s="10">
        <f t="shared" si="11"/>
        <v>111450.39999999994</v>
      </c>
      <c r="K218" s="6">
        <f t="shared" si="10"/>
        <v>121058.85999999997</v>
      </c>
    </row>
    <row r="219" spans="1:11" x14ac:dyDescent="0.25">
      <c r="A219" s="5" t="s">
        <v>700</v>
      </c>
      <c r="B219" s="6">
        <f t="shared" si="9"/>
        <v>111.93555999999994</v>
      </c>
      <c r="C219" s="7" t="s">
        <v>471</v>
      </c>
      <c r="D219" s="7" t="s">
        <v>469</v>
      </c>
      <c r="E219" s="7" t="s">
        <v>0</v>
      </c>
      <c r="F219" s="8">
        <v>124.59627999999996</v>
      </c>
      <c r="G219" s="7" t="s">
        <v>487</v>
      </c>
      <c r="H219" s="7" t="s">
        <v>489</v>
      </c>
      <c r="I219" s="10">
        <v>486.96</v>
      </c>
      <c r="J219" s="10">
        <f t="shared" si="11"/>
        <v>111935.55999999994</v>
      </c>
      <c r="K219" s="6">
        <f t="shared" si="10"/>
        <v>120573.69999999997</v>
      </c>
    </row>
    <row r="220" spans="1:11" x14ac:dyDescent="0.25">
      <c r="A220" s="5" t="s">
        <v>700</v>
      </c>
      <c r="B220" s="6">
        <f t="shared" si="9"/>
        <v>112.42251999999995</v>
      </c>
      <c r="C220" s="7" t="s">
        <v>469</v>
      </c>
      <c r="D220" s="7" t="s">
        <v>467</v>
      </c>
      <c r="E220" s="7" t="s">
        <v>0</v>
      </c>
      <c r="F220" s="8">
        <v>125.08694999999997</v>
      </c>
      <c r="G220" s="7" t="s">
        <v>489</v>
      </c>
      <c r="H220" s="7" t="s">
        <v>491</v>
      </c>
      <c r="I220" s="10">
        <v>528.41999999999996</v>
      </c>
      <c r="J220" s="10">
        <f t="shared" si="11"/>
        <v>112422.51999999995</v>
      </c>
      <c r="K220" s="6">
        <f t="shared" si="10"/>
        <v>120086.73999999996</v>
      </c>
    </row>
    <row r="221" spans="1:11" x14ac:dyDescent="0.25">
      <c r="A221" s="5" t="s">
        <v>700</v>
      </c>
      <c r="B221" s="6">
        <f t="shared" si="9"/>
        <v>112.95093999999995</v>
      </c>
      <c r="C221" s="7" t="s">
        <v>467</v>
      </c>
      <c r="D221" s="7" t="s">
        <v>465</v>
      </c>
      <c r="E221" s="7" t="s">
        <v>0</v>
      </c>
      <c r="F221" s="8">
        <v>125.57464999999996</v>
      </c>
      <c r="G221" s="7" t="s">
        <v>491</v>
      </c>
      <c r="H221" s="7" t="s">
        <v>493</v>
      </c>
      <c r="I221" s="10">
        <v>572.1</v>
      </c>
      <c r="J221" s="10">
        <f t="shared" si="11"/>
        <v>112950.93999999994</v>
      </c>
      <c r="K221" s="6">
        <f t="shared" si="10"/>
        <v>119558.31999999996</v>
      </c>
    </row>
    <row r="222" spans="1:11" x14ac:dyDescent="0.25">
      <c r="A222" s="5" t="s">
        <v>700</v>
      </c>
      <c r="B222" s="6">
        <f t="shared" si="9"/>
        <v>113.52303999999995</v>
      </c>
      <c r="C222" s="7" t="s">
        <v>465</v>
      </c>
      <c r="D222" s="7" t="s">
        <v>463</v>
      </c>
      <c r="E222" s="7" t="s">
        <v>0</v>
      </c>
      <c r="F222" s="8">
        <v>126.06655999999997</v>
      </c>
      <c r="G222" s="7" t="s">
        <v>493</v>
      </c>
      <c r="H222" s="7" t="s">
        <v>495</v>
      </c>
      <c r="I222" s="10">
        <v>559.84</v>
      </c>
      <c r="J222" s="10">
        <f t="shared" si="11"/>
        <v>113523.03999999995</v>
      </c>
      <c r="K222" s="6">
        <f t="shared" si="10"/>
        <v>118986.21999999996</v>
      </c>
    </row>
    <row r="223" spans="1:11" x14ac:dyDescent="0.25">
      <c r="A223" s="5" t="s">
        <v>700</v>
      </c>
      <c r="B223" s="6">
        <f t="shared" si="9"/>
        <v>114.08287999999995</v>
      </c>
      <c r="C223" s="7" t="s">
        <v>463</v>
      </c>
      <c r="D223" s="7" t="s">
        <v>461</v>
      </c>
      <c r="E223" s="7" t="s">
        <v>0</v>
      </c>
      <c r="F223" s="8">
        <v>126.54577999999997</v>
      </c>
      <c r="G223" s="7" t="s">
        <v>495</v>
      </c>
      <c r="H223" s="7" t="s">
        <v>497</v>
      </c>
      <c r="I223" s="10">
        <v>614.86</v>
      </c>
      <c r="J223" s="10">
        <f t="shared" si="11"/>
        <v>114082.87999999995</v>
      </c>
      <c r="K223" s="6">
        <f t="shared" si="10"/>
        <v>118426.37999999996</v>
      </c>
    </row>
    <row r="224" spans="1:11" x14ac:dyDescent="0.25">
      <c r="A224" s="5" t="s">
        <v>700</v>
      </c>
      <c r="B224" s="6">
        <f t="shared" si="9"/>
        <v>114.69773999999995</v>
      </c>
      <c r="C224" s="7" t="s">
        <v>461</v>
      </c>
      <c r="D224" s="7" t="s">
        <v>459</v>
      </c>
      <c r="E224" s="7" t="s">
        <v>0</v>
      </c>
      <c r="F224" s="8">
        <v>127.01012999999998</v>
      </c>
      <c r="G224" s="7" t="s">
        <v>497</v>
      </c>
      <c r="H224" s="7" t="s">
        <v>499</v>
      </c>
      <c r="I224" s="10">
        <v>494.58</v>
      </c>
      <c r="J224" s="10">
        <f t="shared" si="11"/>
        <v>114697.73999999995</v>
      </c>
      <c r="K224" s="6">
        <f t="shared" si="10"/>
        <v>117811.51999999996</v>
      </c>
    </row>
    <row r="225" spans="1:11" x14ac:dyDescent="0.25">
      <c r="A225" s="5" t="s">
        <v>700</v>
      </c>
      <c r="B225" s="6">
        <f t="shared" si="9"/>
        <v>115.19231999999995</v>
      </c>
      <c r="C225" s="7" t="s">
        <v>459</v>
      </c>
      <c r="D225" s="7" t="s">
        <v>457</v>
      </c>
      <c r="E225" s="7" t="s">
        <v>0</v>
      </c>
      <c r="F225" s="8">
        <v>127.52072999999999</v>
      </c>
      <c r="G225" s="7" t="s">
        <v>499</v>
      </c>
      <c r="H225" s="7" t="s">
        <v>501</v>
      </c>
      <c r="I225" s="10">
        <v>477.21</v>
      </c>
      <c r="J225" s="10">
        <f t="shared" si="11"/>
        <v>115192.31999999995</v>
      </c>
      <c r="K225" s="6">
        <f t="shared" si="10"/>
        <v>117316.93999999996</v>
      </c>
    </row>
    <row r="226" spans="1:11" x14ac:dyDescent="0.25">
      <c r="A226" s="5" t="s">
        <v>700</v>
      </c>
      <c r="B226" s="6">
        <f t="shared" si="9"/>
        <v>115.66952999999995</v>
      </c>
      <c r="C226" s="7" t="s">
        <v>457</v>
      </c>
      <c r="D226" s="7" t="s">
        <v>455</v>
      </c>
      <c r="E226" s="7" t="s">
        <v>0</v>
      </c>
      <c r="F226" s="8">
        <v>127.98220999999998</v>
      </c>
      <c r="G226" s="7" t="s">
        <v>501</v>
      </c>
      <c r="H226" s="7" t="s">
        <v>503</v>
      </c>
      <c r="I226" s="10">
        <v>491.18</v>
      </c>
      <c r="J226" s="10">
        <f t="shared" si="11"/>
        <v>115669.52999999996</v>
      </c>
      <c r="K226" s="6">
        <f t="shared" si="10"/>
        <v>116839.72999999995</v>
      </c>
    </row>
    <row r="227" spans="1:11" x14ac:dyDescent="0.25">
      <c r="A227" s="5" t="s">
        <v>700</v>
      </c>
      <c r="B227" s="6">
        <f t="shared" si="9"/>
        <v>116.16070999999995</v>
      </c>
      <c r="C227" s="7" t="s">
        <v>455</v>
      </c>
      <c r="D227" s="7" t="s">
        <v>453</v>
      </c>
      <c r="E227" s="7" t="s">
        <v>0</v>
      </c>
      <c r="F227" s="8">
        <v>128.49972999999997</v>
      </c>
      <c r="G227" s="7" t="s">
        <v>503</v>
      </c>
      <c r="H227" s="7" t="s">
        <v>502</v>
      </c>
      <c r="I227" s="10">
        <v>471.55</v>
      </c>
      <c r="J227" s="10">
        <f t="shared" si="11"/>
        <v>116160.70999999995</v>
      </c>
      <c r="K227" s="6">
        <f t="shared" si="10"/>
        <v>116348.54999999996</v>
      </c>
    </row>
    <row r="228" spans="1:11" x14ac:dyDescent="0.25">
      <c r="A228" s="5" t="s">
        <v>700</v>
      </c>
      <c r="B228" s="6">
        <f t="shared" si="9"/>
        <v>116.63225999999995</v>
      </c>
      <c r="C228" s="7" t="s">
        <v>453</v>
      </c>
      <c r="D228" s="7" t="s">
        <v>451</v>
      </c>
      <c r="E228" s="7" t="s">
        <v>828</v>
      </c>
      <c r="F228" s="8">
        <v>128.95620999999997</v>
      </c>
      <c r="G228" s="7" t="s">
        <v>502</v>
      </c>
      <c r="H228" s="7" t="s">
        <v>500</v>
      </c>
      <c r="I228" s="10">
        <v>401.12</v>
      </c>
      <c r="J228" s="10">
        <f t="shared" si="11"/>
        <v>116632.25999999995</v>
      </c>
      <c r="K228" s="6">
        <f t="shared" si="10"/>
        <v>115876.99999999996</v>
      </c>
    </row>
    <row r="229" spans="1:11" x14ac:dyDescent="0.25">
      <c r="A229" s="5" t="s">
        <v>700</v>
      </c>
      <c r="B229" s="6">
        <f t="shared" si="9"/>
        <v>117.03337999999995</v>
      </c>
      <c r="C229" s="7" t="s">
        <v>451</v>
      </c>
      <c r="D229" s="7" t="s">
        <v>449</v>
      </c>
      <c r="E229" s="7" t="s">
        <v>829</v>
      </c>
      <c r="F229" s="8">
        <v>129.34018999999998</v>
      </c>
      <c r="G229" s="7" t="s">
        <v>500</v>
      </c>
      <c r="H229" s="7" t="s">
        <v>498</v>
      </c>
      <c r="I229" s="10">
        <v>546.12</v>
      </c>
      <c r="J229" s="10">
        <f t="shared" si="11"/>
        <v>117033.37999999995</v>
      </c>
      <c r="K229" s="6">
        <f t="shared" si="10"/>
        <v>115475.87999999996</v>
      </c>
    </row>
    <row r="230" spans="1:11" x14ac:dyDescent="0.25">
      <c r="A230" s="5" t="s">
        <v>700</v>
      </c>
      <c r="B230" s="6">
        <f t="shared" si="9"/>
        <v>117.57949999999994</v>
      </c>
      <c r="C230" s="7" t="s">
        <v>449</v>
      </c>
      <c r="D230" s="7" t="s">
        <v>447</v>
      </c>
      <c r="E230" s="7" t="s">
        <v>829</v>
      </c>
      <c r="F230" s="8">
        <v>129.80974999999998</v>
      </c>
      <c r="G230" s="7" t="s">
        <v>498</v>
      </c>
      <c r="H230" s="7" t="s">
        <v>496</v>
      </c>
      <c r="I230" s="10">
        <v>389.13</v>
      </c>
      <c r="J230" s="10">
        <f t="shared" si="11"/>
        <v>117579.49999999994</v>
      </c>
      <c r="K230" s="6">
        <f t="shared" si="10"/>
        <v>114929.75999999997</v>
      </c>
    </row>
    <row r="231" spans="1:11" x14ac:dyDescent="0.25">
      <c r="A231" s="5" t="s">
        <v>700</v>
      </c>
      <c r="B231" s="6">
        <f t="shared" si="9"/>
        <v>117.96862999999995</v>
      </c>
      <c r="C231" s="7" t="s">
        <v>447</v>
      </c>
      <c r="D231" s="7" t="s">
        <v>445</v>
      </c>
      <c r="E231" s="7" t="s">
        <v>829</v>
      </c>
      <c r="F231" s="8">
        <v>130.31762999999998</v>
      </c>
      <c r="G231" s="7" t="s">
        <v>496</v>
      </c>
      <c r="H231" s="7" t="s">
        <v>494</v>
      </c>
      <c r="I231" s="10">
        <v>379.58</v>
      </c>
      <c r="J231" s="10">
        <f t="shared" si="11"/>
        <v>117968.62999999995</v>
      </c>
      <c r="K231" s="6">
        <f t="shared" si="10"/>
        <v>114540.62999999996</v>
      </c>
    </row>
    <row r="232" spans="1:11" x14ac:dyDescent="0.25">
      <c r="A232" s="5" t="s">
        <v>700</v>
      </c>
      <c r="B232" s="6">
        <f t="shared" si="9"/>
        <v>118.34820999999995</v>
      </c>
      <c r="C232" s="7" t="s">
        <v>445</v>
      </c>
      <c r="D232" s="7" t="s">
        <v>443</v>
      </c>
      <c r="E232" s="7" t="s">
        <v>829</v>
      </c>
      <c r="F232" s="8">
        <v>130.84401999999997</v>
      </c>
      <c r="G232" s="7" t="s">
        <v>494</v>
      </c>
      <c r="H232" s="7" t="s">
        <v>492</v>
      </c>
      <c r="I232" s="10">
        <v>373.85</v>
      </c>
      <c r="J232" s="10">
        <f t="shared" si="11"/>
        <v>118348.20999999995</v>
      </c>
      <c r="K232" s="6">
        <f t="shared" si="10"/>
        <v>114161.04999999996</v>
      </c>
    </row>
    <row r="233" spans="1:11" x14ac:dyDescent="0.25">
      <c r="A233" s="5" t="s">
        <v>700</v>
      </c>
      <c r="B233" s="6">
        <f t="shared" si="9"/>
        <v>118.72205999999996</v>
      </c>
      <c r="C233" s="7" t="s">
        <v>443</v>
      </c>
      <c r="D233" s="7" t="s">
        <v>441</v>
      </c>
      <c r="E233" s="7" t="s">
        <v>829</v>
      </c>
      <c r="F233" s="8">
        <v>131.23621999999997</v>
      </c>
      <c r="G233" s="7" t="s">
        <v>492</v>
      </c>
      <c r="H233" s="7" t="s">
        <v>490</v>
      </c>
      <c r="I233" s="10">
        <v>456.51</v>
      </c>
      <c r="J233" s="10">
        <f t="shared" si="11"/>
        <v>118722.05999999995</v>
      </c>
      <c r="K233" s="6">
        <f t="shared" si="10"/>
        <v>113787.19999999995</v>
      </c>
    </row>
    <row r="234" spans="1:11" x14ac:dyDescent="0.25">
      <c r="A234" s="5" t="s">
        <v>700</v>
      </c>
      <c r="B234" s="6">
        <f t="shared" si="9"/>
        <v>119.17856999999995</v>
      </c>
      <c r="C234" s="7" t="s">
        <v>441</v>
      </c>
      <c r="D234" s="7" t="s">
        <v>439</v>
      </c>
      <c r="E234" s="7" t="s">
        <v>829</v>
      </c>
      <c r="F234" s="8">
        <v>131.68246999999997</v>
      </c>
      <c r="G234" s="7" t="s">
        <v>490</v>
      </c>
      <c r="H234" s="7" t="s">
        <v>488</v>
      </c>
      <c r="I234" s="10">
        <v>443.52</v>
      </c>
      <c r="J234" s="10">
        <f t="shared" si="11"/>
        <v>119178.56999999995</v>
      </c>
      <c r="K234" s="6">
        <f t="shared" si="10"/>
        <v>113330.68999999996</v>
      </c>
    </row>
    <row r="235" spans="1:11" x14ac:dyDescent="0.25">
      <c r="A235" s="5" t="s">
        <v>700</v>
      </c>
      <c r="B235" s="6">
        <f t="shared" si="9"/>
        <v>119.62208999999996</v>
      </c>
      <c r="C235" s="7" t="s">
        <v>439</v>
      </c>
      <c r="D235" s="7" t="s">
        <v>437</v>
      </c>
      <c r="E235" s="7" t="s">
        <v>829</v>
      </c>
      <c r="F235" s="8">
        <v>132.20633999999995</v>
      </c>
      <c r="G235" s="7" t="s">
        <v>488</v>
      </c>
      <c r="H235" s="7" t="s">
        <v>486</v>
      </c>
      <c r="I235" s="10">
        <v>470.11</v>
      </c>
      <c r="J235" s="10">
        <f t="shared" si="11"/>
        <v>119622.08999999995</v>
      </c>
      <c r="K235" s="6">
        <f t="shared" si="10"/>
        <v>112887.16999999995</v>
      </c>
    </row>
    <row r="236" spans="1:11" x14ac:dyDescent="0.25">
      <c r="A236" s="5" t="s">
        <v>700</v>
      </c>
      <c r="B236" s="6">
        <f t="shared" si="9"/>
        <v>120.09219999999995</v>
      </c>
      <c r="C236" s="7" t="s">
        <v>437</v>
      </c>
      <c r="D236" s="7" t="s">
        <v>435</v>
      </c>
      <c r="E236" s="7" t="s">
        <v>829</v>
      </c>
      <c r="F236" s="8">
        <v>132.78838999999996</v>
      </c>
      <c r="G236" s="7" t="s">
        <v>486</v>
      </c>
      <c r="H236" s="7" t="s">
        <v>484</v>
      </c>
      <c r="I236" s="10">
        <v>510.23</v>
      </c>
      <c r="J236" s="10">
        <f t="shared" si="11"/>
        <v>120092.19999999995</v>
      </c>
      <c r="K236" s="6">
        <f t="shared" si="10"/>
        <v>112417.05999999995</v>
      </c>
    </row>
    <row r="237" spans="1:11" x14ac:dyDescent="0.25">
      <c r="A237" s="5" t="s">
        <v>700</v>
      </c>
      <c r="B237" s="6">
        <f t="shared" si="9"/>
        <v>120.60242999999996</v>
      </c>
      <c r="C237" s="7" t="s">
        <v>435</v>
      </c>
      <c r="D237" s="7" t="s">
        <v>433</v>
      </c>
      <c r="E237" s="7" t="s">
        <v>829</v>
      </c>
      <c r="F237" s="8">
        <v>133.30824999999993</v>
      </c>
      <c r="G237" s="7" t="s">
        <v>484</v>
      </c>
      <c r="H237" s="7" t="s">
        <v>482</v>
      </c>
      <c r="I237" s="10">
        <v>648.22</v>
      </c>
      <c r="J237" s="10">
        <f t="shared" si="11"/>
        <v>120602.42999999995</v>
      </c>
      <c r="K237" s="6">
        <f t="shared" si="10"/>
        <v>111906.82999999996</v>
      </c>
    </row>
    <row r="238" spans="1:11" x14ac:dyDescent="0.25">
      <c r="A238" s="5" t="s">
        <v>700</v>
      </c>
      <c r="B238" s="6">
        <f t="shared" si="9"/>
        <v>121.25064999999995</v>
      </c>
      <c r="C238" s="7" t="s">
        <v>433</v>
      </c>
      <c r="D238" s="7" t="s">
        <v>431</v>
      </c>
      <c r="E238" s="7" t="s">
        <v>829</v>
      </c>
      <c r="F238" s="8">
        <v>133.71940999999995</v>
      </c>
      <c r="G238" s="7" t="s">
        <v>482</v>
      </c>
      <c r="H238" s="7" t="s">
        <v>480</v>
      </c>
      <c r="I238" s="10">
        <v>517.32000000000005</v>
      </c>
      <c r="J238" s="10">
        <f t="shared" si="11"/>
        <v>121250.64999999995</v>
      </c>
      <c r="K238" s="6">
        <f t="shared" si="10"/>
        <v>111258.60999999996</v>
      </c>
    </row>
    <row r="239" spans="1:11" x14ac:dyDescent="0.25">
      <c r="A239" s="5" t="s">
        <v>700</v>
      </c>
      <c r="B239" s="6">
        <f t="shared" si="9"/>
        <v>121.76796999999996</v>
      </c>
      <c r="C239" s="7" t="s">
        <v>431</v>
      </c>
      <c r="D239" s="7" t="s">
        <v>429</v>
      </c>
      <c r="E239" s="7" t="s">
        <v>829</v>
      </c>
      <c r="F239" s="8">
        <v>134.12829999999997</v>
      </c>
      <c r="G239" s="7" t="s">
        <v>480</v>
      </c>
      <c r="H239" s="7" t="s">
        <v>478</v>
      </c>
      <c r="I239" s="10">
        <v>598.1</v>
      </c>
      <c r="J239" s="10">
        <f t="shared" si="11"/>
        <v>121767.96999999996</v>
      </c>
      <c r="K239" s="6">
        <f t="shared" si="10"/>
        <v>110741.28999999995</v>
      </c>
    </row>
    <row r="240" spans="1:11" x14ac:dyDescent="0.25">
      <c r="A240" s="5" t="s">
        <v>700</v>
      </c>
      <c r="B240" s="6">
        <f t="shared" si="9"/>
        <v>122.36606999999997</v>
      </c>
      <c r="C240" s="7" t="s">
        <v>429</v>
      </c>
      <c r="D240" s="7" t="s">
        <v>427</v>
      </c>
      <c r="E240" s="7" t="s">
        <v>829</v>
      </c>
      <c r="F240" s="8">
        <v>134.61421999999996</v>
      </c>
      <c r="G240" s="7" t="s">
        <v>478</v>
      </c>
      <c r="H240" s="7" t="s">
        <v>476</v>
      </c>
      <c r="I240" s="10">
        <v>594.09</v>
      </c>
      <c r="J240" s="10">
        <f t="shared" si="11"/>
        <v>122366.06999999996</v>
      </c>
      <c r="K240" s="6">
        <f t="shared" si="10"/>
        <v>110143.18999999994</v>
      </c>
    </row>
    <row r="241" spans="1:11" x14ac:dyDescent="0.25">
      <c r="A241" s="5" t="s">
        <v>700</v>
      </c>
      <c r="B241" s="6">
        <f t="shared" si="9"/>
        <v>122.96015999999996</v>
      </c>
      <c r="C241" s="7" t="s">
        <v>427</v>
      </c>
      <c r="D241" s="7" t="s">
        <v>425</v>
      </c>
      <c r="E241" s="7" t="s">
        <v>829</v>
      </c>
      <c r="F241" s="8">
        <v>135.03186999999997</v>
      </c>
      <c r="G241" s="7" t="s">
        <v>476</v>
      </c>
      <c r="H241" s="7" t="s">
        <v>474</v>
      </c>
      <c r="I241" s="10">
        <v>576.61</v>
      </c>
      <c r="J241" s="10">
        <f t="shared" si="11"/>
        <v>122960.15999999996</v>
      </c>
      <c r="K241" s="6">
        <f t="shared" si="10"/>
        <v>109549.09999999995</v>
      </c>
    </row>
    <row r="242" spans="1:11" x14ac:dyDescent="0.25">
      <c r="A242" s="5" t="s">
        <v>700</v>
      </c>
      <c r="B242" s="6">
        <f t="shared" si="9"/>
        <v>123.53676999999996</v>
      </c>
      <c r="C242" s="7" t="s">
        <v>425</v>
      </c>
      <c r="D242" s="7" t="s">
        <v>423</v>
      </c>
      <c r="E242" s="7" t="s">
        <v>829</v>
      </c>
      <c r="F242" s="8">
        <v>135.81375999999997</v>
      </c>
      <c r="G242" s="7" t="s">
        <v>474</v>
      </c>
      <c r="H242" s="7" t="s">
        <v>472</v>
      </c>
      <c r="I242" s="10">
        <v>505.43</v>
      </c>
      <c r="J242" s="10">
        <f t="shared" si="11"/>
        <v>123536.76999999996</v>
      </c>
      <c r="K242" s="6">
        <f t="shared" si="10"/>
        <v>108972.48999999995</v>
      </c>
    </row>
    <row r="243" spans="1:11" x14ac:dyDescent="0.25">
      <c r="A243" s="5" t="s">
        <v>700</v>
      </c>
      <c r="B243" s="6">
        <f t="shared" si="9"/>
        <v>124.04219999999995</v>
      </c>
      <c r="C243" s="7" t="s">
        <v>423</v>
      </c>
      <c r="D243" s="7" t="s">
        <v>421</v>
      </c>
      <c r="E243" s="7" t="s">
        <v>829</v>
      </c>
      <c r="F243" s="8">
        <v>136.35049999999998</v>
      </c>
      <c r="G243" s="7" t="s">
        <v>472</v>
      </c>
      <c r="H243" s="7" t="s">
        <v>470</v>
      </c>
      <c r="I243" s="10">
        <v>949.29</v>
      </c>
      <c r="J243" s="10">
        <f t="shared" si="11"/>
        <v>124042.19999999995</v>
      </c>
      <c r="K243" s="6">
        <f t="shared" si="10"/>
        <v>108467.05999999995</v>
      </c>
    </row>
    <row r="244" spans="1:11" x14ac:dyDescent="0.25">
      <c r="A244" s="5" t="s">
        <v>700</v>
      </c>
      <c r="B244" s="6">
        <f t="shared" si="9"/>
        <v>124.99148999999994</v>
      </c>
      <c r="C244" s="7" t="s">
        <v>421</v>
      </c>
      <c r="D244" s="7" t="s">
        <v>419</v>
      </c>
      <c r="E244" s="7" t="s">
        <v>829</v>
      </c>
      <c r="F244" s="8">
        <v>136.91629999999995</v>
      </c>
      <c r="G244" s="7" t="s">
        <v>470</v>
      </c>
      <c r="H244" s="7" t="s">
        <v>468</v>
      </c>
      <c r="I244" s="10">
        <v>538.73</v>
      </c>
      <c r="J244" s="10">
        <f t="shared" si="11"/>
        <v>124991.48999999995</v>
      </c>
      <c r="K244" s="6">
        <f t="shared" si="10"/>
        <v>107517.76999999996</v>
      </c>
    </row>
    <row r="245" spans="1:11" x14ac:dyDescent="0.25">
      <c r="A245" s="5" t="s">
        <v>700</v>
      </c>
      <c r="B245" s="6">
        <f t="shared" si="9"/>
        <v>125.53021999999994</v>
      </c>
      <c r="C245" s="7" t="s">
        <v>419</v>
      </c>
      <c r="D245" s="7" t="s">
        <v>417</v>
      </c>
      <c r="E245" s="7" t="s">
        <v>829</v>
      </c>
      <c r="F245" s="8">
        <v>137.45623999999995</v>
      </c>
      <c r="G245" s="7" t="s">
        <v>468</v>
      </c>
      <c r="H245" s="7" t="s">
        <v>466</v>
      </c>
      <c r="I245" s="10">
        <v>558.15</v>
      </c>
      <c r="J245" s="10">
        <f t="shared" si="11"/>
        <v>125530.21999999994</v>
      </c>
      <c r="K245" s="6">
        <f t="shared" si="10"/>
        <v>106979.03999999996</v>
      </c>
    </row>
    <row r="246" spans="1:11" x14ac:dyDescent="0.25">
      <c r="A246" s="5" t="s">
        <v>700</v>
      </c>
      <c r="B246" s="6">
        <f t="shared" si="9"/>
        <v>126.08836999999994</v>
      </c>
      <c r="C246" s="7" t="s">
        <v>417</v>
      </c>
      <c r="D246" s="7" t="s">
        <v>415</v>
      </c>
      <c r="E246" s="7" t="s">
        <v>829</v>
      </c>
      <c r="F246" s="8">
        <v>137.99601999999996</v>
      </c>
      <c r="G246" s="7" t="s">
        <v>466</v>
      </c>
      <c r="H246" s="7" t="s">
        <v>464</v>
      </c>
      <c r="I246" s="10">
        <v>633.39</v>
      </c>
      <c r="J246" s="10">
        <f t="shared" si="11"/>
        <v>126088.36999999994</v>
      </c>
      <c r="K246" s="6">
        <f t="shared" si="10"/>
        <v>106420.88999999997</v>
      </c>
    </row>
    <row r="247" spans="1:11" x14ac:dyDescent="0.25">
      <c r="A247" s="5" t="s">
        <v>700</v>
      </c>
      <c r="B247" s="6">
        <f t="shared" si="9"/>
        <v>126.72175999999993</v>
      </c>
      <c r="C247" s="7" t="s">
        <v>415</v>
      </c>
      <c r="D247" s="7" t="s">
        <v>413</v>
      </c>
      <c r="E247" s="7" t="s">
        <v>829</v>
      </c>
      <c r="F247" s="8">
        <v>138.62994999999995</v>
      </c>
      <c r="G247" s="7" t="s">
        <v>464</v>
      </c>
      <c r="H247" s="7" t="s">
        <v>462</v>
      </c>
      <c r="I247" s="10">
        <v>724.68</v>
      </c>
      <c r="J247" s="10">
        <f t="shared" si="11"/>
        <v>126721.75999999994</v>
      </c>
      <c r="K247" s="6">
        <f t="shared" si="10"/>
        <v>105787.49999999997</v>
      </c>
    </row>
    <row r="248" spans="1:11" x14ac:dyDescent="0.25">
      <c r="A248" s="5" t="s">
        <v>700</v>
      </c>
      <c r="B248" s="6">
        <f t="shared" si="9"/>
        <v>127.44643999999992</v>
      </c>
      <c r="C248" s="7" t="s">
        <v>413</v>
      </c>
      <c r="D248" s="7" t="s">
        <v>411</v>
      </c>
      <c r="E248" s="7" t="s">
        <v>829</v>
      </c>
      <c r="F248" s="8">
        <v>139.10183999999998</v>
      </c>
      <c r="G248" s="7" t="s">
        <v>462</v>
      </c>
      <c r="H248" s="7" t="s">
        <v>460</v>
      </c>
      <c r="I248" s="10">
        <v>1043.3</v>
      </c>
      <c r="J248" s="10">
        <f t="shared" si="11"/>
        <v>127446.43999999993</v>
      </c>
      <c r="K248" s="6">
        <f t="shared" si="10"/>
        <v>105062.81999999998</v>
      </c>
    </row>
    <row r="249" spans="1:11" x14ac:dyDescent="0.25">
      <c r="A249" s="5" t="s">
        <v>700</v>
      </c>
      <c r="B249" s="6">
        <f t="shared" si="9"/>
        <v>128.48973999999993</v>
      </c>
      <c r="C249" s="7" t="s">
        <v>411</v>
      </c>
      <c r="D249" s="7" t="s">
        <v>409</v>
      </c>
      <c r="E249" s="7" t="s">
        <v>829</v>
      </c>
      <c r="F249" s="8">
        <v>139.59546999999998</v>
      </c>
      <c r="G249" s="7" t="s">
        <v>460</v>
      </c>
      <c r="H249" s="7" t="s">
        <v>458</v>
      </c>
      <c r="I249" s="10">
        <v>319.58999999999997</v>
      </c>
      <c r="J249" s="10">
        <f t="shared" si="11"/>
        <v>128489.73999999993</v>
      </c>
      <c r="K249" s="6">
        <f t="shared" si="10"/>
        <v>104019.51999999997</v>
      </c>
    </row>
    <row r="250" spans="1:11" x14ac:dyDescent="0.25">
      <c r="A250" s="5" t="s">
        <v>700</v>
      </c>
      <c r="B250" s="6">
        <f t="shared" si="9"/>
        <v>128.80932999999993</v>
      </c>
      <c r="C250" s="7" t="s">
        <v>409</v>
      </c>
      <c r="D250" s="7" t="s">
        <v>407</v>
      </c>
      <c r="E250" s="7" t="s">
        <v>829</v>
      </c>
      <c r="F250" s="8">
        <v>140.06441999999998</v>
      </c>
      <c r="G250" s="7" t="s">
        <v>458</v>
      </c>
      <c r="H250" s="7" t="s">
        <v>456</v>
      </c>
      <c r="I250" s="10">
        <v>679.14</v>
      </c>
      <c r="J250" s="10">
        <f t="shared" si="11"/>
        <v>128809.32999999993</v>
      </c>
      <c r="K250" s="6">
        <f t="shared" si="10"/>
        <v>103699.92999999998</v>
      </c>
    </row>
    <row r="251" spans="1:11" x14ac:dyDescent="0.25">
      <c r="A251" s="5" t="s">
        <v>700</v>
      </c>
      <c r="B251" s="6">
        <f t="shared" si="9"/>
        <v>129.48846999999992</v>
      </c>
      <c r="C251" s="7" t="s">
        <v>407</v>
      </c>
      <c r="D251" s="7" t="s">
        <v>405</v>
      </c>
      <c r="E251" s="7" t="s">
        <v>829</v>
      </c>
      <c r="F251" s="8">
        <v>140.57252999999997</v>
      </c>
      <c r="G251" s="7" t="s">
        <v>456</v>
      </c>
      <c r="H251" s="7" t="s">
        <v>454</v>
      </c>
      <c r="I251" s="10">
        <v>520.03</v>
      </c>
      <c r="J251" s="10">
        <f t="shared" si="11"/>
        <v>129488.46999999993</v>
      </c>
      <c r="K251" s="6">
        <f t="shared" si="10"/>
        <v>103020.78999999998</v>
      </c>
    </row>
    <row r="252" spans="1:11" x14ac:dyDescent="0.25">
      <c r="A252" s="5" t="s">
        <v>700</v>
      </c>
      <c r="B252" s="6">
        <f t="shared" si="9"/>
        <v>130.00849999999994</v>
      </c>
      <c r="C252" s="7" t="s">
        <v>405</v>
      </c>
      <c r="D252" s="7" t="s">
        <v>403</v>
      </c>
      <c r="E252" s="7" t="s">
        <v>829</v>
      </c>
      <c r="F252" s="8">
        <v>141.36321999999998</v>
      </c>
      <c r="G252" s="7" t="s">
        <v>454</v>
      </c>
      <c r="H252" s="7" t="s">
        <v>452</v>
      </c>
      <c r="I252" s="10">
        <v>549.66999999999996</v>
      </c>
      <c r="J252" s="10">
        <f t="shared" si="11"/>
        <v>130008.49999999993</v>
      </c>
      <c r="K252" s="6">
        <f t="shared" si="10"/>
        <v>102500.75999999998</v>
      </c>
    </row>
    <row r="253" spans="1:11" x14ac:dyDescent="0.25">
      <c r="A253" s="5" t="s">
        <v>700</v>
      </c>
      <c r="B253" s="6">
        <f t="shared" si="9"/>
        <v>130.55816999999993</v>
      </c>
      <c r="C253" s="7" t="s">
        <v>403</v>
      </c>
      <c r="D253" s="7" t="s">
        <v>401</v>
      </c>
      <c r="E253" s="7" t="s">
        <v>829</v>
      </c>
      <c r="F253" s="8">
        <v>142.03830999999997</v>
      </c>
      <c r="G253" s="7" t="s">
        <v>452</v>
      </c>
      <c r="H253" s="7" t="s">
        <v>450</v>
      </c>
      <c r="I253" s="10">
        <v>804.56</v>
      </c>
      <c r="J253" s="10">
        <f t="shared" si="11"/>
        <v>130558.16999999993</v>
      </c>
      <c r="K253" s="6">
        <f t="shared" si="10"/>
        <v>101951.08999999998</v>
      </c>
    </row>
    <row r="254" spans="1:11" x14ac:dyDescent="0.25">
      <c r="A254" s="5" t="s">
        <v>700</v>
      </c>
      <c r="B254" s="6">
        <f t="shared" si="9"/>
        <v>131.36272999999991</v>
      </c>
      <c r="C254" s="7" t="s">
        <v>401</v>
      </c>
      <c r="D254" s="7" t="s">
        <v>399</v>
      </c>
      <c r="E254" s="7" t="s">
        <v>829</v>
      </c>
      <c r="F254" s="8">
        <v>142.49495999999996</v>
      </c>
      <c r="G254" s="7" t="s">
        <v>450</v>
      </c>
      <c r="H254" s="7" t="s">
        <v>448</v>
      </c>
      <c r="I254" s="10">
        <v>634.94000000000005</v>
      </c>
      <c r="J254" s="10">
        <f t="shared" si="11"/>
        <v>131362.72999999992</v>
      </c>
      <c r="K254" s="6">
        <f t="shared" si="10"/>
        <v>101146.52999999998</v>
      </c>
    </row>
    <row r="255" spans="1:11" x14ac:dyDescent="0.25">
      <c r="A255" s="5" t="s">
        <v>700</v>
      </c>
      <c r="B255" s="6">
        <f t="shared" si="9"/>
        <v>131.99766999999991</v>
      </c>
      <c r="C255" s="7" t="s">
        <v>399</v>
      </c>
      <c r="D255" s="7" t="s">
        <v>397</v>
      </c>
      <c r="E255" s="7" t="s">
        <v>829</v>
      </c>
      <c r="F255" s="8">
        <v>142.79815999999997</v>
      </c>
      <c r="G255" s="7" t="s">
        <v>448</v>
      </c>
      <c r="H255" s="7" t="s">
        <v>446</v>
      </c>
      <c r="I255" s="10">
        <v>507.43</v>
      </c>
      <c r="J255" s="10">
        <f t="shared" si="11"/>
        <v>131997.66999999993</v>
      </c>
      <c r="K255" s="6">
        <f t="shared" si="10"/>
        <v>100511.58999999998</v>
      </c>
    </row>
    <row r="256" spans="1:11" x14ac:dyDescent="0.25">
      <c r="A256" s="5" t="s">
        <v>700</v>
      </c>
      <c r="B256" s="6">
        <f t="shared" si="9"/>
        <v>132.50509999999991</v>
      </c>
      <c r="C256" s="7" t="s">
        <v>397</v>
      </c>
      <c r="D256" s="7" t="s">
        <v>395</v>
      </c>
      <c r="E256" s="7" t="s">
        <v>829</v>
      </c>
      <c r="F256" s="8">
        <v>143.09837999999996</v>
      </c>
      <c r="G256" s="7" t="s">
        <v>446</v>
      </c>
      <c r="H256" s="7" t="s">
        <v>444</v>
      </c>
      <c r="I256" s="10">
        <v>656.52</v>
      </c>
      <c r="J256" s="10">
        <f t="shared" si="11"/>
        <v>132505.09999999992</v>
      </c>
      <c r="K256" s="6">
        <f t="shared" si="10"/>
        <v>100004.15999999999</v>
      </c>
    </row>
    <row r="257" spans="1:11" x14ac:dyDescent="0.25">
      <c r="A257" s="5" t="s">
        <v>700</v>
      </c>
      <c r="B257" s="6">
        <f t="shared" si="9"/>
        <v>133.16161999999991</v>
      </c>
      <c r="C257" s="7" t="s">
        <v>395</v>
      </c>
      <c r="D257" s="7" t="s">
        <v>393</v>
      </c>
      <c r="E257" s="7" t="s">
        <v>829</v>
      </c>
      <c r="F257" s="8">
        <v>143.70777999999996</v>
      </c>
      <c r="G257" s="7" t="s">
        <v>444</v>
      </c>
      <c r="H257" s="7" t="s">
        <v>442</v>
      </c>
      <c r="I257" s="10">
        <v>1043.26</v>
      </c>
      <c r="J257" s="10">
        <f t="shared" si="11"/>
        <v>133161.61999999991</v>
      </c>
      <c r="K257" s="6">
        <f t="shared" si="10"/>
        <v>99347.639999999985</v>
      </c>
    </row>
    <row r="258" spans="1:11" x14ac:dyDescent="0.25">
      <c r="A258" s="5" t="s">
        <v>700</v>
      </c>
      <c r="B258" s="6">
        <f t="shared" si="9"/>
        <v>134.20487999999992</v>
      </c>
      <c r="C258" s="7" t="s">
        <v>393</v>
      </c>
      <c r="D258" s="7" t="s">
        <v>391</v>
      </c>
      <c r="E258" s="7" t="s">
        <v>829</v>
      </c>
      <c r="F258" s="8">
        <v>144.19634999999997</v>
      </c>
      <c r="G258" s="7" t="s">
        <v>442</v>
      </c>
      <c r="H258" s="7" t="s">
        <v>440</v>
      </c>
      <c r="I258" s="10">
        <v>479.73</v>
      </c>
      <c r="J258" s="10">
        <f t="shared" si="11"/>
        <v>134204.87999999992</v>
      </c>
      <c r="K258" s="6">
        <f t="shared" si="10"/>
        <v>98304.37999999999</v>
      </c>
    </row>
    <row r="259" spans="1:11" x14ac:dyDescent="0.25">
      <c r="A259" s="5" t="s">
        <v>700</v>
      </c>
      <c r="B259" s="6">
        <f t="shared" ref="B259:B322" si="12">J259/1000</f>
        <v>134.68460999999994</v>
      </c>
      <c r="C259" s="7" t="s">
        <v>391</v>
      </c>
      <c r="D259" s="7" t="s">
        <v>389</v>
      </c>
      <c r="E259" s="7" t="s">
        <v>829</v>
      </c>
      <c r="F259" s="8">
        <v>144.66078999999999</v>
      </c>
      <c r="G259" s="7" t="s">
        <v>440</v>
      </c>
      <c r="H259" s="7" t="s">
        <v>438</v>
      </c>
      <c r="I259" s="10">
        <v>629.63</v>
      </c>
      <c r="J259" s="10">
        <f t="shared" si="11"/>
        <v>134684.60999999993</v>
      </c>
      <c r="K259" s="6">
        <f t="shared" si="10"/>
        <v>97824.65</v>
      </c>
    </row>
    <row r="260" spans="1:11" x14ac:dyDescent="0.25">
      <c r="A260" s="5" t="s">
        <v>700</v>
      </c>
      <c r="B260" s="6">
        <f t="shared" si="12"/>
        <v>135.31423999999993</v>
      </c>
      <c r="C260" s="7" t="s">
        <v>389</v>
      </c>
      <c r="D260" s="7" t="s">
        <v>387</v>
      </c>
      <c r="E260" s="7" t="s">
        <v>829</v>
      </c>
      <c r="F260" s="8">
        <v>145.01755</v>
      </c>
      <c r="G260" s="7" t="s">
        <v>438</v>
      </c>
      <c r="H260" s="7" t="s">
        <v>436</v>
      </c>
      <c r="I260" s="10">
        <v>616.42999999999995</v>
      </c>
      <c r="J260" s="10">
        <f t="shared" si="11"/>
        <v>135314.23999999993</v>
      </c>
      <c r="K260" s="6">
        <f t="shared" ref="K260:K323" si="13">K259-I259</f>
        <v>97195.01999999999</v>
      </c>
    </row>
    <row r="261" spans="1:11" x14ac:dyDescent="0.25">
      <c r="A261" s="5" t="s">
        <v>700</v>
      </c>
      <c r="B261" s="6">
        <f t="shared" si="12"/>
        <v>135.93066999999994</v>
      </c>
      <c r="C261" s="7" t="s">
        <v>387</v>
      </c>
      <c r="D261" s="7" t="s">
        <v>385</v>
      </c>
      <c r="E261" s="7" t="s">
        <v>829</v>
      </c>
      <c r="F261" s="8">
        <v>145.58437000000001</v>
      </c>
      <c r="G261" s="7" t="s">
        <v>436</v>
      </c>
      <c r="H261" s="7" t="s">
        <v>434</v>
      </c>
      <c r="I261" s="10">
        <v>797</v>
      </c>
      <c r="J261" s="10">
        <f t="shared" ref="J261:J324" si="14">J260+I260</f>
        <v>135930.66999999993</v>
      </c>
      <c r="K261" s="6">
        <f t="shared" si="13"/>
        <v>96578.59</v>
      </c>
    </row>
    <row r="262" spans="1:11" x14ac:dyDescent="0.25">
      <c r="A262" s="5" t="s">
        <v>700</v>
      </c>
      <c r="B262" s="6">
        <f t="shared" si="12"/>
        <v>136.72766999999993</v>
      </c>
      <c r="C262" s="7" t="s">
        <v>385</v>
      </c>
      <c r="D262" s="7" t="s">
        <v>383</v>
      </c>
      <c r="E262" s="7" t="s">
        <v>829</v>
      </c>
      <c r="F262" s="8">
        <v>146.16426000000001</v>
      </c>
      <c r="G262" s="7" t="s">
        <v>434</v>
      </c>
      <c r="H262" s="7" t="s">
        <v>432</v>
      </c>
      <c r="I262" s="10">
        <v>595.30999999999995</v>
      </c>
      <c r="J262" s="10">
        <f t="shared" si="14"/>
        <v>136727.66999999993</v>
      </c>
      <c r="K262" s="6">
        <f t="shared" si="13"/>
        <v>95781.59</v>
      </c>
    </row>
    <row r="263" spans="1:11" x14ac:dyDescent="0.25">
      <c r="A263" s="5" t="s">
        <v>700</v>
      </c>
      <c r="B263" s="6">
        <f t="shared" si="12"/>
        <v>137.32297999999992</v>
      </c>
      <c r="C263" s="7" t="s">
        <v>383</v>
      </c>
      <c r="D263" s="7" t="s">
        <v>381</v>
      </c>
      <c r="E263" s="7" t="s">
        <v>829</v>
      </c>
      <c r="F263" s="8">
        <v>146.60641000000001</v>
      </c>
      <c r="G263" s="7" t="s">
        <v>432</v>
      </c>
      <c r="H263" s="7" t="s">
        <v>430</v>
      </c>
      <c r="I263" s="10">
        <v>749.75</v>
      </c>
      <c r="J263" s="10">
        <f t="shared" si="14"/>
        <v>137322.97999999992</v>
      </c>
      <c r="K263" s="6">
        <f t="shared" si="13"/>
        <v>95186.28</v>
      </c>
    </row>
    <row r="264" spans="1:11" x14ac:dyDescent="0.25">
      <c r="A264" s="5" t="s">
        <v>700</v>
      </c>
      <c r="B264" s="6">
        <f t="shared" si="12"/>
        <v>138.07272999999992</v>
      </c>
      <c r="C264" s="7" t="s">
        <v>381</v>
      </c>
      <c r="D264" s="7" t="s">
        <v>379</v>
      </c>
      <c r="E264" s="7" t="s">
        <v>829</v>
      </c>
      <c r="F264" s="8">
        <v>147.07526000000001</v>
      </c>
      <c r="G264" s="7" t="s">
        <v>430</v>
      </c>
      <c r="H264" s="7" t="s">
        <v>428</v>
      </c>
      <c r="I264" s="10">
        <v>687.59</v>
      </c>
      <c r="J264" s="10">
        <f t="shared" si="14"/>
        <v>138072.72999999992</v>
      </c>
      <c r="K264" s="6">
        <f t="shared" si="13"/>
        <v>94436.53</v>
      </c>
    </row>
    <row r="265" spans="1:11" x14ac:dyDescent="0.25">
      <c r="A265" s="5" t="s">
        <v>700</v>
      </c>
      <c r="B265" s="6">
        <f t="shared" si="12"/>
        <v>138.76031999999992</v>
      </c>
      <c r="C265" s="7" t="s">
        <v>379</v>
      </c>
      <c r="D265" s="7" t="s">
        <v>377</v>
      </c>
      <c r="E265" s="7" t="s">
        <v>829</v>
      </c>
      <c r="F265" s="8">
        <v>147.58161999999999</v>
      </c>
      <c r="G265" s="7" t="s">
        <v>428</v>
      </c>
      <c r="H265" s="7" t="s">
        <v>426</v>
      </c>
      <c r="I265" s="10">
        <v>606.20000000000005</v>
      </c>
      <c r="J265" s="10">
        <f t="shared" si="14"/>
        <v>138760.31999999992</v>
      </c>
      <c r="K265" s="6">
        <f t="shared" si="13"/>
        <v>93748.94</v>
      </c>
    </row>
    <row r="266" spans="1:11" x14ac:dyDescent="0.25">
      <c r="A266" s="5" t="s">
        <v>700</v>
      </c>
      <c r="B266" s="6">
        <f t="shared" si="12"/>
        <v>139.36651999999992</v>
      </c>
      <c r="C266" s="7" t="s">
        <v>377</v>
      </c>
      <c r="D266" s="7" t="s">
        <v>375</v>
      </c>
      <c r="E266" s="7" t="s">
        <v>829</v>
      </c>
      <c r="F266" s="8">
        <v>148.01351</v>
      </c>
      <c r="G266" s="7" t="s">
        <v>426</v>
      </c>
      <c r="H266" s="7" t="s">
        <v>424</v>
      </c>
      <c r="I266" s="10">
        <v>544.20000000000005</v>
      </c>
      <c r="J266" s="10">
        <f t="shared" si="14"/>
        <v>139366.51999999993</v>
      </c>
      <c r="K266" s="6">
        <f t="shared" si="13"/>
        <v>93142.74</v>
      </c>
    </row>
    <row r="267" spans="1:11" x14ac:dyDescent="0.25">
      <c r="A267" s="5" t="s">
        <v>700</v>
      </c>
      <c r="B267" s="6">
        <f t="shared" si="12"/>
        <v>139.91071999999994</v>
      </c>
      <c r="C267" s="7" t="s">
        <v>375</v>
      </c>
      <c r="D267" s="7" t="s">
        <v>373</v>
      </c>
      <c r="E267" s="7" t="s">
        <v>829</v>
      </c>
      <c r="F267" s="8">
        <v>148.55618000000001</v>
      </c>
      <c r="G267" s="7" t="s">
        <v>424</v>
      </c>
      <c r="H267" s="7" t="s">
        <v>422</v>
      </c>
      <c r="I267" s="10">
        <v>551.11</v>
      </c>
      <c r="J267" s="10">
        <f t="shared" si="14"/>
        <v>139910.71999999994</v>
      </c>
      <c r="K267" s="6">
        <f t="shared" si="13"/>
        <v>92598.540000000008</v>
      </c>
    </row>
    <row r="268" spans="1:11" x14ac:dyDescent="0.25">
      <c r="A268" s="5" t="s">
        <v>700</v>
      </c>
      <c r="B268" s="6">
        <f t="shared" si="12"/>
        <v>140.46182999999994</v>
      </c>
      <c r="C268" s="7" t="s">
        <v>373</v>
      </c>
      <c r="D268" s="7" t="s">
        <v>371</v>
      </c>
      <c r="E268" s="7" t="s">
        <v>829</v>
      </c>
      <c r="F268" s="8">
        <v>149.15998000000002</v>
      </c>
      <c r="G268" s="7" t="s">
        <v>422</v>
      </c>
      <c r="H268" s="7" t="s">
        <v>420</v>
      </c>
      <c r="I268" s="10">
        <v>477.23</v>
      </c>
      <c r="J268" s="10">
        <f t="shared" si="14"/>
        <v>140461.82999999993</v>
      </c>
      <c r="K268" s="6">
        <f t="shared" si="13"/>
        <v>92047.430000000008</v>
      </c>
    </row>
    <row r="269" spans="1:11" x14ac:dyDescent="0.25">
      <c r="A269" s="5" t="s">
        <v>700</v>
      </c>
      <c r="B269" s="6">
        <f t="shared" si="12"/>
        <v>140.93905999999993</v>
      </c>
      <c r="C269" s="7" t="s">
        <v>371</v>
      </c>
      <c r="D269" s="7" t="s">
        <v>369</v>
      </c>
      <c r="E269" s="7" t="s">
        <v>829</v>
      </c>
      <c r="F269" s="8">
        <v>149.72195000000002</v>
      </c>
      <c r="G269" s="7" t="s">
        <v>420</v>
      </c>
      <c r="H269" s="7" t="s">
        <v>418</v>
      </c>
      <c r="I269" s="10">
        <v>530.82000000000005</v>
      </c>
      <c r="J269" s="10">
        <f t="shared" si="14"/>
        <v>140939.05999999994</v>
      </c>
      <c r="K269" s="6">
        <f t="shared" si="13"/>
        <v>91570.200000000012</v>
      </c>
    </row>
    <row r="270" spans="1:11" x14ac:dyDescent="0.25">
      <c r="A270" s="5" t="s">
        <v>700</v>
      </c>
      <c r="B270" s="6">
        <f t="shared" si="12"/>
        <v>141.46987999999993</v>
      </c>
      <c r="C270" s="7" t="s">
        <v>369</v>
      </c>
      <c r="D270" s="7" t="s">
        <v>367</v>
      </c>
      <c r="E270" s="7" t="s">
        <v>829</v>
      </c>
      <c r="F270" s="8">
        <v>150.27274000000003</v>
      </c>
      <c r="G270" s="7" t="s">
        <v>418</v>
      </c>
      <c r="H270" s="7" t="s">
        <v>416</v>
      </c>
      <c r="I270" s="10">
        <v>469.02</v>
      </c>
      <c r="J270" s="10">
        <f t="shared" si="14"/>
        <v>141469.87999999995</v>
      </c>
      <c r="K270" s="6">
        <f t="shared" si="13"/>
        <v>91039.38</v>
      </c>
    </row>
    <row r="271" spans="1:11" x14ac:dyDescent="0.25">
      <c r="A271" s="5" t="s">
        <v>700</v>
      </c>
      <c r="B271" s="6">
        <f t="shared" si="12"/>
        <v>141.93889999999993</v>
      </c>
      <c r="C271" s="7" t="s">
        <v>367</v>
      </c>
      <c r="D271" s="7" t="s">
        <v>365</v>
      </c>
      <c r="E271" s="7" t="s">
        <v>829</v>
      </c>
      <c r="F271" s="8">
        <v>150.76202000000001</v>
      </c>
      <c r="G271" s="7" t="s">
        <v>416</v>
      </c>
      <c r="H271" s="7" t="s">
        <v>414</v>
      </c>
      <c r="I271" s="10">
        <v>676.67</v>
      </c>
      <c r="J271" s="10">
        <f t="shared" si="14"/>
        <v>141938.89999999994</v>
      </c>
      <c r="K271" s="6">
        <f t="shared" si="13"/>
        <v>90570.36</v>
      </c>
    </row>
    <row r="272" spans="1:11" x14ac:dyDescent="0.25">
      <c r="A272" s="5" t="s">
        <v>700</v>
      </c>
      <c r="B272" s="6">
        <f t="shared" si="12"/>
        <v>142.61556999999996</v>
      </c>
      <c r="C272" s="7" t="s">
        <v>365</v>
      </c>
      <c r="D272" s="7" t="s">
        <v>363</v>
      </c>
      <c r="E272" s="7" t="s">
        <v>829</v>
      </c>
      <c r="F272" s="8">
        <v>151.25112000000001</v>
      </c>
      <c r="G272" s="7" t="s">
        <v>414</v>
      </c>
      <c r="H272" s="7" t="s">
        <v>412</v>
      </c>
      <c r="I272" s="10">
        <v>724.38</v>
      </c>
      <c r="J272" s="10">
        <f t="shared" si="14"/>
        <v>142615.56999999995</v>
      </c>
      <c r="K272" s="6">
        <f t="shared" si="13"/>
        <v>89893.69</v>
      </c>
    </row>
    <row r="273" spans="1:11" x14ac:dyDescent="0.25">
      <c r="A273" s="5" t="s">
        <v>700</v>
      </c>
      <c r="B273" s="6">
        <f t="shared" si="12"/>
        <v>143.33994999999996</v>
      </c>
      <c r="C273" s="7" t="s">
        <v>363</v>
      </c>
      <c r="D273" s="7" t="s">
        <v>361</v>
      </c>
      <c r="E273" s="7" t="s">
        <v>829</v>
      </c>
      <c r="F273" s="8">
        <v>151.72349000000003</v>
      </c>
      <c r="G273" s="7" t="s">
        <v>412</v>
      </c>
      <c r="H273" s="7" t="s">
        <v>410</v>
      </c>
      <c r="I273" s="10">
        <v>694.44</v>
      </c>
      <c r="J273" s="10">
        <f t="shared" si="14"/>
        <v>143339.94999999995</v>
      </c>
      <c r="K273" s="6">
        <f t="shared" si="13"/>
        <v>89169.31</v>
      </c>
    </row>
    <row r="274" spans="1:11" x14ac:dyDescent="0.25">
      <c r="A274" s="5" t="s">
        <v>700</v>
      </c>
      <c r="B274" s="6">
        <f t="shared" si="12"/>
        <v>144.03438999999995</v>
      </c>
      <c r="C274" s="7" t="s">
        <v>361</v>
      </c>
      <c r="D274" s="7" t="s">
        <v>359</v>
      </c>
      <c r="E274" s="7" t="s">
        <v>829</v>
      </c>
      <c r="F274" s="8">
        <v>152.17278000000002</v>
      </c>
      <c r="G274" s="7" t="s">
        <v>410</v>
      </c>
      <c r="H274" s="7" t="s">
        <v>408</v>
      </c>
      <c r="I274" s="10">
        <v>629.21</v>
      </c>
      <c r="J274" s="10">
        <f t="shared" si="14"/>
        <v>144034.38999999996</v>
      </c>
      <c r="K274" s="6">
        <f t="shared" si="13"/>
        <v>88474.87</v>
      </c>
    </row>
    <row r="275" spans="1:11" x14ac:dyDescent="0.25">
      <c r="A275" s="5" t="s">
        <v>700</v>
      </c>
      <c r="B275" s="6">
        <f t="shared" si="12"/>
        <v>144.66359999999995</v>
      </c>
      <c r="C275" s="7" t="s">
        <v>359</v>
      </c>
      <c r="D275" s="7" t="s">
        <v>357</v>
      </c>
      <c r="E275" s="7" t="s">
        <v>829</v>
      </c>
      <c r="F275" s="8">
        <v>152.64489</v>
      </c>
      <c r="G275" s="7" t="s">
        <v>408</v>
      </c>
      <c r="H275" s="7" t="s">
        <v>406</v>
      </c>
      <c r="I275" s="10">
        <v>676.38</v>
      </c>
      <c r="J275" s="10">
        <f t="shared" si="14"/>
        <v>144663.59999999995</v>
      </c>
      <c r="K275" s="6">
        <f t="shared" si="13"/>
        <v>87845.659999999989</v>
      </c>
    </row>
    <row r="276" spans="1:11" x14ac:dyDescent="0.25">
      <c r="A276" s="5" t="s">
        <v>700</v>
      </c>
      <c r="B276" s="6">
        <f t="shared" si="12"/>
        <v>145.33997999999994</v>
      </c>
      <c r="C276" s="7" t="s">
        <v>357</v>
      </c>
      <c r="D276" s="7" t="s">
        <v>355</v>
      </c>
      <c r="E276" s="7" t="s">
        <v>829</v>
      </c>
      <c r="F276" s="8">
        <v>153.32865000000001</v>
      </c>
      <c r="G276" s="7" t="s">
        <v>406</v>
      </c>
      <c r="H276" s="7" t="s">
        <v>404</v>
      </c>
      <c r="I276" s="10">
        <v>653.82000000000005</v>
      </c>
      <c r="J276" s="10">
        <f t="shared" si="14"/>
        <v>145339.97999999995</v>
      </c>
      <c r="K276" s="6">
        <f t="shared" si="13"/>
        <v>87169.279999999984</v>
      </c>
    </row>
    <row r="277" spans="1:11" x14ac:dyDescent="0.25">
      <c r="A277" s="5" t="s">
        <v>700</v>
      </c>
      <c r="B277" s="6">
        <f t="shared" si="12"/>
        <v>145.99379999999996</v>
      </c>
      <c r="C277" s="7" t="s">
        <v>355</v>
      </c>
      <c r="D277" s="7" t="s">
        <v>353</v>
      </c>
      <c r="E277" s="7" t="s">
        <v>829</v>
      </c>
      <c r="F277" s="8">
        <v>153.93805</v>
      </c>
      <c r="G277" s="7" t="s">
        <v>404</v>
      </c>
      <c r="H277" s="7" t="s">
        <v>402</v>
      </c>
      <c r="I277" s="10">
        <v>544.77</v>
      </c>
      <c r="J277" s="10">
        <f t="shared" si="14"/>
        <v>145993.79999999996</v>
      </c>
      <c r="K277" s="6">
        <f t="shared" si="13"/>
        <v>86515.459999999977</v>
      </c>
    </row>
    <row r="278" spans="1:11" x14ac:dyDescent="0.25">
      <c r="A278" s="5" t="s">
        <v>700</v>
      </c>
      <c r="B278" s="6">
        <f t="shared" si="12"/>
        <v>146.53856999999994</v>
      </c>
      <c r="C278" s="7" t="s">
        <v>353</v>
      </c>
      <c r="D278" s="7" t="s">
        <v>351</v>
      </c>
      <c r="E278" s="7" t="s">
        <v>829</v>
      </c>
      <c r="F278" s="8">
        <v>154.51109000000002</v>
      </c>
      <c r="G278" s="7" t="s">
        <v>402</v>
      </c>
      <c r="H278" s="7" t="s">
        <v>400</v>
      </c>
      <c r="I278" s="10">
        <v>639.91</v>
      </c>
      <c r="J278" s="10">
        <f t="shared" si="14"/>
        <v>146538.56999999995</v>
      </c>
      <c r="K278" s="6">
        <f t="shared" si="13"/>
        <v>85970.689999999973</v>
      </c>
    </row>
    <row r="279" spans="1:11" x14ac:dyDescent="0.25">
      <c r="A279" s="5" t="s">
        <v>700</v>
      </c>
      <c r="B279" s="6">
        <f t="shared" si="12"/>
        <v>147.17847999999995</v>
      </c>
      <c r="C279" s="7" t="s">
        <v>351</v>
      </c>
      <c r="D279" s="7" t="s">
        <v>349</v>
      </c>
      <c r="E279" s="7" t="s">
        <v>829</v>
      </c>
      <c r="F279" s="8">
        <v>155.05480000000003</v>
      </c>
      <c r="G279" s="7" t="s">
        <v>400</v>
      </c>
      <c r="H279" s="7" t="s">
        <v>398</v>
      </c>
      <c r="I279" s="10">
        <v>610.51</v>
      </c>
      <c r="J279" s="10">
        <f t="shared" si="14"/>
        <v>147178.47999999995</v>
      </c>
      <c r="K279" s="6">
        <f t="shared" si="13"/>
        <v>85330.77999999997</v>
      </c>
    </row>
    <row r="280" spans="1:11" x14ac:dyDescent="0.25">
      <c r="A280" s="5" t="s">
        <v>700</v>
      </c>
      <c r="B280" s="6">
        <f t="shared" si="12"/>
        <v>147.78898999999996</v>
      </c>
      <c r="C280" s="7" t="s">
        <v>349</v>
      </c>
      <c r="D280" s="7" t="s">
        <v>347</v>
      </c>
      <c r="E280" s="7" t="s">
        <v>829</v>
      </c>
      <c r="F280" s="8">
        <v>155.6721</v>
      </c>
      <c r="G280" s="7" t="s">
        <v>398</v>
      </c>
      <c r="H280" s="7" t="s">
        <v>396</v>
      </c>
      <c r="I280" s="10">
        <v>689.02</v>
      </c>
      <c r="J280" s="10">
        <f t="shared" si="14"/>
        <v>147788.98999999996</v>
      </c>
      <c r="K280" s="6">
        <f t="shared" si="13"/>
        <v>84720.269999999975</v>
      </c>
    </row>
    <row r="281" spans="1:11" x14ac:dyDescent="0.25">
      <c r="A281" s="5" t="s">
        <v>700</v>
      </c>
      <c r="B281" s="6">
        <f t="shared" si="12"/>
        <v>148.47800999999995</v>
      </c>
      <c r="C281" s="7" t="s">
        <v>347</v>
      </c>
      <c r="D281" s="7" t="s">
        <v>345</v>
      </c>
      <c r="E281" s="7" t="s">
        <v>829</v>
      </c>
      <c r="F281" s="8">
        <v>156.14123000000001</v>
      </c>
      <c r="G281" s="7" t="s">
        <v>396</v>
      </c>
      <c r="H281" s="7" t="s">
        <v>394</v>
      </c>
      <c r="I281" s="10">
        <v>557.82000000000005</v>
      </c>
      <c r="J281" s="10">
        <f t="shared" si="14"/>
        <v>148478.00999999995</v>
      </c>
      <c r="K281" s="6">
        <f t="shared" si="13"/>
        <v>84031.249999999971</v>
      </c>
    </row>
    <row r="282" spans="1:11" x14ac:dyDescent="0.25">
      <c r="A282" s="5" t="s">
        <v>700</v>
      </c>
      <c r="B282" s="6">
        <f t="shared" si="12"/>
        <v>149.03582999999995</v>
      </c>
      <c r="C282" s="7" t="s">
        <v>345</v>
      </c>
      <c r="D282" s="7" t="s">
        <v>343</v>
      </c>
      <c r="E282" s="7" t="s">
        <v>829</v>
      </c>
      <c r="F282" s="8">
        <v>156.74857</v>
      </c>
      <c r="G282" s="7" t="s">
        <v>394</v>
      </c>
      <c r="H282" s="7" t="s">
        <v>392</v>
      </c>
      <c r="I282" s="10">
        <v>607.92999999999995</v>
      </c>
      <c r="J282" s="10">
        <f t="shared" si="14"/>
        <v>149035.82999999996</v>
      </c>
      <c r="K282" s="6">
        <f t="shared" si="13"/>
        <v>83473.429999999964</v>
      </c>
    </row>
    <row r="283" spans="1:11" x14ac:dyDescent="0.25">
      <c r="A283" s="5" t="s">
        <v>700</v>
      </c>
      <c r="B283" s="6">
        <f t="shared" si="12"/>
        <v>149.64375999999996</v>
      </c>
      <c r="C283" s="7" t="s">
        <v>343</v>
      </c>
      <c r="D283" s="7" t="s">
        <v>341</v>
      </c>
      <c r="E283" s="7" t="s">
        <v>829</v>
      </c>
      <c r="F283" s="8">
        <v>157.30748</v>
      </c>
      <c r="G283" s="7" t="s">
        <v>392</v>
      </c>
      <c r="H283" s="7" t="s">
        <v>390</v>
      </c>
      <c r="I283" s="10">
        <v>487.37</v>
      </c>
      <c r="J283" s="10">
        <f t="shared" si="14"/>
        <v>149643.75999999995</v>
      </c>
      <c r="K283" s="6">
        <f t="shared" si="13"/>
        <v>82865.499999999971</v>
      </c>
    </row>
    <row r="284" spans="1:11" x14ac:dyDescent="0.25">
      <c r="A284" s="5" t="s">
        <v>700</v>
      </c>
      <c r="B284" s="6">
        <f t="shared" si="12"/>
        <v>150.13112999999996</v>
      </c>
      <c r="C284" s="7" t="s">
        <v>341</v>
      </c>
      <c r="D284" s="7" t="s">
        <v>339</v>
      </c>
      <c r="E284" s="7" t="s">
        <v>829</v>
      </c>
      <c r="F284" s="8">
        <v>157.77426</v>
      </c>
      <c r="G284" s="7" t="s">
        <v>390</v>
      </c>
      <c r="H284" s="7" t="s">
        <v>388</v>
      </c>
      <c r="I284" s="10">
        <v>581.6</v>
      </c>
      <c r="J284" s="10">
        <f t="shared" si="14"/>
        <v>150131.12999999995</v>
      </c>
      <c r="K284" s="6">
        <f t="shared" si="13"/>
        <v>82378.129999999976</v>
      </c>
    </row>
    <row r="285" spans="1:11" x14ac:dyDescent="0.25">
      <c r="A285" s="5" t="s">
        <v>700</v>
      </c>
      <c r="B285" s="6">
        <f t="shared" si="12"/>
        <v>150.71272999999997</v>
      </c>
      <c r="C285" s="7" t="s">
        <v>339</v>
      </c>
      <c r="D285" s="7" t="s">
        <v>337</v>
      </c>
      <c r="E285" s="7" t="s">
        <v>829</v>
      </c>
      <c r="F285" s="8">
        <v>158.28407000000001</v>
      </c>
      <c r="G285" s="7" t="s">
        <v>388</v>
      </c>
      <c r="H285" s="7" t="s">
        <v>386</v>
      </c>
      <c r="I285" s="10">
        <v>564.19000000000005</v>
      </c>
      <c r="J285" s="10">
        <f t="shared" si="14"/>
        <v>150712.72999999995</v>
      </c>
      <c r="K285" s="6">
        <f t="shared" si="13"/>
        <v>81796.52999999997</v>
      </c>
    </row>
    <row r="286" spans="1:11" x14ac:dyDescent="0.25">
      <c r="A286" s="5" t="s">
        <v>700</v>
      </c>
      <c r="B286" s="6">
        <f t="shared" si="12"/>
        <v>151.27691999999996</v>
      </c>
      <c r="C286" s="7" t="s">
        <v>337</v>
      </c>
      <c r="D286" s="7" t="s">
        <v>335</v>
      </c>
      <c r="E286" s="7" t="s">
        <v>829</v>
      </c>
      <c r="F286" s="8">
        <v>158.71996999999999</v>
      </c>
      <c r="G286" s="7" t="s">
        <v>386</v>
      </c>
      <c r="H286" s="7" t="s">
        <v>384</v>
      </c>
      <c r="I286" s="10">
        <v>616.80999999999995</v>
      </c>
      <c r="J286" s="10">
        <f t="shared" si="14"/>
        <v>151276.91999999995</v>
      </c>
      <c r="K286" s="6">
        <f t="shared" si="13"/>
        <v>81232.339999999967</v>
      </c>
    </row>
    <row r="287" spans="1:11" x14ac:dyDescent="0.25">
      <c r="A287" s="5" t="s">
        <v>700</v>
      </c>
      <c r="B287" s="6">
        <f t="shared" si="12"/>
        <v>151.89372999999995</v>
      </c>
      <c r="C287" s="7" t="s">
        <v>335</v>
      </c>
      <c r="D287" s="7" t="s">
        <v>333</v>
      </c>
      <c r="E287" s="7" t="s">
        <v>829</v>
      </c>
      <c r="F287" s="8">
        <v>159.26865000000001</v>
      </c>
      <c r="G287" s="7" t="s">
        <v>384</v>
      </c>
      <c r="H287" s="7" t="s">
        <v>382</v>
      </c>
      <c r="I287" s="10">
        <v>595.99</v>
      </c>
      <c r="J287" s="10">
        <f t="shared" si="14"/>
        <v>151893.72999999995</v>
      </c>
      <c r="K287" s="6">
        <f t="shared" si="13"/>
        <v>80615.52999999997</v>
      </c>
    </row>
    <row r="288" spans="1:11" x14ac:dyDescent="0.25">
      <c r="A288" s="5" t="s">
        <v>700</v>
      </c>
      <c r="B288" s="6">
        <f t="shared" si="12"/>
        <v>152.48971999999995</v>
      </c>
      <c r="C288" s="7" t="s">
        <v>333</v>
      </c>
      <c r="D288" s="7" t="s">
        <v>331</v>
      </c>
      <c r="E288" s="7" t="s">
        <v>829</v>
      </c>
      <c r="F288" s="8">
        <v>159.63876999999999</v>
      </c>
      <c r="G288" s="7" t="s">
        <v>382</v>
      </c>
      <c r="H288" s="7" t="s">
        <v>380</v>
      </c>
      <c r="I288" s="10">
        <v>562.55999999999995</v>
      </c>
      <c r="J288" s="10">
        <f t="shared" si="14"/>
        <v>152489.71999999994</v>
      </c>
      <c r="K288" s="6">
        <f t="shared" si="13"/>
        <v>80019.539999999964</v>
      </c>
    </row>
    <row r="289" spans="1:11" x14ac:dyDescent="0.25">
      <c r="A289" s="5" t="s">
        <v>700</v>
      </c>
      <c r="B289" s="6">
        <f t="shared" si="12"/>
        <v>153.05227999999994</v>
      </c>
      <c r="C289" s="7" t="s">
        <v>331</v>
      </c>
      <c r="D289" s="7" t="s">
        <v>329</v>
      </c>
      <c r="E289" s="7" t="s">
        <v>829</v>
      </c>
      <c r="F289" s="8">
        <v>160.09147000000002</v>
      </c>
      <c r="G289" s="7" t="s">
        <v>380</v>
      </c>
      <c r="H289" s="7" t="s">
        <v>378</v>
      </c>
      <c r="I289" s="10">
        <v>577.41999999999996</v>
      </c>
      <c r="J289" s="10">
        <f t="shared" si="14"/>
        <v>153052.27999999994</v>
      </c>
      <c r="K289" s="6">
        <f t="shared" si="13"/>
        <v>79456.979999999967</v>
      </c>
    </row>
    <row r="290" spans="1:11" x14ac:dyDescent="0.25">
      <c r="A290" s="5" t="s">
        <v>700</v>
      </c>
      <c r="B290" s="6">
        <f t="shared" si="12"/>
        <v>153.62969999999996</v>
      </c>
      <c r="C290" s="7" t="s">
        <v>329</v>
      </c>
      <c r="D290" s="7" t="s">
        <v>327</v>
      </c>
      <c r="E290" s="7" t="s">
        <v>829</v>
      </c>
      <c r="F290" s="8">
        <v>160.61070000000001</v>
      </c>
      <c r="G290" s="7" t="s">
        <v>378</v>
      </c>
      <c r="H290" s="7" t="s">
        <v>376</v>
      </c>
      <c r="I290" s="10">
        <v>615.59</v>
      </c>
      <c r="J290" s="10">
        <f t="shared" si="14"/>
        <v>153629.69999999995</v>
      </c>
      <c r="K290" s="6">
        <f t="shared" si="13"/>
        <v>78879.559999999969</v>
      </c>
    </row>
    <row r="291" spans="1:11" x14ac:dyDescent="0.25">
      <c r="A291" s="5" t="s">
        <v>700</v>
      </c>
      <c r="B291" s="6">
        <f t="shared" si="12"/>
        <v>154.24528999999995</v>
      </c>
      <c r="C291" s="7" t="s">
        <v>327</v>
      </c>
      <c r="D291" s="7" t="s">
        <v>325</v>
      </c>
      <c r="E291" s="7" t="s">
        <v>829</v>
      </c>
      <c r="F291" s="8">
        <v>161.29943000000003</v>
      </c>
      <c r="G291" s="7" t="s">
        <v>376</v>
      </c>
      <c r="H291" s="7" t="s">
        <v>374</v>
      </c>
      <c r="I291" s="10">
        <v>668.83</v>
      </c>
      <c r="J291" s="10">
        <f t="shared" si="14"/>
        <v>154245.28999999995</v>
      </c>
      <c r="K291" s="6">
        <f t="shared" si="13"/>
        <v>78263.969999999972</v>
      </c>
    </row>
    <row r="292" spans="1:11" x14ac:dyDescent="0.25">
      <c r="A292" s="5" t="s">
        <v>700</v>
      </c>
      <c r="B292" s="6">
        <f t="shared" si="12"/>
        <v>154.91411999999994</v>
      </c>
      <c r="C292" s="7" t="s">
        <v>325</v>
      </c>
      <c r="D292" s="7" t="s">
        <v>323</v>
      </c>
      <c r="E292" s="7" t="s">
        <v>829</v>
      </c>
      <c r="F292" s="8">
        <v>161.76163000000003</v>
      </c>
      <c r="G292" s="7" t="s">
        <v>374</v>
      </c>
      <c r="H292" s="7" t="s">
        <v>372</v>
      </c>
      <c r="I292" s="10">
        <v>554.66</v>
      </c>
      <c r="J292" s="10">
        <f t="shared" si="14"/>
        <v>154914.11999999994</v>
      </c>
      <c r="K292" s="6">
        <f t="shared" si="13"/>
        <v>77595.13999999997</v>
      </c>
    </row>
    <row r="293" spans="1:11" x14ac:dyDescent="0.25">
      <c r="A293" s="5" t="s">
        <v>700</v>
      </c>
      <c r="B293" s="6">
        <f t="shared" si="12"/>
        <v>155.46877999999995</v>
      </c>
      <c r="C293" s="7" t="s">
        <v>323</v>
      </c>
      <c r="D293" s="7" t="s">
        <v>321</v>
      </c>
      <c r="E293" s="7" t="s">
        <v>829</v>
      </c>
      <c r="F293" s="8">
        <v>162.38198000000003</v>
      </c>
      <c r="G293" s="7" t="s">
        <v>372</v>
      </c>
      <c r="H293" s="7" t="s">
        <v>370</v>
      </c>
      <c r="I293" s="10">
        <v>562.91</v>
      </c>
      <c r="J293" s="10">
        <f t="shared" si="14"/>
        <v>155468.77999999994</v>
      </c>
      <c r="K293" s="6">
        <f t="shared" si="13"/>
        <v>77040.479999999967</v>
      </c>
    </row>
    <row r="294" spans="1:11" x14ac:dyDescent="0.25">
      <c r="A294" s="5" t="s">
        <v>700</v>
      </c>
      <c r="B294" s="6">
        <f t="shared" si="12"/>
        <v>156.03168999999994</v>
      </c>
      <c r="C294" s="7" t="s">
        <v>321</v>
      </c>
      <c r="D294" s="7" t="s">
        <v>319</v>
      </c>
      <c r="E294" s="7" t="s">
        <v>829</v>
      </c>
      <c r="F294" s="8">
        <v>163.17088000000004</v>
      </c>
      <c r="G294" s="7" t="s">
        <v>370</v>
      </c>
      <c r="H294" s="7" t="s">
        <v>368</v>
      </c>
      <c r="I294" s="10">
        <v>628</v>
      </c>
      <c r="J294" s="10">
        <f t="shared" si="14"/>
        <v>156031.68999999994</v>
      </c>
      <c r="K294" s="6">
        <f t="shared" si="13"/>
        <v>76477.569999999963</v>
      </c>
    </row>
    <row r="295" spans="1:11" x14ac:dyDescent="0.25">
      <c r="A295" s="5" t="s">
        <v>700</v>
      </c>
      <c r="B295" s="6">
        <f t="shared" si="12"/>
        <v>156.65968999999996</v>
      </c>
      <c r="C295" s="7" t="s">
        <v>319</v>
      </c>
      <c r="D295" s="7" t="s">
        <v>317</v>
      </c>
      <c r="E295" s="7" t="s">
        <v>829</v>
      </c>
      <c r="F295" s="8">
        <v>163.81298000000004</v>
      </c>
      <c r="G295" s="7" t="s">
        <v>368</v>
      </c>
      <c r="H295" s="7" t="s">
        <v>366</v>
      </c>
      <c r="I295" s="10">
        <v>421.04</v>
      </c>
      <c r="J295" s="10">
        <f t="shared" si="14"/>
        <v>156659.68999999994</v>
      </c>
      <c r="K295" s="6">
        <f t="shared" si="13"/>
        <v>75849.569999999963</v>
      </c>
    </row>
    <row r="296" spans="1:11" x14ac:dyDescent="0.25">
      <c r="A296" s="5" t="s">
        <v>700</v>
      </c>
      <c r="B296" s="6">
        <f t="shared" si="12"/>
        <v>157.08072999999996</v>
      </c>
      <c r="C296" s="7" t="s">
        <v>317</v>
      </c>
      <c r="D296" s="7" t="s">
        <v>315</v>
      </c>
      <c r="E296" s="7" t="s">
        <v>829</v>
      </c>
      <c r="F296" s="8">
        <v>164.39195000000004</v>
      </c>
      <c r="G296" s="7" t="s">
        <v>366</v>
      </c>
      <c r="H296" s="7" t="s">
        <v>364</v>
      </c>
      <c r="I296" s="10">
        <v>630.80999999999995</v>
      </c>
      <c r="J296" s="10">
        <f t="shared" si="14"/>
        <v>157080.72999999995</v>
      </c>
      <c r="K296" s="6">
        <f t="shared" si="13"/>
        <v>75428.52999999997</v>
      </c>
    </row>
    <row r="297" spans="1:11" x14ac:dyDescent="0.25">
      <c r="A297" s="5" t="s">
        <v>700</v>
      </c>
      <c r="B297" s="6">
        <f t="shared" si="12"/>
        <v>157.71153999999996</v>
      </c>
      <c r="C297" s="7" t="s">
        <v>315</v>
      </c>
      <c r="D297" s="7" t="s">
        <v>313</v>
      </c>
      <c r="E297" s="7" t="s">
        <v>829</v>
      </c>
      <c r="F297" s="8">
        <v>165.03947000000002</v>
      </c>
      <c r="G297" s="7" t="s">
        <v>364</v>
      </c>
      <c r="H297" s="7" t="s">
        <v>362</v>
      </c>
      <c r="I297" s="10">
        <v>481.41</v>
      </c>
      <c r="J297" s="10">
        <f t="shared" si="14"/>
        <v>157711.53999999995</v>
      </c>
      <c r="K297" s="6">
        <f t="shared" si="13"/>
        <v>74797.719999999972</v>
      </c>
    </row>
    <row r="298" spans="1:11" x14ac:dyDescent="0.25">
      <c r="A298" s="5" t="s">
        <v>700</v>
      </c>
      <c r="B298" s="6">
        <f t="shared" si="12"/>
        <v>158.19294999999994</v>
      </c>
      <c r="C298" s="7" t="s">
        <v>313</v>
      </c>
      <c r="D298" s="7" t="s">
        <v>311</v>
      </c>
      <c r="E298" s="7" t="s">
        <v>829</v>
      </c>
      <c r="F298" s="8">
        <v>165.63836000000003</v>
      </c>
      <c r="G298" s="7" t="s">
        <v>362</v>
      </c>
      <c r="H298" s="7" t="s">
        <v>360</v>
      </c>
      <c r="I298" s="10">
        <v>605.02</v>
      </c>
      <c r="J298" s="10">
        <f t="shared" si="14"/>
        <v>158192.94999999995</v>
      </c>
      <c r="K298" s="6">
        <f t="shared" si="13"/>
        <v>74316.309999999969</v>
      </c>
    </row>
    <row r="299" spans="1:11" x14ac:dyDescent="0.25">
      <c r="A299" s="5" t="s">
        <v>700</v>
      </c>
      <c r="B299" s="6">
        <f t="shared" si="12"/>
        <v>158.79796999999994</v>
      </c>
      <c r="C299" s="7" t="s">
        <v>311</v>
      </c>
      <c r="D299" s="7" t="s">
        <v>309</v>
      </c>
      <c r="E299" s="7" t="s">
        <v>829</v>
      </c>
      <c r="F299" s="8">
        <v>166.08074000000005</v>
      </c>
      <c r="G299" s="7" t="s">
        <v>360</v>
      </c>
      <c r="H299" s="7" t="s">
        <v>358</v>
      </c>
      <c r="I299" s="10">
        <v>582.57000000000005</v>
      </c>
      <c r="J299" s="10">
        <f t="shared" si="14"/>
        <v>158797.96999999994</v>
      </c>
      <c r="K299" s="6">
        <f t="shared" si="13"/>
        <v>73711.289999999964</v>
      </c>
    </row>
    <row r="300" spans="1:11" x14ac:dyDescent="0.25">
      <c r="A300" s="5" t="s">
        <v>700</v>
      </c>
      <c r="B300" s="6">
        <f t="shared" si="12"/>
        <v>159.38053999999994</v>
      </c>
      <c r="C300" s="7" t="s">
        <v>309</v>
      </c>
      <c r="D300" s="7" t="s">
        <v>307</v>
      </c>
      <c r="E300" s="7" t="s">
        <v>829</v>
      </c>
      <c r="F300" s="8">
        <v>166.60319000000007</v>
      </c>
      <c r="G300" s="7" t="s">
        <v>358</v>
      </c>
      <c r="H300" s="7" t="s">
        <v>356</v>
      </c>
      <c r="I300" s="10">
        <v>605.14</v>
      </c>
      <c r="J300" s="10">
        <f t="shared" si="14"/>
        <v>159380.53999999995</v>
      </c>
      <c r="K300" s="6">
        <f t="shared" si="13"/>
        <v>73128.719999999958</v>
      </c>
    </row>
    <row r="301" spans="1:11" x14ac:dyDescent="0.25">
      <c r="A301" s="5" t="s">
        <v>700</v>
      </c>
      <c r="B301" s="6">
        <f t="shared" si="12"/>
        <v>159.98567999999997</v>
      </c>
      <c r="C301" s="7" t="s">
        <v>307</v>
      </c>
      <c r="D301" s="7" t="s">
        <v>305</v>
      </c>
      <c r="E301" s="7" t="s">
        <v>829</v>
      </c>
      <c r="F301" s="8">
        <v>167.16823000000008</v>
      </c>
      <c r="G301" s="7" t="s">
        <v>356</v>
      </c>
      <c r="H301" s="7" t="s">
        <v>354</v>
      </c>
      <c r="I301" s="10">
        <v>556.86</v>
      </c>
      <c r="J301" s="10">
        <f t="shared" si="14"/>
        <v>159985.67999999996</v>
      </c>
      <c r="K301" s="6">
        <f t="shared" si="13"/>
        <v>72523.579999999958</v>
      </c>
    </row>
    <row r="302" spans="1:11" x14ac:dyDescent="0.25">
      <c r="A302" s="5" t="s">
        <v>700</v>
      </c>
      <c r="B302" s="6">
        <f t="shared" si="12"/>
        <v>160.54253999999995</v>
      </c>
      <c r="C302" s="7" t="s">
        <v>305</v>
      </c>
      <c r="D302" s="7" t="s">
        <v>303</v>
      </c>
      <c r="E302" s="7" t="s">
        <v>829</v>
      </c>
      <c r="F302" s="8">
        <v>167.70912000000007</v>
      </c>
      <c r="G302" s="7" t="s">
        <v>354</v>
      </c>
      <c r="H302" s="7" t="s">
        <v>352</v>
      </c>
      <c r="I302" s="10">
        <v>530.49</v>
      </c>
      <c r="J302" s="10">
        <f t="shared" si="14"/>
        <v>160542.53999999995</v>
      </c>
      <c r="K302" s="6">
        <f t="shared" si="13"/>
        <v>71966.719999999958</v>
      </c>
    </row>
    <row r="303" spans="1:11" x14ac:dyDescent="0.25">
      <c r="A303" s="5" t="s">
        <v>700</v>
      </c>
      <c r="B303" s="6">
        <f t="shared" si="12"/>
        <v>161.07302999999993</v>
      </c>
      <c r="C303" s="7" t="s">
        <v>303</v>
      </c>
      <c r="D303" s="7" t="s">
        <v>301</v>
      </c>
      <c r="E303" s="7" t="s">
        <v>829</v>
      </c>
      <c r="F303" s="8">
        <v>168.14458000000008</v>
      </c>
      <c r="G303" s="7" t="s">
        <v>352</v>
      </c>
      <c r="H303" s="7" t="s">
        <v>350</v>
      </c>
      <c r="I303" s="10">
        <v>394.64</v>
      </c>
      <c r="J303" s="10">
        <f t="shared" si="14"/>
        <v>161073.02999999994</v>
      </c>
      <c r="K303" s="6">
        <f t="shared" si="13"/>
        <v>71436.229999999952</v>
      </c>
    </row>
    <row r="304" spans="1:11" x14ac:dyDescent="0.25">
      <c r="A304" s="5" t="s">
        <v>700</v>
      </c>
      <c r="B304" s="6">
        <f t="shared" si="12"/>
        <v>161.46766999999994</v>
      </c>
      <c r="C304" s="7" t="s">
        <v>301</v>
      </c>
      <c r="D304" s="7" t="s">
        <v>299</v>
      </c>
      <c r="E304" s="7" t="s">
        <v>829</v>
      </c>
      <c r="F304" s="8">
        <v>168.55769000000006</v>
      </c>
      <c r="G304" s="7" t="s">
        <v>350</v>
      </c>
      <c r="H304" s="7" t="s">
        <v>348</v>
      </c>
      <c r="I304" s="10">
        <v>522.42999999999995</v>
      </c>
      <c r="J304" s="10">
        <f t="shared" si="14"/>
        <v>161467.66999999995</v>
      </c>
      <c r="K304" s="6">
        <f t="shared" si="13"/>
        <v>71041.589999999953</v>
      </c>
    </row>
    <row r="305" spans="1:11" x14ac:dyDescent="0.25">
      <c r="A305" s="5" t="s">
        <v>700</v>
      </c>
      <c r="B305" s="6">
        <f t="shared" si="12"/>
        <v>161.99009999999996</v>
      </c>
      <c r="C305" s="7" t="s">
        <v>299</v>
      </c>
      <c r="D305" s="7" t="s">
        <v>297</v>
      </c>
      <c r="E305" s="7" t="s">
        <v>829</v>
      </c>
      <c r="F305" s="8">
        <v>168.95380000000006</v>
      </c>
      <c r="G305" s="7" t="s">
        <v>348</v>
      </c>
      <c r="H305" s="7" t="s">
        <v>346</v>
      </c>
      <c r="I305" s="10">
        <v>333.41</v>
      </c>
      <c r="J305" s="10">
        <f t="shared" si="14"/>
        <v>161990.09999999995</v>
      </c>
      <c r="K305" s="6">
        <f t="shared" si="13"/>
        <v>70519.15999999996</v>
      </c>
    </row>
    <row r="306" spans="1:11" x14ac:dyDescent="0.25">
      <c r="A306" s="5" t="s">
        <v>700</v>
      </c>
      <c r="B306" s="6">
        <f t="shared" si="12"/>
        <v>162.32350999999994</v>
      </c>
      <c r="C306" s="7" t="s">
        <v>297</v>
      </c>
      <c r="D306" s="7" t="s">
        <v>295</v>
      </c>
      <c r="E306" s="7" t="s">
        <v>829</v>
      </c>
      <c r="F306" s="8">
        <v>169.65444000000005</v>
      </c>
      <c r="G306" s="7" t="s">
        <v>346</v>
      </c>
      <c r="H306" s="7" t="s">
        <v>344</v>
      </c>
      <c r="I306" s="10">
        <v>612.98</v>
      </c>
      <c r="J306" s="10">
        <f t="shared" si="14"/>
        <v>162323.50999999995</v>
      </c>
      <c r="K306" s="6">
        <f t="shared" si="13"/>
        <v>70185.749999999956</v>
      </c>
    </row>
    <row r="307" spans="1:11" x14ac:dyDescent="0.25">
      <c r="A307" s="5" t="s">
        <v>700</v>
      </c>
      <c r="B307" s="6">
        <f t="shared" si="12"/>
        <v>162.93648999999996</v>
      </c>
      <c r="C307" s="7" t="s">
        <v>295</v>
      </c>
      <c r="D307" s="7" t="s">
        <v>293</v>
      </c>
      <c r="E307" s="7" t="s">
        <v>829</v>
      </c>
      <c r="F307" s="8">
        <v>170.14279000000008</v>
      </c>
      <c r="G307" s="7" t="s">
        <v>344</v>
      </c>
      <c r="H307" s="7" t="s">
        <v>342</v>
      </c>
      <c r="I307" s="10">
        <v>497.52</v>
      </c>
      <c r="J307" s="10">
        <f t="shared" si="14"/>
        <v>162936.48999999996</v>
      </c>
      <c r="K307" s="6">
        <f t="shared" si="13"/>
        <v>69572.76999999996</v>
      </c>
    </row>
    <row r="308" spans="1:11" x14ac:dyDescent="0.25">
      <c r="A308" s="5" t="s">
        <v>700</v>
      </c>
      <c r="B308" s="6">
        <f t="shared" si="12"/>
        <v>163.43400999999994</v>
      </c>
      <c r="C308" s="7" t="s">
        <v>293</v>
      </c>
      <c r="D308" s="7" t="s">
        <v>291</v>
      </c>
      <c r="E308" s="7" t="s">
        <v>829</v>
      </c>
      <c r="F308" s="8">
        <v>170.49341000000007</v>
      </c>
      <c r="G308" s="7" t="s">
        <v>342</v>
      </c>
      <c r="H308" s="7" t="s">
        <v>340</v>
      </c>
      <c r="I308" s="10">
        <v>591.55999999999995</v>
      </c>
      <c r="J308" s="10">
        <f t="shared" si="14"/>
        <v>163434.00999999995</v>
      </c>
      <c r="K308" s="6">
        <f t="shared" si="13"/>
        <v>69075.249999999956</v>
      </c>
    </row>
    <row r="309" spans="1:11" x14ac:dyDescent="0.25">
      <c r="A309" s="5" t="s">
        <v>700</v>
      </c>
      <c r="B309" s="6">
        <f t="shared" si="12"/>
        <v>164.02556999999996</v>
      </c>
      <c r="C309" s="7" t="s">
        <v>291</v>
      </c>
      <c r="D309" s="7" t="s">
        <v>289</v>
      </c>
      <c r="E309" s="7" t="s">
        <v>829</v>
      </c>
      <c r="F309" s="8">
        <v>170.88202000000004</v>
      </c>
      <c r="G309" s="7" t="s">
        <v>340</v>
      </c>
      <c r="H309" s="7" t="s">
        <v>338</v>
      </c>
      <c r="I309" s="10">
        <v>574.08000000000004</v>
      </c>
      <c r="J309" s="10">
        <f t="shared" si="14"/>
        <v>164025.56999999995</v>
      </c>
      <c r="K309" s="6">
        <f t="shared" si="13"/>
        <v>68483.689999999959</v>
      </c>
    </row>
    <row r="310" spans="1:11" x14ac:dyDescent="0.25">
      <c r="A310" s="5" t="s">
        <v>700</v>
      </c>
      <c r="B310" s="6">
        <f t="shared" si="12"/>
        <v>164.59964999999994</v>
      </c>
      <c r="C310" s="7" t="s">
        <v>289</v>
      </c>
      <c r="D310" s="7" t="s">
        <v>287</v>
      </c>
      <c r="E310" s="7" t="s">
        <v>829</v>
      </c>
      <c r="F310" s="8">
        <v>171.64947000000006</v>
      </c>
      <c r="G310" s="7" t="s">
        <v>338</v>
      </c>
      <c r="H310" s="7" t="s">
        <v>336</v>
      </c>
      <c r="I310" s="10">
        <v>490.84</v>
      </c>
      <c r="J310" s="10">
        <f t="shared" si="14"/>
        <v>164599.64999999994</v>
      </c>
      <c r="K310" s="6">
        <f t="shared" si="13"/>
        <v>67909.609999999957</v>
      </c>
    </row>
    <row r="311" spans="1:11" x14ac:dyDescent="0.25">
      <c r="A311" s="5" t="s">
        <v>700</v>
      </c>
      <c r="B311" s="6">
        <f t="shared" si="12"/>
        <v>165.09048999999993</v>
      </c>
      <c r="C311" s="7" t="s">
        <v>287</v>
      </c>
      <c r="D311" s="7" t="s">
        <v>285</v>
      </c>
      <c r="E311" s="7" t="s">
        <v>829</v>
      </c>
      <c r="F311" s="8">
        <v>172.22855000000004</v>
      </c>
      <c r="G311" s="7" t="s">
        <v>336</v>
      </c>
      <c r="H311" s="7" t="s">
        <v>334</v>
      </c>
      <c r="I311" s="10">
        <v>564.42999999999995</v>
      </c>
      <c r="J311" s="10">
        <f t="shared" si="14"/>
        <v>165090.48999999993</v>
      </c>
      <c r="K311" s="6">
        <f t="shared" si="13"/>
        <v>67418.76999999996</v>
      </c>
    </row>
    <row r="312" spans="1:11" x14ac:dyDescent="0.25">
      <c r="A312" s="5" t="s">
        <v>700</v>
      </c>
      <c r="B312" s="6">
        <f t="shared" si="12"/>
        <v>165.65491999999992</v>
      </c>
      <c r="C312" s="7" t="s">
        <v>285</v>
      </c>
      <c r="D312" s="7" t="s">
        <v>283</v>
      </c>
      <c r="E312" s="7" t="s">
        <v>829</v>
      </c>
      <c r="F312" s="8">
        <v>172.62411000000003</v>
      </c>
      <c r="G312" s="7" t="s">
        <v>334</v>
      </c>
      <c r="H312" s="7" t="s">
        <v>332</v>
      </c>
      <c r="I312" s="10">
        <v>563.73</v>
      </c>
      <c r="J312" s="10">
        <f t="shared" si="14"/>
        <v>165654.91999999993</v>
      </c>
      <c r="K312" s="6">
        <f t="shared" si="13"/>
        <v>66854.339999999967</v>
      </c>
    </row>
    <row r="313" spans="1:11" x14ac:dyDescent="0.25">
      <c r="A313" s="5" t="s">
        <v>700</v>
      </c>
      <c r="B313" s="6">
        <f t="shared" si="12"/>
        <v>166.21864999999994</v>
      </c>
      <c r="C313" s="7" t="s">
        <v>283</v>
      </c>
      <c r="D313" s="7" t="s">
        <v>281</v>
      </c>
      <c r="E313" s="7" t="s">
        <v>829</v>
      </c>
      <c r="F313" s="8">
        <v>173.02013000000002</v>
      </c>
      <c r="G313" s="7" t="s">
        <v>332</v>
      </c>
      <c r="H313" s="7" t="s">
        <v>330</v>
      </c>
      <c r="I313" s="10">
        <v>543.91</v>
      </c>
      <c r="J313" s="10">
        <f t="shared" si="14"/>
        <v>166218.64999999994</v>
      </c>
      <c r="K313" s="6">
        <f t="shared" si="13"/>
        <v>66290.609999999971</v>
      </c>
    </row>
    <row r="314" spans="1:11" x14ac:dyDescent="0.25">
      <c r="A314" s="5" t="s">
        <v>700</v>
      </c>
      <c r="B314" s="6">
        <f t="shared" si="12"/>
        <v>166.76255999999995</v>
      </c>
      <c r="C314" s="7" t="s">
        <v>281</v>
      </c>
      <c r="D314" s="7" t="s">
        <v>279</v>
      </c>
      <c r="E314" s="7" t="s">
        <v>829</v>
      </c>
      <c r="F314" s="8">
        <v>174.01340000000002</v>
      </c>
      <c r="G314" s="7" t="s">
        <v>330</v>
      </c>
      <c r="H314" s="7" t="s">
        <v>328</v>
      </c>
      <c r="I314" s="10">
        <v>549.75</v>
      </c>
      <c r="J314" s="10">
        <f t="shared" si="14"/>
        <v>166762.55999999994</v>
      </c>
      <c r="K314" s="6">
        <f t="shared" si="13"/>
        <v>65746.699999999968</v>
      </c>
    </row>
    <row r="315" spans="1:11" x14ac:dyDescent="0.25">
      <c r="A315" s="5" t="s">
        <v>700</v>
      </c>
      <c r="B315" s="6">
        <f t="shared" si="12"/>
        <v>167.31230999999994</v>
      </c>
      <c r="C315" s="7" t="s">
        <v>279</v>
      </c>
      <c r="D315" s="7" t="s">
        <v>277</v>
      </c>
      <c r="E315" s="7" t="s">
        <v>829</v>
      </c>
      <c r="F315" s="8">
        <v>174.46743000000004</v>
      </c>
      <c r="G315" s="7" t="s">
        <v>328</v>
      </c>
      <c r="H315" s="7" t="s">
        <v>326</v>
      </c>
      <c r="I315" s="10">
        <v>506.97</v>
      </c>
      <c r="J315" s="10">
        <f t="shared" si="14"/>
        <v>167312.30999999994</v>
      </c>
      <c r="K315" s="6">
        <f t="shared" si="13"/>
        <v>65196.949999999968</v>
      </c>
    </row>
    <row r="316" spans="1:11" x14ac:dyDescent="0.25">
      <c r="A316" s="5" t="s">
        <v>700</v>
      </c>
      <c r="B316" s="6">
        <f t="shared" si="12"/>
        <v>167.81927999999994</v>
      </c>
      <c r="C316" s="7" t="s">
        <v>277</v>
      </c>
      <c r="D316" s="7" t="s">
        <v>275</v>
      </c>
      <c r="E316" s="7" t="s">
        <v>829</v>
      </c>
      <c r="F316" s="8">
        <v>174.88220000000001</v>
      </c>
      <c r="G316" s="7" t="s">
        <v>326</v>
      </c>
      <c r="H316" s="7" t="s">
        <v>324</v>
      </c>
      <c r="I316" s="10">
        <v>554.66999999999996</v>
      </c>
      <c r="J316" s="10">
        <f t="shared" si="14"/>
        <v>167819.27999999994</v>
      </c>
      <c r="K316" s="6">
        <f t="shared" si="13"/>
        <v>64689.979999999967</v>
      </c>
    </row>
    <row r="317" spans="1:11" x14ac:dyDescent="0.25">
      <c r="A317" s="5" t="s">
        <v>700</v>
      </c>
      <c r="B317" s="6">
        <f t="shared" si="12"/>
        <v>168.37394999999995</v>
      </c>
      <c r="C317" s="7" t="s">
        <v>275</v>
      </c>
      <c r="D317" s="7" t="s">
        <v>273</v>
      </c>
      <c r="E317" s="7" t="s">
        <v>829</v>
      </c>
      <c r="F317" s="8">
        <v>175.63853</v>
      </c>
      <c r="G317" s="7" t="s">
        <v>324</v>
      </c>
      <c r="H317" s="7" t="s">
        <v>322</v>
      </c>
      <c r="I317" s="10">
        <v>566.59</v>
      </c>
      <c r="J317" s="10">
        <f t="shared" si="14"/>
        <v>168373.94999999995</v>
      </c>
      <c r="K317" s="6">
        <f t="shared" si="13"/>
        <v>64135.309999999969</v>
      </c>
    </row>
    <row r="318" spans="1:11" x14ac:dyDescent="0.25">
      <c r="A318" s="5" t="s">
        <v>700</v>
      </c>
      <c r="B318" s="6">
        <f t="shared" si="12"/>
        <v>168.94053999999994</v>
      </c>
      <c r="C318" s="7" t="s">
        <v>273</v>
      </c>
      <c r="D318" s="7" t="s">
        <v>271</v>
      </c>
      <c r="E318" s="7" t="s">
        <v>829</v>
      </c>
      <c r="F318" s="8">
        <v>176.21898999999999</v>
      </c>
      <c r="G318" s="7" t="s">
        <v>322</v>
      </c>
      <c r="H318" s="7" t="s">
        <v>320</v>
      </c>
      <c r="I318" s="10">
        <v>564.08000000000004</v>
      </c>
      <c r="J318" s="10">
        <f t="shared" si="14"/>
        <v>168940.53999999995</v>
      </c>
      <c r="K318" s="6">
        <f t="shared" si="13"/>
        <v>63568.719999999972</v>
      </c>
    </row>
    <row r="319" spans="1:11" x14ac:dyDescent="0.25">
      <c r="A319" s="5" t="s">
        <v>700</v>
      </c>
      <c r="B319" s="6">
        <f t="shared" si="12"/>
        <v>169.50461999999993</v>
      </c>
      <c r="C319" s="7" t="s">
        <v>271</v>
      </c>
      <c r="D319" s="7" t="s">
        <v>270</v>
      </c>
      <c r="E319" s="7" t="s">
        <v>829</v>
      </c>
      <c r="F319" s="8">
        <v>176.72926999999999</v>
      </c>
      <c r="G319" s="7" t="s">
        <v>320</v>
      </c>
      <c r="H319" s="7" t="s">
        <v>318</v>
      </c>
      <c r="I319" s="10">
        <v>559.48</v>
      </c>
      <c r="J319" s="10">
        <f t="shared" si="14"/>
        <v>169504.61999999994</v>
      </c>
      <c r="K319" s="6">
        <f t="shared" si="13"/>
        <v>63004.63999999997</v>
      </c>
    </row>
    <row r="320" spans="1:11" x14ac:dyDescent="0.25">
      <c r="A320" s="5" t="s">
        <v>700</v>
      </c>
      <c r="B320" s="6">
        <f t="shared" si="12"/>
        <v>170.06409999999994</v>
      </c>
      <c r="C320" s="7" t="s">
        <v>270</v>
      </c>
      <c r="D320" s="7" t="s">
        <v>269</v>
      </c>
      <c r="E320" s="7" t="s">
        <v>829</v>
      </c>
      <c r="F320" s="8">
        <v>177.28710999999998</v>
      </c>
      <c r="G320" s="7" t="s">
        <v>318</v>
      </c>
      <c r="H320" s="7" t="s">
        <v>316</v>
      </c>
      <c r="I320" s="10">
        <v>548.91</v>
      </c>
      <c r="J320" s="10">
        <f t="shared" si="14"/>
        <v>170064.09999999995</v>
      </c>
      <c r="K320" s="6">
        <f t="shared" si="13"/>
        <v>62445.159999999967</v>
      </c>
    </row>
    <row r="321" spans="1:11" x14ac:dyDescent="0.25">
      <c r="A321" s="5" t="s">
        <v>700</v>
      </c>
      <c r="B321" s="6">
        <f t="shared" si="12"/>
        <v>170.61300999999995</v>
      </c>
      <c r="C321" s="7" t="s">
        <v>269</v>
      </c>
      <c r="D321" s="7" t="s">
        <v>268</v>
      </c>
      <c r="E321" s="7" t="s">
        <v>829</v>
      </c>
      <c r="F321" s="8">
        <v>177.86046999999996</v>
      </c>
      <c r="G321" s="7" t="s">
        <v>316</v>
      </c>
      <c r="H321" s="7" t="s">
        <v>314</v>
      </c>
      <c r="I321" s="10">
        <v>578.28</v>
      </c>
      <c r="J321" s="10">
        <f t="shared" si="14"/>
        <v>170613.00999999995</v>
      </c>
      <c r="K321" s="6">
        <f t="shared" si="13"/>
        <v>61896.249999999964</v>
      </c>
    </row>
    <row r="322" spans="1:11" x14ac:dyDescent="0.25">
      <c r="A322" s="5" t="s">
        <v>700</v>
      </c>
      <c r="B322" s="6">
        <f t="shared" si="12"/>
        <v>171.19128999999995</v>
      </c>
      <c r="C322" s="7" t="s">
        <v>268</v>
      </c>
      <c r="D322" s="7" t="s">
        <v>267</v>
      </c>
      <c r="E322" s="7" t="s">
        <v>829</v>
      </c>
      <c r="F322" s="8">
        <v>178.34287999999998</v>
      </c>
      <c r="G322" s="7" t="s">
        <v>314</v>
      </c>
      <c r="H322" s="7" t="s">
        <v>312</v>
      </c>
      <c r="I322" s="10">
        <v>497.05</v>
      </c>
      <c r="J322" s="10">
        <f t="shared" si="14"/>
        <v>171191.28999999995</v>
      </c>
      <c r="K322" s="6">
        <f t="shared" si="13"/>
        <v>61317.969999999965</v>
      </c>
    </row>
    <row r="323" spans="1:11" x14ac:dyDescent="0.25">
      <c r="A323" s="5" t="s">
        <v>700</v>
      </c>
      <c r="B323" s="6">
        <f t="shared" ref="B323:B386" si="15">J323/1000</f>
        <v>171.68833999999993</v>
      </c>
      <c r="C323" s="7" t="s">
        <v>267</v>
      </c>
      <c r="D323" s="7" t="s">
        <v>266</v>
      </c>
      <c r="E323" s="7" t="s">
        <v>829</v>
      </c>
      <c r="F323" s="8">
        <v>178.91373999999996</v>
      </c>
      <c r="G323" s="7" t="s">
        <v>312</v>
      </c>
      <c r="H323" s="7" t="s">
        <v>310</v>
      </c>
      <c r="I323" s="10">
        <v>502.4</v>
      </c>
      <c r="J323" s="10">
        <f t="shared" si="14"/>
        <v>171688.33999999994</v>
      </c>
      <c r="K323" s="6">
        <f t="shared" si="13"/>
        <v>60820.919999999962</v>
      </c>
    </row>
    <row r="324" spans="1:11" x14ac:dyDescent="0.25">
      <c r="A324" s="5" t="s">
        <v>700</v>
      </c>
      <c r="B324" s="6">
        <f t="shared" si="15"/>
        <v>172.19073999999992</v>
      </c>
      <c r="C324" s="7" t="s">
        <v>266</v>
      </c>
      <c r="D324" s="7" t="s">
        <v>265</v>
      </c>
      <c r="E324" s="7" t="s">
        <v>829</v>
      </c>
      <c r="F324" s="8">
        <v>179.35855999999995</v>
      </c>
      <c r="G324" s="7" t="s">
        <v>310</v>
      </c>
      <c r="H324" s="7" t="s">
        <v>308</v>
      </c>
      <c r="I324" s="10">
        <v>474.25</v>
      </c>
      <c r="J324" s="10">
        <f t="shared" si="14"/>
        <v>172190.73999999993</v>
      </c>
      <c r="K324" s="6">
        <f t="shared" ref="K324:K387" si="16">K323-I323</f>
        <v>60318.51999999996</v>
      </c>
    </row>
    <row r="325" spans="1:11" x14ac:dyDescent="0.25">
      <c r="A325" s="5" t="s">
        <v>700</v>
      </c>
      <c r="B325" s="6">
        <f t="shared" si="15"/>
        <v>172.66498999999993</v>
      </c>
      <c r="C325" s="7" t="s">
        <v>265</v>
      </c>
      <c r="D325" s="7" t="s">
        <v>264</v>
      </c>
      <c r="E325" s="7" t="s">
        <v>829</v>
      </c>
      <c r="F325" s="8">
        <v>179.88592999999997</v>
      </c>
      <c r="G325" s="7" t="s">
        <v>308</v>
      </c>
      <c r="H325" s="7" t="s">
        <v>306</v>
      </c>
      <c r="I325" s="10">
        <v>574.41999999999996</v>
      </c>
      <c r="J325" s="10">
        <f t="shared" ref="J325:J388" si="17">J324+I324</f>
        <v>172664.98999999993</v>
      </c>
      <c r="K325" s="6">
        <f t="shared" si="16"/>
        <v>59844.26999999996</v>
      </c>
    </row>
    <row r="326" spans="1:11" x14ac:dyDescent="0.25">
      <c r="A326" s="5" t="s">
        <v>700</v>
      </c>
      <c r="B326" s="6">
        <f t="shared" si="15"/>
        <v>173.23940999999994</v>
      </c>
      <c r="C326" s="7" t="s">
        <v>264</v>
      </c>
      <c r="D326" s="7" t="s">
        <v>263</v>
      </c>
      <c r="E326" s="7" t="s">
        <v>829</v>
      </c>
      <c r="F326" s="8">
        <v>180.36524999999997</v>
      </c>
      <c r="G326" s="7" t="s">
        <v>306</v>
      </c>
      <c r="H326" s="7" t="s">
        <v>304</v>
      </c>
      <c r="I326" s="10">
        <v>546.74</v>
      </c>
      <c r="J326" s="10">
        <f t="shared" si="17"/>
        <v>173239.40999999995</v>
      </c>
      <c r="K326" s="6">
        <f t="shared" si="16"/>
        <v>59269.849999999962</v>
      </c>
    </row>
    <row r="327" spans="1:11" x14ac:dyDescent="0.25">
      <c r="A327" s="5" t="s">
        <v>700</v>
      </c>
      <c r="B327" s="6">
        <f t="shared" si="15"/>
        <v>173.78614999999994</v>
      </c>
      <c r="C327" s="7" t="s">
        <v>263</v>
      </c>
      <c r="D327" s="7" t="s">
        <v>262</v>
      </c>
      <c r="E327" s="7" t="s">
        <v>829</v>
      </c>
      <c r="F327" s="8">
        <v>181.05752999999996</v>
      </c>
      <c r="G327" s="7" t="s">
        <v>304</v>
      </c>
      <c r="H327" s="7" t="s">
        <v>302</v>
      </c>
      <c r="I327" s="10">
        <v>624.05999999999995</v>
      </c>
      <c r="J327" s="10">
        <f t="shared" si="17"/>
        <v>173786.14999999994</v>
      </c>
      <c r="K327" s="6">
        <f t="shared" si="16"/>
        <v>58723.109999999964</v>
      </c>
    </row>
    <row r="328" spans="1:11" x14ac:dyDescent="0.25">
      <c r="A328" s="5" t="s">
        <v>700</v>
      </c>
      <c r="B328" s="6">
        <f t="shared" si="15"/>
        <v>174.41020999999992</v>
      </c>
      <c r="C328" s="7" t="s">
        <v>262</v>
      </c>
      <c r="D328" s="7" t="s">
        <v>261</v>
      </c>
      <c r="E328" s="7" t="s">
        <v>829</v>
      </c>
      <c r="F328" s="8">
        <v>181.70147999999998</v>
      </c>
      <c r="G328" s="7" t="s">
        <v>302</v>
      </c>
      <c r="H328" s="7" t="s">
        <v>300</v>
      </c>
      <c r="I328" s="10">
        <v>497.02</v>
      </c>
      <c r="J328" s="10">
        <f t="shared" si="17"/>
        <v>174410.20999999993</v>
      </c>
      <c r="K328" s="6">
        <f t="shared" si="16"/>
        <v>58099.049999999967</v>
      </c>
    </row>
    <row r="329" spans="1:11" x14ac:dyDescent="0.25">
      <c r="A329" s="5" t="s">
        <v>700</v>
      </c>
      <c r="B329" s="6">
        <f t="shared" si="15"/>
        <v>174.90722999999991</v>
      </c>
      <c r="C329" s="7" t="s">
        <v>261</v>
      </c>
      <c r="D329" s="7" t="s">
        <v>260</v>
      </c>
      <c r="E329" s="7" t="s">
        <v>829</v>
      </c>
      <c r="F329" s="8">
        <v>182.55584999999996</v>
      </c>
      <c r="G329" s="7" t="s">
        <v>300</v>
      </c>
      <c r="H329" s="7" t="s">
        <v>298</v>
      </c>
      <c r="I329" s="10">
        <v>368.86</v>
      </c>
      <c r="J329" s="10">
        <f t="shared" si="17"/>
        <v>174907.22999999992</v>
      </c>
      <c r="K329" s="6">
        <f t="shared" si="16"/>
        <v>57602.02999999997</v>
      </c>
    </row>
    <row r="330" spans="1:11" x14ac:dyDescent="0.25">
      <c r="A330" s="5" t="s">
        <v>700</v>
      </c>
      <c r="B330" s="6">
        <f t="shared" si="15"/>
        <v>175.2760899999999</v>
      </c>
      <c r="C330" s="7" t="s">
        <v>260</v>
      </c>
      <c r="D330" s="7" t="s">
        <v>259</v>
      </c>
      <c r="E330" s="7" t="s">
        <v>829</v>
      </c>
      <c r="F330" s="8">
        <v>182.92601999999999</v>
      </c>
      <c r="G330" s="7" t="s">
        <v>298</v>
      </c>
      <c r="H330" s="7" t="s">
        <v>296</v>
      </c>
      <c r="I330" s="10">
        <v>549.04999999999995</v>
      </c>
      <c r="J330" s="10">
        <f t="shared" si="17"/>
        <v>175276.08999999991</v>
      </c>
      <c r="K330" s="6">
        <f t="shared" si="16"/>
        <v>57233.169999999969</v>
      </c>
    </row>
    <row r="331" spans="1:11" x14ac:dyDescent="0.25">
      <c r="A331" s="5" t="s">
        <v>700</v>
      </c>
      <c r="B331" s="6">
        <f t="shared" si="15"/>
        <v>175.82513999999989</v>
      </c>
      <c r="C331" s="7" t="s">
        <v>259</v>
      </c>
      <c r="D331" s="7" t="s">
        <v>258</v>
      </c>
      <c r="E331" s="7" t="s">
        <v>829</v>
      </c>
      <c r="F331" s="8">
        <v>183.37321</v>
      </c>
      <c r="G331" s="7" t="s">
        <v>296</v>
      </c>
      <c r="H331" s="7" t="s">
        <v>294</v>
      </c>
      <c r="I331" s="10">
        <v>432.83</v>
      </c>
      <c r="J331" s="10">
        <f t="shared" si="17"/>
        <v>175825.1399999999</v>
      </c>
      <c r="K331" s="6">
        <f t="shared" si="16"/>
        <v>56684.119999999966</v>
      </c>
    </row>
    <row r="332" spans="1:11" x14ac:dyDescent="0.25">
      <c r="A332" s="5" t="s">
        <v>700</v>
      </c>
      <c r="B332" s="6">
        <f t="shared" si="15"/>
        <v>176.25796999999989</v>
      </c>
      <c r="C332" s="7" t="s">
        <v>258</v>
      </c>
      <c r="D332" s="7" t="s">
        <v>257</v>
      </c>
      <c r="E332" s="7" t="s">
        <v>829</v>
      </c>
      <c r="F332" s="8">
        <v>183.90186</v>
      </c>
      <c r="G332" s="7" t="s">
        <v>294</v>
      </c>
      <c r="H332" s="7" t="s">
        <v>292</v>
      </c>
      <c r="I332" s="10">
        <v>399.64</v>
      </c>
      <c r="J332" s="10">
        <f t="shared" si="17"/>
        <v>176257.96999999988</v>
      </c>
      <c r="K332" s="6">
        <f t="shared" si="16"/>
        <v>56251.289999999964</v>
      </c>
    </row>
    <row r="333" spans="1:11" x14ac:dyDescent="0.25">
      <c r="A333" s="5" t="s">
        <v>700</v>
      </c>
      <c r="B333" s="6">
        <f t="shared" si="15"/>
        <v>176.65760999999989</v>
      </c>
      <c r="C333" s="7" t="s">
        <v>257</v>
      </c>
      <c r="D333" s="7" t="s">
        <v>256</v>
      </c>
      <c r="E333" s="7" t="s">
        <v>829</v>
      </c>
      <c r="F333" s="8">
        <v>184.36969999999999</v>
      </c>
      <c r="G333" s="7" t="s">
        <v>292</v>
      </c>
      <c r="H333" s="7" t="s">
        <v>290</v>
      </c>
      <c r="I333" s="10">
        <v>414.8</v>
      </c>
      <c r="J333" s="10">
        <f t="shared" si="17"/>
        <v>176657.6099999999</v>
      </c>
      <c r="K333" s="6">
        <f t="shared" si="16"/>
        <v>55851.649999999965</v>
      </c>
    </row>
    <row r="334" spans="1:11" x14ac:dyDescent="0.25">
      <c r="A334" s="5" t="s">
        <v>700</v>
      </c>
      <c r="B334" s="6">
        <f t="shared" si="15"/>
        <v>177.07240999999988</v>
      </c>
      <c r="C334" s="7" t="s">
        <v>256</v>
      </c>
      <c r="D334" s="7" t="s">
        <v>255</v>
      </c>
      <c r="E334" s="7" t="s">
        <v>829</v>
      </c>
      <c r="F334" s="8">
        <v>185.05990999999997</v>
      </c>
      <c r="G334" s="7" t="s">
        <v>290</v>
      </c>
      <c r="H334" s="7" t="s">
        <v>288</v>
      </c>
      <c r="I334" s="10">
        <v>507.52</v>
      </c>
      <c r="J334" s="10">
        <f t="shared" si="17"/>
        <v>177072.40999999989</v>
      </c>
      <c r="K334" s="6">
        <f t="shared" si="16"/>
        <v>55436.849999999962</v>
      </c>
    </row>
    <row r="335" spans="1:11" x14ac:dyDescent="0.25">
      <c r="A335" s="5" t="s">
        <v>700</v>
      </c>
      <c r="B335" s="6">
        <f t="shared" si="15"/>
        <v>177.57992999999988</v>
      </c>
      <c r="C335" s="7" t="s">
        <v>255</v>
      </c>
      <c r="D335" s="7" t="s">
        <v>254</v>
      </c>
      <c r="E335" s="7" t="s">
        <v>829</v>
      </c>
      <c r="F335" s="8">
        <v>186.07828999999998</v>
      </c>
      <c r="G335" s="7" t="s">
        <v>288</v>
      </c>
      <c r="H335" s="7" t="s">
        <v>286</v>
      </c>
      <c r="I335" s="10">
        <v>520.99</v>
      </c>
      <c r="J335" s="10">
        <f t="shared" si="17"/>
        <v>177579.92999999988</v>
      </c>
      <c r="K335" s="6">
        <f t="shared" si="16"/>
        <v>54929.329999999965</v>
      </c>
    </row>
    <row r="336" spans="1:11" x14ac:dyDescent="0.25">
      <c r="A336" s="5" t="s">
        <v>700</v>
      </c>
      <c r="B336" s="6">
        <f t="shared" si="15"/>
        <v>178.10091999999986</v>
      </c>
      <c r="C336" s="7" t="s">
        <v>254</v>
      </c>
      <c r="D336" s="7" t="s">
        <v>253</v>
      </c>
      <c r="E336" s="7" t="s">
        <v>829</v>
      </c>
      <c r="F336" s="8">
        <v>186.71367999999998</v>
      </c>
      <c r="G336" s="7" t="s">
        <v>286</v>
      </c>
      <c r="H336" s="7" t="s">
        <v>284</v>
      </c>
      <c r="I336" s="10">
        <v>431.78</v>
      </c>
      <c r="J336" s="10">
        <f t="shared" si="17"/>
        <v>178100.91999999987</v>
      </c>
      <c r="K336" s="6">
        <f t="shared" si="16"/>
        <v>54408.339999999967</v>
      </c>
    </row>
    <row r="337" spans="1:11" x14ac:dyDescent="0.25">
      <c r="A337" s="5" t="s">
        <v>700</v>
      </c>
      <c r="B337" s="6">
        <f t="shared" si="15"/>
        <v>178.53269999999986</v>
      </c>
      <c r="C337" s="7" t="s">
        <v>253</v>
      </c>
      <c r="D337" s="7" t="s">
        <v>252</v>
      </c>
      <c r="E337" s="7" t="s">
        <v>829</v>
      </c>
      <c r="F337" s="8">
        <v>187.18591000000001</v>
      </c>
      <c r="G337" s="7" t="s">
        <v>284</v>
      </c>
      <c r="H337" s="7" t="s">
        <v>282</v>
      </c>
      <c r="I337" s="10">
        <v>476.09</v>
      </c>
      <c r="J337" s="10">
        <f t="shared" si="17"/>
        <v>178532.69999999987</v>
      </c>
      <c r="K337" s="6">
        <f t="shared" si="16"/>
        <v>53976.559999999969</v>
      </c>
    </row>
    <row r="338" spans="1:11" x14ac:dyDescent="0.25">
      <c r="A338" s="5" t="s">
        <v>700</v>
      </c>
      <c r="B338" s="6">
        <f t="shared" si="15"/>
        <v>179.00878999999986</v>
      </c>
      <c r="C338" s="7" t="s">
        <v>252</v>
      </c>
      <c r="D338" s="7" t="s">
        <v>251</v>
      </c>
      <c r="E338" s="7" t="s">
        <v>829</v>
      </c>
      <c r="F338" s="8">
        <v>187.70823999999999</v>
      </c>
      <c r="G338" s="7" t="s">
        <v>282</v>
      </c>
      <c r="H338" s="7" t="s">
        <v>280</v>
      </c>
      <c r="I338" s="10">
        <v>581.94000000000005</v>
      </c>
      <c r="J338" s="10">
        <f t="shared" si="17"/>
        <v>179008.78999999986</v>
      </c>
      <c r="K338" s="6">
        <f t="shared" si="16"/>
        <v>53500.469999999972</v>
      </c>
    </row>
    <row r="339" spans="1:11" x14ac:dyDescent="0.25">
      <c r="A339" s="5" t="s">
        <v>700</v>
      </c>
      <c r="B339" s="6">
        <f t="shared" si="15"/>
        <v>179.59072999999987</v>
      </c>
      <c r="C339" s="7" t="s">
        <v>251</v>
      </c>
      <c r="D339" s="7" t="s">
        <v>250</v>
      </c>
      <c r="E339" s="7" t="s">
        <v>829</v>
      </c>
      <c r="F339" s="8">
        <v>188.21511999999998</v>
      </c>
      <c r="G339" s="7" t="s">
        <v>280</v>
      </c>
      <c r="H339" s="7" t="s">
        <v>278</v>
      </c>
      <c r="I339" s="10">
        <v>513.16999999999996</v>
      </c>
      <c r="J339" s="10">
        <f t="shared" si="17"/>
        <v>179590.72999999986</v>
      </c>
      <c r="K339" s="6">
        <f t="shared" si="16"/>
        <v>52918.52999999997</v>
      </c>
    </row>
    <row r="340" spans="1:11" x14ac:dyDescent="0.25">
      <c r="A340" s="5" t="s">
        <v>700</v>
      </c>
      <c r="B340" s="6">
        <f t="shared" si="15"/>
        <v>180.10389999999987</v>
      </c>
      <c r="C340" s="7" t="s">
        <v>250</v>
      </c>
      <c r="D340" s="7" t="s">
        <v>249</v>
      </c>
      <c r="E340" s="7" t="s">
        <v>829</v>
      </c>
      <c r="F340" s="8">
        <v>188.80022999999997</v>
      </c>
      <c r="G340" s="7" t="s">
        <v>278</v>
      </c>
      <c r="H340" s="7" t="s">
        <v>276</v>
      </c>
      <c r="I340" s="10">
        <v>498.33</v>
      </c>
      <c r="J340" s="10">
        <f t="shared" si="17"/>
        <v>180103.89999999988</v>
      </c>
      <c r="K340" s="6">
        <f t="shared" si="16"/>
        <v>52405.359999999971</v>
      </c>
    </row>
    <row r="341" spans="1:11" x14ac:dyDescent="0.25">
      <c r="A341" s="5" t="s">
        <v>700</v>
      </c>
      <c r="B341" s="6">
        <f t="shared" si="15"/>
        <v>180.60222999999988</v>
      </c>
      <c r="C341" s="7" t="s">
        <v>249</v>
      </c>
      <c r="D341" s="7" t="s">
        <v>248</v>
      </c>
      <c r="E341" s="7" t="s">
        <v>829</v>
      </c>
      <c r="F341" s="8">
        <v>189.37585999999999</v>
      </c>
      <c r="G341" s="7" t="s">
        <v>276</v>
      </c>
      <c r="H341" s="7" t="s">
        <v>274</v>
      </c>
      <c r="I341" s="10">
        <v>410.09</v>
      </c>
      <c r="J341" s="10">
        <f t="shared" si="17"/>
        <v>180602.22999999986</v>
      </c>
      <c r="K341" s="6">
        <f t="shared" si="16"/>
        <v>51907.02999999997</v>
      </c>
    </row>
    <row r="342" spans="1:11" x14ac:dyDescent="0.25">
      <c r="A342" s="5" t="s">
        <v>700</v>
      </c>
      <c r="B342" s="6">
        <f t="shared" si="15"/>
        <v>181.01231999999987</v>
      </c>
      <c r="C342" s="7" t="s">
        <v>248</v>
      </c>
      <c r="D342" s="7" t="s">
        <v>247</v>
      </c>
      <c r="E342" s="7" t="s">
        <v>829</v>
      </c>
      <c r="F342" s="8">
        <v>189.92349999999999</v>
      </c>
      <c r="G342" s="7" t="s">
        <v>274</v>
      </c>
      <c r="H342" s="7" t="s">
        <v>272</v>
      </c>
      <c r="I342" s="10">
        <v>611.63</v>
      </c>
      <c r="J342" s="10">
        <f t="shared" si="17"/>
        <v>181012.31999999986</v>
      </c>
      <c r="K342" s="6">
        <f t="shared" si="16"/>
        <v>51496.939999999973</v>
      </c>
    </row>
    <row r="343" spans="1:11" x14ac:dyDescent="0.25">
      <c r="A343" s="5" t="s">
        <v>700</v>
      </c>
      <c r="B343" s="6">
        <f t="shared" si="15"/>
        <v>181.62394999999987</v>
      </c>
      <c r="C343" s="7" t="s">
        <v>247</v>
      </c>
      <c r="D343" s="7" t="s">
        <v>246</v>
      </c>
      <c r="E343" s="7" t="s">
        <v>829</v>
      </c>
      <c r="F343" s="8">
        <v>190.48964999999998</v>
      </c>
      <c r="G343" s="7" t="s">
        <v>272</v>
      </c>
      <c r="H343" s="7" t="s">
        <v>183</v>
      </c>
      <c r="I343" s="10">
        <v>476.78</v>
      </c>
      <c r="J343" s="10">
        <f t="shared" si="17"/>
        <v>181623.94999999987</v>
      </c>
      <c r="K343" s="6">
        <f t="shared" si="16"/>
        <v>50885.309999999976</v>
      </c>
    </row>
    <row r="344" spans="1:11" x14ac:dyDescent="0.25">
      <c r="A344" s="5" t="s">
        <v>700</v>
      </c>
      <c r="B344" s="6">
        <f t="shared" si="15"/>
        <v>182.10072999999986</v>
      </c>
      <c r="C344" s="7" t="s">
        <v>246</v>
      </c>
      <c r="D344" s="7" t="s">
        <v>245</v>
      </c>
      <c r="E344" s="7" t="s">
        <v>829</v>
      </c>
      <c r="F344" s="8">
        <v>191.05392999999998</v>
      </c>
      <c r="G344" s="7" t="s">
        <v>183</v>
      </c>
      <c r="H344" s="7" t="s">
        <v>181</v>
      </c>
      <c r="I344" s="10">
        <v>692.29</v>
      </c>
      <c r="J344" s="10">
        <f t="shared" si="17"/>
        <v>182100.72999999986</v>
      </c>
      <c r="K344" s="6">
        <f t="shared" si="16"/>
        <v>50408.529999999977</v>
      </c>
    </row>
    <row r="345" spans="1:11" x14ac:dyDescent="0.25">
      <c r="A345" s="5" t="s">
        <v>700</v>
      </c>
      <c r="B345" s="6">
        <f t="shared" si="15"/>
        <v>182.79301999999987</v>
      </c>
      <c r="C345" s="7" t="s">
        <v>245</v>
      </c>
      <c r="D345" s="7" t="s">
        <v>244</v>
      </c>
      <c r="E345" s="7" t="s">
        <v>829</v>
      </c>
      <c r="F345" s="8">
        <v>191.64697000000001</v>
      </c>
      <c r="G345" s="7" t="s">
        <v>181</v>
      </c>
      <c r="H345" s="7" t="s">
        <v>179</v>
      </c>
      <c r="I345" s="10">
        <v>478.93</v>
      </c>
      <c r="J345" s="10">
        <f t="shared" si="17"/>
        <v>182793.01999999987</v>
      </c>
      <c r="K345" s="6">
        <f t="shared" si="16"/>
        <v>49716.239999999976</v>
      </c>
    </row>
    <row r="346" spans="1:11" x14ac:dyDescent="0.25">
      <c r="A346" s="5" t="s">
        <v>700</v>
      </c>
      <c r="B346" s="6">
        <f t="shared" si="15"/>
        <v>183.27194999999986</v>
      </c>
      <c r="C346" s="7" t="s">
        <v>244</v>
      </c>
      <c r="D346" s="7" t="s">
        <v>243</v>
      </c>
      <c r="E346" s="7" t="s">
        <v>829</v>
      </c>
      <c r="F346" s="8">
        <v>192.11751999999998</v>
      </c>
      <c r="G346" s="7" t="s">
        <v>179</v>
      </c>
      <c r="H346" s="7" t="s">
        <v>177</v>
      </c>
      <c r="I346" s="10">
        <v>554.16</v>
      </c>
      <c r="J346" s="10">
        <f t="shared" si="17"/>
        <v>183271.94999999987</v>
      </c>
      <c r="K346" s="6">
        <f t="shared" si="16"/>
        <v>49237.309999999976</v>
      </c>
    </row>
    <row r="347" spans="1:11" x14ac:dyDescent="0.25">
      <c r="A347" s="5" t="s">
        <v>700</v>
      </c>
      <c r="B347" s="6">
        <f t="shared" si="15"/>
        <v>183.82610999999986</v>
      </c>
      <c r="C347" s="7" t="s">
        <v>243</v>
      </c>
      <c r="D347" s="7" t="s">
        <v>242</v>
      </c>
      <c r="E347" s="7" t="s">
        <v>829</v>
      </c>
      <c r="F347" s="8">
        <v>192.58647999999999</v>
      </c>
      <c r="G347" s="7" t="s">
        <v>177</v>
      </c>
      <c r="H347" s="7" t="s">
        <v>175</v>
      </c>
      <c r="I347" s="10">
        <v>1086.03</v>
      </c>
      <c r="J347" s="10">
        <f t="shared" si="17"/>
        <v>183826.10999999987</v>
      </c>
      <c r="K347" s="6">
        <f t="shared" si="16"/>
        <v>48683.149999999972</v>
      </c>
    </row>
    <row r="348" spans="1:11" x14ac:dyDescent="0.25">
      <c r="A348" s="5" t="s">
        <v>700</v>
      </c>
      <c r="B348" s="6">
        <f t="shared" si="15"/>
        <v>184.91213999999988</v>
      </c>
      <c r="C348" s="7" t="s">
        <v>242</v>
      </c>
      <c r="D348" s="7" t="s">
        <v>241</v>
      </c>
      <c r="E348" s="7" t="s">
        <v>829</v>
      </c>
      <c r="F348" s="8">
        <v>192.98299999999998</v>
      </c>
      <c r="G348" s="7" t="s">
        <v>175</v>
      </c>
      <c r="H348" s="7" t="s">
        <v>173</v>
      </c>
      <c r="I348" s="10">
        <v>852.1</v>
      </c>
      <c r="J348" s="10">
        <f t="shared" si="17"/>
        <v>184912.13999999987</v>
      </c>
      <c r="K348" s="6">
        <f t="shared" si="16"/>
        <v>47597.119999999974</v>
      </c>
    </row>
    <row r="349" spans="1:11" x14ac:dyDescent="0.25">
      <c r="A349" s="5" t="s">
        <v>700</v>
      </c>
      <c r="B349" s="6">
        <f t="shared" si="15"/>
        <v>185.76423999999989</v>
      </c>
      <c r="C349" s="7" t="s">
        <v>241</v>
      </c>
      <c r="D349" s="7" t="s">
        <v>240</v>
      </c>
      <c r="E349" s="7" t="s">
        <v>829</v>
      </c>
      <c r="F349" s="8">
        <v>193.44046999999998</v>
      </c>
      <c r="G349" s="7" t="s">
        <v>173</v>
      </c>
      <c r="H349" s="7" t="s">
        <v>171</v>
      </c>
      <c r="I349" s="10">
        <v>353.49</v>
      </c>
      <c r="J349" s="10">
        <f t="shared" si="17"/>
        <v>185764.23999999987</v>
      </c>
      <c r="K349" s="6">
        <f t="shared" si="16"/>
        <v>46745.019999999975</v>
      </c>
    </row>
    <row r="350" spans="1:11" x14ac:dyDescent="0.25">
      <c r="A350" s="5" t="s">
        <v>700</v>
      </c>
      <c r="B350" s="6">
        <f t="shared" si="15"/>
        <v>186.11772999999985</v>
      </c>
      <c r="C350" s="7" t="s">
        <v>240</v>
      </c>
      <c r="D350" s="7" t="s">
        <v>239</v>
      </c>
      <c r="E350" s="7" t="s">
        <v>829</v>
      </c>
      <c r="F350" s="8">
        <v>193.98132999999996</v>
      </c>
      <c r="G350" s="7" t="s">
        <v>171</v>
      </c>
      <c r="H350" s="7" t="s">
        <v>169</v>
      </c>
      <c r="I350" s="10">
        <v>447.28</v>
      </c>
      <c r="J350" s="10">
        <f t="shared" si="17"/>
        <v>186117.72999999986</v>
      </c>
      <c r="K350" s="6">
        <f t="shared" si="16"/>
        <v>46391.529999999977</v>
      </c>
    </row>
    <row r="351" spans="1:11" x14ac:dyDescent="0.25">
      <c r="A351" s="5" t="s">
        <v>700</v>
      </c>
      <c r="B351" s="6">
        <f t="shared" si="15"/>
        <v>186.56500999999986</v>
      </c>
      <c r="C351" s="7" t="s">
        <v>239</v>
      </c>
      <c r="D351" s="7" t="s">
        <v>238</v>
      </c>
      <c r="E351" s="7" t="s">
        <v>829</v>
      </c>
      <c r="F351" s="8">
        <v>194.41157999999996</v>
      </c>
      <c r="G351" s="7" t="s">
        <v>169</v>
      </c>
      <c r="H351" s="7" t="s">
        <v>167</v>
      </c>
      <c r="I351" s="10">
        <v>873.63</v>
      </c>
      <c r="J351" s="10">
        <f t="shared" si="17"/>
        <v>186565.00999999986</v>
      </c>
      <c r="K351" s="6">
        <f t="shared" si="16"/>
        <v>45944.249999999978</v>
      </c>
    </row>
    <row r="352" spans="1:11" x14ac:dyDescent="0.25">
      <c r="A352" s="5" t="s">
        <v>700</v>
      </c>
      <c r="B352" s="6">
        <f t="shared" si="15"/>
        <v>187.43863999999988</v>
      </c>
      <c r="C352" s="7" t="s">
        <v>238</v>
      </c>
      <c r="D352" s="7" t="s">
        <v>237</v>
      </c>
      <c r="E352" s="7" t="s">
        <v>829</v>
      </c>
      <c r="F352" s="8">
        <v>194.85245999999995</v>
      </c>
      <c r="G352" s="7" t="s">
        <v>167</v>
      </c>
      <c r="H352" s="7" t="s">
        <v>165</v>
      </c>
      <c r="I352" s="10">
        <v>629.57000000000005</v>
      </c>
      <c r="J352" s="10">
        <f t="shared" si="17"/>
        <v>187438.63999999987</v>
      </c>
      <c r="K352" s="6">
        <f t="shared" si="16"/>
        <v>45070.619999999981</v>
      </c>
    </row>
    <row r="353" spans="1:11" x14ac:dyDescent="0.25">
      <c r="A353" s="5" t="s">
        <v>700</v>
      </c>
      <c r="B353" s="6">
        <f t="shared" si="15"/>
        <v>188.06820999999988</v>
      </c>
      <c r="C353" s="7" t="s">
        <v>237</v>
      </c>
      <c r="D353" s="7" t="s">
        <v>236</v>
      </c>
      <c r="E353" s="7" t="s">
        <v>829</v>
      </c>
      <c r="F353" s="8">
        <v>195.57813999999996</v>
      </c>
      <c r="G353" s="7" t="s">
        <v>165</v>
      </c>
      <c r="H353" s="7" t="s">
        <v>163</v>
      </c>
      <c r="I353" s="10">
        <v>470.12</v>
      </c>
      <c r="J353" s="10">
        <f t="shared" si="17"/>
        <v>188068.20999999988</v>
      </c>
      <c r="K353" s="6">
        <f t="shared" si="16"/>
        <v>44441.049999999981</v>
      </c>
    </row>
    <row r="354" spans="1:11" x14ac:dyDescent="0.25">
      <c r="A354" s="5" t="s">
        <v>700</v>
      </c>
      <c r="B354" s="6">
        <f t="shared" si="15"/>
        <v>188.53832999999986</v>
      </c>
      <c r="C354" s="7" t="s">
        <v>236</v>
      </c>
      <c r="D354" s="7" t="s">
        <v>235</v>
      </c>
      <c r="E354" s="7" t="s">
        <v>829</v>
      </c>
      <c r="F354" s="8">
        <v>195.87954999999997</v>
      </c>
      <c r="G354" s="7" t="s">
        <v>163</v>
      </c>
      <c r="H354" s="7" t="s">
        <v>161</v>
      </c>
      <c r="I354" s="10">
        <v>1023.29</v>
      </c>
      <c r="J354" s="10">
        <f t="shared" si="17"/>
        <v>188538.32999999987</v>
      </c>
      <c r="K354" s="6">
        <f t="shared" si="16"/>
        <v>43970.929999999978</v>
      </c>
    </row>
    <row r="355" spans="1:11" x14ac:dyDescent="0.25">
      <c r="A355" s="5" t="s">
        <v>700</v>
      </c>
      <c r="B355" s="6">
        <f t="shared" si="15"/>
        <v>189.56161999999989</v>
      </c>
      <c r="C355" s="7" t="s">
        <v>235</v>
      </c>
      <c r="D355" s="7" t="s">
        <v>234</v>
      </c>
      <c r="E355" s="7" t="s">
        <v>829</v>
      </c>
      <c r="F355" s="8">
        <v>196.65737999999993</v>
      </c>
      <c r="G355" s="7" t="s">
        <v>161</v>
      </c>
      <c r="H355" s="7" t="s">
        <v>159</v>
      </c>
      <c r="I355" s="10">
        <v>609.54999999999995</v>
      </c>
      <c r="J355" s="10">
        <f t="shared" si="17"/>
        <v>189561.61999999988</v>
      </c>
      <c r="K355" s="6">
        <f t="shared" si="16"/>
        <v>42947.639999999978</v>
      </c>
    </row>
    <row r="356" spans="1:11" x14ac:dyDescent="0.25">
      <c r="A356" s="5" t="s">
        <v>700</v>
      </c>
      <c r="B356" s="6">
        <f t="shared" si="15"/>
        <v>190.17116999999988</v>
      </c>
      <c r="C356" s="7" t="s">
        <v>234</v>
      </c>
      <c r="D356" s="7" t="s">
        <v>233</v>
      </c>
      <c r="E356" s="7" t="s">
        <v>829</v>
      </c>
      <c r="F356" s="8">
        <v>196.96574999999993</v>
      </c>
      <c r="G356" s="7" t="s">
        <v>159</v>
      </c>
      <c r="H356" s="7" t="s">
        <v>157</v>
      </c>
      <c r="I356" s="10">
        <v>546.42999999999995</v>
      </c>
      <c r="J356" s="10">
        <f t="shared" si="17"/>
        <v>190171.16999999987</v>
      </c>
      <c r="K356" s="6">
        <f t="shared" si="16"/>
        <v>42338.089999999975</v>
      </c>
    </row>
    <row r="357" spans="1:11" x14ac:dyDescent="0.25">
      <c r="A357" s="5" t="s">
        <v>700</v>
      </c>
      <c r="B357" s="6">
        <f t="shared" si="15"/>
        <v>190.71759999999986</v>
      </c>
      <c r="C357" s="7" t="s">
        <v>233</v>
      </c>
      <c r="D357" s="7" t="s">
        <v>232</v>
      </c>
      <c r="E357" s="7" t="s">
        <v>829</v>
      </c>
      <c r="F357" s="8">
        <v>197.53745999999992</v>
      </c>
      <c r="G357" s="7" t="s">
        <v>157</v>
      </c>
      <c r="H357" s="7" t="s">
        <v>155</v>
      </c>
      <c r="I357" s="10">
        <v>565.91999999999996</v>
      </c>
      <c r="J357" s="10">
        <f t="shared" si="17"/>
        <v>190717.59999999986</v>
      </c>
      <c r="K357" s="6">
        <f t="shared" si="16"/>
        <v>41791.659999999974</v>
      </c>
    </row>
    <row r="358" spans="1:11" x14ac:dyDescent="0.25">
      <c r="A358" s="5" t="s">
        <v>700</v>
      </c>
      <c r="B358" s="6">
        <f t="shared" si="15"/>
        <v>191.28351999999987</v>
      </c>
      <c r="C358" s="7" t="s">
        <v>232</v>
      </c>
      <c r="D358" s="7" t="s">
        <v>231</v>
      </c>
      <c r="E358" s="7" t="s">
        <v>829</v>
      </c>
      <c r="F358" s="8">
        <v>197.92654999999993</v>
      </c>
      <c r="G358" s="7" t="s">
        <v>155</v>
      </c>
      <c r="H358" s="7" t="s">
        <v>153</v>
      </c>
      <c r="I358" s="10">
        <v>572.01</v>
      </c>
      <c r="J358" s="10">
        <f t="shared" si="17"/>
        <v>191283.51999999987</v>
      </c>
      <c r="K358" s="6">
        <f t="shared" si="16"/>
        <v>41225.739999999976</v>
      </c>
    </row>
    <row r="359" spans="1:11" x14ac:dyDescent="0.25">
      <c r="A359" s="5" t="s">
        <v>700</v>
      </c>
      <c r="B359" s="6">
        <f t="shared" si="15"/>
        <v>191.85552999999987</v>
      </c>
      <c r="C359" s="7" t="s">
        <v>231</v>
      </c>
      <c r="D359" s="7" t="s">
        <v>230</v>
      </c>
      <c r="E359" s="7" t="s">
        <v>829</v>
      </c>
      <c r="F359" s="8">
        <v>198.31891999999993</v>
      </c>
      <c r="G359" s="7" t="s">
        <v>153</v>
      </c>
      <c r="H359" s="7" t="s">
        <v>151</v>
      </c>
      <c r="I359" s="10">
        <v>510.54</v>
      </c>
      <c r="J359" s="10">
        <f t="shared" si="17"/>
        <v>191855.52999999988</v>
      </c>
      <c r="K359" s="6">
        <f t="shared" si="16"/>
        <v>40653.729999999974</v>
      </c>
    </row>
    <row r="360" spans="1:11" x14ac:dyDescent="0.25">
      <c r="A360" s="5" t="s">
        <v>700</v>
      </c>
      <c r="B360" s="6">
        <f t="shared" si="15"/>
        <v>192.36606999999989</v>
      </c>
      <c r="C360" s="7" t="s">
        <v>230</v>
      </c>
      <c r="D360" s="7" t="s">
        <v>229</v>
      </c>
      <c r="E360" s="7" t="s">
        <v>829</v>
      </c>
      <c r="F360" s="8">
        <v>198.74476999999993</v>
      </c>
      <c r="G360" s="7" t="s">
        <v>151</v>
      </c>
      <c r="H360" s="7" t="s">
        <v>149</v>
      </c>
      <c r="I360" s="10">
        <v>464.75</v>
      </c>
      <c r="J360" s="10">
        <f t="shared" si="17"/>
        <v>192366.06999999989</v>
      </c>
      <c r="K360" s="6">
        <f t="shared" si="16"/>
        <v>40143.189999999973</v>
      </c>
    </row>
    <row r="361" spans="1:11" x14ac:dyDescent="0.25">
      <c r="A361" s="5" t="s">
        <v>700</v>
      </c>
      <c r="B361" s="6">
        <f t="shared" si="15"/>
        <v>192.8308199999999</v>
      </c>
      <c r="C361" s="7" t="s">
        <v>229</v>
      </c>
      <c r="D361" s="7" t="s">
        <v>228</v>
      </c>
      <c r="E361" s="7" t="s">
        <v>829</v>
      </c>
      <c r="F361" s="8">
        <v>199.22128999999993</v>
      </c>
      <c r="G361" s="7" t="s">
        <v>149</v>
      </c>
      <c r="H361" s="7" t="s">
        <v>147</v>
      </c>
      <c r="I361" s="10">
        <v>431.64</v>
      </c>
      <c r="J361" s="10">
        <f t="shared" si="17"/>
        <v>192830.81999999989</v>
      </c>
      <c r="K361" s="6">
        <f t="shared" si="16"/>
        <v>39678.439999999973</v>
      </c>
    </row>
    <row r="362" spans="1:11" x14ac:dyDescent="0.25">
      <c r="A362" s="5" t="s">
        <v>700</v>
      </c>
      <c r="B362" s="6">
        <f t="shared" si="15"/>
        <v>193.26245999999989</v>
      </c>
      <c r="C362" s="7" t="s">
        <v>228</v>
      </c>
      <c r="D362" s="7" t="s">
        <v>227</v>
      </c>
      <c r="E362" s="7" t="s">
        <v>830</v>
      </c>
      <c r="F362" s="8">
        <v>199.73799999999991</v>
      </c>
      <c r="G362" s="7" t="s">
        <v>147</v>
      </c>
      <c r="H362" s="7" t="s">
        <v>145</v>
      </c>
      <c r="I362" s="10">
        <v>346.74</v>
      </c>
      <c r="J362" s="10">
        <f t="shared" si="17"/>
        <v>193262.4599999999</v>
      </c>
      <c r="K362" s="6">
        <f t="shared" si="16"/>
        <v>39246.799999999974</v>
      </c>
    </row>
    <row r="363" spans="1:11" x14ac:dyDescent="0.25">
      <c r="A363" s="5" t="s">
        <v>700</v>
      </c>
      <c r="B363" s="6">
        <f t="shared" si="15"/>
        <v>193.6091999999999</v>
      </c>
      <c r="C363" s="7" t="s">
        <v>227</v>
      </c>
      <c r="D363" s="7" t="s">
        <v>226</v>
      </c>
      <c r="E363" s="7" t="s">
        <v>826</v>
      </c>
      <c r="F363" s="8">
        <v>200.2172799999999</v>
      </c>
      <c r="G363" s="7" t="s">
        <v>145</v>
      </c>
      <c r="H363" s="7" t="s">
        <v>143</v>
      </c>
      <c r="I363" s="10">
        <v>398.44</v>
      </c>
      <c r="J363" s="10">
        <f t="shared" si="17"/>
        <v>193609.1999999999</v>
      </c>
      <c r="K363" s="6">
        <f t="shared" si="16"/>
        <v>38900.059999999976</v>
      </c>
    </row>
    <row r="364" spans="1:11" x14ac:dyDescent="0.25">
      <c r="A364" s="5" t="s">
        <v>700</v>
      </c>
      <c r="B364" s="6">
        <f t="shared" si="15"/>
        <v>194.0076399999999</v>
      </c>
      <c r="C364" s="7" t="s">
        <v>226</v>
      </c>
      <c r="D364" s="7" t="s">
        <v>225</v>
      </c>
      <c r="E364" s="7" t="s">
        <v>826</v>
      </c>
      <c r="F364" s="8">
        <v>200.71587999999991</v>
      </c>
      <c r="G364" s="7" t="s">
        <v>143</v>
      </c>
      <c r="H364" s="7" t="s">
        <v>141</v>
      </c>
      <c r="I364" s="10">
        <v>640.91999999999996</v>
      </c>
      <c r="J364" s="10">
        <f t="shared" si="17"/>
        <v>194007.6399999999</v>
      </c>
      <c r="K364" s="6">
        <f t="shared" si="16"/>
        <v>38501.619999999974</v>
      </c>
    </row>
    <row r="365" spans="1:11" x14ac:dyDescent="0.25">
      <c r="A365" s="5" t="s">
        <v>700</v>
      </c>
      <c r="B365" s="6">
        <f t="shared" si="15"/>
        <v>194.64855999999992</v>
      </c>
      <c r="C365" s="7" t="s">
        <v>225</v>
      </c>
      <c r="D365" s="7" t="s">
        <v>224</v>
      </c>
      <c r="E365" s="7" t="s">
        <v>826</v>
      </c>
      <c r="F365" s="8">
        <v>201.32590999999991</v>
      </c>
      <c r="G365" s="7" t="s">
        <v>141</v>
      </c>
      <c r="H365" s="7" t="s">
        <v>139</v>
      </c>
      <c r="I365" s="10">
        <v>607.49</v>
      </c>
      <c r="J365" s="10">
        <f t="shared" si="17"/>
        <v>194648.55999999991</v>
      </c>
      <c r="K365" s="6">
        <f t="shared" si="16"/>
        <v>37860.699999999975</v>
      </c>
    </row>
    <row r="366" spans="1:11" x14ac:dyDescent="0.25">
      <c r="A366" s="5" t="s">
        <v>700</v>
      </c>
      <c r="B366" s="6">
        <f t="shared" si="15"/>
        <v>195.2560499999999</v>
      </c>
      <c r="C366" s="7" t="s">
        <v>224</v>
      </c>
      <c r="D366" s="7" t="s">
        <v>223</v>
      </c>
      <c r="E366" s="7" t="s">
        <v>826</v>
      </c>
      <c r="F366" s="8">
        <v>201.79245999999989</v>
      </c>
      <c r="G366" s="7" t="s">
        <v>139</v>
      </c>
      <c r="H366" s="7" t="s">
        <v>137</v>
      </c>
      <c r="I366" s="10">
        <v>508.49</v>
      </c>
      <c r="J366" s="10">
        <f t="shared" si="17"/>
        <v>195256.0499999999</v>
      </c>
      <c r="K366" s="6">
        <f t="shared" si="16"/>
        <v>37253.209999999977</v>
      </c>
    </row>
    <row r="367" spans="1:11" x14ac:dyDescent="0.25">
      <c r="A367" s="5" t="s">
        <v>700</v>
      </c>
      <c r="B367" s="6">
        <f t="shared" si="15"/>
        <v>195.7645399999999</v>
      </c>
      <c r="C367" s="7" t="s">
        <v>223</v>
      </c>
      <c r="D367" s="7" t="s">
        <v>222</v>
      </c>
      <c r="E367" s="7" t="s">
        <v>826</v>
      </c>
      <c r="F367" s="8">
        <v>202.37338999999989</v>
      </c>
      <c r="G367" s="7" t="s">
        <v>137</v>
      </c>
      <c r="H367" s="7" t="s">
        <v>135</v>
      </c>
      <c r="I367" s="10">
        <v>812.08</v>
      </c>
      <c r="J367" s="10">
        <f t="shared" si="17"/>
        <v>195764.53999999989</v>
      </c>
      <c r="K367" s="6">
        <f t="shared" si="16"/>
        <v>36744.719999999979</v>
      </c>
    </row>
    <row r="368" spans="1:11" x14ac:dyDescent="0.25">
      <c r="A368" s="5" t="s">
        <v>700</v>
      </c>
      <c r="B368" s="6">
        <f t="shared" si="15"/>
        <v>196.57661999999988</v>
      </c>
      <c r="C368" s="7" t="s">
        <v>222</v>
      </c>
      <c r="D368" s="7" t="s">
        <v>221</v>
      </c>
      <c r="E368" s="7" t="s">
        <v>826</v>
      </c>
      <c r="F368" s="8">
        <v>202.9915299999999</v>
      </c>
      <c r="G368" s="7" t="s">
        <v>135</v>
      </c>
      <c r="H368" s="7" t="s">
        <v>133</v>
      </c>
      <c r="I368" s="10">
        <v>442.16</v>
      </c>
      <c r="J368" s="10">
        <f t="shared" si="17"/>
        <v>196576.61999999988</v>
      </c>
      <c r="K368" s="6">
        <f t="shared" si="16"/>
        <v>35932.639999999978</v>
      </c>
    </row>
    <row r="369" spans="1:11" x14ac:dyDescent="0.25">
      <c r="A369" s="5" t="s">
        <v>700</v>
      </c>
      <c r="B369" s="6">
        <f t="shared" si="15"/>
        <v>197.01877999999988</v>
      </c>
      <c r="C369" s="7" t="s">
        <v>221</v>
      </c>
      <c r="D369" s="7" t="s">
        <v>220</v>
      </c>
      <c r="E369" s="7" t="s">
        <v>826</v>
      </c>
      <c r="F369" s="8">
        <v>203.22397999999993</v>
      </c>
      <c r="G369" s="7" t="s">
        <v>133</v>
      </c>
      <c r="H369" s="7" t="s">
        <v>131</v>
      </c>
      <c r="I369" s="10">
        <v>753.88</v>
      </c>
      <c r="J369" s="10">
        <f t="shared" si="17"/>
        <v>197018.77999999988</v>
      </c>
      <c r="K369" s="6">
        <f t="shared" si="16"/>
        <v>35490.479999999974</v>
      </c>
    </row>
    <row r="370" spans="1:11" x14ac:dyDescent="0.25">
      <c r="A370" s="5" t="s">
        <v>700</v>
      </c>
      <c r="B370" s="6">
        <f t="shared" si="15"/>
        <v>197.77265999999989</v>
      </c>
      <c r="C370" s="7" t="s">
        <v>220</v>
      </c>
      <c r="D370" s="7" t="s">
        <v>219</v>
      </c>
      <c r="E370" s="7" t="s">
        <v>826</v>
      </c>
      <c r="F370" s="8">
        <v>204.03374999999991</v>
      </c>
      <c r="G370" s="7" t="s">
        <v>131</v>
      </c>
      <c r="H370" s="7" t="s">
        <v>129</v>
      </c>
      <c r="I370" s="10">
        <v>792.82</v>
      </c>
      <c r="J370" s="10">
        <f t="shared" si="17"/>
        <v>197772.65999999989</v>
      </c>
      <c r="K370" s="6">
        <f t="shared" si="16"/>
        <v>34736.599999999977</v>
      </c>
    </row>
    <row r="371" spans="1:11" x14ac:dyDescent="0.25">
      <c r="A371" s="5" t="s">
        <v>700</v>
      </c>
      <c r="B371" s="6">
        <f t="shared" si="15"/>
        <v>198.56547999999989</v>
      </c>
      <c r="C371" s="7" t="s">
        <v>219</v>
      </c>
      <c r="D371" s="7" t="s">
        <v>218</v>
      </c>
      <c r="E371" s="7" t="s">
        <v>826</v>
      </c>
      <c r="F371" s="8">
        <v>204.68953999999991</v>
      </c>
      <c r="G371" s="7" t="s">
        <v>129</v>
      </c>
      <c r="H371" s="7" t="s">
        <v>127</v>
      </c>
      <c r="I371" s="10">
        <v>514.29999999999995</v>
      </c>
      <c r="J371" s="10">
        <f t="shared" si="17"/>
        <v>198565.47999999989</v>
      </c>
      <c r="K371" s="6">
        <f t="shared" si="16"/>
        <v>33943.779999999977</v>
      </c>
    </row>
    <row r="372" spans="1:11" x14ac:dyDescent="0.25">
      <c r="A372" s="5" t="s">
        <v>700</v>
      </c>
      <c r="B372" s="6">
        <f t="shared" si="15"/>
        <v>199.07977999999989</v>
      </c>
      <c r="C372" s="7" t="s">
        <v>218</v>
      </c>
      <c r="D372" s="7" t="s">
        <v>217</v>
      </c>
      <c r="E372" s="7" t="s">
        <v>826</v>
      </c>
      <c r="F372" s="8">
        <v>204.96659999999991</v>
      </c>
      <c r="G372" s="7" t="s">
        <v>127</v>
      </c>
      <c r="H372" s="7" t="s">
        <v>125</v>
      </c>
      <c r="I372" s="10">
        <v>482.19</v>
      </c>
      <c r="J372" s="10">
        <f t="shared" si="17"/>
        <v>199079.77999999988</v>
      </c>
      <c r="K372" s="6">
        <f t="shared" si="16"/>
        <v>33429.479999999974</v>
      </c>
    </row>
    <row r="373" spans="1:11" x14ac:dyDescent="0.25">
      <c r="A373" s="5" t="s">
        <v>700</v>
      </c>
      <c r="B373" s="6">
        <f t="shared" si="15"/>
        <v>199.56196999999989</v>
      </c>
      <c r="C373" s="7" t="s">
        <v>217</v>
      </c>
      <c r="D373" s="7" t="s">
        <v>216</v>
      </c>
      <c r="E373" s="7" t="s">
        <v>826</v>
      </c>
      <c r="F373" s="8">
        <v>205.26666999999992</v>
      </c>
      <c r="G373" s="7" t="s">
        <v>125</v>
      </c>
      <c r="H373" s="7" t="s">
        <v>123</v>
      </c>
      <c r="I373" s="10">
        <v>665.47</v>
      </c>
      <c r="J373" s="10">
        <f t="shared" si="17"/>
        <v>199561.96999999988</v>
      </c>
      <c r="K373" s="6">
        <f t="shared" si="16"/>
        <v>32947.289999999972</v>
      </c>
    </row>
    <row r="374" spans="1:11" x14ac:dyDescent="0.25">
      <c r="A374" s="5" t="s">
        <v>700</v>
      </c>
      <c r="B374" s="6">
        <f t="shared" si="15"/>
        <v>200.22743999999989</v>
      </c>
      <c r="C374" s="7" t="s">
        <v>216</v>
      </c>
      <c r="D374" s="7" t="s">
        <v>215</v>
      </c>
      <c r="E374" s="7" t="s">
        <v>826</v>
      </c>
      <c r="F374" s="8">
        <v>205.87406999999993</v>
      </c>
      <c r="G374" s="7" t="s">
        <v>123</v>
      </c>
      <c r="H374" s="7" t="s">
        <v>121</v>
      </c>
      <c r="I374" s="10">
        <v>620.98</v>
      </c>
      <c r="J374" s="10">
        <f t="shared" si="17"/>
        <v>200227.43999999989</v>
      </c>
      <c r="K374" s="6">
        <f t="shared" si="16"/>
        <v>32281.819999999971</v>
      </c>
    </row>
    <row r="375" spans="1:11" x14ac:dyDescent="0.25">
      <c r="A375" s="5" t="s">
        <v>700</v>
      </c>
      <c r="B375" s="6">
        <f t="shared" si="15"/>
        <v>200.84841999999989</v>
      </c>
      <c r="C375" s="7" t="s">
        <v>215</v>
      </c>
      <c r="D375" s="7" t="s">
        <v>214</v>
      </c>
      <c r="E375" s="7" t="s">
        <v>826</v>
      </c>
      <c r="F375" s="8">
        <v>206.26654999999994</v>
      </c>
      <c r="G375" s="7" t="s">
        <v>121</v>
      </c>
      <c r="H375" s="7" t="s">
        <v>119</v>
      </c>
      <c r="I375" s="10">
        <v>467.77</v>
      </c>
      <c r="J375" s="10">
        <f t="shared" si="17"/>
        <v>200848.4199999999</v>
      </c>
      <c r="K375" s="6">
        <f t="shared" si="16"/>
        <v>31660.839999999971</v>
      </c>
    </row>
    <row r="376" spans="1:11" x14ac:dyDescent="0.25">
      <c r="A376" s="5" t="s">
        <v>700</v>
      </c>
      <c r="B376" s="6">
        <f t="shared" si="15"/>
        <v>201.31618999999989</v>
      </c>
      <c r="C376" s="7" t="s">
        <v>214</v>
      </c>
      <c r="D376" s="7" t="s">
        <v>213</v>
      </c>
      <c r="E376" s="7" t="s">
        <v>826</v>
      </c>
      <c r="F376" s="8">
        <v>206.59603999999993</v>
      </c>
      <c r="G376" s="7" t="s">
        <v>119</v>
      </c>
      <c r="H376" s="7" t="s">
        <v>19</v>
      </c>
      <c r="I376" s="10">
        <v>910.08</v>
      </c>
      <c r="J376" s="10">
        <f t="shared" si="17"/>
        <v>201316.18999999989</v>
      </c>
      <c r="K376" s="6">
        <f t="shared" si="16"/>
        <v>31193.069999999971</v>
      </c>
    </row>
    <row r="377" spans="1:11" x14ac:dyDescent="0.25">
      <c r="A377" s="5" t="s">
        <v>700</v>
      </c>
      <c r="B377" s="6">
        <f t="shared" si="15"/>
        <v>202.22626999999989</v>
      </c>
      <c r="C377" s="7" t="s">
        <v>213</v>
      </c>
      <c r="D377" s="7" t="s">
        <v>212</v>
      </c>
      <c r="E377" s="7" t="s">
        <v>826</v>
      </c>
      <c r="F377" s="8">
        <v>207.0968399999999</v>
      </c>
      <c r="G377" s="7" t="s">
        <v>19</v>
      </c>
      <c r="H377" s="7" t="s">
        <v>18</v>
      </c>
      <c r="I377" s="10">
        <v>344.07</v>
      </c>
      <c r="J377" s="10">
        <f t="shared" si="17"/>
        <v>202226.26999999987</v>
      </c>
      <c r="K377" s="6">
        <f t="shared" si="16"/>
        <v>30282.989999999969</v>
      </c>
    </row>
    <row r="378" spans="1:11" x14ac:dyDescent="0.25">
      <c r="A378" s="5" t="s">
        <v>700</v>
      </c>
      <c r="B378" s="6">
        <f t="shared" si="15"/>
        <v>202.57033999999987</v>
      </c>
      <c r="C378" s="7" t="s">
        <v>212</v>
      </c>
      <c r="D378" s="7" t="s">
        <v>211</v>
      </c>
      <c r="E378" s="7" t="s">
        <v>826</v>
      </c>
      <c r="F378" s="8">
        <v>207.58995999999991</v>
      </c>
      <c r="G378" s="7" t="s">
        <v>18</v>
      </c>
      <c r="H378" s="7" t="s">
        <v>115</v>
      </c>
      <c r="I378" s="10">
        <v>716.98</v>
      </c>
      <c r="J378" s="10">
        <f t="shared" si="17"/>
        <v>202570.33999999988</v>
      </c>
      <c r="K378" s="6">
        <f t="shared" si="16"/>
        <v>29938.919999999969</v>
      </c>
    </row>
    <row r="379" spans="1:11" x14ac:dyDescent="0.25">
      <c r="A379" s="5" t="s">
        <v>700</v>
      </c>
      <c r="B379" s="6">
        <f t="shared" si="15"/>
        <v>203.28731999999988</v>
      </c>
      <c r="C379" s="7" t="s">
        <v>211</v>
      </c>
      <c r="D379" s="7" t="s">
        <v>210</v>
      </c>
      <c r="E379" s="7" t="s">
        <v>826</v>
      </c>
      <c r="F379" s="8">
        <v>208.01219999999989</v>
      </c>
      <c r="G379" s="7" t="s">
        <v>115</v>
      </c>
      <c r="H379" s="7" t="s">
        <v>113</v>
      </c>
      <c r="I379" s="10">
        <v>651.75</v>
      </c>
      <c r="J379" s="10">
        <f t="shared" si="17"/>
        <v>203287.31999999989</v>
      </c>
      <c r="K379" s="6">
        <f t="shared" si="16"/>
        <v>29221.93999999997</v>
      </c>
    </row>
    <row r="380" spans="1:11" x14ac:dyDescent="0.25">
      <c r="A380" s="5" t="s">
        <v>700</v>
      </c>
      <c r="B380" s="6">
        <f t="shared" si="15"/>
        <v>203.9390699999999</v>
      </c>
      <c r="C380" s="7" t="s">
        <v>210</v>
      </c>
      <c r="D380" s="7" t="s">
        <v>209</v>
      </c>
      <c r="E380" s="7" t="s">
        <v>826</v>
      </c>
      <c r="F380" s="8">
        <v>208.7010699999999</v>
      </c>
      <c r="G380" s="7" t="s">
        <v>113</v>
      </c>
      <c r="H380" s="7" t="s">
        <v>111</v>
      </c>
      <c r="I380" s="10">
        <v>920.65</v>
      </c>
      <c r="J380" s="10">
        <f t="shared" si="17"/>
        <v>203939.06999999989</v>
      </c>
      <c r="K380" s="6">
        <f t="shared" si="16"/>
        <v>28570.18999999997</v>
      </c>
    </row>
    <row r="381" spans="1:11" x14ac:dyDescent="0.25">
      <c r="A381" s="5" t="s">
        <v>700</v>
      </c>
      <c r="B381" s="6">
        <f t="shared" si="15"/>
        <v>204.8597199999999</v>
      </c>
      <c r="C381" s="7" t="s">
        <v>209</v>
      </c>
      <c r="D381" s="7" t="s">
        <v>208</v>
      </c>
      <c r="E381" s="7" t="s">
        <v>826</v>
      </c>
      <c r="F381" s="8">
        <v>209.10874999999987</v>
      </c>
      <c r="G381" s="7" t="s">
        <v>111</v>
      </c>
      <c r="H381" s="7" t="s">
        <v>109</v>
      </c>
      <c r="I381" s="10">
        <v>425.12</v>
      </c>
      <c r="J381" s="10">
        <f t="shared" si="17"/>
        <v>204859.71999999988</v>
      </c>
      <c r="K381" s="6">
        <f t="shared" si="16"/>
        <v>27649.539999999968</v>
      </c>
    </row>
    <row r="382" spans="1:11" x14ac:dyDescent="0.25">
      <c r="A382" s="5" t="s">
        <v>700</v>
      </c>
      <c r="B382" s="6">
        <f t="shared" si="15"/>
        <v>205.28483999999989</v>
      </c>
      <c r="C382" s="7" t="s">
        <v>208</v>
      </c>
      <c r="D382" s="7" t="s">
        <v>207</v>
      </c>
      <c r="E382" s="7" t="s">
        <v>826</v>
      </c>
      <c r="F382" s="8">
        <v>209.57966999999991</v>
      </c>
      <c r="G382" s="7" t="s">
        <v>109</v>
      </c>
      <c r="H382" s="7" t="s">
        <v>107</v>
      </c>
      <c r="I382" s="10">
        <v>495.71</v>
      </c>
      <c r="J382" s="10">
        <f t="shared" si="17"/>
        <v>205284.83999999988</v>
      </c>
      <c r="K382" s="6">
        <f t="shared" si="16"/>
        <v>27224.419999999969</v>
      </c>
    </row>
    <row r="383" spans="1:11" x14ac:dyDescent="0.25">
      <c r="A383" s="5" t="s">
        <v>700</v>
      </c>
      <c r="B383" s="6">
        <f t="shared" si="15"/>
        <v>205.78054999999986</v>
      </c>
      <c r="C383" s="7" t="s">
        <v>207</v>
      </c>
      <c r="D383" s="7" t="s">
        <v>206</v>
      </c>
      <c r="E383" s="7" t="s">
        <v>826</v>
      </c>
      <c r="F383" s="8">
        <v>210.07923999999991</v>
      </c>
      <c r="G383" s="7" t="s">
        <v>107</v>
      </c>
      <c r="H383" s="7" t="s">
        <v>105</v>
      </c>
      <c r="I383" s="10">
        <v>395.07</v>
      </c>
      <c r="J383" s="10">
        <f t="shared" si="17"/>
        <v>205780.54999999987</v>
      </c>
      <c r="K383" s="6">
        <f t="shared" si="16"/>
        <v>26728.70999999997</v>
      </c>
    </row>
    <row r="384" spans="1:11" x14ac:dyDescent="0.25">
      <c r="A384" s="5" t="s">
        <v>700</v>
      </c>
      <c r="B384" s="6">
        <f t="shared" si="15"/>
        <v>206.17561999999987</v>
      </c>
      <c r="C384" s="7" t="s">
        <v>206</v>
      </c>
      <c r="D384" s="7" t="s">
        <v>205</v>
      </c>
      <c r="E384" s="7" t="s">
        <v>826</v>
      </c>
      <c r="F384" s="8">
        <v>210.55964999999992</v>
      </c>
      <c r="G384" s="7" t="s">
        <v>105</v>
      </c>
      <c r="H384" s="7" t="s">
        <v>103</v>
      </c>
      <c r="I384" s="10">
        <v>800.14</v>
      </c>
      <c r="J384" s="10">
        <f t="shared" si="17"/>
        <v>206175.61999999988</v>
      </c>
      <c r="K384" s="6">
        <f t="shared" si="16"/>
        <v>26333.63999999997</v>
      </c>
    </row>
    <row r="385" spans="1:11" x14ac:dyDescent="0.25">
      <c r="A385" s="5" t="s">
        <v>700</v>
      </c>
      <c r="B385" s="6">
        <f t="shared" si="15"/>
        <v>206.97575999999989</v>
      </c>
      <c r="C385" s="7" t="s">
        <v>205</v>
      </c>
      <c r="D385" s="7" t="s">
        <v>204</v>
      </c>
      <c r="E385" s="7" t="s">
        <v>826</v>
      </c>
      <c r="F385" s="8">
        <v>211.0386199999999</v>
      </c>
      <c r="G385" s="7" t="s">
        <v>103</v>
      </c>
      <c r="H385" s="7" t="s">
        <v>101</v>
      </c>
      <c r="I385" s="10">
        <v>639.63</v>
      </c>
      <c r="J385" s="10">
        <f t="shared" si="17"/>
        <v>206975.75999999989</v>
      </c>
      <c r="K385" s="6">
        <f t="shared" si="16"/>
        <v>25533.499999999971</v>
      </c>
    </row>
    <row r="386" spans="1:11" x14ac:dyDescent="0.25">
      <c r="A386" s="5" t="s">
        <v>700</v>
      </c>
      <c r="B386" s="6">
        <f t="shared" si="15"/>
        <v>207.61538999999991</v>
      </c>
      <c r="C386" s="7" t="s">
        <v>204</v>
      </c>
      <c r="D386" s="7" t="s">
        <v>203</v>
      </c>
      <c r="E386" s="7" t="s">
        <v>826</v>
      </c>
      <c r="F386" s="8">
        <v>211.51943999999992</v>
      </c>
      <c r="G386" s="7" t="s">
        <v>101</v>
      </c>
      <c r="H386" s="7" t="s">
        <v>99</v>
      </c>
      <c r="I386" s="10">
        <v>765.37</v>
      </c>
      <c r="J386" s="10">
        <f t="shared" si="17"/>
        <v>207615.3899999999</v>
      </c>
      <c r="K386" s="6">
        <f t="shared" si="16"/>
        <v>24893.86999999997</v>
      </c>
    </row>
    <row r="387" spans="1:11" x14ac:dyDescent="0.25">
      <c r="A387" s="5" t="s">
        <v>700</v>
      </c>
      <c r="B387" s="6">
        <f t="shared" ref="B387:B428" si="18">J387/1000</f>
        <v>208.3807599999999</v>
      </c>
      <c r="C387" s="7" t="s">
        <v>203</v>
      </c>
      <c r="D387" s="7" t="s">
        <v>202</v>
      </c>
      <c r="E387" s="7" t="s">
        <v>826</v>
      </c>
      <c r="F387" s="8">
        <v>212.01553999999993</v>
      </c>
      <c r="G387" s="7" t="s">
        <v>99</v>
      </c>
      <c r="H387" s="7" t="s">
        <v>97</v>
      </c>
      <c r="I387" s="10">
        <v>469.77</v>
      </c>
      <c r="J387" s="10">
        <f t="shared" si="17"/>
        <v>208380.75999999989</v>
      </c>
      <c r="K387" s="6">
        <f t="shared" si="16"/>
        <v>24128.499999999971</v>
      </c>
    </row>
    <row r="388" spans="1:11" x14ac:dyDescent="0.25">
      <c r="A388" s="5" t="s">
        <v>700</v>
      </c>
      <c r="B388" s="6">
        <f t="shared" si="18"/>
        <v>208.85052999999988</v>
      </c>
      <c r="C388" s="7" t="s">
        <v>202</v>
      </c>
      <c r="D388" s="7" t="s">
        <v>201</v>
      </c>
      <c r="E388" s="7" t="s">
        <v>826</v>
      </c>
      <c r="F388" s="8">
        <v>212.49653999999992</v>
      </c>
      <c r="G388" s="7" t="s">
        <v>97</v>
      </c>
      <c r="H388" s="7" t="s">
        <v>95</v>
      </c>
      <c r="I388" s="10">
        <v>815.41</v>
      </c>
      <c r="J388" s="10">
        <f t="shared" si="17"/>
        <v>208850.52999999988</v>
      </c>
      <c r="K388" s="6">
        <f t="shared" ref="K388:K428" si="19">K387-I387</f>
        <v>23658.72999999997</v>
      </c>
    </row>
    <row r="389" spans="1:11" x14ac:dyDescent="0.25">
      <c r="A389" s="5" t="s">
        <v>700</v>
      </c>
      <c r="B389" s="6">
        <f t="shared" si="18"/>
        <v>209.66593999999989</v>
      </c>
      <c r="C389" s="7" t="s">
        <v>201</v>
      </c>
      <c r="D389" s="7" t="s">
        <v>200</v>
      </c>
      <c r="E389" s="7" t="s">
        <v>826</v>
      </c>
      <c r="F389" s="8">
        <v>212.9784699999999</v>
      </c>
      <c r="G389" s="7" t="s">
        <v>95</v>
      </c>
      <c r="H389" s="7" t="s">
        <v>93</v>
      </c>
      <c r="I389" s="10">
        <v>779.2</v>
      </c>
      <c r="J389" s="10">
        <f t="shared" ref="J389:J428" si="20">J388+I388</f>
        <v>209665.93999999989</v>
      </c>
      <c r="K389" s="6">
        <f t="shared" si="19"/>
        <v>22843.319999999971</v>
      </c>
    </row>
    <row r="390" spans="1:11" x14ac:dyDescent="0.25">
      <c r="A390" s="5" t="s">
        <v>700</v>
      </c>
      <c r="B390" s="6">
        <f t="shared" si="18"/>
        <v>210.4451399999999</v>
      </c>
      <c r="C390" s="7" t="s">
        <v>200</v>
      </c>
      <c r="D390" s="7" t="s">
        <v>199</v>
      </c>
      <c r="E390" s="7" t="s">
        <v>826</v>
      </c>
      <c r="F390" s="8">
        <v>213.44928999999993</v>
      </c>
      <c r="G390" s="7" t="s">
        <v>93</v>
      </c>
      <c r="H390" s="7" t="s">
        <v>91</v>
      </c>
      <c r="I390" s="10">
        <v>609.84</v>
      </c>
      <c r="J390" s="10">
        <f t="shared" si="20"/>
        <v>210445.1399999999</v>
      </c>
      <c r="K390" s="6">
        <f t="shared" si="19"/>
        <v>22064.11999999997</v>
      </c>
    </row>
    <row r="391" spans="1:11" x14ac:dyDescent="0.25">
      <c r="A391" s="5" t="s">
        <v>700</v>
      </c>
      <c r="B391" s="6">
        <f t="shared" si="18"/>
        <v>211.05497999999989</v>
      </c>
      <c r="C391" s="7" t="s">
        <v>199</v>
      </c>
      <c r="D391" s="7" t="s">
        <v>198</v>
      </c>
      <c r="E391" s="7" t="s">
        <v>826</v>
      </c>
      <c r="F391" s="8">
        <v>213.92384999999993</v>
      </c>
      <c r="G391" s="7" t="s">
        <v>91</v>
      </c>
      <c r="H391" s="7" t="s">
        <v>89</v>
      </c>
      <c r="I391" s="10">
        <v>883.9</v>
      </c>
      <c r="J391" s="10">
        <f t="shared" si="20"/>
        <v>211054.97999999989</v>
      </c>
      <c r="K391" s="6">
        <f t="shared" si="19"/>
        <v>21454.27999999997</v>
      </c>
    </row>
    <row r="392" spans="1:11" x14ac:dyDescent="0.25">
      <c r="A392" s="5" t="s">
        <v>700</v>
      </c>
      <c r="B392" s="6">
        <f t="shared" si="18"/>
        <v>211.9388799999999</v>
      </c>
      <c r="C392" s="7" t="s">
        <v>198</v>
      </c>
      <c r="D392" s="7" t="s">
        <v>197</v>
      </c>
      <c r="E392" s="7" t="s">
        <v>826</v>
      </c>
      <c r="F392" s="8">
        <v>214.40246999999991</v>
      </c>
      <c r="G392" s="7" t="s">
        <v>89</v>
      </c>
      <c r="H392" s="7" t="s">
        <v>87</v>
      </c>
      <c r="I392" s="10">
        <v>915.07</v>
      </c>
      <c r="J392" s="10">
        <f t="shared" si="20"/>
        <v>211938.87999999989</v>
      </c>
      <c r="K392" s="6">
        <f t="shared" si="19"/>
        <v>20570.379999999968</v>
      </c>
    </row>
    <row r="393" spans="1:11" x14ac:dyDescent="0.25">
      <c r="A393" s="5" t="s">
        <v>700</v>
      </c>
      <c r="B393" s="6">
        <f t="shared" si="18"/>
        <v>212.85394999999988</v>
      </c>
      <c r="C393" s="7" t="s">
        <v>197</v>
      </c>
      <c r="D393" s="7" t="s">
        <v>196</v>
      </c>
      <c r="E393" s="7" t="s">
        <v>826</v>
      </c>
      <c r="F393" s="8">
        <v>214.86970999999991</v>
      </c>
      <c r="G393" s="7" t="s">
        <v>87</v>
      </c>
      <c r="H393" s="7" t="s">
        <v>85</v>
      </c>
      <c r="I393" s="10">
        <v>593.1</v>
      </c>
      <c r="J393" s="10">
        <f t="shared" si="20"/>
        <v>212853.9499999999</v>
      </c>
      <c r="K393" s="6">
        <f t="shared" si="19"/>
        <v>19655.309999999969</v>
      </c>
    </row>
    <row r="394" spans="1:11" x14ac:dyDescent="0.25">
      <c r="A394" s="5" t="s">
        <v>700</v>
      </c>
      <c r="B394" s="6">
        <f t="shared" si="18"/>
        <v>213.4470499999999</v>
      </c>
      <c r="C394" s="7" t="s">
        <v>196</v>
      </c>
      <c r="D394" s="7" t="s">
        <v>195</v>
      </c>
      <c r="E394" s="7" t="s">
        <v>826</v>
      </c>
      <c r="F394" s="8">
        <v>215.3397699999999</v>
      </c>
      <c r="G394" s="7" t="s">
        <v>85</v>
      </c>
      <c r="H394" s="7" t="s">
        <v>83</v>
      </c>
      <c r="I394" s="10">
        <v>606.04999999999995</v>
      </c>
      <c r="J394" s="10">
        <f t="shared" si="20"/>
        <v>213447.0499999999</v>
      </c>
      <c r="K394" s="6">
        <f t="shared" si="19"/>
        <v>19062.20999999997</v>
      </c>
    </row>
    <row r="395" spans="1:11" x14ac:dyDescent="0.25">
      <c r="A395" s="5" t="s">
        <v>700</v>
      </c>
      <c r="B395" s="6">
        <f t="shared" si="18"/>
        <v>214.05309999999989</v>
      </c>
      <c r="C395" s="7" t="s">
        <v>195</v>
      </c>
      <c r="D395" s="7" t="s">
        <v>194</v>
      </c>
      <c r="E395" s="7" t="s">
        <v>826</v>
      </c>
      <c r="F395" s="8">
        <v>215.82789999999991</v>
      </c>
      <c r="G395" s="7" t="s">
        <v>83</v>
      </c>
      <c r="H395" s="7" t="s">
        <v>81</v>
      </c>
      <c r="I395" s="10">
        <v>573.20000000000005</v>
      </c>
      <c r="J395" s="10">
        <f t="shared" si="20"/>
        <v>214053.09999999989</v>
      </c>
      <c r="K395" s="6">
        <f t="shared" si="19"/>
        <v>18456.159999999971</v>
      </c>
    </row>
    <row r="396" spans="1:11" x14ac:dyDescent="0.25">
      <c r="A396" s="5" t="s">
        <v>700</v>
      </c>
      <c r="B396" s="6">
        <f t="shared" si="18"/>
        <v>214.6262999999999</v>
      </c>
      <c r="C396" s="7" t="s">
        <v>194</v>
      </c>
      <c r="D396" s="7" t="s">
        <v>193</v>
      </c>
      <c r="E396" s="7" t="s">
        <v>826</v>
      </c>
      <c r="F396" s="8">
        <v>216.31580999999991</v>
      </c>
      <c r="G396" s="7" t="s">
        <v>81</v>
      </c>
      <c r="H396" s="7" t="s">
        <v>79</v>
      </c>
      <c r="I396" s="10">
        <v>931.78</v>
      </c>
      <c r="J396" s="10">
        <f t="shared" si="20"/>
        <v>214626.2999999999</v>
      </c>
      <c r="K396" s="6">
        <f t="shared" si="19"/>
        <v>17882.95999999997</v>
      </c>
    </row>
    <row r="397" spans="1:11" x14ac:dyDescent="0.25">
      <c r="A397" s="5" t="s">
        <v>700</v>
      </c>
      <c r="B397" s="6">
        <f t="shared" si="18"/>
        <v>215.5580799999999</v>
      </c>
      <c r="C397" s="7" t="s">
        <v>193</v>
      </c>
      <c r="D397" s="7" t="s">
        <v>192</v>
      </c>
      <c r="E397" s="7" t="s">
        <v>826</v>
      </c>
      <c r="F397" s="8">
        <v>216.8876699999999</v>
      </c>
      <c r="G397" s="7" t="s">
        <v>79</v>
      </c>
      <c r="H397" s="7" t="s">
        <v>77</v>
      </c>
      <c r="I397" s="10">
        <v>425.39</v>
      </c>
      <c r="J397" s="10">
        <f t="shared" si="20"/>
        <v>215558.0799999999</v>
      </c>
      <c r="K397" s="6">
        <f t="shared" si="19"/>
        <v>16951.179999999971</v>
      </c>
    </row>
    <row r="398" spans="1:11" x14ac:dyDescent="0.25">
      <c r="A398" s="5" t="s">
        <v>700</v>
      </c>
      <c r="B398" s="6">
        <f t="shared" si="18"/>
        <v>215.98346999999993</v>
      </c>
      <c r="C398" s="7" t="s">
        <v>192</v>
      </c>
      <c r="D398" s="7" t="s">
        <v>191</v>
      </c>
      <c r="E398" s="7" t="s">
        <v>826</v>
      </c>
      <c r="F398" s="8">
        <v>217.45815999999988</v>
      </c>
      <c r="G398" s="7" t="s">
        <v>77</v>
      </c>
      <c r="H398" s="7" t="s">
        <v>75</v>
      </c>
      <c r="I398" s="10">
        <v>417.33</v>
      </c>
      <c r="J398" s="10">
        <f t="shared" si="20"/>
        <v>215983.46999999991</v>
      </c>
      <c r="K398" s="6">
        <f t="shared" si="19"/>
        <v>16525.789999999972</v>
      </c>
    </row>
    <row r="399" spans="1:11" x14ac:dyDescent="0.25">
      <c r="A399" s="5" t="s">
        <v>700</v>
      </c>
      <c r="B399" s="6">
        <f t="shared" si="18"/>
        <v>216.40079999999989</v>
      </c>
      <c r="C399" s="7" t="s">
        <v>191</v>
      </c>
      <c r="D399" s="7" t="s">
        <v>190</v>
      </c>
      <c r="E399" s="7" t="s">
        <v>826</v>
      </c>
      <c r="F399" s="8">
        <v>218.01255999999989</v>
      </c>
      <c r="G399" s="7" t="s">
        <v>75</v>
      </c>
      <c r="H399" s="7" t="s">
        <v>73</v>
      </c>
      <c r="I399" s="10">
        <v>455.89</v>
      </c>
      <c r="J399" s="10">
        <f t="shared" si="20"/>
        <v>216400.7999999999</v>
      </c>
      <c r="K399" s="6">
        <f t="shared" si="19"/>
        <v>16108.459999999972</v>
      </c>
    </row>
    <row r="400" spans="1:11" x14ac:dyDescent="0.25">
      <c r="A400" s="5" t="s">
        <v>700</v>
      </c>
      <c r="B400" s="6">
        <f t="shared" si="18"/>
        <v>216.8566899999999</v>
      </c>
      <c r="C400" s="7" t="s">
        <v>190</v>
      </c>
      <c r="D400" s="7" t="s">
        <v>189</v>
      </c>
      <c r="E400" s="7" t="s">
        <v>826</v>
      </c>
      <c r="F400" s="8">
        <v>218.58320999999987</v>
      </c>
      <c r="G400" s="7" t="s">
        <v>73</v>
      </c>
      <c r="H400" s="7" t="s">
        <v>71</v>
      </c>
      <c r="I400" s="10">
        <v>499.36</v>
      </c>
      <c r="J400" s="10">
        <f t="shared" si="20"/>
        <v>216856.68999999992</v>
      </c>
      <c r="K400" s="6">
        <f t="shared" si="19"/>
        <v>15652.569999999972</v>
      </c>
    </row>
    <row r="401" spans="1:11" x14ac:dyDescent="0.25">
      <c r="A401" s="5" t="s">
        <v>700</v>
      </c>
      <c r="B401" s="42">
        <f t="shared" si="18"/>
        <v>217.3560499999999</v>
      </c>
      <c r="C401" s="7" t="s">
        <v>189</v>
      </c>
      <c r="D401" s="7" t="s">
        <v>188</v>
      </c>
      <c r="E401" s="7" t="s">
        <v>826</v>
      </c>
      <c r="F401" s="8">
        <v>219.15203999999986</v>
      </c>
      <c r="G401" s="7" t="s">
        <v>71</v>
      </c>
      <c r="H401" s="7" t="s">
        <v>69</v>
      </c>
      <c r="I401" s="10">
        <v>627.53</v>
      </c>
      <c r="J401" s="10">
        <f t="shared" si="20"/>
        <v>217356.0499999999</v>
      </c>
      <c r="K401" s="6">
        <f t="shared" si="19"/>
        <v>15153.209999999972</v>
      </c>
    </row>
    <row r="402" spans="1:11" x14ac:dyDescent="0.25">
      <c r="A402" s="5" t="s">
        <v>700</v>
      </c>
      <c r="B402" s="42">
        <f t="shared" si="18"/>
        <v>217.9835799999999</v>
      </c>
      <c r="C402" s="7" t="s">
        <v>188</v>
      </c>
      <c r="D402" s="7" t="s">
        <v>696</v>
      </c>
      <c r="E402" s="7" t="s">
        <v>826</v>
      </c>
      <c r="F402" s="8">
        <v>219.73941999999985</v>
      </c>
      <c r="G402" s="7" t="s">
        <v>69</v>
      </c>
      <c r="H402" s="7" t="s">
        <v>67</v>
      </c>
      <c r="I402" s="10">
        <v>554.54</v>
      </c>
      <c r="J402" s="10">
        <f t="shared" si="20"/>
        <v>217983.5799999999</v>
      </c>
      <c r="K402" s="6">
        <f t="shared" si="19"/>
        <v>14525.679999999971</v>
      </c>
    </row>
    <row r="403" spans="1:11" x14ac:dyDescent="0.25">
      <c r="A403" s="5" t="s">
        <v>700</v>
      </c>
      <c r="B403" s="42">
        <f t="shared" si="18"/>
        <v>218.53811999999991</v>
      </c>
      <c r="C403" s="7" t="s">
        <v>696</v>
      </c>
      <c r="D403" s="7" t="s">
        <v>695</v>
      </c>
      <c r="E403" s="7" t="s">
        <v>826</v>
      </c>
      <c r="F403" s="8">
        <v>220.29114999999987</v>
      </c>
      <c r="G403" s="7" t="s">
        <v>67</v>
      </c>
      <c r="H403" s="7" t="s">
        <v>65</v>
      </c>
      <c r="I403" s="10">
        <v>556.15</v>
      </c>
      <c r="J403" s="10">
        <f t="shared" si="20"/>
        <v>218538.11999999991</v>
      </c>
      <c r="K403" s="6">
        <f t="shared" si="19"/>
        <v>13971.13999999997</v>
      </c>
    </row>
    <row r="404" spans="1:11" x14ac:dyDescent="0.25">
      <c r="A404" s="5" t="s">
        <v>700</v>
      </c>
      <c r="B404" s="42">
        <f t="shared" si="18"/>
        <v>219.09426999999991</v>
      </c>
      <c r="C404" s="7" t="s">
        <v>695</v>
      </c>
      <c r="D404" s="7" t="s">
        <v>694</v>
      </c>
      <c r="E404" s="7" t="s">
        <v>826</v>
      </c>
      <c r="F404" s="8">
        <v>220.86239999999987</v>
      </c>
      <c r="G404" s="7" t="s">
        <v>65</v>
      </c>
      <c r="H404" s="7" t="s">
        <v>63</v>
      </c>
      <c r="I404" s="10">
        <v>620.17999999999995</v>
      </c>
      <c r="J404" s="10">
        <f t="shared" si="20"/>
        <v>219094.2699999999</v>
      </c>
      <c r="K404" s="6">
        <f t="shared" si="19"/>
        <v>13414.989999999971</v>
      </c>
    </row>
    <row r="405" spans="1:11" x14ac:dyDescent="0.25">
      <c r="A405" s="5" t="s">
        <v>700</v>
      </c>
      <c r="B405" s="42">
        <f t="shared" si="18"/>
        <v>219.71444999999989</v>
      </c>
      <c r="C405" s="7" t="s">
        <v>694</v>
      </c>
      <c r="D405" s="7" t="s">
        <v>693</v>
      </c>
      <c r="E405" s="7" t="s">
        <v>826</v>
      </c>
      <c r="F405" s="8">
        <v>221.44213999999988</v>
      </c>
      <c r="G405" s="7" t="s">
        <v>63</v>
      </c>
      <c r="H405" s="7" t="s">
        <v>61</v>
      </c>
      <c r="I405" s="10">
        <v>721.25</v>
      </c>
      <c r="J405" s="10">
        <f t="shared" si="20"/>
        <v>219714.4499999999</v>
      </c>
      <c r="K405" s="6">
        <f t="shared" si="19"/>
        <v>12794.80999999997</v>
      </c>
    </row>
    <row r="406" spans="1:11" x14ac:dyDescent="0.25">
      <c r="A406" s="5" t="s">
        <v>700</v>
      </c>
      <c r="B406" s="42">
        <f t="shared" si="18"/>
        <v>220.43569999999988</v>
      </c>
      <c r="C406" s="7" t="s">
        <v>693</v>
      </c>
      <c r="D406" s="7" t="s">
        <v>692</v>
      </c>
      <c r="E406" s="7" t="s">
        <v>826</v>
      </c>
      <c r="F406" s="8">
        <v>221.95310999999987</v>
      </c>
      <c r="G406" s="7" t="s">
        <v>61</v>
      </c>
      <c r="H406" s="7" t="s">
        <v>59</v>
      </c>
      <c r="I406" s="10">
        <v>685.02</v>
      </c>
      <c r="J406" s="10">
        <f t="shared" si="20"/>
        <v>220435.6999999999</v>
      </c>
      <c r="K406" s="6">
        <f t="shared" si="19"/>
        <v>12073.55999999997</v>
      </c>
    </row>
    <row r="407" spans="1:11" x14ac:dyDescent="0.25">
      <c r="A407" s="5" t="s">
        <v>700</v>
      </c>
      <c r="B407" s="42">
        <f t="shared" si="18"/>
        <v>221.12071999999989</v>
      </c>
      <c r="C407" s="7" t="s">
        <v>692</v>
      </c>
      <c r="D407" s="7" t="s">
        <v>691</v>
      </c>
      <c r="E407" s="7" t="s">
        <v>826</v>
      </c>
      <c r="F407" s="8">
        <v>222.42097999999987</v>
      </c>
      <c r="G407" s="7" t="s">
        <v>59</v>
      </c>
      <c r="H407" s="7" t="s">
        <v>57</v>
      </c>
      <c r="I407" s="10">
        <v>621.86</v>
      </c>
      <c r="J407" s="10">
        <f t="shared" si="20"/>
        <v>221120.71999999988</v>
      </c>
      <c r="K407" s="6">
        <f t="shared" si="19"/>
        <v>11388.53999999997</v>
      </c>
    </row>
    <row r="408" spans="1:11" x14ac:dyDescent="0.25">
      <c r="A408" s="5" t="s">
        <v>700</v>
      </c>
      <c r="B408" s="42">
        <f t="shared" si="18"/>
        <v>221.74257999999986</v>
      </c>
      <c r="C408" s="7" t="s">
        <v>691</v>
      </c>
      <c r="D408" s="7" t="s">
        <v>690</v>
      </c>
      <c r="E408" s="7" t="s">
        <v>826</v>
      </c>
      <c r="F408" s="8">
        <v>222.90243999999987</v>
      </c>
      <c r="G408" s="7" t="s">
        <v>57</v>
      </c>
      <c r="H408" s="7" t="s">
        <v>55</v>
      </c>
      <c r="I408" s="10">
        <v>515.75</v>
      </c>
      <c r="J408" s="10">
        <f t="shared" si="20"/>
        <v>221742.57999999987</v>
      </c>
      <c r="K408" s="6">
        <f t="shared" si="19"/>
        <v>10766.679999999969</v>
      </c>
    </row>
    <row r="409" spans="1:11" x14ac:dyDescent="0.25">
      <c r="A409" s="5" t="s">
        <v>700</v>
      </c>
      <c r="B409" s="42">
        <f t="shared" si="18"/>
        <v>222.25832999999986</v>
      </c>
      <c r="C409" s="7" t="s">
        <v>690</v>
      </c>
      <c r="D409" s="7" t="s">
        <v>689</v>
      </c>
      <c r="E409" s="7" t="s">
        <v>826</v>
      </c>
      <c r="F409" s="8">
        <v>223.39084999999986</v>
      </c>
      <c r="G409" s="7" t="s">
        <v>55</v>
      </c>
      <c r="H409" s="7" t="s">
        <v>53</v>
      </c>
      <c r="I409" s="10">
        <v>474.52</v>
      </c>
      <c r="J409" s="10">
        <f t="shared" si="20"/>
        <v>222258.32999999987</v>
      </c>
      <c r="K409" s="6">
        <f t="shared" si="19"/>
        <v>10250.929999999969</v>
      </c>
    </row>
    <row r="410" spans="1:11" x14ac:dyDescent="0.25">
      <c r="A410" s="5" t="s">
        <v>700</v>
      </c>
      <c r="B410" s="42">
        <f t="shared" si="18"/>
        <v>222.73284999999987</v>
      </c>
      <c r="C410" s="7" t="s">
        <v>689</v>
      </c>
      <c r="D410" s="7" t="s">
        <v>688</v>
      </c>
      <c r="E410" s="7" t="s">
        <v>826</v>
      </c>
      <c r="F410" s="8">
        <v>223.88090999999986</v>
      </c>
      <c r="G410" s="7" t="s">
        <v>53</v>
      </c>
      <c r="H410" s="7" t="s">
        <v>51</v>
      </c>
      <c r="I410" s="10">
        <v>717.55</v>
      </c>
      <c r="J410" s="10">
        <f t="shared" si="20"/>
        <v>222732.84999999986</v>
      </c>
      <c r="K410" s="6">
        <f t="shared" si="19"/>
        <v>9776.4099999999689</v>
      </c>
    </row>
    <row r="411" spans="1:11" x14ac:dyDescent="0.25">
      <c r="A411" s="5" t="s">
        <v>700</v>
      </c>
      <c r="B411" s="42">
        <f t="shared" si="18"/>
        <v>223.45039999999986</v>
      </c>
      <c r="C411" s="7" t="s">
        <v>688</v>
      </c>
      <c r="D411" s="7" t="s">
        <v>687</v>
      </c>
      <c r="E411" s="7" t="s">
        <v>826</v>
      </c>
      <c r="F411" s="8">
        <v>224.34241999999986</v>
      </c>
      <c r="G411" s="7" t="s">
        <v>51</v>
      </c>
      <c r="H411" s="7" t="s">
        <v>49</v>
      </c>
      <c r="I411" s="10">
        <v>599.88</v>
      </c>
      <c r="J411" s="10">
        <f t="shared" si="20"/>
        <v>223450.39999999985</v>
      </c>
      <c r="K411" s="6">
        <f t="shared" si="19"/>
        <v>9058.8599999999697</v>
      </c>
    </row>
    <row r="412" spans="1:11" x14ac:dyDescent="0.25">
      <c r="A412" s="5" t="s">
        <v>700</v>
      </c>
      <c r="B412" s="42">
        <f t="shared" si="18"/>
        <v>224.05027999999984</v>
      </c>
      <c r="C412" s="7" t="s">
        <v>687</v>
      </c>
      <c r="D412" s="7" t="s">
        <v>686</v>
      </c>
      <c r="E412" s="7" t="s">
        <v>826</v>
      </c>
      <c r="F412" s="8">
        <v>224.86000999999987</v>
      </c>
      <c r="G412" s="7" t="s">
        <v>49</v>
      </c>
      <c r="H412" s="7" t="s">
        <v>47</v>
      </c>
      <c r="I412" s="10">
        <v>599.13</v>
      </c>
      <c r="J412" s="10">
        <f t="shared" si="20"/>
        <v>224050.27999999985</v>
      </c>
      <c r="K412" s="6">
        <f t="shared" si="19"/>
        <v>8458.9799999999705</v>
      </c>
    </row>
    <row r="413" spans="1:11" x14ac:dyDescent="0.25">
      <c r="A413" s="5" t="s">
        <v>700</v>
      </c>
      <c r="B413" s="42">
        <f t="shared" si="18"/>
        <v>224.64940999999985</v>
      </c>
      <c r="C413" s="7" t="s">
        <v>686</v>
      </c>
      <c r="D413" s="7" t="s">
        <v>685</v>
      </c>
      <c r="E413" s="7" t="s">
        <v>826</v>
      </c>
      <c r="F413" s="8">
        <v>225.41979999999987</v>
      </c>
      <c r="G413" s="7" t="s">
        <v>47</v>
      </c>
      <c r="H413" s="7" t="s">
        <v>45</v>
      </c>
      <c r="I413" s="10">
        <v>554.04999999999995</v>
      </c>
      <c r="J413" s="10">
        <f t="shared" si="20"/>
        <v>224649.40999999986</v>
      </c>
      <c r="K413" s="6">
        <f t="shared" si="19"/>
        <v>7859.8499999999704</v>
      </c>
    </row>
    <row r="414" spans="1:11" x14ac:dyDescent="0.25">
      <c r="A414" s="5" t="s">
        <v>700</v>
      </c>
      <c r="B414" s="42">
        <f t="shared" si="18"/>
        <v>225.20345999999984</v>
      </c>
      <c r="C414" s="7" t="s">
        <v>685</v>
      </c>
      <c r="D414" s="7" t="s">
        <v>684</v>
      </c>
      <c r="E414" s="7" t="s">
        <v>826</v>
      </c>
      <c r="F414" s="8">
        <v>225.97453999999988</v>
      </c>
      <c r="G414" s="7" t="s">
        <v>45</v>
      </c>
      <c r="H414" s="7" t="s">
        <v>43</v>
      </c>
      <c r="I414" s="10">
        <v>551.16</v>
      </c>
      <c r="J414" s="10">
        <f t="shared" si="20"/>
        <v>225203.45999999985</v>
      </c>
      <c r="K414" s="6">
        <f t="shared" si="19"/>
        <v>7305.7999999999702</v>
      </c>
    </row>
    <row r="415" spans="1:11" x14ac:dyDescent="0.25">
      <c r="A415" s="5" t="s">
        <v>700</v>
      </c>
      <c r="B415" s="42">
        <f t="shared" si="18"/>
        <v>225.75461999999985</v>
      </c>
      <c r="C415" s="7" t="s">
        <v>684</v>
      </c>
      <c r="D415" s="7" t="s">
        <v>683</v>
      </c>
      <c r="E415" s="7" t="s">
        <v>826</v>
      </c>
      <c r="F415" s="8">
        <v>226.48721999999987</v>
      </c>
      <c r="G415" s="7" t="s">
        <v>43</v>
      </c>
      <c r="H415" s="7" t="s">
        <v>41</v>
      </c>
      <c r="I415" s="10">
        <v>548.95000000000005</v>
      </c>
      <c r="J415" s="10">
        <f t="shared" si="20"/>
        <v>225754.61999999985</v>
      </c>
      <c r="K415" s="6">
        <f t="shared" si="19"/>
        <v>6754.6399999999703</v>
      </c>
    </row>
    <row r="416" spans="1:11" x14ac:dyDescent="0.25">
      <c r="A416" s="5" t="s">
        <v>700</v>
      </c>
      <c r="B416" s="42">
        <f t="shared" si="18"/>
        <v>226.30356999999987</v>
      </c>
      <c r="C416" s="7" t="s">
        <v>683</v>
      </c>
      <c r="D416" s="7" t="s">
        <v>682</v>
      </c>
      <c r="E416" s="7" t="s">
        <v>826</v>
      </c>
      <c r="F416" s="8">
        <v>226.94855999999984</v>
      </c>
      <c r="G416" s="7" t="s">
        <v>41</v>
      </c>
      <c r="H416" s="7" t="s">
        <v>39</v>
      </c>
      <c r="I416" s="10">
        <v>539.22</v>
      </c>
      <c r="J416" s="10">
        <f t="shared" si="20"/>
        <v>226303.56999999986</v>
      </c>
      <c r="K416" s="6">
        <f t="shared" si="19"/>
        <v>6205.6899999999705</v>
      </c>
    </row>
    <row r="417" spans="1:11" x14ac:dyDescent="0.25">
      <c r="A417" s="5" t="s">
        <v>700</v>
      </c>
      <c r="B417" s="42">
        <f t="shared" si="18"/>
        <v>226.84278999999987</v>
      </c>
      <c r="C417" s="7" t="s">
        <v>682</v>
      </c>
      <c r="D417" s="7" t="s">
        <v>681</v>
      </c>
      <c r="E417" s="7" t="s">
        <v>826</v>
      </c>
      <c r="F417" s="8">
        <v>227.45337999999987</v>
      </c>
      <c r="G417" s="7" t="s">
        <v>39</v>
      </c>
      <c r="H417" s="7" t="s">
        <v>37</v>
      </c>
      <c r="I417" s="10">
        <v>555.02</v>
      </c>
      <c r="J417" s="10">
        <f t="shared" si="20"/>
        <v>226842.78999999986</v>
      </c>
      <c r="K417" s="6">
        <f t="shared" si="19"/>
        <v>5666.4699999999702</v>
      </c>
    </row>
    <row r="418" spans="1:11" x14ac:dyDescent="0.25">
      <c r="A418" s="5" t="s">
        <v>700</v>
      </c>
      <c r="B418" s="42">
        <f t="shared" si="18"/>
        <v>227.39780999999985</v>
      </c>
      <c r="C418" s="7" t="s">
        <v>681</v>
      </c>
      <c r="D418" s="7" t="s">
        <v>680</v>
      </c>
      <c r="E418" s="7" t="s">
        <v>826</v>
      </c>
      <c r="F418" s="8">
        <v>227.87274999999985</v>
      </c>
      <c r="G418" s="7" t="s">
        <v>37</v>
      </c>
      <c r="H418" s="7" t="s">
        <v>35</v>
      </c>
      <c r="I418" s="10">
        <v>632.24</v>
      </c>
      <c r="J418" s="10">
        <f t="shared" si="20"/>
        <v>227397.80999999985</v>
      </c>
      <c r="K418" s="6">
        <f t="shared" si="19"/>
        <v>5111.4499999999698</v>
      </c>
    </row>
    <row r="419" spans="1:11" x14ac:dyDescent="0.25">
      <c r="A419" s="5" t="s">
        <v>700</v>
      </c>
      <c r="B419" s="42">
        <f t="shared" si="18"/>
        <v>228.03004999999985</v>
      </c>
      <c r="C419" s="7" t="s">
        <v>680</v>
      </c>
      <c r="D419" s="7" t="s">
        <v>679</v>
      </c>
      <c r="E419" s="7" t="s">
        <v>826</v>
      </c>
      <c r="F419" s="8">
        <v>228.30080999999984</v>
      </c>
      <c r="G419" s="7" t="s">
        <v>35</v>
      </c>
      <c r="H419" s="7" t="s">
        <v>33</v>
      </c>
      <c r="I419" s="10">
        <v>662.52</v>
      </c>
      <c r="J419" s="10">
        <f t="shared" si="20"/>
        <v>228030.04999999984</v>
      </c>
      <c r="K419" s="6">
        <f t="shared" si="19"/>
        <v>4479.20999999997</v>
      </c>
    </row>
    <row r="420" spans="1:11" x14ac:dyDescent="0.25">
      <c r="A420" s="5" t="s">
        <v>700</v>
      </c>
      <c r="B420" s="42">
        <f t="shared" si="18"/>
        <v>228.69256999999982</v>
      </c>
      <c r="C420" s="7" t="s">
        <v>679</v>
      </c>
      <c r="D420" s="7" t="s">
        <v>678</v>
      </c>
      <c r="E420" s="7" t="s">
        <v>826</v>
      </c>
      <c r="F420" s="8">
        <v>228.82847999999987</v>
      </c>
      <c r="G420" s="7" t="s">
        <v>33</v>
      </c>
      <c r="H420" s="7" t="s">
        <v>31</v>
      </c>
      <c r="I420" s="10">
        <v>526.9</v>
      </c>
      <c r="J420" s="10">
        <f t="shared" si="20"/>
        <v>228692.56999999983</v>
      </c>
      <c r="K420" s="6">
        <f t="shared" si="19"/>
        <v>3816.68999999997</v>
      </c>
    </row>
    <row r="421" spans="1:11" x14ac:dyDescent="0.25">
      <c r="A421" s="5" t="s">
        <v>700</v>
      </c>
      <c r="B421" s="42">
        <f t="shared" si="18"/>
        <v>229.21946999999983</v>
      </c>
      <c r="C421" s="7" t="s">
        <v>678</v>
      </c>
      <c r="D421" s="7" t="s">
        <v>677</v>
      </c>
      <c r="E421" s="7" t="s">
        <v>826</v>
      </c>
      <c r="F421" s="8">
        <v>229.37262999999987</v>
      </c>
      <c r="G421" s="7" t="s">
        <v>31</v>
      </c>
      <c r="H421" s="7" t="s">
        <v>29</v>
      </c>
      <c r="I421" s="10">
        <v>584.51</v>
      </c>
      <c r="J421" s="10">
        <f t="shared" si="20"/>
        <v>229219.46999999983</v>
      </c>
      <c r="K421" s="6">
        <f t="shared" si="19"/>
        <v>3289.78999999997</v>
      </c>
    </row>
    <row r="422" spans="1:11" x14ac:dyDescent="0.25">
      <c r="A422" s="5" t="s">
        <v>700</v>
      </c>
      <c r="B422" s="42">
        <f t="shared" si="18"/>
        <v>229.80397999999983</v>
      </c>
      <c r="C422" s="7" t="s">
        <v>677</v>
      </c>
      <c r="D422" s="7" t="s">
        <v>676</v>
      </c>
      <c r="E422" s="7" t="s">
        <v>826</v>
      </c>
      <c r="F422" s="8">
        <v>229.90222999999986</v>
      </c>
      <c r="G422" s="7" t="s">
        <v>29</v>
      </c>
      <c r="H422" s="7" t="s">
        <v>27</v>
      </c>
      <c r="I422" s="10">
        <v>440.04</v>
      </c>
      <c r="J422" s="10">
        <f t="shared" si="20"/>
        <v>229803.97999999984</v>
      </c>
      <c r="K422" s="6">
        <f t="shared" si="19"/>
        <v>2705.2799999999697</v>
      </c>
    </row>
    <row r="423" spans="1:11" x14ac:dyDescent="0.25">
      <c r="A423" s="5" t="s">
        <v>700</v>
      </c>
      <c r="B423" s="42">
        <f t="shared" si="18"/>
        <v>230.24401999999984</v>
      </c>
      <c r="C423" s="7" t="s">
        <v>676</v>
      </c>
      <c r="D423" s="7" t="s">
        <v>675</v>
      </c>
      <c r="E423" s="7" t="s">
        <v>826</v>
      </c>
      <c r="F423" s="8">
        <v>230.46093999999985</v>
      </c>
      <c r="G423" s="7" t="s">
        <v>27</v>
      </c>
      <c r="H423" s="7" t="s">
        <v>25</v>
      </c>
      <c r="I423" s="10">
        <v>552.62</v>
      </c>
      <c r="J423" s="10">
        <f t="shared" si="20"/>
        <v>230244.01999999984</v>
      </c>
      <c r="K423" s="6">
        <f t="shared" si="19"/>
        <v>2265.2399999999698</v>
      </c>
    </row>
    <row r="424" spans="1:11" x14ac:dyDescent="0.25">
      <c r="A424" s="5" t="s">
        <v>700</v>
      </c>
      <c r="B424" s="42">
        <f t="shared" si="18"/>
        <v>230.79663999999983</v>
      </c>
      <c r="C424" s="7" t="s">
        <v>675</v>
      </c>
      <c r="D424" s="7" t="s">
        <v>674</v>
      </c>
      <c r="E424" s="7" t="s">
        <v>826</v>
      </c>
      <c r="F424" s="8">
        <v>230.98117999999985</v>
      </c>
      <c r="G424" s="7" t="s">
        <v>25</v>
      </c>
      <c r="H424" s="7" t="s">
        <v>23</v>
      </c>
      <c r="I424" s="10">
        <v>680.62</v>
      </c>
      <c r="J424" s="10">
        <f t="shared" si="20"/>
        <v>230796.63999999984</v>
      </c>
      <c r="K424" s="6">
        <f t="shared" si="19"/>
        <v>1712.6199999999699</v>
      </c>
    </row>
    <row r="425" spans="1:11" x14ac:dyDescent="0.25">
      <c r="A425" s="5" t="s">
        <v>700</v>
      </c>
      <c r="B425" s="42">
        <f t="shared" si="18"/>
        <v>231.47725999999983</v>
      </c>
      <c r="C425" s="7" t="s">
        <v>674</v>
      </c>
      <c r="D425" s="7" t="s">
        <v>673</v>
      </c>
      <c r="E425" s="7" t="s">
        <v>826</v>
      </c>
      <c r="F425" s="8">
        <v>231.44816999999983</v>
      </c>
      <c r="G425" s="7" t="s">
        <v>23</v>
      </c>
      <c r="H425" s="7" t="s">
        <v>20</v>
      </c>
      <c r="I425" s="10">
        <v>520.73</v>
      </c>
      <c r="J425" s="10">
        <f t="shared" si="20"/>
        <v>231477.25999999983</v>
      </c>
      <c r="K425" s="6">
        <f t="shared" si="19"/>
        <v>1031.99999999997</v>
      </c>
    </row>
    <row r="426" spans="1:11" x14ac:dyDescent="0.25">
      <c r="A426" s="5" t="s">
        <v>700</v>
      </c>
      <c r="B426" s="42">
        <f t="shared" si="18"/>
        <v>231.99798999999985</v>
      </c>
      <c r="C426" s="7" t="s">
        <v>673</v>
      </c>
      <c r="D426" s="7" t="s">
        <v>672</v>
      </c>
      <c r="E426" s="7" t="s">
        <v>826</v>
      </c>
      <c r="F426" s="8">
        <v>231.98025999999984</v>
      </c>
      <c r="G426" s="7" t="s">
        <v>20</v>
      </c>
      <c r="H426" s="7" t="s">
        <v>15</v>
      </c>
      <c r="I426" s="10">
        <v>441.25</v>
      </c>
      <c r="J426" s="10">
        <f t="shared" si="20"/>
        <v>231997.98999999985</v>
      </c>
      <c r="K426" s="6">
        <f t="shared" si="19"/>
        <v>511.26999999996997</v>
      </c>
    </row>
    <row r="427" spans="1:11" x14ac:dyDescent="0.25">
      <c r="A427" s="5" t="s">
        <v>700</v>
      </c>
      <c r="B427" s="42">
        <f t="shared" si="18"/>
        <v>232.43923999999984</v>
      </c>
      <c r="C427" s="7" t="s">
        <v>672</v>
      </c>
      <c r="D427" s="7" t="s">
        <v>701</v>
      </c>
      <c r="E427" s="7" t="s">
        <v>826</v>
      </c>
      <c r="F427" s="8">
        <v>232.43925999999985</v>
      </c>
      <c r="G427" s="7" t="s">
        <v>15</v>
      </c>
      <c r="H427" s="7" t="s">
        <v>506</v>
      </c>
      <c r="I427" s="10">
        <v>70.02</v>
      </c>
      <c r="J427" s="10">
        <f t="shared" si="20"/>
        <v>232439.23999999985</v>
      </c>
      <c r="K427" s="6">
        <f t="shared" si="19"/>
        <v>70.019999999969968</v>
      </c>
    </row>
    <row r="428" spans="1:11" x14ac:dyDescent="0.25">
      <c r="A428" s="5" t="s">
        <v>700</v>
      </c>
      <c r="B428" s="42">
        <f t="shared" si="18"/>
        <v>232.50925999999984</v>
      </c>
      <c r="C428" s="7" t="s">
        <v>839</v>
      </c>
      <c r="D428" s="7" t="s">
        <v>22</v>
      </c>
      <c r="E428" s="7" t="s">
        <v>826</v>
      </c>
      <c r="F428" s="8">
        <v>232.50925999999984</v>
      </c>
      <c r="G428" s="7" t="s">
        <v>506</v>
      </c>
      <c r="H428" s="7" t="s">
        <v>22</v>
      </c>
      <c r="I428" s="10"/>
      <c r="J428" s="10">
        <f t="shared" si="20"/>
        <v>232509.25999999983</v>
      </c>
      <c r="K428" s="6">
        <f t="shared" si="19"/>
        <v>-3.0027536013221834E-11</v>
      </c>
    </row>
    <row r="429" spans="1:11" x14ac:dyDescent="0.25">
      <c r="A429" s="13"/>
      <c r="B429" s="13"/>
      <c r="C429" s="14"/>
      <c r="D429" s="14"/>
      <c r="E429" s="14"/>
      <c r="F429" s="14"/>
      <c r="G429" s="14"/>
      <c r="H429" s="14"/>
      <c r="I429" s="15"/>
      <c r="J429" s="13"/>
      <c r="K429" s="13"/>
    </row>
    <row r="431" spans="1:11" x14ac:dyDescent="0.25">
      <c r="I431" s="16">
        <f>SUM(I2:I427)/1000</f>
        <v>232.50925999999984</v>
      </c>
      <c r="J431" s="5">
        <v>425</v>
      </c>
    </row>
  </sheetData>
  <dataValidations count="3"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600-000000000000}">
      <formula1>0</formula1>
      <formula2>30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600-000001000000}">
      <formula1>0</formula1>
      <formula2>60</formula2>
    </dataValidation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600-000002000000}">
      <formula1>0</formula1>
      <formula2>50</formula2>
    </dataValidation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7"/>
  <dimension ref="A1:O499"/>
  <sheetViews>
    <sheetView workbookViewId="0">
      <selection activeCell="A2" sqref="A2"/>
    </sheetView>
  </sheetViews>
  <sheetFormatPr defaultRowHeight="15" x14ac:dyDescent="0.25"/>
  <cols>
    <col min="1" max="1" width="20" style="5" bestFit="1" customWidth="1"/>
    <col min="2" max="2" width="10.5703125" style="5" bestFit="1" customWidth="1"/>
    <col min="3" max="3" width="21.85546875" style="7" bestFit="1" customWidth="1"/>
    <col min="4" max="4" width="21.85546875" style="7" hidden="1" customWidth="1"/>
    <col min="5" max="5" width="7.140625" style="7" bestFit="1" customWidth="1"/>
    <col min="6" max="6" width="13.140625" style="7" hidden="1" customWidth="1"/>
    <col min="7" max="8" width="21.85546875" style="7" hidden="1" customWidth="1"/>
    <col min="9" max="9" width="30.28515625" style="12" hidden="1" customWidth="1"/>
    <col min="10" max="10" width="26.28515625" style="5" hidden="1" customWidth="1"/>
    <col min="11" max="11" width="24.5703125" style="5" hidden="1" customWidth="1"/>
    <col min="12" max="12" width="5" bestFit="1" customWidth="1"/>
    <col min="13" max="13" width="12" bestFit="1" customWidth="1"/>
    <col min="14" max="14" width="11.5703125" bestFit="1" customWidth="1"/>
    <col min="257" max="257" width="37.140625" bestFit="1" customWidth="1"/>
    <col min="258" max="258" width="12.140625" customWidth="1"/>
    <col min="259" max="260" width="30.5703125" bestFit="1" customWidth="1"/>
    <col min="261" max="261" width="8.140625" customWidth="1"/>
    <col min="262" max="263" width="30.5703125" bestFit="1" customWidth="1"/>
    <col min="264" max="264" width="37.28515625" bestFit="1" customWidth="1"/>
    <col min="265" max="265" width="32" bestFit="1" customWidth="1"/>
    <col min="266" max="266" width="30" bestFit="1" customWidth="1"/>
    <col min="268" max="268" width="18.7109375" bestFit="1" customWidth="1"/>
    <col min="269" max="269" width="19" bestFit="1" customWidth="1"/>
    <col min="270" max="270" width="4.5703125" bestFit="1" customWidth="1"/>
    <col min="513" max="513" width="37.140625" bestFit="1" customWidth="1"/>
    <col min="514" max="514" width="12.140625" customWidth="1"/>
    <col min="515" max="516" width="30.5703125" bestFit="1" customWidth="1"/>
    <col min="517" max="517" width="8.140625" customWidth="1"/>
    <col min="518" max="519" width="30.5703125" bestFit="1" customWidth="1"/>
    <col min="520" max="520" width="37.28515625" bestFit="1" customWidth="1"/>
    <col min="521" max="521" width="32" bestFit="1" customWidth="1"/>
    <col min="522" max="522" width="30" bestFit="1" customWidth="1"/>
    <col min="524" max="524" width="18.7109375" bestFit="1" customWidth="1"/>
    <col min="525" max="525" width="19" bestFit="1" customWidth="1"/>
    <col min="526" max="526" width="4.5703125" bestFit="1" customWidth="1"/>
    <col min="769" max="769" width="37.140625" bestFit="1" customWidth="1"/>
    <col min="770" max="770" width="12.140625" customWidth="1"/>
    <col min="771" max="772" width="30.5703125" bestFit="1" customWidth="1"/>
    <col min="773" max="773" width="8.140625" customWidth="1"/>
    <col min="774" max="775" width="30.5703125" bestFit="1" customWidth="1"/>
    <col min="776" max="776" width="37.28515625" bestFit="1" customWidth="1"/>
    <col min="777" max="777" width="32" bestFit="1" customWidth="1"/>
    <col min="778" max="778" width="30" bestFit="1" customWidth="1"/>
    <col min="780" max="780" width="18.7109375" bestFit="1" customWidth="1"/>
    <col min="781" max="781" width="19" bestFit="1" customWidth="1"/>
    <col min="782" max="782" width="4.5703125" bestFit="1" customWidth="1"/>
    <col min="1025" max="1025" width="37.140625" bestFit="1" customWidth="1"/>
    <col min="1026" max="1026" width="12.140625" customWidth="1"/>
    <col min="1027" max="1028" width="30.5703125" bestFit="1" customWidth="1"/>
    <col min="1029" max="1029" width="8.140625" customWidth="1"/>
    <col min="1030" max="1031" width="30.5703125" bestFit="1" customWidth="1"/>
    <col min="1032" max="1032" width="37.28515625" bestFit="1" customWidth="1"/>
    <col min="1033" max="1033" width="32" bestFit="1" customWidth="1"/>
    <col min="1034" max="1034" width="30" bestFit="1" customWidth="1"/>
    <col min="1036" max="1036" width="18.7109375" bestFit="1" customWidth="1"/>
    <col min="1037" max="1037" width="19" bestFit="1" customWidth="1"/>
    <col min="1038" max="1038" width="4.5703125" bestFit="1" customWidth="1"/>
    <col min="1281" max="1281" width="37.140625" bestFit="1" customWidth="1"/>
    <col min="1282" max="1282" width="12.140625" customWidth="1"/>
    <col min="1283" max="1284" width="30.5703125" bestFit="1" customWidth="1"/>
    <col min="1285" max="1285" width="8.140625" customWidth="1"/>
    <col min="1286" max="1287" width="30.5703125" bestFit="1" customWidth="1"/>
    <col min="1288" max="1288" width="37.28515625" bestFit="1" customWidth="1"/>
    <col min="1289" max="1289" width="32" bestFit="1" customWidth="1"/>
    <col min="1290" max="1290" width="30" bestFit="1" customWidth="1"/>
    <col min="1292" max="1292" width="18.7109375" bestFit="1" customWidth="1"/>
    <col min="1293" max="1293" width="19" bestFit="1" customWidth="1"/>
    <col min="1294" max="1294" width="4.5703125" bestFit="1" customWidth="1"/>
    <col min="1537" max="1537" width="37.140625" bestFit="1" customWidth="1"/>
    <col min="1538" max="1538" width="12.140625" customWidth="1"/>
    <col min="1539" max="1540" width="30.5703125" bestFit="1" customWidth="1"/>
    <col min="1541" max="1541" width="8.140625" customWidth="1"/>
    <col min="1542" max="1543" width="30.5703125" bestFit="1" customWidth="1"/>
    <col min="1544" max="1544" width="37.28515625" bestFit="1" customWidth="1"/>
    <col min="1545" max="1545" width="32" bestFit="1" customWidth="1"/>
    <col min="1546" max="1546" width="30" bestFit="1" customWidth="1"/>
    <col min="1548" max="1548" width="18.7109375" bestFit="1" customWidth="1"/>
    <col min="1549" max="1549" width="19" bestFit="1" customWidth="1"/>
    <col min="1550" max="1550" width="4.5703125" bestFit="1" customWidth="1"/>
    <col min="1793" max="1793" width="37.140625" bestFit="1" customWidth="1"/>
    <col min="1794" max="1794" width="12.140625" customWidth="1"/>
    <col min="1795" max="1796" width="30.5703125" bestFit="1" customWidth="1"/>
    <col min="1797" max="1797" width="8.140625" customWidth="1"/>
    <col min="1798" max="1799" width="30.5703125" bestFit="1" customWidth="1"/>
    <col min="1800" max="1800" width="37.28515625" bestFit="1" customWidth="1"/>
    <col min="1801" max="1801" width="32" bestFit="1" customWidth="1"/>
    <col min="1802" max="1802" width="30" bestFit="1" customWidth="1"/>
    <col min="1804" max="1804" width="18.7109375" bestFit="1" customWidth="1"/>
    <col min="1805" max="1805" width="19" bestFit="1" customWidth="1"/>
    <col min="1806" max="1806" width="4.5703125" bestFit="1" customWidth="1"/>
    <col min="2049" max="2049" width="37.140625" bestFit="1" customWidth="1"/>
    <col min="2050" max="2050" width="12.140625" customWidth="1"/>
    <col min="2051" max="2052" width="30.5703125" bestFit="1" customWidth="1"/>
    <col min="2053" max="2053" width="8.140625" customWidth="1"/>
    <col min="2054" max="2055" width="30.5703125" bestFit="1" customWidth="1"/>
    <col min="2056" max="2056" width="37.28515625" bestFit="1" customWidth="1"/>
    <col min="2057" max="2057" width="32" bestFit="1" customWidth="1"/>
    <col min="2058" max="2058" width="30" bestFit="1" customWidth="1"/>
    <col min="2060" max="2060" width="18.7109375" bestFit="1" customWidth="1"/>
    <col min="2061" max="2061" width="19" bestFit="1" customWidth="1"/>
    <col min="2062" max="2062" width="4.5703125" bestFit="1" customWidth="1"/>
    <col min="2305" max="2305" width="37.140625" bestFit="1" customWidth="1"/>
    <col min="2306" max="2306" width="12.140625" customWidth="1"/>
    <col min="2307" max="2308" width="30.5703125" bestFit="1" customWidth="1"/>
    <col min="2309" max="2309" width="8.140625" customWidth="1"/>
    <col min="2310" max="2311" width="30.5703125" bestFit="1" customWidth="1"/>
    <col min="2312" max="2312" width="37.28515625" bestFit="1" customWidth="1"/>
    <col min="2313" max="2313" width="32" bestFit="1" customWidth="1"/>
    <col min="2314" max="2314" width="30" bestFit="1" customWidth="1"/>
    <col min="2316" max="2316" width="18.7109375" bestFit="1" customWidth="1"/>
    <col min="2317" max="2317" width="19" bestFit="1" customWidth="1"/>
    <col min="2318" max="2318" width="4.5703125" bestFit="1" customWidth="1"/>
    <col min="2561" max="2561" width="37.140625" bestFit="1" customWidth="1"/>
    <col min="2562" max="2562" width="12.140625" customWidth="1"/>
    <col min="2563" max="2564" width="30.5703125" bestFit="1" customWidth="1"/>
    <col min="2565" max="2565" width="8.140625" customWidth="1"/>
    <col min="2566" max="2567" width="30.5703125" bestFit="1" customWidth="1"/>
    <col min="2568" max="2568" width="37.28515625" bestFit="1" customWidth="1"/>
    <col min="2569" max="2569" width="32" bestFit="1" customWidth="1"/>
    <col min="2570" max="2570" width="30" bestFit="1" customWidth="1"/>
    <col min="2572" max="2572" width="18.7109375" bestFit="1" customWidth="1"/>
    <col min="2573" max="2573" width="19" bestFit="1" customWidth="1"/>
    <col min="2574" max="2574" width="4.5703125" bestFit="1" customWidth="1"/>
    <col min="2817" max="2817" width="37.140625" bestFit="1" customWidth="1"/>
    <col min="2818" max="2818" width="12.140625" customWidth="1"/>
    <col min="2819" max="2820" width="30.5703125" bestFit="1" customWidth="1"/>
    <col min="2821" max="2821" width="8.140625" customWidth="1"/>
    <col min="2822" max="2823" width="30.5703125" bestFit="1" customWidth="1"/>
    <col min="2824" max="2824" width="37.28515625" bestFit="1" customWidth="1"/>
    <col min="2825" max="2825" width="32" bestFit="1" customWidth="1"/>
    <col min="2826" max="2826" width="30" bestFit="1" customWidth="1"/>
    <col min="2828" max="2828" width="18.7109375" bestFit="1" customWidth="1"/>
    <col min="2829" max="2829" width="19" bestFit="1" customWidth="1"/>
    <col min="2830" max="2830" width="4.5703125" bestFit="1" customWidth="1"/>
    <col min="3073" max="3073" width="37.140625" bestFit="1" customWidth="1"/>
    <col min="3074" max="3074" width="12.140625" customWidth="1"/>
    <col min="3075" max="3076" width="30.5703125" bestFit="1" customWidth="1"/>
    <col min="3077" max="3077" width="8.140625" customWidth="1"/>
    <col min="3078" max="3079" width="30.5703125" bestFit="1" customWidth="1"/>
    <col min="3080" max="3080" width="37.28515625" bestFit="1" customWidth="1"/>
    <col min="3081" max="3081" width="32" bestFit="1" customWidth="1"/>
    <col min="3082" max="3082" width="30" bestFit="1" customWidth="1"/>
    <col min="3084" max="3084" width="18.7109375" bestFit="1" customWidth="1"/>
    <col min="3085" max="3085" width="19" bestFit="1" customWidth="1"/>
    <col min="3086" max="3086" width="4.5703125" bestFit="1" customWidth="1"/>
    <col min="3329" max="3329" width="37.140625" bestFit="1" customWidth="1"/>
    <col min="3330" max="3330" width="12.140625" customWidth="1"/>
    <col min="3331" max="3332" width="30.5703125" bestFit="1" customWidth="1"/>
    <col min="3333" max="3333" width="8.140625" customWidth="1"/>
    <col min="3334" max="3335" width="30.5703125" bestFit="1" customWidth="1"/>
    <col min="3336" max="3336" width="37.28515625" bestFit="1" customWidth="1"/>
    <col min="3337" max="3337" width="32" bestFit="1" customWidth="1"/>
    <col min="3338" max="3338" width="30" bestFit="1" customWidth="1"/>
    <col min="3340" max="3340" width="18.7109375" bestFit="1" customWidth="1"/>
    <col min="3341" max="3341" width="19" bestFit="1" customWidth="1"/>
    <col min="3342" max="3342" width="4.5703125" bestFit="1" customWidth="1"/>
    <col min="3585" max="3585" width="37.140625" bestFit="1" customWidth="1"/>
    <col min="3586" max="3586" width="12.140625" customWidth="1"/>
    <col min="3587" max="3588" width="30.5703125" bestFit="1" customWidth="1"/>
    <col min="3589" max="3589" width="8.140625" customWidth="1"/>
    <col min="3590" max="3591" width="30.5703125" bestFit="1" customWidth="1"/>
    <col min="3592" max="3592" width="37.28515625" bestFit="1" customWidth="1"/>
    <col min="3593" max="3593" width="32" bestFit="1" customWidth="1"/>
    <col min="3594" max="3594" width="30" bestFit="1" customWidth="1"/>
    <col min="3596" max="3596" width="18.7109375" bestFit="1" customWidth="1"/>
    <col min="3597" max="3597" width="19" bestFit="1" customWidth="1"/>
    <col min="3598" max="3598" width="4.5703125" bestFit="1" customWidth="1"/>
    <col min="3841" max="3841" width="37.140625" bestFit="1" customWidth="1"/>
    <col min="3842" max="3842" width="12.140625" customWidth="1"/>
    <col min="3843" max="3844" width="30.5703125" bestFit="1" customWidth="1"/>
    <col min="3845" max="3845" width="8.140625" customWidth="1"/>
    <col min="3846" max="3847" width="30.5703125" bestFit="1" customWidth="1"/>
    <col min="3848" max="3848" width="37.28515625" bestFit="1" customWidth="1"/>
    <col min="3849" max="3849" width="32" bestFit="1" customWidth="1"/>
    <col min="3850" max="3850" width="30" bestFit="1" customWidth="1"/>
    <col min="3852" max="3852" width="18.7109375" bestFit="1" customWidth="1"/>
    <col min="3853" max="3853" width="19" bestFit="1" customWidth="1"/>
    <col min="3854" max="3854" width="4.5703125" bestFit="1" customWidth="1"/>
    <col min="4097" max="4097" width="37.140625" bestFit="1" customWidth="1"/>
    <col min="4098" max="4098" width="12.140625" customWidth="1"/>
    <col min="4099" max="4100" width="30.5703125" bestFit="1" customWidth="1"/>
    <col min="4101" max="4101" width="8.140625" customWidth="1"/>
    <col min="4102" max="4103" width="30.5703125" bestFit="1" customWidth="1"/>
    <col min="4104" max="4104" width="37.28515625" bestFit="1" customWidth="1"/>
    <col min="4105" max="4105" width="32" bestFit="1" customWidth="1"/>
    <col min="4106" max="4106" width="30" bestFit="1" customWidth="1"/>
    <col min="4108" max="4108" width="18.7109375" bestFit="1" customWidth="1"/>
    <col min="4109" max="4109" width="19" bestFit="1" customWidth="1"/>
    <col min="4110" max="4110" width="4.5703125" bestFit="1" customWidth="1"/>
    <col min="4353" max="4353" width="37.140625" bestFit="1" customWidth="1"/>
    <col min="4354" max="4354" width="12.140625" customWidth="1"/>
    <col min="4355" max="4356" width="30.5703125" bestFit="1" customWidth="1"/>
    <col min="4357" max="4357" width="8.140625" customWidth="1"/>
    <col min="4358" max="4359" width="30.5703125" bestFit="1" customWidth="1"/>
    <col min="4360" max="4360" width="37.28515625" bestFit="1" customWidth="1"/>
    <col min="4361" max="4361" width="32" bestFit="1" customWidth="1"/>
    <col min="4362" max="4362" width="30" bestFit="1" customWidth="1"/>
    <col min="4364" max="4364" width="18.7109375" bestFit="1" customWidth="1"/>
    <col min="4365" max="4365" width="19" bestFit="1" customWidth="1"/>
    <col min="4366" max="4366" width="4.5703125" bestFit="1" customWidth="1"/>
    <col min="4609" max="4609" width="37.140625" bestFit="1" customWidth="1"/>
    <col min="4610" max="4610" width="12.140625" customWidth="1"/>
    <col min="4611" max="4612" width="30.5703125" bestFit="1" customWidth="1"/>
    <col min="4613" max="4613" width="8.140625" customWidth="1"/>
    <col min="4614" max="4615" width="30.5703125" bestFit="1" customWidth="1"/>
    <col min="4616" max="4616" width="37.28515625" bestFit="1" customWidth="1"/>
    <col min="4617" max="4617" width="32" bestFit="1" customWidth="1"/>
    <col min="4618" max="4618" width="30" bestFit="1" customWidth="1"/>
    <col min="4620" max="4620" width="18.7109375" bestFit="1" customWidth="1"/>
    <col min="4621" max="4621" width="19" bestFit="1" customWidth="1"/>
    <col min="4622" max="4622" width="4.5703125" bestFit="1" customWidth="1"/>
    <col min="4865" max="4865" width="37.140625" bestFit="1" customWidth="1"/>
    <col min="4866" max="4866" width="12.140625" customWidth="1"/>
    <col min="4867" max="4868" width="30.5703125" bestFit="1" customWidth="1"/>
    <col min="4869" max="4869" width="8.140625" customWidth="1"/>
    <col min="4870" max="4871" width="30.5703125" bestFit="1" customWidth="1"/>
    <col min="4872" max="4872" width="37.28515625" bestFit="1" customWidth="1"/>
    <col min="4873" max="4873" width="32" bestFit="1" customWidth="1"/>
    <col min="4874" max="4874" width="30" bestFit="1" customWidth="1"/>
    <col min="4876" max="4876" width="18.7109375" bestFit="1" customWidth="1"/>
    <col min="4877" max="4877" width="19" bestFit="1" customWidth="1"/>
    <col min="4878" max="4878" width="4.5703125" bestFit="1" customWidth="1"/>
    <col min="5121" max="5121" width="37.140625" bestFit="1" customWidth="1"/>
    <col min="5122" max="5122" width="12.140625" customWidth="1"/>
    <col min="5123" max="5124" width="30.5703125" bestFit="1" customWidth="1"/>
    <col min="5125" max="5125" width="8.140625" customWidth="1"/>
    <col min="5126" max="5127" width="30.5703125" bestFit="1" customWidth="1"/>
    <col min="5128" max="5128" width="37.28515625" bestFit="1" customWidth="1"/>
    <col min="5129" max="5129" width="32" bestFit="1" customWidth="1"/>
    <col min="5130" max="5130" width="30" bestFit="1" customWidth="1"/>
    <col min="5132" max="5132" width="18.7109375" bestFit="1" customWidth="1"/>
    <col min="5133" max="5133" width="19" bestFit="1" customWidth="1"/>
    <col min="5134" max="5134" width="4.5703125" bestFit="1" customWidth="1"/>
    <col min="5377" max="5377" width="37.140625" bestFit="1" customWidth="1"/>
    <col min="5378" max="5378" width="12.140625" customWidth="1"/>
    <col min="5379" max="5380" width="30.5703125" bestFit="1" customWidth="1"/>
    <col min="5381" max="5381" width="8.140625" customWidth="1"/>
    <col min="5382" max="5383" width="30.5703125" bestFit="1" customWidth="1"/>
    <col min="5384" max="5384" width="37.28515625" bestFit="1" customWidth="1"/>
    <col min="5385" max="5385" width="32" bestFit="1" customWidth="1"/>
    <col min="5386" max="5386" width="30" bestFit="1" customWidth="1"/>
    <col min="5388" max="5388" width="18.7109375" bestFit="1" customWidth="1"/>
    <col min="5389" max="5389" width="19" bestFit="1" customWidth="1"/>
    <col min="5390" max="5390" width="4.5703125" bestFit="1" customWidth="1"/>
    <col min="5633" max="5633" width="37.140625" bestFit="1" customWidth="1"/>
    <col min="5634" max="5634" width="12.140625" customWidth="1"/>
    <col min="5635" max="5636" width="30.5703125" bestFit="1" customWidth="1"/>
    <col min="5637" max="5637" width="8.140625" customWidth="1"/>
    <col min="5638" max="5639" width="30.5703125" bestFit="1" customWidth="1"/>
    <col min="5640" max="5640" width="37.28515625" bestFit="1" customWidth="1"/>
    <col min="5641" max="5641" width="32" bestFit="1" customWidth="1"/>
    <col min="5642" max="5642" width="30" bestFit="1" customWidth="1"/>
    <col min="5644" max="5644" width="18.7109375" bestFit="1" customWidth="1"/>
    <col min="5645" max="5645" width="19" bestFit="1" customWidth="1"/>
    <col min="5646" max="5646" width="4.5703125" bestFit="1" customWidth="1"/>
    <col min="5889" max="5889" width="37.140625" bestFit="1" customWidth="1"/>
    <col min="5890" max="5890" width="12.140625" customWidth="1"/>
    <col min="5891" max="5892" width="30.5703125" bestFit="1" customWidth="1"/>
    <col min="5893" max="5893" width="8.140625" customWidth="1"/>
    <col min="5894" max="5895" width="30.5703125" bestFit="1" customWidth="1"/>
    <col min="5896" max="5896" width="37.28515625" bestFit="1" customWidth="1"/>
    <col min="5897" max="5897" width="32" bestFit="1" customWidth="1"/>
    <col min="5898" max="5898" width="30" bestFit="1" customWidth="1"/>
    <col min="5900" max="5900" width="18.7109375" bestFit="1" customWidth="1"/>
    <col min="5901" max="5901" width="19" bestFit="1" customWidth="1"/>
    <col min="5902" max="5902" width="4.5703125" bestFit="1" customWidth="1"/>
    <col min="6145" max="6145" width="37.140625" bestFit="1" customWidth="1"/>
    <col min="6146" max="6146" width="12.140625" customWidth="1"/>
    <col min="6147" max="6148" width="30.5703125" bestFit="1" customWidth="1"/>
    <col min="6149" max="6149" width="8.140625" customWidth="1"/>
    <col min="6150" max="6151" width="30.5703125" bestFit="1" customWidth="1"/>
    <col min="6152" max="6152" width="37.28515625" bestFit="1" customWidth="1"/>
    <col min="6153" max="6153" width="32" bestFit="1" customWidth="1"/>
    <col min="6154" max="6154" width="30" bestFit="1" customWidth="1"/>
    <col min="6156" max="6156" width="18.7109375" bestFit="1" customWidth="1"/>
    <col min="6157" max="6157" width="19" bestFit="1" customWidth="1"/>
    <col min="6158" max="6158" width="4.5703125" bestFit="1" customWidth="1"/>
    <col min="6401" max="6401" width="37.140625" bestFit="1" customWidth="1"/>
    <col min="6402" max="6402" width="12.140625" customWidth="1"/>
    <col min="6403" max="6404" width="30.5703125" bestFit="1" customWidth="1"/>
    <col min="6405" max="6405" width="8.140625" customWidth="1"/>
    <col min="6406" max="6407" width="30.5703125" bestFit="1" customWidth="1"/>
    <col min="6408" max="6408" width="37.28515625" bestFit="1" customWidth="1"/>
    <col min="6409" max="6409" width="32" bestFit="1" customWidth="1"/>
    <col min="6410" max="6410" width="30" bestFit="1" customWidth="1"/>
    <col min="6412" max="6412" width="18.7109375" bestFit="1" customWidth="1"/>
    <col min="6413" max="6413" width="19" bestFit="1" customWidth="1"/>
    <col min="6414" max="6414" width="4.5703125" bestFit="1" customWidth="1"/>
    <col min="6657" max="6657" width="37.140625" bestFit="1" customWidth="1"/>
    <col min="6658" max="6658" width="12.140625" customWidth="1"/>
    <col min="6659" max="6660" width="30.5703125" bestFit="1" customWidth="1"/>
    <col min="6661" max="6661" width="8.140625" customWidth="1"/>
    <col min="6662" max="6663" width="30.5703125" bestFit="1" customWidth="1"/>
    <col min="6664" max="6664" width="37.28515625" bestFit="1" customWidth="1"/>
    <col min="6665" max="6665" width="32" bestFit="1" customWidth="1"/>
    <col min="6666" max="6666" width="30" bestFit="1" customWidth="1"/>
    <col min="6668" max="6668" width="18.7109375" bestFit="1" customWidth="1"/>
    <col min="6669" max="6669" width="19" bestFit="1" customWidth="1"/>
    <col min="6670" max="6670" width="4.5703125" bestFit="1" customWidth="1"/>
    <col min="6913" max="6913" width="37.140625" bestFit="1" customWidth="1"/>
    <col min="6914" max="6914" width="12.140625" customWidth="1"/>
    <col min="6915" max="6916" width="30.5703125" bestFit="1" customWidth="1"/>
    <col min="6917" max="6917" width="8.140625" customWidth="1"/>
    <col min="6918" max="6919" width="30.5703125" bestFit="1" customWidth="1"/>
    <col min="6920" max="6920" width="37.28515625" bestFit="1" customWidth="1"/>
    <col min="6921" max="6921" width="32" bestFit="1" customWidth="1"/>
    <col min="6922" max="6922" width="30" bestFit="1" customWidth="1"/>
    <col min="6924" max="6924" width="18.7109375" bestFit="1" customWidth="1"/>
    <col min="6925" max="6925" width="19" bestFit="1" customWidth="1"/>
    <col min="6926" max="6926" width="4.5703125" bestFit="1" customWidth="1"/>
    <col min="7169" max="7169" width="37.140625" bestFit="1" customWidth="1"/>
    <col min="7170" max="7170" width="12.140625" customWidth="1"/>
    <col min="7171" max="7172" width="30.5703125" bestFit="1" customWidth="1"/>
    <col min="7173" max="7173" width="8.140625" customWidth="1"/>
    <col min="7174" max="7175" width="30.5703125" bestFit="1" customWidth="1"/>
    <col min="7176" max="7176" width="37.28515625" bestFit="1" customWidth="1"/>
    <col min="7177" max="7177" width="32" bestFit="1" customWidth="1"/>
    <col min="7178" max="7178" width="30" bestFit="1" customWidth="1"/>
    <col min="7180" max="7180" width="18.7109375" bestFit="1" customWidth="1"/>
    <col min="7181" max="7181" width="19" bestFit="1" customWidth="1"/>
    <col min="7182" max="7182" width="4.5703125" bestFit="1" customWidth="1"/>
    <col min="7425" max="7425" width="37.140625" bestFit="1" customWidth="1"/>
    <col min="7426" max="7426" width="12.140625" customWidth="1"/>
    <col min="7427" max="7428" width="30.5703125" bestFit="1" customWidth="1"/>
    <col min="7429" max="7429" width="8.140625" customWidth="1"/>
    <col min="7430" max="7431" width="30.5703125" bestFit="1" customWidth="1"/>
    <col min="7432" max="7432" width="37.28515625" bestFit="1" customWidth="1"/>
    <col min="7433" max="7433" width="32" bestFit="1" customWidth="1"/>
    <col min="7434" max="7434" width="30" bestFit="1" customWidth="1"/>
    <col min="7436" max="7436" width="18.7109375" bestFit="1" customWidth="1"/>
    <col min="7437" max="7437" width="19" bestFit="1" customWidth="1"/>
    <col min="7438" max="7438" width="4.5703125" bestFit="1" customWidth="1"/>
    <col min="7681" max="7681" width="37.140625" bestFit="1" customWidth="1"/>
    <col min="7682" max="7682" width="12.140625" customWidth="1"/>
    <col min="7683" max="7684" width="30.5703125" bestFit="1" customWidth="1"/>
    <col min="7685" max="7685" width="8.140625" customWidth="1"/>
    <col min="7686" max="7687" width="30.5703125" bestFit="1" customWidth="1"/>
    <col min="7688" max="7688" width="37.28515625" bestFit="1" customWidth="1"/>
    <col min="7689" max="7689" width="32" bestFit="1" customWidth="1"/>
    <col min="7690" max="7690" width="30" bestFit="1" customWidth="1"/>
    <col min="7692" max="7692" width="18.7109375" bestFit="1" customWidth="1"/>
    <col min="7693" max="7693" width="19" bestFit="1" customWidth="1"/>
    <col min="7694" max="7694" width="4.5703125" bestFit="1" customWidth="1"/>
    <col min="7937" max="7937" width="37.140625" bestFit="1" customWidth="1"/>
    <col min="7938" max="7938" width="12.140625" customWidth="1"/>
    <col min="7939" max="7940" width="30.5703125" bestFit="1" customWidth="1"/>
    <col min="7941" max="7941" width="8.140625" customWidth="1"/>
    <col min="7942" max="7943" width="30.5703125" bestFit="1" customWidth="1"/>
    <col min="7944" max="7944" width="37.28515625" bestFit="1" customWidth="1"/>
    <col min="7945" max="7945" width="32" bestFit="1" customWidth="1"/>
    <col min="7946" max="7946" width="30" bestFit="1" customWidth="1"/>
    <col min="7948" max="7948" width="18.7109375" bestFit="1" customWidth="1"/>
    <col min="7949" max="7949" width="19" bestFit="1" customWidth="1"/>
    <col min="7950" max="7950" width="4.5703125" bestFit="1" customWidth="1"/>
    <col min="8193" max="8193" width="37.140625" bestFit="1" customWidth="1"/>
    <col min="8194" max="8194" width="12.140625" customWidth="1"/>
    <col min="8195" max="8196" width="30.5703125" bestFit="1" customWidth="1"/>
    <col min="8197" max="8197" width="8.140625" customWidth="1"/>
    <col min="8198" max="8199" width="30.5703125" bestFit="1" customWidth="1"/>
    <col min="8200" max="8200" width="37.28515625" bestFit="1" customWidth="1"/>
    <col min="8201" max="8201" width="32" bestFit="1" customWidth="1"/>
    <col min="8202" max="8202" width="30" bestFit="1" customWidth="1"/>
    <col min="8204" max="8204" width="18.7109375" bestFit="1" customWidth="1"/>
    <col min="8205" max="8205" width="19" bestFit="1" customWidth="1"/>
    <col min="8206" max="8206" width="4.5703125" bestFit="1" customWidth="1"/>
    <col min="8449" max="8449" width="37.140625" bestFit="1" customWidth="1"/>
    <col min="8450" max="8450" width="12.140625" customWidth="1"/>
    <col min="8451" max="8452" width="30.5703125" bestFit="1" customWidth="1"/>
    <col min="8453" max="8453" width="8.140625" customWidth="1"/>
    <col min="8454" max="8455" width="30.5703125" bestFit="1" customWidth="1"/>
    <col min="8456" max="8456" width="37.28515625" bestFit="1" customWidth="1"/>
    <col min="8457" max="8457" width="32" bestFit="1" customWidth="1"/>
    <col min="8458" max="8458" width="30" bestFit="1" customWidth="1"/>
    <col min="8460" max="8460" width="18.7109375" bestFit="1" customWidth="1"/>
    <col min="8461" max="8461" width="19" bestFit="1" customWidth="1"/>
    <col min="8462" max="8462" width="4.5703125" bestFit="1" customWidth="1"/>
    <col min="8705" max="8705" width="37.140625" bestFit="1" customWidth="1"/>
    <col min="8706" max="8706" width="12.140625" customWidth="1"/>
    <col min="8707" max="8708" width="30.5703125" bestFit="1" customWidth="1"/>
    <col min="8709" max="8709" width="8.140625" customWidth="1"/>
    <col min="8710" max="8711" width="30.5703125" bestFit="1" customWidth="1"/>
    <col min="8712" max="8712" width="37.28515625" bestFit="1" customWidth="1"/>
    <col min="8713" max="8713" width="32" bestFit="1" customWidth="1"/>
    <col min="8714" max="8714" width="30" bestFit="1" customWidth="1"/>
    <col min="8716" max="8716" width="18.7109375" bestFit="1" customWidth="1"/>
    <col min="8717" max="8717" width="19" bestFit="1" customWidth="1"/>
    <col min="8718" max="8718" width="4.5703125" bestFit="1" customWidth="1"/>
    <col min="8961" max="8961" width="37.140625" bestFit="1" customWidth="1"/>
    <col min="8962" max="8962" width="12.140625" customWidth="1"/>
    <col min="8963" max="8964" width="30.5703125" bestFit="1" customWidth="1"/>
    <col min="8965" max="8965" width="8.140625" customWidth="1"/>
    <col min="8966" max="8967" width="30.5703125" bestFit="1" customWidth="1"/>
    <col min="8968" max="8968" width="37.28515625" bestFit="1" customWidth="1"/>
    <col min="8969" max="8969" width="32" bestFit="1" customWidth="1"/>
    <col min="8970" max="8970" width="30" bestFit="1" customWidth="1"/>
    <col min="8972" max="8972" width="18.7109375" bestFit="1" customWidth="1"/>
    <col min="8973" max="8973" width="19" bestFit="1" customWidth="1"/>
    <col min="8974" max="8974" width="4.5703125" bestFit="1" customWidth="1"/>
    <col min="9217" max="9217" width="37.140625" bestFit="1" customWidth="1"/>
    <col min="9218" max="9218" width="12.140625" customWidth="1"/>
    <col min="9219" max="9220" width="30.5703125" bestFit="1" customWidth="1"/>
    <col min="9221" max="9221" width="8.140625" customWidth="1"/>
    <col min="9222" max="9223" width="30.5703125" bestFit="1" customWidth="1"/>
    <col min="9224" max="9224" width="37.28515625" bestFit="1" customWidth="1"/>
    <col min="9225" max="9225" width="32" bestFit="1" customWidth="1"/>
    <col min="9226" max="9226" width="30" bestFit="1" customWidth="1"/>
    <col min="9228" max="9228" width="18.7109375" bestFit="1" customWidth="1"/>
    <col min="9229" max="9229" width="19" bestFit="1" customWidth="1"/>
    <col min="9230" max="9230" width="4.5703125" bestFit="1" customWidth="1"/>
    <col min="9473" max="9473" width="37.140625" bestFit="1" customWidth="1"/>
    <col min="9474" max="9474" width="12.140625" customWidth="1"/>
    <col min="9475" max="9476" width="30.5703125" bestFit="1" customWidth="1"/>
    <col min="9477" max="9477" width="8.140625" customWidth="1"/>
    <col min="9478" max="9479" width="30.5703125" bestFit="1" customWidth="1"/>
    <col min="9480" max="9480" width="37.28515625" bestFit="1" customWidth="1"/>
    <col min="9481" max="9481" width="32" bestFit="1" customWidth="1"/>
    <col min="9482" max="9482" width="30" bestFit="1" customWidth="1"/>
    <col min="9484" max="9484" width="18.7109375" bestFit="1" customWidth="1"/>
    <col min="9485" max="9485" width="19" bestFit="1" customWidth="1"/>
    <col min="9486" max="9486" width="4.5703125" bestFit="1" customWidth="1"/>
    <col min="9729" max="9729" width="37.140625" bestFit="1" customWidth="1"/>
    <col min="9730" max="9730" width="12.140625" customWidth="1"/>
    <col min="9731" max="9732" width="30.5703125" bestFit="1" customWidth="1"/>
    <col min="9733" max="9733" width="8.140625" customWidth="1"/>
    <col min="9734" max="9735" width="30.5703125" bestFit="1" customWidth="1"/>
    <col min="9736" max="9736" width="37.28515625" bestFit="1" customWidth="1"/>
    <col min="9737" max="9737" width="32" bestFit="1" customWidth="1"/>
    <col min="9738" max="9738" width="30" bestFit="1" customWidth="1"/>
    <col min="9740" max="9740" width="18.7109375" bestFit="1" customWidth="1"/>
    <col min="9741" max="9741" width="19" bestFit="1" customWidth="1"/>
    <col min="9742" max="9742" width="4.5703125" bestFit="1" customWidth="1"/>
    <col min="9985" max="9985" width="37.140625" bestFit="1" customWidth="1"/>
    <col min="9986" max="9986" width="12.140625" customWidth="1"/>
    <col min="9987" max="9988" width="30.5703125" bestFit="1" customWidth="1"/>
    <col min="9989" max="9989" width="8.140625" customWidth="1"/>
    <col min="9990" max="9991" width="30.5703125" bestFit="1" customWidth="1"/>
    <col min="9992" max="9992" width="37.28515625" bestFit="1" customWidth="1"/>
    <col min="9993" max="9993" width="32" bestFit="1" customWidth="1"/>
    <col min="9994" max="9994" width="30" bestFit="1" customWidth="1"/>
    <col min="9996" max="9996" width="18.7109375" bestFit="1" customWidth="1"/>
    <col min="9997" max="9997" width="19" bestFit="1" customWidth="1"/>
    <col min="9998" max="9998" width="4.5703125" bestFit="1" customWidth="1"/>
    <col min="10241" max="10241" width="37.140625" bestFit="1" customWidth="1"/>
    <col min="10242" max="10242" width="12.140625" customWidth="1"/>
    <col min="10243" max="10244" width="30.5703125" bestFit="1" customWidth="1"/>
    <col min="10245" max="10245" width="8.140625" customWidth="1"/>
    <col min="10246" max="10247" width="30.5703125" bestFit="1" customWidth="1"/>
    <col min="10248" max="10248" width="37.28515625" bestFit="1" customWidth="1"/>
    <col min="10249" max="10249" width="32" bestFit="1" customWidth="1"/>
    <col min="10250" max="10250" width="30" bestFit="1" customWidth="1"/>
    <col min="10252" max="10252" width="18.7109375" bestFit="1" customWidth="1"/>
    <col min="10253" max="10253" width="19" bestFit="1" customWidth="1"/>
    <col min="10254" max="10254" width="4.5703125" bestFit="1" customWidth="1"/>
    <col min="10497" max="10497" width="37.140625" bestFit="1" customWidth="1"/>
    <col min="10498" max="10498" width="12.140625" customWidth="1"/>
    <col min="10499" max="10500" width="30.5703125" bestFit="1" customWidth="1"/>
    <col min="10501" max="10501" width="8.140625" customWidth="1"/>
    <col min="10502" max="10503" width="30.5703125" bestFit="1" customWidth="1"/>
    <col min="10504" max="10504" width="37.28515625" bestFit="1" customWidth="1"/>
    <col min="10505" max="10505" width="32" bestFit="1" customWidth="1"/>
    <col min="10506" max="10506" width="30" bestFit="1" customWidth="1"/>
    <col min="10508" max="10508" width="18.7109375" bestFit="1" customWidth="1"/>
    <col min="10509" max="10509" width="19" bestFit="1" customWidth="1"/>
    <col min="10510" max="10510" width="4.5703125" bestFit="1" customWidth="1"/>
    <col min="10753" max="10753" width="37.140625" bestFit="1" customWidth="1"/>
    <col min="10754" max="10754" width="12.140625" customWidth="1"/>
    <col min="10755" max="10756" width="30.5703125" bestFit="1" customWidth="1"/>
    <col min="10757" max="10757" width="8.140625" customWidth="1"/>
    <col min="10758" max="10759" width="30.5703125" bestFit="1" customWidth="1"/>
    <col min="10760" max="10760" width="37.28515625" bestFit="1" customWidth="1"/>
    <col min="10761" max="10761" width="32" bestFit="1" customWidth="1"/>
    <col min="10762" max="10762" width="30" bestFit="1" customWidth="1"/>
    <col min="10764" max="10764" width="18.7109375" bestFit="1" customWidth="1"/>
    <col min="10765" max="10765" width="19" bestFit="1" customWidth="1"/>
    <col min="10766" max="10766" width="4.5703125" bestFit="1" customWidth="1"/>
    <col min="11009" max="11009" width="37.140625" bestFit="1" customWidth="1"/>
    <col min="11010" max="11010" width="12.140625" customWidth="1"/>
    <col min="11011" max="11012" width="30.5703125" bestFit="1" customWidth="1"/>
    <col min="11013" max="11013" width="8.140625" customWidth="1"/>
    <col min="11014" max="11015" width="30.5703125" bestFit="1" customWidth="1"/>
    <col min="11016" max="11016" width="37.28515625" bestFit="1" customWidth="1"/>
    <col min="11017" max="11017" width="32" bestFit="1" customWidth="1"/>
    <col min="11018" max="11018" width="30" bestFit="1" customWidth="1"/>
    <col min="11020" max="11020" width="18.7109375" bestFit="1" customWidth="1"/>
    <col min="11021" max="11021" width="19" bestFit="1" customWidth="1"/>
    <col min="11022" max="11022" width="4.5703125" bestFit="1" customWidth="1"/>
    <col min="11265" max="11265" width="37.140625" bestFit="1" customWidth="1"/>
    <col min="11266" max="11266" width="12.140625" customWidth="1"/>
    <col min="11267" max="11268" width="30.5703125" bestFit="1" customWidth="1"/>
    <col min="11269" max="11269" width="8.140625" customWidth="1"/>
    <col min="11270" max="11271" width="30.5703125" bestFit="1" customWidth="1"/>
    <col min="11272" max="11272" width="37.28515625" bestFit="1" customWidth="1"/>
    <col min="11273" max="11273" width="32" bestFit="1" customWidth="1"/>
    <col min="11274" max="11274" width="30" bestFit="1" customWidth="1"/>
    <col min="11276" max="11276" width="18.7109375" bestFit="1" customWidth="1"/>
    <col min="11277" max="11277" width="19" bestFit="1" customWidth="1"/>
    <col min="11278" max="11278" width="4.5703125" bestFit="1" customWidth="1"/>
    <col min="11521" max="11521" width="37.140625" bestFit="1" customWidth="1"/>
    <col min="11522" max="11522" width="12.140625" customWidth="1"/>
    <col min="11523" max="11524" width="30.5703125" bestFit="1" customWidth="1"/>
    <col min="11525" max="11525" width="8.140625" customWidth="1"/>
    <col min="11526" max="11527" width="30.5703125" bestFit="1" customWidth="1"/>
    <col min="11528" max="11528" width="37.28515625" bestFit="1" customWidth="1"/>
    <col min="11529" max="11529" width="32" bestFit="1" customWidth="1"/>
    <col min="11530" max="11530" width="30" bestFit="1" customWidth="1"/>
    <col min="11532" max="11532" width="18.7109375" bestFit="1" customWidth="1"/>
    <col min="11533" max="11533" width="19" bestFit="1" customWidth="1"/>
    <col min="11534" max="11534" width="4.5703125" bestFit="1" customWidth="1"/>
    <col min="11777" max="11777" width="37.140625" bestFit="1" customWidth="1"/>
    <col min="11778" max="11778" width="12.140625" customWidth="1"/>
    <col min="11779" max="11780" width="30.5703125" bestFit="1" customWidth="1"/>
    <col min="11781" max="11781" width="8.140625" customWidth="1"/>
    <col min="11782" max="11783" width="30.5703125" bestFit="1" customWidth="1"/>
    <col min="11784" max="11784" width="37.28515625" bestFit="1" customWidth="1"/>
    <col min="11785" max="11785" width="32" bestFit="1" customWidth="1"/>
    <col min="11786" max="11786" width="30" bestFit="1" customWidth="1"/>
    <col min="11788" max="11788" width="18.7109375" bestFit="1" customWidth="1"/>
    <col min="11789" max="11789" width="19" bestFit="1" customWidth="1"/>
    <col min="11790" max="11790" width="4.5703125" bestFit="1" customWidth="1"/>
    <col min="12033" max="12033" width="37.140625" bestFit="1" customWidth="1"/>
    <col min="12034" max="12034" width="12.140625" customWidth="1"/>
    <col min="12035" max="12036" width="30.5703125" bestFit="1" customWidth="1"/>
    <col min="12037" max="12037" width="8.140625" customWidth="1"/>
    <col min="12038" max="12039" width="30.5703125" bestFit="1" customWidth="1"/>
    <col min="12040" max="12040" width="37.28515625" bestFit="1" customWidth="1"/>
    <col min="12041" max="12041" width="32" bestFit="1" customWidth="1"/>
    <col min="12042" max="12042" width="30" bestFit="1" customWidth="1"/>
    <col min="12044" max="12044" width="18.7109375" bestFit="1" customWidth="1"/>
    <col min="12045" max="12045" width="19" bestFit="1" customWidth="1"/>
    <col min="12046" max="12046" width="4.5703125" bestFit="1" customWidth="1"/>
    <col min="12289" max="12289" width="37.140625" bestFit="1" customWidth="1"/>
    <col min="12290" max="12290" width="12.140625" customWidth="1"/>
    <col min="12291" max="12292" width="30.5703125" bestFit="1" customWidth="1"/>
    <col min="12293" max="12293" width="8.140625" customWidth="1"/>
    <col min="12294" max="12295" width="30.5703125" bestFit="1" customWidth="1"/>
    <col min="12296" max="12296" width="37.28515625" bestFit="1" customWidth="1"/>
    <col min="12297" max="12297" width="32" bestFit="1" customWidth="1"/>
    <col min="12298" max="12298" width="30" bestFit="1" customWidth="1"/>
    <col min="12300" max="12300" width="18.7109375" bestFit="1" customWidth="1"/>
    <col min="12301" max="12301" width="19" bestFit="1" customWidth="1"/>
    <col min="12302" max="12302" width="4.5703125" bestFit="1" customWidth="1"/>
    <col min="12545" max="12545" width="37.140625" bestFit="1" customWidth="1"/>
    <col min="12546" max="12546" width="12.140625" customWidth="1"/>
    <col min="12547" max="12548" width="30.5703125" bestFit="1" customWidth="1"/>
    <col min="12549" max="12549" width="8.140625" customWidth="1"/>
    <col min="12550" max="12551" width="30.5703125" bestFit="1" customWidth="1"/>
    <col min="12552" max="12552" width="37.28515625" bestFit="1" customWidth="1"/>
    <col min="12553" max="12553" width="32" bestFit="1" customWidth="1"/>
    <col min="12554" max="12554" width="30" bestFit="1" customWidth="1"/>
    <col min="12556" max="12556" width="18.7109375" bestFit="1" customWidth="1"/>
    <col min="12557" max="12557" width="19" bestFit="1" customWidth="1"/>
    <col min="12558" max="12558" width="4.5703125" bestFit="1" customWidth="1"/>
    <col min="12801" max="12801" width="37.140625" bestFit="1" customWidth="1"/>
    <col min="12802" max="12802" width="12.140625" customWidth="1"/>
    <col min="12803" max="12804" width="30.5703125" bestFit="1" customWidth="1"/>
    <col min="12805" max="12805" width="8.140625" customWidth="1"/>
    <col min="12806" max="12807" width="30.5703125" bestFit="1" customWidth="1"/>
    <col min="12808" max="12808" width="37.28515625" bestFit="1" customWidth="1"/>
    <col min="12809" max="12809" width="32" bestFit="1" customWidth="1"/>
    <col min="12810" max="12810" width="30" bestFit="1" customWidth="1"/>
    <col min="12812" max="12812" width="18.7109375" bestFit="1" customWidth="1"/>
    <col min="12813" max="12813" width="19" bestFit="1" customWidth="1"/>
    <col min="12814" max="12814" width="4.5703125" bestFit="1" customWidth="1"/>
    <col min="13057" max="13057" width="37.140625" bestFit="1" customWidth="1"/>
    <col min="13058" max="13058" width="12.140625" customWidth="1"/>
    <col min="13059" max="13060" width="30.5703125" bestFit="1" customWidth="1"/>
    <col min="13061" max="13061" width="8.140625" customWidth="1"/>
    <col min="13062" max="13063" width="30.5703125" bestFit="1" customWidth="1"/>
    <col min="13064" max="13064" width="37.28515625" bestFit="1" customWidth="1"/>
    <col min="13065" max="13065" width="32" bestFit="1" customWidth="1"/>
    <col min="13066" max="13066" width="30" bestFit="1" customWidth="1"/>
    <col min="13068" max="13068" width="18.7109375" bestFit="1" customWidth="1"/>
    <col min="13069" max="13069" width="19" bestFit="1" customWidth="1"/>
    <col min="13070" max="13070" width="4.5703125" bestFit="1" customWidth="1"/>
    <col min="13313" max="13313" width="37.140625" bestFit="1" customWidth="1"/>
    <col min="13314" max="13314" width="12.140625" customWidth="1"/>
    <col min="13315" max="13316" width="30.5703125" bestFit="1" customWidth="1"/>
    <col min="13317" max="13317" width="8.140625" customWidth="1"/>
    <col min="13318" max="13319" width="30.5703125" bestFit="1" customWidth="1"/>
    <col min="13320" max="13320" width="37.28515625" bestFit="1" customWidth="1"/>
    <col min="13321" max="13321" width="32" bestFit="1" customWidth="1"/>
    <col min="13322" max="13322" width="30" bestFit="1" customWidth="1"/>
    <col min="13324" max="13324" width="18.7109375" bestFit="1" customWidth="1"/>
    <col min="13325" max="13325" width="19" bestFit="1" customWidth="1"/>
    <col min="13326" max="13326" width="4.5703125" bestFit="1" customWidth="1"/>
    <col min="13569" max="13569" width="37.140625" bestFit="1" customWidth="1"/>
    <col min="13570" max="13570" width="12.140625" customWidth="1"/>
    <col min="13571" max="13572" width="30.5703125" bestFit="1" customWidth="1"/>
    <col min="13573" max="13573" width="8.140625" customWidth="1"/>
    <col min="13574" max="13575" width="30.5703125" bestFit="1" customWidth="1"/>
    <col min="13576" max="13576" width="37.28515625" bestFit="1" customWidth="1"/>
    <col min="13577" max="13577" width="32" bestFit="1" customWidth="1"/>
    <col min="13578" max="13578" width="30" bestFit="1" customWidth="1"/>
    <col min="13580" max="13580" width="18.7109375" bestFit="1" customWidth="1"/>
    <col min="13581" max="13581" width="19" bestFit="1" customWidth="1"/>
    <col min="13582" max="13582" width="4.5703125" bestFit="1" customWidth="1"/>
    <col min="13825" max="13825" width="37.140625" bestFit="1" customWidth="1"/>
    <col min="13826" max="13826" width="12.140625" customWidth="1"/>
    <col min="13827" max="13828" width="30.5703125" bestFit="1" customWidth="1"/>
    <col min="13829" max="13829" width="8.140625" customWidth="1"/>
    <col min="13830" max="13831" width="30.5703125" bestFit="1" customWidth="1"/>
    <col min="13832" max="13832" width="37.28515625" bestFit="1" customWidth="1"/>
    <col min="13833" max="13833" width="32" bestFit="1" customWidth="1"/>
    <col min="13834" max="13834" width="30" bestFit="1" customWidth="1"/>
    <col min="13836" max="13836" width="18.7109375" bestFit="1" customWidth="1"/>
    <col min="13837" max="13837" width="19" bestFit="1" customWidth="1"/>
    <col min="13838" max="13838" width="4.5703125" bestFit="1" customWidth="1"/>
    <col min="14081" max="14081" width="37.140625" bestFit="1" customWidth="1"/>
    <col min="14082" max="14082" width="12.140625" customWidth="1"/>
    <col min="14083" max="14084" width="30.5703125" bestFit="1" customWidth="1"/>
    <col min="14085" max="14085" width="8.140625" customWidth="1"/>
    <col min="14086" max="14087" width="30.5703125" bestFit="1" customWidth="1"/>
    <col min="14088" max="14088" width="37.28515625" bestFit="1" customWidth="1"/>
    <col min="14089" max="14089" width="32" bestFit="1" customWidth="1"/>
    <col min="14090" max="14090" width="30" bestFit="1" customWidth="1"/>
    <col min="14092" max="14092" width="18.7109375" bestFit="1" customWidth="1"/>
    <col min="14093" max="14093" width="19" bestFit="1" customWidth="1"/>
    <col min="14094" max="14094" width="4.5703125" bestFit="1" customWidth="1"/>
    <col min="14337" max="14337" width="37.140625" bestFit="1" customWidth="1"/>
    <col min="14338" max="14338" width="12.140625" customWidth="1"/>
    <col min="14339" max="14340" width="30.5703125" bestFit="1" customWidth="1"/>
    <col min="14341" max="14341" width="8.140625" customWidth="1"/>
    <col min="14342" max="14343" width="30.5703125" bestFit="1" customWidth="1"/>
    <col min="14344" max="14344" width="37.28515625" bestFit="1" customWidth="1"/>
    <col min="14345" max="14345" width="32" bestFit="1" customWidth="1"/>
    <col min="14346" max="14346" width="30" bestFit="1" customWidth="1"/>
    <col min="14348" max="14348" width="18.7109375" bestFit="1" customWidth="1"/>
    <col min="14349" max="14349" width="19" bestFit="1" customWidth="1"/>
    <col min="14350" max="14350" width="4.5703125" bestFit="1" customWidth="1"/>
    <col min="14593" max="14593" width="37.140625" bestFit="1" customWidth="1"/>
    <col min="14594" max="14594" width="12.140625" customWidth="1"/>
    <col min="14595" max="14596" width="30.5703125" bestFit="1" customWidth="1"/>
    <col min="14597" max="14597" width="8.140625" customWidth="1"/>
    <col min="14598" max="14599" width="30.5703125" bestFit="1" customWidth="1"/>
    <col min="14600" max="14600" width="37.28515625" bestFit="1" customWidth="1"/>
    <col min="14601" max="14601" width="32" bestFit="1" customWidth="1"/>
    <col min="14602" max="14602" width="30" bestFit="1" customWidth="1"/>
    <col min="14604" max="14604" width="18.7109375" bestFit="1" customWidth="1"/>
    <col min="14605" max="14605" width="19" bestFit="1" customWidth="1"/>
    <col min="14606" max="14606" width="4.5703125" bestFit="1" customWidth="1"/>
    <col min="14849" max="14849" width="37.140625" bestFit="1" customWidth="1"/>
    <col min="14850" max="14850" width="12.140625" customWidth="1"/>
    <col min="14851" max="14852" width="30.5703125" bestFit="1" customWidth="1"/>
    <col min="14853" max="14853" width="8.140625" customWidth="1"/>
    <col min="14854" max="14855" width="30.5703125" bestFit="1" customWidth="1"/>
    <col min="14856" max="14856" width="37.28515625" bestFit="1" customWidth="1"/>
    <col min="14857" max="14857" width="32" bestFit="1" customWidth="1"/>
    <col min="14858" max="14858" width="30" bestFit="1" customWidth="1"/>
    <col min="14860" max="14860" width="18.7109375" bestFit="1" customWidth="1"/>
    <col min="14861" max="14861" width="19" bestFit="1" customWidth="1"/>
    <col min="14862" max="14862" width="4.5703125" bestFit="1" customWidth="1"/>
    <col min="15105" max="15105" width="37.140625" bestFit="1" customWidth="1"/>
    <col min="15106" max="15106" width="12.140625" customWidth="1"/>
    <col min="15107" max="15108" width="30.5703125" bestFit="1" customWidth="1"/>
    <col min="15109" max="15109" width="8.140625" customWidth="1"/>
    <col min="15110" max="15111" width="30.5703125" bestFit="1" customWidth="1"/>
    <col min="15112" max="15112" width="37.28515625" bestFit="1" customWidth="1"/>
    <col min="15113" max="15113" width="32" bestFit="1" customWidth="1"/>
    <col min="15114" max="15114" width="30" bestFit="1" customWidth="1"/>
    <col min="15116" max="15116" width="18.7109375" bestFit="1" customWidth="1"/>
    <col min="15117" max="15117" width="19" bestFit="1" customWidth="1"/>
    <col min="15118" max="15118" width="4.5703125" bestFit="1" customWidth="1"/>
    <col min="15361" max="15361" width="37.140625" bestFit="1" customWidth="1"/>
    <col min="15362" max="15362" width="12.140625" customWidth="1"/>
    <col min="15363" max="15364" width="30.5703125" bestFit="1" customWidth="1"/>
    <col min="15365" max="15365" width="8.140625" customWidth="1"/>
    <col min="15366" max="15367" width="30.5703125" bestFit="1" customWidth="1"/>
    <col min="15368" max="15368" width="37.28515625" bestFit="1" customWidth="1"/>
    <col min="15369" max="15369" width="32" bestFit="1" customWidth="1"/>
    <col min="15370" max="15370" width="30" bestFit="1" customWidth="1"/>
    <col min="15372" max="15372" width="18.7109375" bestFit="1" customWidth="1"/>
    <col min="15373" max="15373" width="19" bestFit="1" customWidth="1"/>
    <col min="15374" max="15374" width="4.5703125" bestFit="1" customWidth="1"/>
    <col min="15617" max="15617" width="37.140625" bestFit="1" customWidth="1"/>
    <col min="15618" max="15618" width="12.140625" customWidth="1"/>
    <col min="15619" max="15620" width="30.5703125" bestFit="1" customWidth="1"/>
    <col min="15621" max="15621" width="8.140625" customWidth="1"/>
    <col min="15622" max="15623" width="30.5703125" bestFit="1" customWidth="1"/>
    <col min="15624" max="15624" width="37.28515625" bestFit="1" customWidth="1"/>
    <col min="15625" max="15625" width="32" bestFit="1" customWidth="1"/>
    <col min="15626" max="15626" width="30" bestFit="1" customWidth="1"/>
    <col min="15628" max="15628" width="18.7109375" bestFit="1" customWidth="1"/>
    <col min="15629" max="15629" width="19" bestFit="1" customWidth="1"/>
    <col min="15630" max="15630" width="4.5703125" bestFit="1" customWidth="1"/>
    <col min="15873" max="15873" width="37.140625" bestFit="1" customWidth="1"/>
    <col min="15874" max="15874" width="12.140625" customWidth="1"/>
    <col min="15875" max="15876" width="30.5703125" bestFit="1" customWidth="1"/>
    <col min="15877" max="15877" width="8.140625" customWidth="1"/>
    <col min="15878" max="15879" width="30.5703125" bestFit="1" customWidth="1"/>
    <col min="15880" max="15880" width="37.28515625" bestFit="1" customWidth="1"/>
    <col min="15881" max="15881" width="32" bestFit="1" customWidth="1"/>
    <col min="15882" max="15882" width="30" bestFit="1" customWidth="1"/>
    <col min="15884" max="15884" width="18.7109375" bestFit="1" customWidth="1"/>
    <col min="15885" max="15885" width="19" bestFit="1" customWidth="1"/>
    <col min="15886" max="15886" width="4.5703125" bestFit="1" customWidth="1"/>
    <col min="16129" max="16129" width="37.140625" bestFit="1" customWidth="1"/>
    <col min="16130" max="16130" width="12.140625" customWidth="1"/>
    <col min="16131" max="16132" width="30.5703125" bestFit="1" customWidth="1"/>
    <col min="16133" max="16133" width="8.140625" customWidth="1"/>
    <col min="16134" max="16135" width="30.5703125" bestFit="1" customWidth="1"/>
    <col min="16136" max="16136" width="37.28515625" bestFit="1" customWidth="1"/>
    <col min="16137" max="16137" width="32" bestFit="1" customWidth="1"/>
    <col min="16138" max="16138" width="30" bestFit="1" customWidth="1"/>
    <col min="16140" max="16140" width="18.7109375" bestFit="1" customWidth="1"/>
    <col min="16141" max="16141" width="19" bestFit="1" customWidth="1"/>
    <col min="16142" max="16142" width="4.5703125" bestFit="1" customWidth="1"/>
  </cols>
  <sheetData>
    <row r="1" spans="1:15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128.44499999999999</v>
      </c>
      <c r="N1" s="3"/>
      <c r="O1" s="41" t="s">
        <v>185</v>
      </c>
    </row>
    <row r="2" spans="1:15" x14ac:dyDescent="0.25">
      <c r="A2" s="5" t="s">
        <v>702</v>
      </c>
      <c r="B2" s="42">
        <f>J2/1000</f>
        <v>0</v>
      </c>
      <c r="C2" s="7" t="s">
        <v>839</v>
      </c>
      <c r="D2" s="7" t="s">
        <v>15</v>
      </c>
      <c r="E2" s="7" t="s">
        <v>826</v>
      </c>
      <c r="F2" s="8">
        <v>0</v>
      </c>
      <c r="G2" s="7" t="s">
        <v>703</v>
      </c>
      <c r="H2" s="7" t="s">
        <v>603</v>
      </c>
      <c r="I2" s="6">
        <v>70.010000000000005</v>
      </c>
      <c r="J2" s="6">
        <v>0</v>
      </c>
      <c r="K2" s="35">
        <f>J497</f>
        <v>256993.15000000008</v>
      </c>
      <c r="L2" s="38"/>
      <c r="M2" s="37" t="str">
        <f>VLOOKUP($M1,B2:D497,2)</f>
        <v>TORRE 250</v>
      </c>
      <c r="N2" s="37" t="str">
        <f>VLOOKUP($M1,B2:D497,3)</f>
        <v>TORRE 251</v>
      </c>
      <c r="O2" s="37" t="str">
        <f>VLOOKUP($M1,$B2:$E497,4)</f>
        <v>ACB</v>
      </c>
    </row>
    <row r="3" spans="1:15" x14ac:dyDescent="0.25">
      <c r="A3" s="5" t="s">
        <v>702</v>
      </c>
      <c r="B3" s="42">
        <f t="shared" ref="B3:B66" si="0">J3/1000</f>
        <v>7.0010000000000003E-2</v>
      </c>
      <c r="C3" s="7" t="s">
        <v>15</v>
      </c>
      <c r="D3" s="7" t="s">
        <v>20</v>
      </c>
      <c r="E3" s="7" t="s">
        <v>826</v>
      </c>
      <c r="F3" s="8">
        <v>7.0000000000067758E-2</v>
      </c>
      <c r="G3" s="7" t="s">
        <v>603</v>
      </c>
      <c r="H3" s="7" t="s">
        <v>604</v>
      </c>
      <c r="I3" s="6">
        <v>414.64</v>
      </c>
      <c r="J3" s="6">
        <f>I2</f>
        <v>70.010000000000005</v>
      </c>
      <c r="K3" s="6">
        <f>K2-I2</f>
        <v>256923.14000000007</v>
      </c>
      <c r="L3" s="37"/>
      <c r="M3" s="11" t="s">
        <v>863</v>
      </c>
      <c r="N3" s="11" t="s">
        <v>864</v>
      </c>
    </row>
    <row r="4" spans="1:15" x14ac:dyDescent="0.25">
      <c r="A4" s="5" t="s">
        <v>702</v>
      </c>
      <c r="B4" s="42">
        <f t="shared" si="0"/>
        <v>0.48464999999999997</v>
      </c>
      <c r="C4" s="7" t="s">
        <v>20</v>
      </c>
      <c r="D4" s="7" t="s">
        <v>23</v>
      </c>
      <c r="E4" s="7" t="s">
        <v>826</v>
      </c>
      <c r="F4" s="8">
        <v>0.33412000000006775</v>
      </c>
      <c r="G4" s="7" t="s">
        <v>604</v>
      </c>
      <c r="H4" s="7" t="s">
        <v>605</v>
      </c>
      <c r="I4" s="6">
        <v>520.59</v>
      </c>
      <c r="J4" s="6">
        <f>J3+I3</f>
        <v>484.65</v>
      </c>
      <c r="K4" s="6">
        <f t="shared" ref="K4:K67" si="1">K3-I3</f>
        <v>256508.50000000006</v>
      </c>
      <c r="M4" s="37" t="s">
        <v>863</v>
      </c>
    </row>
    <row r="5" spans="1:15" x14ac:dyDescent="0.25">
      <c r="A5" s="5" t="s">
        <v>702</v>
      </c>
      <c r="B5" s="42">
        <f t="shared" si="0"/>
        <v>1.0052399999999999</v>
      </c>
      <c r="C5" s="7" t="s">
        <v>23</v>
      </c>
      <c r="D5" s="7" t="s">
        <v>25</v>
      </c>
      <c r="E5" s="7" t="s">
        <v>826</v>
      </c>
      <c r="F5" s="8">
        <v>0.8339000000000677</v>
      </c>
      <c r="G5" s="7" t="s">
        <v>605</v>
      </c>
      <c r="H5" s="7" t="s">
        <v>606</v>
      </c>
      <c r="I5" s="6">
        <v>792.45</v>
      </c>
      <c r="J5" s="6">
        <f t="shared" ref="J5:J68" si="2">J4+I4</f>
        <v>1005.24</v>
      </c>
      <c r="K5" s="6">
        <f t="shared" si="1"/>
        <v>255987.91000000006</v>
      </c>
    </row>
    <row r="6" spans="1:15" x14ac:dyDescent="0.25">
      <c r="A6" s="5" t="s">
        <v>702</v>
      </c>
      <c r="B6" s="42">
        <f t="shared" si="0"/>
        <v>1.79769</v>
      </c>
      <c r="C6" s="7" t="s">
        <v>25</v>
      </c>
      <c r="D6" s="7" t="s">
        <v>27</v>
      </c>
      <c r="E6" s="7" t="s">
        <v>826</v>
      </c>
      <c r="F6" s="8">
        <v>1.3660600000000678</v>
      </c>
      <c r="G6" s="7" t="s">
        <v>606</v>
      </c>
      <c r="H6" s="7" t="s">
        <v>607</v>
      </c>
      <c r="I6" s="6">
        <v>536.35</v>
      </c>
      <c r="J6" s="6">
        <f t="shared" si="2"/>
        <v>1797.69</v>
      </c>
      <c r="K6" s="6">
        <f t="shared" si="1"/>
        <v>255195.46000000005</v>
      </c>
    </row>
    <row r="7" spans="1:15" x14ac:dyDescent="0.25">
      <c r="A7" s="5" t="s">
        <v>702</v>
      </c>
      <c r="B7" s="42">
        <f t="shared" si="0"/>
        <v>2.3340399999999999</v>
      </c>
      <c r="C7" s="7" t="s">
        <v>27</v>
      </c>
      <c r="D7" s="7" t="s">
        <v>29</v>
      </c>
      <c r="E7" s="7" t="s">
        <v>826</v>
      </c>
      <c r="F7" s="8">
        <v>1.9331500000000679</v>
      </c>
      <c r="G7" s="7" t="s">
        <v>607</v>
      </c>
      <c r="H7" s="7" t="s">
        <v>608</v>
      </c>
      <c r="I7" s="6">
        <v>686.75</v>
      </c>
      <c r="J7" s="6">
        <f t="shared" si="2"/>
        <v>2334.04</v>
      </c>
      <c r="K7" s="6">
        <f t="shared" si="1"/>
        <v>254659.11000000004</v>
      </c>
    </row>
    <row r="8" spans="1:15" x14ac:dyDescent="0.25">
      <c r="A8" s="5" t="s">
        <v>702</v>
      </c>
      <c r="B8" s="42">
        <f t="shared" si="0"/>
        <v>3.0207899999999999</v>
      </c>
      <c r="C8" s="7" t="s">
        <v>29</v>
      </c>
      <c r="D8" s="7" t="s">
        <v>31</v>
      </c>
      <c r="E8" s="7" t="s">
        <v>826</v>
      </c>
      <c r="F8" s="8">
        <v>2.3616900000000678</v>
      </c>
      <c r="G8" s="7" t="s">
        <v>608</v>
      </c>
      <c r="H8" s="7" t="s">
        <v>609</v>
      </c>
      <c r="I8" s="6">
        <v>670.93</v>
      </c>
      <c r="J8" s="6">
        <f t="shared" si="2"/>
        <v>3020.79</v>
      </c>
      <c r="K8" s="6">
        <f t="shared" si="1"/>
        <v>253972.36000000004</v>
      </c>
    </row>
    <row r="9" spans="1:15" x14ac:dyDescent="0.25">
      <c r="A9" s="5" t="s">
        <v>702</v>
      </c>
      <c r="B9" s="42">
        <f t="shared" si="0"/>
        <v>3.6917199999999997</v>
      </c>
      <c r="C9" s="7" t="s">
        <v>31</v>
      </c>
      <c r="D9" s="7" t="s">
        <v>33</v>
      </c>
      <c r="E9" s="7" t="s">
        <v>826</v>
      </c>
      <c r="F9" s="8">
        <v>2.8981800000000679</v>
      </c>
      <c r="G9" s="7" t="s">
        <v>609</v>
      </c>
      <c r="H9" s="7" t="s">
        <v>610</v>
      </c>
      <c r="I9" s="6">
        <v>520.03</v>
      </c>
      <c r="J9" s="6">
        <f t="shared" si="2"/>
        <v>3691.72</v>
      </c>
      <c r="K9" s="6">
        <f t="shared" si="1"/>
        <v>253301.43000000005</v>
      </c>
    </row>
    <row r="10" spans="1:15" x14ac:dyDescent="0.25">
      <c r="A10" s="5" t="s">
        <v>702</v>
      </c>
      <c r="B10" s="42">
        <f t="shared" si="0"/>
        <v>4.2117500000000003</v>
      </c>
      <c r="C10" s="7" t="s">
        <v>33</v>
      </c>
      <c r="D10" s="7" t="s">
        <v>35</v>
      </c>
      <c r="E10" s="7" t="s">
        <v>826</v>
      </c>
      <c r="F10" s="8">
        <v>3.5002600000000679</v>
      </c>
      <c r="G10" s="7" t="s">
        <v>610</v>
      </c>
      <c r="H10" s="7" t="s">
        <v>611</v>
      </c>
      <c r="I10" s="6">
        <v>733.96</v>
      </c>
      <c r="J10" s="6">
        <f t="shared" si="2"/>
        <v>4211.75</v>
      </c>
      <c r="K10" s="6">
        <f t="shared" si="1"/>
        <v>252781.40000000005</v>
      </c>
    </row>
    <row r="11" spans="1:15" x14ac:dyDescent="0.25">
      <c r="A11" s="5" t="s">
        <v>702</v>
      </c>
      <c r="B11" s="42">
        <f t="shared" si="0"/>
        <v>4.9457100000000001</v>
      </c>
      <c r="C11" s="7" t="s">
        <v>35</v>
      </c>
      <c r="D11" s="7" t="s">
        <v>37</v>
      </c>
      <c r="E11" s="7" t="s">
        <v>826</v>
      </c>
      <c r="F11" s="8">
        <v>3.9923600000000681</v>
      </c>
      <c r="G11" s="7" t="s">
        <v>611</v>
      </c>
      <c r="H11" s="7" t="s">
        <v>612</v>
      </c>
      <c r="I11" s="6">
        <v>463.91</v>
      </c>
      <c r="J11" s="6">
        <f t="shared" si="2"/>
        <v>4945.71</v>
      </c>
      <c r="K11" s="6">
        <f t="shared" si="1"/>
        <v>252047.44000000006</v>
      </c>
    </row>
    <row r="12" spans="1:15" x14ac:dyDescent="0.25">
      <c r="A12" s="5" t="s">
        <v>702</v>
      </c>
      <c r="B12" s="42">
        <f t="shared" si="0"/>
        <v>5.4096200000000003</v>
      </c>
      <c r="C12" s="7" t="s">
        <v>37</v>
      </c>
      <c r="D12" s="7" t="s">
        <v>39</v>
      </c>
      <c r="E12" s="7" t="s">
        <v>826</v>
      </c>
      <c r="F12" s="8">
        <v>4.5253500000000679</v>
      </c>
      <c r="G12" s="7" t="s">
        <v>612</v>
      </c>
      <c r="H12" s="7" t="s">
        <v>613</v>
      </c>
      <c r="I12" s="6">
        <v>497.58</v>
      </c>
      <c r="J12" s="6">
        <f t="shared" si="2"/>
        <v>5409.62</v>
      </c>
      <c r="K12" s="6">
        <f t="shared" si="1"/>
        <v>251583.53000000006</v>
      </c>
    </row>
    <row r="13" spans="1:15" x14ac:dyDescent="0.25">
      <c r="A13" s="5" t="s">
        <v>702</v>
      </c>
      <c r="B13" s="42">
        <f t="shared" si="0"/>
        <v>5.9071999999999996</v>
      </c>
      <c r="C13" s="7" t="s">
        <v>39</v>
      </c>
      <c r="D13" s="7" t="s">
        <v>41</v>
      </c>
      <c r="E13" s="7" t="s">
        <v>826</v>
      </c>
      <c r="F13" s="8">
        <v>4.967940000000068</v>
      </c>
      <c r="G13" s="7" t="s">
        <v>613</v>
      </c>
      <c r="H13" s="7" t="s">
        <v>614</v>
      </c>
      <c r="I13" s="6">
        <v>474.65</v>
      </c>
      <c r="J13" s="6">
        <f t="shared" si="2"/>
        <v>5907.2</v>
      </c>
      <c r="K13" s="6">
        <f t="shared" si="1"/>
        <v>251085.95000000007</v>
      </c>
    </row>
    <row r="14" spans="1:15" x14ac:dyDescent="0.25">
      <c r="A14" s="5" t="s">
        <v>702</v>
      </c>
      <c r="B14" s="42">
        <f t="shared" si="0"/>
        <v>6.3818499999999991</v>
      </c>
      <c r="C14" s="7" t="s">
        <v>41</v>
      </c>
      <c r="D14" s="7" t="s">
        <v>43</v>
      </c>
      <c r="E14" s="7" t="s">
        <v>826</v>
      </c>
      <c r="F14" s="8">
        <v>5.5503900000000677</v>
      </c>
      <c r="G14" s="7" t="s">
        <v>614</v>
      </c>
      <c r="H14" s="7" t="s">
        <v>615</v>
      </c>
      <c r="I14" s="6">
        <v>675.06</v>
      </c>
      <c r="J14" s="6">
        <f t="shared" si="2"/>
        <v>6381.8499999999995</v>
      </c>
      <c r="K14" s="6">
        <f t="shared" si="1"/>
        <v>250611.30000000008</v>
      </c>
    </row>
    <row r="15" spans="1:15" x14ac:dyDescent="0.25">
      <c r="A15" s="5" t="s">
        <v>702</v>
      </c>
      <c r="B15" s="42">
        <f t="shared" si="0"/>
        <v>7.0569100000000002</v>
      </c>
      <c r="C15" s="7" t="s">
        <v>43</v>
      </c>
      <c r="D15" s="7" t="s">
        <v>45</v>
      </c>
      <c r="E15" s="7" t="s">
        <v>826</v>
      </c>
      <c r="F15" s="8">
        <v>5.9120700000000683</v>
      </c>
      <c r="G15" s="7" t="s">
        <v>615</v>
      </c>
      <c r="H15" s="7" t="s">
        <v>616</v>
      </c>
      <c r="I15" s="6">
        <v>347.13</v>
      </c>
      <c r="J15" s="6">
        <f t="shared" si="2"/>
        <v>7056.91</v>
      </c>
      <c r="K15" s="6">
        <f t="shared" si="1"/>
        <v>249936.24000000008</v>
      </c>
    </row>
    <row r="16" spans="1:15" x14ac:dyDescent="0.25">
      <c r="A16" s="5" t="s">
        <v>702</v>
      </c>
      <c r="B16" s="42">
        <f t="shared" si="0"/>
        <v>7.4040400000000002</v>
      </c>
      <c r="C16" s="7" t="s">
        <v>45</v>
      </c>
      <c r="D16" s="7" t="s">
        <v>47</v>
      </c>
      <c r="E16" s="7" t="s">
        <v>826</v>
      </c>
      <c r="F16" s="8">
        <v>6.3415400000000686</v>
      </c>
      <c r="G16" s="7" t="s">
        <v>616</v>
      </c>
      <c r="H16" s="7" t="s">
        <v>617</v>
      </c>
      <c r="I16" s="6">
        <v>563.22</v>
      </c>
      <c r="J16" s="6">
        <f t="shared" si="2"/>
        <v>7404.04</v>
      </c>
      <c r="K16" s="6">
        <f t="shared" si="1"/>
        <v>249589.11000000007</v>
      </c>
    </row>
    <row r="17" spans="1:11" x14ac:dyDescent="0.25">
      <c r="A17" s="5" t="s">
        <v>702</v>
      </c>
      <c r="B17" s="42">
        <f t="shared" si="0"/>
        <v>7.9672600000000005</v>
      </c>
      <c r="C17" s="7" t="s">
        <v>47</v>
      </c>
      <c r="D17" s="7" t="s">
        <v>49</v>
      </c>
      <c r="E17" s="7" t="s">
        <v>826</v>
      </c>
      <c r="F17" s="8">
        <v>7.0470900000000682</v>
      </c>
      <c r="G17" s="7" t="s">
        <v>617</v>
      </c>
      <c r="H17" s="7" t="s">
        <v>618</v>
      </c>
      <c r="I17" s="6">
        <v>599.78</v>
      </c>
      <c r="J17" s="6">
        <f t="shared" si="2"/>
        <v>7967.26</v>
      </c>
      <c r="K17" s="6">
        <f t="shared" si="1"/>
        <v>249025.89000000007</v>
      </c>
    </row>
    <row r="18" spans="1:11" x14ac:dyDescent="0.25">
      <c r="A18" s="5" t="s">
        <v>702</v>
      </c>
      <c r="B18" s="42">
        <f t="shared" si="0"/>
        <v>8.5670400000000004</v>
      </c>
      <c r="C18" s="7" t="s">
        <v>49</v>
      </c>
      <c r="D18" s="7" t="s">
        <v>51</v>
      </c>
      <c r="E18" s="7" t="s">
        <v>826</v>
      </c>
      <c r="F18" s="8">
        <v>7.5844800000000685</v>
      </c>
      <c r="G18" s="7" t="s">
        <v>618</v>
      </c>
      <c r="H18" s="7" t="s">
        <v>619</v>
      </c>
      <c r="I18" s="6">
        <v>479.03</v>
      </c>
      <c r="J18" s="6">
        <f t="shared" si="2"/>
        <v>8567.0400000000009</v>
      </c>
      <c r="K18" s="6">
        <f t="shared" si="1"/>
        <v>248426.11000000007</v>
      </c>
    </row>
    <row r="19" spans="1:11" x14ac:dyDescent="0.25">
      <c r="A19" s="5" t="s">
        <v>702</v>
      </c>
      <c r="B19" s="42">
        <f t="shared" si="0"/>
        <v>9.0460700000000021</v>
      </c>
      <c r="C19" s="7" t="s">
        <v>51</v>
      </c>
      <c r="D19" s="7" t="s">
        <v>53</v>
      </c>
      <c r="E19" s="7" t="s">
        <v>826</v>
      </c>
      <c r="F19" s="8">
        <v>8.1159800000000679</v>
      </c>
      <c r="G19" s="7" t="s">
        <v>619</v>
      </c>
      <c r="H19" s="7" t="s">
        <v>620</v>
      </c>
      <c r="I19" s="6">
        <v>572.94000000000005</v>
      </c>
      <c r="J19" s="6">
        <f t="shared" si="2"/>
        <v>9046.0700000000015</v>
      </c>
      <c r="K19" s="6">
        <f t="shared" si="1"/>
        <v>247947.08000000007</v>
      </c>
    </row>
    <row r="20" spans="1:11" x14ac:dyDescent="0.25">
      <c r="A20" s="5" t="s">
        <v>702</v>
      </c>
      <c r="B20" s="42">
        <f t="shared" si="0"/>
        <v>9.6190100000000012</v>
      </c>
      <c r="C20" s="7" t="s">
        <v>53</v>
      </c>
      <c r="D20" s="7" t="s">
        <v>55</v>
      </c>
      <c r="E20" s="7" t="s">
        <v>826</v>
      </c>
      <c r="F20" s="8">
        <v>8.7526600000000698</v>
      </c>
      <c r="G20" s="7" t="s">
        <v>620</v>
      </c>
      <c r="H20" s="7" t="s">
        <v>621</v>
      </c>
      <c r="I20" s="6">
        <v>506.82</v>
      </c>
      <c r="J20" s="6">
        <f t="shared" si="2"/>
        <v>9619.010000000002</v>
      </c>
      <c r="K20" s="6">
        <f t="shared" si="1"/>
        <v>247374.14000000007</v>
      </c>
    </row>
    <row r="21" spans="1:11" x14ac:dyDescent="0.25">
      <c r="A21" s="5" t="s">
        <v>702</v>
      </c>
      <c r="B21" s="42">
        <f t="shared" si="0"/>
        <v>10.125830000000002</v>
      </c>
      <c r="C21" s="7" t="s">
        <v>55</v>
      </c>
      <c r="D21" s="7" t="s">
        <v>57</v>
      </c>
      <c r="E21" s="7" t="s">
        <v>826</v>
      </c>
      <c r="F21" s="8">
        <v>9.4010900000000692</v>
      </c>
      <c r="G21" s="7" t="s">
        <v>621</v>
      </c>
      <c r="H21" s="7" t="s">
        <v>622</v>
      </c>
      <c r="I21" s="6">
        <v>591.86</v>
      </c>
      <c r="J21" s="6">
        <f t="shared" si="2"/>
        <v>10125.830000000002</v>
      </c>
      <c r="K21" s="6">
        <f t="shared" si="1"/>
        <v>246867.32000000007</v>
      </c>
    </row>
    <row r="22" spans="1:11" x14ac:dyDescent="0.25">
      <c r="A22" s="5" t="s">
        <v>702</v>
      </c>
      <c r="B22" s="42">
        <f t="shared" si="0"/>
        <v>10.717690000000003</v>
      </c>
      <c r="C22" s="7" t="s">
        <v>57</v>
      </c>
      <c r="D22" s="7" t="s">
        <v>59</v>
      </c>
      <c r="E22" s="7" t="s">
        <v>826</v>
      </c>
      <c r="F22" s="8">
        <v>10.009500000000068</v>
      </c>
      <c r="G22" s="7" t="s">
        <v>622</v>
      </c>
      <c r="H22" s="7" t="s">
        <v>623</v>
      </c>
      <c r="I22" s="6">
        <v>368.7</v>
      </c>
      <c r="J22" s="6">
        <f t="shared" si="2"/>
        <v>10717.690000000002</v>
      </c>
      <c r="K22" s="6">
        <f t="shared" si="1"/>
        <v>246275.46000000008</v>
      </c>
    </row>
    <row r="23" spans="1:11" x14ac:dyDescent="0.25">
      <c r="A23" s="5" t="s">
        <v>702</v>
      </c>
      <c r="B23" s="42">
        <f t="shared" si="0"/>
        <v>11.086390000000003</v>
      </c>
      <c r="C23" s="7" t="s">
        <v>59</v>
      </c>
      <c r="D23" s="7" t="s">
        <v>61</v>
      </c>
      <c r="E23" s="7" t="s">
        <v>826</v>
      </c>
      <c r="F23" s="8">
        <v>10.42604000000007</v>
      </c>
      <c r="G23" s="7" t="s">
        <v>623</v>
      </c>
      <c r="H23" s="7" t="s">
        <v>624</v>
      </c>
      <c r="I23" s="6">
        <v>590.14</v>
      </c>
      <c r="J23" s="6">
        <f t="shared" si="2"/>
        <v>11086.390000000003</v>
      </c>
      <c r="K23" s="6">
        <f t="shared" si="1"/>
        <v>245906.76000000007</v>
      </c>
    </row>
    <row r="24" spans="1:11" x14ac:dyDescent="0.25">
      <c r="A24" s="5" t="s">
        <v>702</v>
      </c>
      <c r="B24" s="42">
        <f t="shared" si="0"/>
        <v>11.676530000000003</v>
      </c>
      <c r="C24" s="7" t="s">
        <v>61</v>
      </c>
      <c r="D24" s="7" t="s">
        <v>63</v>
      </c>
      <c r="E24" s="7" t="s">
        <v>826</v>
      </c>
      <c r="F24" s="8">
        <v>11.14549000000007</v>
      </c>
      <c r="G24" s="7" t="s">
        <v>624</v>
      </c>
      <c r="H24" s="7" t="s">
        <v>625</v>
      </c>
      <c r="I24" s="6">
        <v>448.11</v>
      </c>
      <c r="J24" s="6">
        <f t="shared" si="2"/>
        <v>11676.530000000002</v>
      </c>
      <c r="K24" s="6">
        <f t="shared" si="1"/>
        <v>245316.62000000005</v>
      </c>
    </row>
    <row r="25" spans="1:11" x14ac:dyDescent="0.25">
      <c r="A25" s="5" t="s">
        <v>702</v>
      </c>
      <c r="B25" s="42">
        <f t="shared" si="0"/>
        <v>12.124640000000003</v>
      </c>
      <c r="C25" s="7" t="s">
        <v>63</v>
      </c>
      <c r="D25" s="7" t="s">
        <v>65</v>
      </c>
      <c r="E25" s="7" t="s">
        <v>826</v>
      </c>
      <c r="F25" s="8">
        <v>11.72815000000007</v>
      </c>
      <c r="G25" s="7" t="s">
        <v>625</v>
      </c>
      <c r="H25" s="7" t="s">
        <v>626</v>
      </c>
      <c r="I25" s="6">
        <v>839.67</v>
      </c>
      <c r="J25" s="6">
        <f t="shared" si="2"/>
        <v>12124.640000000003</v>
      </c>
      <c r="K25" s="6">
        <f t="shared" si="1"/>
        <v>244868.51000000007</v>
      </c>
    </row>
    <row r="26" spans="1:11" x14ac:dyDescent="0.25">
      <c r="A26" s="5" t="s">
        <v>702</v>
      </c>
      <c r="B26" s="42">
        <f t="shared" si="0"/>
        <v>12.964310000000003</v>
      </c>
      <c r="C26" s="7" t="s">
        <v>65</v>
      </c>
      <c r="D26" s="7" t="s">
        <v>67</v>
      </c>
      <c r="E26" s="7" t="s">
        <v>826</v>
      </c>
      <c r="F26" s="8">
        <v>12.17163000000007</v>
      </c>
      <c r="G26" s="7" t="s">
        <v>626</v>
      </c>
      <c r="H26" s="7" t="s">
        <v>627</v>
      </c>
      <c r="I26" s="6">
        <v>500.04</v>
      </c>
      <c r="J26" s="6">
        <f t="shared" si="2"/>
        <v>12964.310000000003</v>
      </c>
      <c r="K26" s="6">
        <f t="shared" si="1"/>
        <v>244028.84000000005</v>
      </c>
    </row>
    <row r="27" spans="1:11" x14ac:dyDescent="0.25">
      <c r="A27" s="5" t="s">
        <v>702</v>
      </c>
      <c r="B27" s="42">
        <f t="shared" si="0"/>
        <v>13.464350000000003</v>
      </c>
      <c r="C27" s="7" t="s">
        <v>67</v>
      </c>
      <c r="D27" s="7" t="s">
        <v>69</v>
      </c>
      <c r="E27" s="7" t="s">
        <v>826</v>
      </c>
      <c r="F27" s="8">
        <v>12.67102000000007</v>
      </c>
      <c r="G27" s="7" t="s">
        <v>627</v>
      </c>
      <c r="H27" s="7" t="s">
        <v>628</v>
      </c>
      <c r="I27" s="6">
        <v>491.46</v>
      </c>
      <c r="J27" s="6">
        <f t="shared" si="2"/>
        <v>13464.350000000004</v>
      </c>
      <c r="K27" s="6">
        <f t="shared" si="1"/>
        <v>243528.80000000005</v>
      </c>
    </row>
    <row r="28" spans="1:11" x14ac:dyDescent="0.25">
      <c r="A28" s="5" t="s">
        <v>702</v>
      </c>
      <c r="B28" s="42">
        <f t="shared" si="0"/>
        <v>13.955810000000003</v>
      </c>
      <c r="C28" s="7" t="s">
        <v>69</v>
      </c>
      <c r="D28" s="7" t="s">
        <v>71</v>
      </c>
      <c r="E28" s="7" t="s">
        <v>826</v>
      </c>
      <c r="F28" s="8">
        <v>13.308660000000069</v>
      </c>
      <c r="G28" s="7" t="s">
        <v>628</v>
      </c>
      <c r="H28" s="7" t="s">
        <v>629</v>
      </c>
      <c r="I28" s="6">
        <v>302.5</v>
      </c>
      <c r="J28" s="6">
        <f t="shared" si="2"/>
        <v>13955.810000000003</v>
      </c>
      <c r="K28" s="6">
        <f t="shared" si="1"/>
        <v>243037.34000000005</v>
      </c>
    </row>
    <row r="29" spans="1:11" x14ac:dyDescent="0.25">
      <c r="A29" s="5" t="s">
        <v>702</v>
      </c>
      <c r="B29" s="42">
        <f t="shared" si="0"/>
        <v>14.258310000000003</v>
      </c>
      <c r="C29" s="7" t="s">
        <v>71</v>
      </c>
      <c r="D29" s="7" t="s">
        <v>73</v>
      </c>
      <c r="E29" s="7" t="s">
        <v>826</v>
      </c>
      <c r="F29" s="8">
        <v>13.82624000000007</v>
      </c>
      <c r="G29" s="7" t="s">
        <v>629</v>
      </c>
      <c r="H29" s="7" t="s">
        <v>630</v>
      </c>
      <c r="I29" s="6">
        <v>530.23</v>
      </c>
      <c r="J29" s="6">
        <f t="shared" si="2"/>
        <v>14258.310000000003</v>
      </c>
      <c r="K29" s="6">
        <f t="shared" si="1"/>
        <v>242734.84000000005</v>
      </c>
    </row>
    <row r="30" spans="1:11" x14ac:dyDescent="0.25">
      <c r="A30" s="5" t="s">
        <v>702</v>
      </c>
      <c r="B30" s="42">
        <f t="shared" si="0"/>
        <v>14.788540000000003</v>
      </c>
      <c r="C30" s="7" t="s">
        <v>73</v>
      </c>
      <c r="D30" s="7" t="s">
        <v>75</v>
      </c>
      <c r="E30" s="7" t="s">
        <v>826</v>
      </c>
      <c r="F30" s="8">
        <v>14.396600000000069</v>
      </c>
      <c r="G30" s="7" t="s">
        <v>630</v>
      </c>
      <c r="H30" s="7" t="s">
        <v>631</v>
      </c>
      <c r="I30" s="6">
        <v>468.85</v>
      </c>
      <c r="J30" s="6">
        <f t="shared" si="2"/>
        <v>14788.540000000003</v>
      </c>
      <c r="K30" s="6">
        <f t="shared" si="1"/>
        <v>242204.61000000004</v>
      </c>
    </row>
    <row r="31" spans="1:11" x14ac:dyDescent="0.25">
      <c r="A31" s="5" t="s">
        <v>702</v>
      </c>
      <c r="B31" s="42">
        <f t="shared" si="0"/>
        <v>15.257390000000003</v>
      </c>
      <c r="C31" s="7" t="s">
        <v>75</v>
      </c>
      <c r="D31" s="7" t="s">
        <v>77</v>
      </c>
      <c r="E31" s="7" t="s">
        <v>826</v>
      </c>
      <c r="F31" s="8">
        <v>14.997940000000069</v>
      </c>
      <c r="G31" s="7" t="s">
        <v>631</v>
      </c>
      <c r="H31" s="7" t="s">
        <v>632</v>
      </c>
      <c r="I31" s="6">
        <v>640.58000000000004</v>
      </c>
      <c r="J31" s="6">
        <f t="shared" si="2"/>
        <v>15257.390000000003</v>
      </c>
      <c r="K31" s="6">
        <f t="shared" si="1"/>
        <v>241735.76000000004</v>
      </c>
    </row>
    <row r="32" spans="1:11" x14ac:dyDescent="0.25">
      <c r="A32" s="5" t="s">
        <v>702</v>
      </c>
      <c r="B32" s="42">
        <f t="shared" si="0"/>
        <v>15.897970000000003</v>
      </c>
      <c r="C32" s="7" t="s">
        <v>77</v>
      </c>
      <c r="D32" s="7" t="s">
        <v>79</v>
      </c>
      <c r="E32" s="7" t="s">
        <v>826</v>
      </c>
      <c r="F32" s="8">
        <v>15.48787000000007</v>
      </c>
      <c r="G32" s="7" t="s">
        <v>632</v>
      </c>
      <c r="H32" s="7" t="s">
        <v>633</v>
      </c>
      <c r="I32" s="6">
        <v>457.59</v>
      </c>
      <c r="J32" s="6">
        <f t="shared" si="2"/>
        <v>15897.970000000003</v>
      </c>
      <c r="K32" s="6">
        <f t="shared" si="1"/>
        <v>241095.18000000005</v>
      </c>
    </row>
    <row r="33" spans="1:11" x14ac:dyDescent="0.25">
      <c r="A33" s="5" t="s">
        <v>702</v>
      </c>
      <c r="B33" s="42">
        <f t="shared" si="0"/>
        <v>16.355560000000004</v>
      </c>
      <c r="C33" s="7" t="s">
        <v>79</v>
      </c>
      <c r="D33" s="7" t="s">
        <v>81</v>
      </c>
      <c r="E33" s="7" t="s">
        <v>826</v>
      </c>
      <c r="F33" s="8">
        <v>15.957090000000068</v>
      </c>
      <c r="G33" s="7" t="s">
        <v>633</v>
      </c>
      <c r="H33" s="7" t="s">
        <v>634</v>
      </c>
      <c r="I33" s="6">
        <v>506.91</v>
      </c>
      <c r="J33" s="6">
        <f t="shared" si="2"/>
        <v>16355.560000000003</v>
      </c>
      <c r="K33" s="6">
        <f t="shared" si="1"/>
        <v>240637.59000000005</v>
      </c>
    </row>
    <row r="34" spans="1:11" x14ac:dyDescent="0.25">
      <c r="A34" s="5" t="s">
        <v>702</v>
      </c>
      <c r="B34" s="42">
        <f t="shared" si="0"/>
        <v>16.862470000000005</v>
      </c>
      <c r="C34" s="7" t="s">
        <v>81</v>
      </c>
      <c r="D34" s="7" t="s">
        <v>83</v>
      </c>
      <c r="E34" s="7" t="s">
        <v>826</v>
      </c>
      <c r="F34" s="8">
        <v>16.525770000000069</v>
      </c>
      <c r="G34" s="7" t="s">
        <v>634</v>
      </c>
      <c r="H34" s="7" t="s">
        <v>635</v>
      </c>
      <c r="I34" s="6">
        <v>492.79</v>
      </c>
      <c r="J34" s="6">
        <f t="shared" si="2"/>
        <v>16862.470000000005</v>
      </c>
      <c r="K34" s="6">
        <f t="shared" si="1"/>
        <v>240130.68000000005</v>
      </c>
    </row>
    <row r="35" spans="1:11" x14ac:dyDescent="0.25">
      <c r="A35" s="5" t="s">
        <v>702</v>
      </c>
      <c r="B35" s="42">
        <f t="shared" si="0"/>
        <v>17.355260000000005</v>
      </c>
      <c r="C35" s="7" t="s">
        <v>83</v>
      </c>
      <c r="D35" s="7" t="s">
        <v>85</v>
      </c>
      <c r="E35" s="7" t="s">
        <v>826</v>
      </c>
      <c r="F35" s="8">
        <v>17.06984000000007</v>
      </c>
      <c r="G35" s="7" t="s">
        <v>635</v>
      </c>
      <c r="H35" s="7" t="s">
        <v>636</v>
      </c>
      <c r="I35" s="6">
        <v>363.85</v>
      </c>
      <c r="J35" s="6">
        <f t="shared" si="2"/>
        <v>17355.260000000006</v>
      </c>
      <c r="K35" s="6">
        <f t="shared" si="1"/>
        <v>239637.89000000004</v>
      </c>
    </row>
    <row r="36" spans="1:11" x14ac:dyDescent="0.25">
      <c r="A36" s="5" t="s">
        <v>702</v>
      </c>
      <c r="B36" s="42">
        <f t="shared" si="0"/>
        <v>17.719110000000004</v>
      </c>
      <c r="C36" s="7" t="s">
        <v>85</v>
      </c>
      <c r="D36" s="7" t="s">
        <v>87</v>
      </c>
      <c r="E36" s="7" t="s">
        <v>826</v>
      </c>
      <c r="F36" s="8">
        <v>17.55267000000007</v>
      </c>
      <c r="G36" s="7" t="s">
        <v>636</v>
      </c>
      <c r="H36" s="7" t="s">
        <v>637</v>
      </c>
      <c r="I36" s="6">
        <v>494.1</v>
      </c>
      <c r="J36" s="6">
        <f t="shared" si="2"/>
        <v>17719.110000000004</v>
      </c>
      <c r="K36" s="6">
        <f t="shared" si="1"/>
        <v>239274.04000000004</v>
      </c>
    </row>
    <row r="37" spans="1:11" x14ac:dyDescent="0.25">
      <c r="A37" s="5" t="s">
        <v>702</v>
      </c>
      <c r="B37" s="42">
        <f t="shared" si="0"/>
        <v>18.213210000000004</v>
      </c>
      <c r="C37" s="7" t="s">
        <v>87</v>
      </c>
      <c r="D37" s="7" t="s">
        <v>89</v>
      </c>
      <c r="E37" s="7" t="s">
        <v>826</v>
      </c>
      <c r="F37" s="8">
        <v>18.014710000000072</v>
      </c>
      <c r="G37" s="7" t="s">
        <v>637</v>
      </c>
      <c r="H37" s="7" t="s">
        <v>638</v>
      </c>
      <c r="I37" s="6">
        <v>446.5</v>
      </c>
      <c r="J37" s="6">
        <f t="shared" si="2"/>
        <v>18213.210000000003</v>
      </c>
      <c r="K37" s="6">
        <f t="shared" si="1"/>
        <v>238779.94000000003</v>
      </c>
    </row>
    <row r="38" spans="1:11" x14ac:dyDescent="0.25">
      <c r="A38" s="5" t="s">
        <v>702</v>
      </c>
      <c r="B38" s="42">
        <f t="shared" si="0"/>
        <v>18.659710000000004</v>
      </c>
      <c r="C38" s="7" t="s">
        <v>89</v>
      </c>
      <c r="D38" s="7" t="s">
        <v>91</v>
      </c>
      <c r="E38" s="7" t="s">
        <v>826</v>
      </c>
      <c r="F38" s="8">
        <v>18.425460000000072</v>
      </c>
      <c r="G38" s="7" t="s">
        <v>638</v>
      </c>
      <c r="H38" s="7" t="s">
        <v>639</v>
      </c>
      <c r="I38" s="6">
        <v>678.02</v>
      </c>
      <c r="J38" s="6">
        <f t="shared" si="2"/>
        <v>18659.710000000003</v>
      </c>
      <c r="K38" s="6">
        <f t="shared" si="1"/>
        <v>238333.44000000003</v>
      </c>
    </row>
    <row r="39" spans="1:11" x14ac:dyDescent="0.25">
      <c r="A39" s="5" t="s">
        <v>702</v>
      </c>
      <c r="B39" s="42">
        <f t="shared" si="0"/>
        <v>19.337730000000004</v>
      </c>
      <c r="C39" s="7" t="s">
        <v>91</v>
      </c>
      <c r="D39" s="7" t="s">
        <v>93</v>
      </c>
      <c r="E39" s="7" t="s">
        <v>826</v>
      </c>
      <c r="F39" s="8">
        <v>18.92101000000007</v>
      </c>
      <c r="G39" s="7" t="s">
        <v>639</v>
      </c>
      <c r="H39" s="7" t="s">
        <v>640</v>
      </c>
      <c r="I39" s="6">
        <v>386.71</v>
      </c>
      <c r="J39" s="6">
        <f t="shared" si="2"/>
        <v>19337.730000000003</v>
      </c>
      <c r="K39" s="6">
        <f t="shared" si="1"/>
        <v>237655.42000000004</v>
      </c>
    </row>
    <row r="40" spans="1:11" x14ac:dyDescent="0.25">
      <c r="A40" s="5" t="s">
        <v>702</v>
      </c>
      <c r="B40" s="42">
        <f t="shared" si="0"/>
        <v>19.724440000000001</v>
      </c>
      <c r="C40" s="7" t="s">
        <v>93</v>
      </c>
      <c r="D40" s="7" t="s">
        <v>95</v>
      </c>
      <c r="E40" s="7" t="s">
        <v>826</v>
      </c>
      <c r="F40" s="8">
        <v>19.481210000000072</v>
      </c>
      <c r="G40" s="7" t="s">
        <v>640</v>
      </c>
      <c r="H40" s="7" t="s">
        <v>641</v>
      </c>
      <c r="I40" s="6">
        <v>490.41</v>
      </c>
      <c r="J40" s="6">
        <f t="shared" si="2"/>
        <v>19724.440000000002</v>
      </c>
      <c r="K40" s="6">
        <f t="shared" si="1"/>
        <v>237268.71000000005</v>
      </c>
    </row>
    <row r="41" spans="1:11" x14ac:dyDescent="0.25">
      <c r="A41" s="5" t="s">
        <v>702</v>
      </c>
      <c r="B41" s="42">
        <f t="shared" si="0"/>
        <v>20.214850000000002</v>
      </c>
      <c r="C41" s="7" t="s">
        <v>95</v>
      </c>
      <c r="D41" s="7" t="s">
        <v>97</v>
      </c>
      <c r="E41" s="7" t="s">
        <v>826</v>
      </c>
      <c r="F41" s="8">
        <v>20.024790000000074</v>
      </c>
      <c r="G41" s="7" t="s">
        <v>641</v>
      </c>
      <c r="H41" s="7" t="s">
        <v>642</v>
      </c>
      <c r="I41" s="6">
        <v>607.15</v>
      </c>
      <c r="J41" s="6">
        <f t="shared" si="2"/>
        <v>20214.850000000002</v>
      </c>
      <c r="K41" s="6">
        <f t="shared" si="1"/>
        <v>236778.30000000005</v>
      </c>
    </row>
    <row r="42" spans="1:11" x14ac:dyDescent="0.25">
      <c r="A42" s="5" t="s">
        <v>702</v>
      </c>
      <c r="B42" s="42">
        <f t="shared" si="0"/>
        <v>20.822000000000003</v>
      </c>
      <c r="C42" s="7" t="s">
        <v>97</v>
      </c>
      <c r="D42" s="7" t="s">
        <v>99</v>
      </c>
      <c r="E42" s="7" t="s">
        <v>826</v>
      </c>
      <c r="F42" s="8">
        <v>20.497700000000073</v>
      </c>
      <c r="G42" s="7" t="s">
        <v>642</v>
      </c>
      <c r="H42" s="7" t="s">
        <v>643</v>
      </c>
      <c r="I42" s="6">
        <v>721.26</v>
      </c>
      <c r="J42" s="6">
        <f t="shared" si="2"/>
        <v>20822.000000000004</v>
      </c>
      <c r="K42" s="6">
        <f t="shared" si="1"/>
        <v>236171.15000000005</v>
      </c>
    </row>
    <row r="43" spans="1:11" x14ac:dyDescent="0.25">
      <c r="A43" s="5" t="s">
        <v>702</v>
      </c>
      <c r="B43" s="42">
        <f t="shared" si="0"/>
        <v>21.543260000000004</v>
      </c>
      <c r="C43" s="7" t="s">
        <v>99</v>
      </c>
      <c r="D43" s="7" t="s">
        <v>101</v>
      </c>
      <c r="E43" s="7" t="s">
        <v>826</v>
      </c>
      <c r="F43" s="8">
        <v>20.984360000000073</v>
      </c>
      <c r="G43" s="7" t="s">
        <v>643</v>
      </c>
      <c r="H43" s="7" t="s">
        <v>644</v>
      </c>
      <c r="I43" s="6">
        <v>513.74</v>
      </c>
      <c r="J43" s="6">
        <f t="shared" si="2"/>
        <v>21543.260000000002</v>
      </c>
      <c r="K43" s="6">
        <f t="shared" si="1"/>
        <v>235449.89000000004</v>
      </c>
    </row>
    <row r="44" spans="1:11" x14ac:dyDescent="0.25">
      <c r="A44" s="5" t="s">
        <v>702</v>
      </c>
      <c r="B44" s="42">
        <f t="shared" si="0"/>
        <v>22.057000000000002</v>
      </c>
      <c r="C44" s="7" t="s">
        <v>101</v>
      </c>
      <c r="D44" s="7" t="s">
        <v>103</v>
      </c>
      <c r="E44" s="7" t="s">
        <v>826</v>
      </c>
      <c r="F44" s="8">
        <v>21.528080000000074</v>
      </c>
      <c r="G44" s="7" t="s">
        <v>644</v>
      </c>
      <c r="H44" s="7" t="s">
        <v>645</v>
      </c>
      <c r="I44" s="6">
        <v>780.45</v>
      </c>
      <c r="J44" s="6">
        <f t="shared" si="2"/>
        <v>22057.000000000004</v>
      </c>
      <c r="K44" s="6">
        <f t="shared" si="1"/>
        <v>234936.15000000005</v>
      </c>
    </row>
    <row r="45" spans="1:11" x14ac:dyDescent="0.25">
      <c r="A45" s="5" t="s">
        <v>702</v>
      </c>
      <c r="B45" s="42">
        <f t="shared" si="0"/>
        <v>22.837450000000004</v>
      </c>
      <c r="C45" s="7" t="s">
        <v>103</v>
      </c>
      <c r="D45" s="7" t="s">
        <v>105</v>
      </c>
      <c r="E45" s="7" t="s">
        <v>826</v>
      </c>
      <c r="F45" s="8">
        <v>21.965600000000077</v>
      </c>
      <c r="G45" s="7" t="s">
        <v>645</v>
      </c>
      <c r="H45" s="7" t="s">
        <v>646</v>
      </c>
      <c r="I45" s="6">
        <v>627.58000000000004</v>
      </c>
      <c r="J45" s="6">
        <f t="shared" si="2"/>
        <v>22837.450000000004</v>
      </c>
      <c r="K45" s="6">
        <f t="shared" si="1"/>
        <v>234155.70000000004</v>
      </c>
    </row>
    <row r="46" spans="1:11" x14ac:dyDescent="0.25">
      <c r="A46" s="5" t="s">
        <v>702</v>
      </c>
      <c r="B46" s="42">
        <f t="shared" si="0"/>
        <v>23.465030000000006</v>
      </c>
      <c r="C46" s="7" t="s">
        <v>105</v>
      </c>
      <c r="D46" s="7" t="s">
        <v>107</v>
      </c>
      <c r="E46" s="7" t="s">
        <v>826</v>
      </c>
      <c r="F46" s="8">
        <v>22.308430000000076</v>
      </c>
      <c r="G46" s="7" t="s">
        <v>646</v>
      </c>
      <c r="H46" s="7" t="s">
        <v>647</v>
      </c>
      <c r="I46" s="6">
        <v>472.92</v>
      </c>
      <c r="J46" s="6">
        <f t="shared" si="2"/>
        <v>23465.030000000006</v>
      </c>
      <c r="K46" s="6">
        <f t="shared" si="1"/>
        <v>233528.12000000005</v>
      </c>
    </row>
    <row r="47" spans="1:11" x14ac:dyDescent="0.25">
      <c r="A47" s="5" t="s">
        <v>702</v>
      </c>
      <c r="B47" s="42">
        <f t="shared" si="0"/>
        <v>23.937950000000004</v>
      </c>
      <c r="C47" s="7" t="s">
        <v>107</v>
      </c>
      <c r="D47" s="7" t="s">
        <v>109</v>
      </c>
      <c r="E47" s="7" t="s">
        <v>826</v>
      </c>
      <c r="F47" s="8">
        <v>22.637740000000079</v>
      </c>
      <c r="G47" s="7" t="s">
        <v>647</v>
      </c>
      <c r="H47" s="7" t="s">
        <v>648</v>
      </c>
      <c r="I47" s="6">
        <v>332.09</v>
      </c>
      <c r="J47" s="6">
        <f t="shared" si="2"/>
        <v>23937.950000000004</v>
      </c>
      <c r="K47" s="6">
        <f t="shared" si="1"/>
        <v>233055.20000000004</v>
      </c>
    </row>
    <row r="48" spans="1:11" x14ac:dyDescent="0.25">
      <c r="A48" s="5" t="s">
        <v>702</v>
      </c>
      <c r="B48" s="42">
        <f t="shared" si="0"/>
        <v>24.270040000000005</v>
      </c>
      <c r="C48" s="7" t="s">
        <v>109</v>
      </c>
      <c r="D48" s="7" t="s">
        <v>111</v>
      </c>
      <c r="E48" s="7" t="s">
        <v>826</v>
      </c>
      <c r="F48" s="8">
        <v>23.043660000000077</v>
      </c>
      <c r="G48" s="7" t="s">
        <v>648</v>
      </c>
      <c r="H48" s="7" t="s">
        <v>649</v>
      </c>
      <c r="I48" s="6">
        <v>539.54</v>
      </c>
      <c r="J48" s="6">
        <f t="shared" si="2"/>
        <v>24270.040000000005</v>
      </c>
      <c r="K48" s="6">
        <f t="shared" si="1"/>
        <v>232723.11000000004</v>
      </c>
    </row>
    <row r="49" spans="1:11" x14ac:dyDescent="0.25">
      <c r="A49" s="5" t="s">
        <v>702</v>
      </c>
      <c r="B49" s="42">
        <f t="shared" si="0"/>
        <v>24.809580000000004</v>
      </c>
      <c r="C49" s="7" t="s">
        <v>111</v>
      </c>
      <c r="D49" s="7" t="s">
        <v>113</v>
      </c>
      <c r="E49" s="7" t="s">
        <v>826</v>
      </c>
      <c r="F49" s="8">
        <v>23.445240000000076</v>
      </c>
      <c r="G49" s="7" t="s">
        <v>649</v>
      </c>
      <c r="H49" s="7" t="s">
        <v>650</v>
      </c>
      <c r="I49" s="6">
        <v>440.1</v>
      </c>
      <c r="J49" s="6">
        <f t="shared" si="2"/>
        <v>24809.580000000005</v>
      </c>
      <c r="K49" s="6">
        <f t="shared" si="1"/>
        <v>232183.57000000004</v>
      </c>
    </row>
    <row r="50" spans="1:11" x14ac:dyDescent="0.25">
      <c r="A50" s="5" t="s">
        <v>702</v>
      </c>
      <c r="B50" s="42">
        <f t="shared" si="0"/>
        <v>25.249680000000005</v>
      </c>
      <c r="C50" s="7" t="s">
        <v>113</v>
      </c>
      <c r="D50" s="7" t="s">
        <v>115</v>
      </c>
      <c r="E50" s="7" t="s">
        <v>826</v>
      </c>
      <c r="F50" s="8">
        <v>24.031780000000079</v>
      </c>
      <c r="G50" s="7" t="s">
        <v>650</v>
      </c>
      <c r="H50" s="7" t="s">
        <v>651</v>
      </c>
      <c r="I50" s="6">
        <v>521.24</v>
      </c>
      <c r="J50" s="6">
        <f t="shared" si="2"/>
        <v>25249.680000000004</v>
      </c>
      <c r="K50" s="6">
        <f t="shared" si="1"/>
        <v>231743.47000000003</v>
      </c>
    </row>
    <row r="51" spans="1:11" x14ac:dyDescent="0.25">
      <c r="A51" s="5" t="s">
        <v>702</v>
      </c>
      <c r="B51" s="42">
        <f t="shared" si="0"/>
        <v>25.770920000000004</v>
      </c>
      <c r="C51" s="7" t="s">
        <v>115</v>
      </c>
      <c r="D51" s="7" t="s">
        <v>18</v>
      </c>
      <c r="E51" s="7" t="s">
        <v>826</v>
      </c>
      <c r="F51" s="8">
        <v>24.59361000000008</v>
      </c>
      <c r="G51" s="7" t="s">
        <v>651</v>
      </c>
      <c r="H51" s="7" t="s">
        <v>652</v>
      </c>
      <c r="I51" s="6">
        <v>619.14</v>
      </c>
      <c r="J51" s="6">
        <f t="shared" si="2"/>
        <v>25770.920000000006</v>
      </c>
      <c r="K51" s="6">
        <f t="shared" si="1"/>
        <v>231222.23000000004</v>
      </c>
    </row>
    <row r="52" spans="1:11" x14ac:dyDescent="0.25">
      <c r="A52" s="5" t="s">
        <v>702</v>
      </c>
      <c r="B52" s="42">
        <f t="shared" si="0"/>
        <v>26.390060000000005</v>
      </c>
      <c r="C52" s="7" t="s">
        <v>18</v>
      </c>
      <c r="D52" s="7" t="s">
        <v>19</v>
      </c>
      <c r="E52" s="7" t="s">
        <v>826</v>
      </c>
      <c r="F52" s="8">
        <v>25.031420000000082</v>
      </c>
      <c r="G52" s="7" t="s">
        <v>652</v>
      </c>
      <c r="H52" s="7" t="s">
        <v>653</v>
      </c>
      <c r="I52" s="6">
        <v>425.38</v>
      </c>
      <c r="J52" s="6">
        <f t="shared" si="2"/>
        <v>26390.060000000005</v>
      </c>
      <c r="K52" s="6">
        <f t="shared" si="1"/>
        <v>230603.09000000003</v>
      </c>
    </row>
    <row r="53" spans="1:11" x14ac:dyDescent="0.25">
      <c r="A53" s="5" t="s">
        <v>702</v>
      </c>
      <c r="B53" s="42">
        <f t="shared" si="0"/>
        <v>26.815440000000006</v>
      </c>
      <c r="C53" s="7" t="s">
        <v>19</v>
      </c>
      <c r="D53" s="7" t="s">
        <v>119</v>
      </c>
      <c r="E53" s="7" t="s">
        <v>826</v>
      </c>
      <c r="F53" s="8">
        <v>25.646490000000082</v>
      </c>
      <c r="G53" s="7" t="s">
        <v>653</v>
      </c>
      <c r="H53" s="7" t="s">
        <v>654</v>
      </c>
      <c r="I53" s="6">
        <v>656.68</v>
      </c>
      <c r="J53" s="6">
        <f t="shared" si="2"/>
        <v>26815.440000000006</v>
      </c>
      <c r="K53" s="6">
        <f t="shared" si="1"/>
        <v>230177.71000000002</v>
      </c>
    </row>
    <row r="54" spans="1:11" x14ac:dyDescent="0.25">
      <c r="A54" s="5" t="s">
        <v>702</v>
      </c>
      <c r="B54" s="42">
        <f t="shared" si="0"/>
        <v>27.472120000000007</v>
      </c>
      <c r="C54" s="7" t="s">
        <v>119</v>
      </c>
      <c r="D54" s="7" t="s">
        <v>121</v>
      </c>
      <c r="E54" s="7" t="s">
        <v>826</v>
      </c>
      <c r="F54" s="8">
        <v>26.180710000000083</v>
      </c>
      <c r="G54" s="7" t="s">
        <v>654</v>
      </c>
      <c r="H54" s="7" t="s">
        <v>655</v>
      </c>
      <c r="I54" s="6">
        <v>427.11</v>
      </c>
      <c r="J54" s="6">
        <f t="shared" si="2"/>
        <v>27472.120000000006</v>
      </c>
      <c r="K54" s="6">
        <f t="shared" si="1"/>
        <v>229521.03000000003</v>
      </c>
    </row>
    <row r="55" spans="1:11" x14ac:dyDescent="0.25">
      <c r="A55" s="5" t="s">
        <v>702</v>
      </c>
      <c r="B55" s="42">
        <f t="shared" si="0"/>
        <v>27.899230000000006</v>
      </c>
      <c r="C55" s="7" t="s">
        <v>121</v>
      </c>
      <c r="D55" s="7" t="s">
        <v>123</v>
      </c>
      <c r="E55" s="7" t="s">
        <v>826</v>
      </c>
      <c r="F55" s="8">
        <v>26.565680000000086</v>
      </c>
      <c r="G55" s="7" t="s">
        <v>655</v>
      </c>
      <c r="H55" s="7" t="s">
        <v>656</v>
      </c>
      <c r="I55" s="6">
        <v>395.55</v>
      </c>
      <c r="J55" s="6">
        <f t="shared" si="2"/>
        <v>27899.230000000007</v>
      </c>
      <c r="K55" s="6">
        <f t="shared" si="1"/>
        <v>229093.92000000004</v>
      </c>
    </row>
    <row r="56" spans="1:11" x14ac:dyDescent="0.25">
      <c r="A56" s="5" t="s">
        <v>702</v>
      </c>
      <c r="B56" s="42">
        <f t="shared" si="0"/>
        <v>28.294780000000006</v>
      </c>
      <c r="C56" s="7" t="s">
        <v>123</v>
      </c>
      <c r="D56" s="7" t="s">
        <v>125</v>
      </c>
      <c r="E56" s="7" t="s">
        <v>826</v>
      </c>
      <c r="F56" s="8">
        <v>27.125990000000087</v>
      </c>
      <c r="G56" s="7" t="s">
        <v>656</v>
      </c>
      <c r="H56" s="7" t="s">
        <v>657</v>
      </c>
      <c r="I56" s="6">
        <v>486.76</v>
      </c>
      <c r="J56" s="6">
        <f t="shared" si="2"/>
        <v>28294.780000000006</v>
      </c>
      <c r="K56" s="6">
        <f t="shared" si="1"/>
        <v>228698.37000000005</v>
      </c>
    </row>
    <row r="57" spans="1:11" x14ac:dyDescent="0.25">
      <c r="A57" s="5" t="s">
        <v>702</v>
      </c>
      <c r="B57" s="42">
        <f t="shared" si="0"/>
        <v>28.781540000000003</v>
      </c>
      <c r="C57" s="7" t="s">
        <v>125</v>
      </c>
      <c r="D57" s="7" t="s">
        <v>127</v>
      </c>
      <c r="E57" s="7" t="s">
        <v>826</v>
      </c>
      <c r="F57" s="8">
        <v>27.765880000000084</v>
      </c>
      <c r="G57" s="7" t="s">
        <v>657</v>
      </c>
      <c r="H57" s="7" t="s">
        <v>658</v>
      </c>
      <c r="I57" s="6">
        <v>661.48</v>
      </c>
      <c r="J57" s="6">
        <f t="shared" si="2"/>
        <v>28781.540000000005</v>
      </c>
      <c r="K57" s="6">
        <f t="shared" si="1"/>
        <v>228211.61000000004</v>
      </c>
    </row>
    <row r="58" spans="1:11" x14ac:dyDescent="0.25">
      <c r="A58" s="5" t="s">
        <v>702</v>
      </c>
      <c r="B58" s="42">
        <f t="shared" si="0"/>
        <v>29.443020000000004</v>
      </c>
      <c r="C58" s="7" t="s">
        <v>127</v>
      </c>
      <c r="D58" s="7" t="s">
        <v>129</v>
      </c>
      <c r="E58" s="7" t="s">
        <v>826</v>
      </c>
      <c r="F58" s="8">
        <v>28.334760000000085</v>
      </c>
      <c r="G58" s="7" t="s">
        <v>658</v>
      </c>
      <c r="H58" s="7" t="s">
        <v>659</v>
      </c>
      <c r="I58" s="6">
        <v>364.23</v>
      </c>
      <c r="J58" s="6">
        <f t="shared" si="2"/>
        <v>29443.020000000004</v>
      </c>
      <c r="K58" s="6">
        <f t="shared" si="1"/>
        <v>227550.13000000003</v>
      </c>
    </row>
    <row r="59" spans="1:11" x14ac:dyDescent="0.25">
      <c r="A59" s="5" t="s">
        <v>702</v>
      </c>
      <c r="B59" s="42">
        <f t="shared" si="0"/>
        <v>29.807250000000003</v>
      </c>
      <c r="C59" s="7" t="s">
        <v>129</v>
      </c>
      <c r="D59" s="7" t="s">
        <v>131</v>
      </c>
      <c r="E59" s="7" t="s">
        <v>826</v>
      </c>
      <c r="F59" s="8">
        <v>28.883740000000085</v>
      </c>
      <c r="G59" s="7" t="s">
        <v>659</v>
      </c>
      <c r="H59" s="7" t="s">
        <v>660</v>
      </c>
      <c r="I59" s="6">
        <v>419.99</v>
      </c>
      <c r="J59" s="6">
        <f t="shared" si="2"/>
        <v>29807.250000000004</v>
      </c>
      <c r="K59" s="6">
        <f t="shared" si="1"/>
        <v>227185.90000000002</v>
      </c>
    </row>
    <row r="60" spans="1:11" x14ac:dyDescent="0.25">
      <c r="A60" s="5" t="s">
        <v>702</v>
      </c>
      <c r="B60" s="42">
        <f t="shared" si="0"/>
        <v>30.227240000000005</v>
      </c>
      <c r="C60" s="7" t="s">
        <v>131</v>
      </c>
      <c r="D60" s="7" t="s">
        <v>133</v>
      </c>
      <c r="E60" s="7" t="s">
        <v>826</v>
      </c>
      <c r="F60" s="8">
        <v>29.510350000000084</v>
      </c>
      <c r="G60" s="7" t="s">
        <v>660</v>
      </c>
      <c r="H60" s="7" t="s">
        <v>661</v>
      </c>
      <c r="I60" s="6">
        <v>397.38</v>
      </c>
      <c r="J60" s="6">
        <f t="shared" si="2"/>
        <v>30227.240000000005</v>
      </c>
      <c r="K60" s="6">
        <f t="shared" si="1"/>
        <v>226765.91000000003</v>
      </c>
    </row>
    <row r="61" spans="1:11" x14ac:dyDescent="0.25">
      <c r="A61" s="5" t="s">
        <v>702</v>
      </c>
      <c r="B61" s="42">
        <f t="shared" si="0"/>
        <v>30.624620000000007</v>
      </c>
      <c r="C61" s="7" t="s">
        <v>133</v>
      </c>
      <c r="D61" s="7" t="s">
        <v>135</v>
      </c>
      <c r="E61" s="7" t="s">
        <v>826</v>
      </c>
      <c r="F61" s="8">
        <v>30.028080000000084</v>
      </c>
      <c r="G61" s="7" t="s">
        <v>661</v>
      </c>
      <c r="H61" s="7" t="s">
        <v>662</v>
      </c>
      <c r="I61" s="6">
        <v>493.16</v>
      </c>
      <c r="J61" s="6">
        <f t="shared" si="2"/>
        <v>30624.620000000006</v>
      </c>
      <c r="K61" s="6">
        <f t="shared" si="1"/>
        <v>226368.53000000003</v>
      </c>
    </row>
    <row r="62" spans="1:11" x14ac:dyDescent="0.25">
      <c r="A62" s="5" t="s">
        <v>702</v>
      </c>
      <c r="B62" s="42">
        <f t="shared" si="0"/>
        <v>31.117780000000007</v>
      </c>
      <c r="C62" s="7" t="s">
        <v>135</v>
      </c>
      <c r="D62" s="7" t="s">
        <v>137</v>
      </c>
      <c r="E62" s="7" t="s">
        <v>826</v>
      </c>
      <c r="F62" s="8">
        <v>30.536880000000085</v>
      </c>
      <c r="G62" s="7" t="s">
        <v>662</v>
      </c>
      <c r="H62" s="7" t="s">
        <v>663</v>
      </c>
      <c r="I62" s="6">
        <v>370.37</v>
      </c>
      <c r="J62" s="6">
        <f t="shared" si="2"/>
        <v>31117.780000000006</v>
      </c>
      <c r="K62" s="6">
        <f t="shared" si="1"/>
        <v>225875.37000000002</v>
      </c>
    </row>
    <row r="63" spans="1:11" x14ac:dyDescent="0.25">
      <c r="A63" s="5" t="s">
        <v>702</v>
      </c>
      <c r="B63" s="42">
        <f t="shared" si="0"/>
        <v>31.488150000000005</v>
      </c>
      <c r="C63" s="7" t="s">
        <v>137</v>
      </c>
      <c r="D63" s="7" t="s">
        <v>139</v>
      </c>
      <c r="E63" s="7" t="s">
        <v>826</v>
      </c>
      <c r="F63" s="8">
        <v>31.112340000000085</v>
      </c>
      <c r="G63" s="7" t="s">
        <v>663</v>
      </c>
      <c r="H63" s="7" t="s">
        <v>664</v>
      </c>
      <c r="I63" s="6">
        <v>567.65</v>
      </c>
      <c r="J63" s="6">
        <f t="shared" si="2"/>
        <v>31488.150000000005</v>
      </c>
      <c r="K63" s="6">
        <f t="shared" si="1"/>
        <v>225505.00000000003</v>
      </c>
    </row>
    <row r="64" spans="1:11" x14ac:dyDescent="0.25">
      <c r="A64" s="5" t="s">
        <v>702</v>
      </c>
      <c r="B64" s="42">
        <f t="shared" si="0"/>
        <v>32.055800000000005</v>
      </c>
      <c r="C64" s="7" t="s">
        <v>139</v>
      </c>
      <c r="D64" s="7" t="s">
        <v>141</v>
      </c>
      <c r="E64" s="7" t="s">
        <v>826</v>
      </c>
      <c r="F64" s="8">
        <v>31.704840000000083</v>
      </c>
      <c r="G64" s="7" t="s">
        <v>664</v>
      </c>
      <c r="H64" s="7" t="s">
        <v>665</v>
      </c>
      <c r="I64" s="6">
        <v>497.62</v>
      </c>
      <c r="J64" s="6">
        <f t="shared" si="2"/>
        <v>32055.800000000007</v>
      </c>
      <c r="K64" s="6">
        <f t="shared" si="1"/>
        <v>224937.35000000003</v>
      </c>
    </row>
    <row r="65" spans="1:11" x14ac:dyDescent="0.25">
      <c r="A65" s="5" t="s">
        <v>702</v>
      </c>
      <c r="B65" s="42">
        <f t="shared" si="0"/>
        <v>32.553420000000003</v>
      </c>
      <c r="C65" s="7" t="s">
        <v>141</v>
      </c>
      <c r="D65" s="7" t="s">
        <v>143</v>
      </c>
      <c r="E65" s="7" t="s">
        <v>826</v>
      </c>
      <c r="F65" s="8">
        <v>32.226730000000082</v>
      </c>
      <c r="G65" s="7" t="s">
        <v>665</v>
      </c>
      <c r="H65" s="7" t="s">
        <v>666</v>
      </c>
      <c r="I65" s="6">
        <v>442.61</v>
      </c>
      <c r="J65" s="6">
        <f t="shared" si="2"/>
        <v>32553.420000000006</v>
      </c>
      <c r="K65" s="6">
        <f t="shared" si="1"/>
        <v>224439.73000000004</v>
      </c>
    </row>
    <row r="66" spans="1:11" x14ac:dyDescent="0.25">
      <c r="A66" s="5" t="s">
        <v>702</v>
      </c>
      <c r="B66" s="42">
        <f t="shared" si="0"/>
        <v>32.996030000000005</v>
      </c>
      <c r="C66" s="7" t="s">
        <v>143</v>
      </c>
      <c r="D66" s="7" t="s">
        <v>145</v>
      </c>
      <c r="E66" s="7" t="s">
        <v>826</v>
      </c>
      <c r="F66" s="8">
        <v>32.804160000000081</v>
      </c>
      <c r="G66" s="7" t="s">
        <v>666</v>
      </c>
      <c r="H66" s="7" t="s">
        <v>667</v>
      </c>
      <c r="I66" s="6">
        <v>453.91</v>
      </c>
      <c r="J66" s="6">
        <f t="shared" si="2"/>
        <v>32996.030000000006</v>
      </c>
      <c r="K66" s="6">
        <f t="shared" si="1"/>
        <v>223997.12000000005</v>
      </c>
    </row>
    <row r="67" spans="1:11" x14ac:dyDescent="0.25">
      <c r="A67" s="5" t="s">
        <v>702</v>
      </c>
      <c r="B67" s="42">
        <f t="shared" ref="B67:B130" si="3">J67/1000</f>
        <v>33.449940000000012</v>
      </c>
      <c r="C67" s="7" t="s">
        <v>145</v>
      </c>
      <c r="D67" s="7" t="s">
        <v>147</v>
      </c>
      <c r="E67" s="7" t="s">
        <v>826</v>
      </c>
      <c r="F67" s="8">
        <v>33.316460000000085</v>
      </c>
      <c r="G67" s="7" t="s">
        <v>667</v>
      </c>
      <c r="H67" s="7" t="s">
        <v>668</v>
      </c>
      <c r="I67" s="6">
        <v>634.23</v>
      </c>
      <c r="J67" s="6">
        <f t="shared" si="2"/>
        <v>33449.94000000001</v>
      </c>
      <c r="K67" s="6">
        <f t="shared" si="1"/>
        <v>223543.21000000005</v>
      </c>
    </row>
    <row r="68" spans="1:11" x14ac:dyDescent="0.25">
      <c r="A68" s="5" t="s">
        <v>702</v>
      </c>
      <c r="B68" s="42">
        <f t="shared" si="3"/>
        <v>34.084170000000015</v>
      </c>
      <c r="C68" s="7" t="s">
        <v>147</v>
      </c>
      <c r="D68" s="7" t="s">
        <v>149</v>
      </c>
      <c r="E68" s="7" t="s">
        <v>826</v>
      </c>
      <c r="F68" s="8">
        <v>33.861860000000085</v>
      </c>
      <c r="G68" s="7" t="s">
        <v>668</v>
      </c>
      <c r="H68" s="7" t="s">
        <v>669</v>
      </c>
      <c r="I68" s="6">
        <v>490.8</v>
      </c>
      <c r="J68" s="6">
        <f t="shared" si="2"/>
        <v>34084.170000000013</v>
      </c>
      <c r="K68" s="6">
        <f t="shared" ref="K68:K131" si="4">K67-I67</f>
        <v>222908.98000000004</v>
      </c>
    </row>
    <row r="69" spans="1:11" x14ac:dyDescent="0.25">
      <c r="A69" s="5" t="s">
        <v>702</v>
      </c>
      <c r="B69" s="42">
        <f t="shared" si="3"/>
        <v>34.574970000000015</v>
      </c>
      <c r="C69" s="7" t="s">
        <v>149</v>
      </c>
      <c r="D69" s="7" t="s">
        <v>151</v>
      </c>
      <c r="E69" s="7" t="s">
        <v>826</v>
      </c>
      <c r="F69" s="8">
        <v>34.360560000000085</v>
      </c>
      <c r="G69" s="7" t="s">
        <v>669</v>
      </c>
      <c r="H69" s="7" t="s">
        <v>670</v>
      </c>
      <c r="I69" s="6">
        <v>451.67</v>
      </c>
      <c r="J69" s="6">
        <f t="shared" ref="J69:J132" si="5">J68+I68</f>
        <v>34574.970000000016</v>
      </c>
      <c r="K69" s="6">
        <f t="shared" si="4"/>
        <v>222418.18000000005</v>
      </c>
    </row>
    <row r="70" spans="1:11" x14ac:dyDescent="0.25">
      <c r="A70" s="5" t="s">
        <v>702</v>
      </c>
      <c r="B70" s="42">
        <f t="shared" si="3"/>
        <v>35.026640000000015</v>
      </c>
      <c r="C70" s="7" t="s">
        <v>151</v>
      </c>
      <c r="D70" s="7" t="s">
        <v>153</v>
      </c>
      <c r="E70" s="7" t="s">
        <v>826</v>
      </c>
      <c r="F70" s="8">
        <v>34.890120000000081</v>
      </c>
      <c r="G70" s="7" t="s">
        <v>670</v>
      </c>
      <c r="H70" s="7" t="s">
        <v>671</v>
      </c>
      <c r="I70" s="6">
        <v>511.53</v>
      </c>
      <c r="J70" s="6">
        <f t="shared" si="5"/>
        <v>35026.640000000014</v>
      </c>
      <c r="K70" s="6">
        <f t="shared" si="4"/>
        <v>221966.51000000004</v>
      </c>
    </row>
    <row r="71" spans="1:11" x14ac:dyDescent="0.25">
      <c r="A71" s="5" t="s">
        <v>702</v>
      </c>
      <c r="B71" s="42">
        <f t="shared" si="3"/>
        <v>35.538170000000015</v>
      </c>
      <c r="C71" s="7" t="s">
        <v>153</v>
      </c>
      <c r="D71" s="7" t="s">
        <v>155</v>
      </c>
      <c r="E71" s="7" t="s">
        <v>826</v>
      </c>
      <c r="F71" s="8">
        <v>35.528620000000082</v>
      </c>
      <c r="G71" s="7" t="s">
        <v>671</v>
      </c>
      <c r="H71" s="7" t="s">
        <v>672</v>
      </c>
      <c r="I71" s="6">
        <v>436.58</v>
      </c>
      <c r="J71" s="6">
        <f t="shared" si="5"/>
        <v>35538.170000000013</v>
      </c>
      <c r="K71" s="6">
        <f t="shared" si="4"/>
        <v>221454.98000000004</v>
      </c>
    </row>
    <row r="72" spans="1:11" x14ac:dyDescent="0.25">
      <c r="A72" s="5" t="s">
        <v>702</v>
      </c>
      <c r="B72" s="42">
        <f t="shared" si="3"/>
        <v>35.974750000000014</v>
      </c>
      <c r="C72" s="7" t="s">
        <v>155</v>
      </c>
      <c r="D72" s="7" t="s">
        <v>157</v>
      </c>
      <c r="E72" s="7" t="s">
        <v>826</v>
      </c>
      <c r="F72" s="8">
        <v>36.062190000000079</v>
      </c>
      <c r="G72" s="7" t="s">
        <v>672</v>
      </c>
      <c r="H72" s="7" t="s">
        <v>673</v>
      </c>
      <c r="I72" s="6">
        <v>542.70000000000005</v>
      </c>
      <c r="J72" s="6">
        <f t="shared" si="5"/>
        <v>35974.750000000015</v>
      </c>
      <c r="K72" s="6">
        <f t="shared" si="4"/>
        <v>221018.40000000005</v>
      </c>
    </row>
    <row r="73" spans="1:11" x14ac:dyDescent="0.25">
      <c r="A73" s="5" t="s">
        <v>702</v>
      </c>
      <c r="B73" s="42">
        <f t="shared" si="3"/>
        <v>36.517450000000011</v>
      </c>
      <c r="C73" s="7" t="s">
        <v>157</v>
      </c>
      <c r="D73" s="7" t="s">
        <v>159</v>
      </c>
      <c r="E73" s="7" t="s">
        <v>826</v>
      </c>
      <c r="F73" s="8">
        <v>36.674010000000081</v>
      </c>
      <c r="G73" s="7" t="s">
        <v>673</v>
      </c>
      <c r="H73" s="7" t="s">
        <v>674</v>
      </c>
      <c r="I73" s="6">
        <v>530.20000000000005</v>
      </c>
      <c r="J73" s="6">
        <f t="shared" si="5"/>
        <v>36517.450000000012</v>
      </c>
      <c r="K73" s="6">
        <f t="shared" si="4"/>
        <v>220475.70000000004</v>
      </c>
    </row>
    <row r="74" spans="1:11" x14ac:dyDescent="0.25">
      <c r="A74" s="5" t="s">
        <v>702</v>
      </c>
      <c r="B74" s="42">
        <f t="shared" si="3"/>
        <v>37.047650000000012</v>
      </c>
      <c r="C74" s="7" t="s">
        <v>159</v>
      </c>
      <c r="D74" s="7" t="s">
        <v>161</v>
      </c>
      <c r="E74" s="7" t="s">
        <v>826</v>
      </c>
      <c r="F74" s="8">
        <v>37.228510000000085</v>
      </c>
      <c r="G74" s="7" t="s">
        <v>674</v>
      </c>
      <c r="H74" s="7" t="s">
        <v>675</v>
      </c>
      <c r="I74" s="6">
        <v>375.43</v>
      </c>
      <c r="J74" s="6">
        <f t="shared" si="5"/>
        <v>37047.650000000009</v>
      </c>
      <c r="K74" s="6">
        <f t="shared" si="4"/>
        <v>219945.50000000003</v>
      </c>
    </row>
    <row r="75" spans="1:11" x14ac:dyDescent="0.25">
      <c r="A75" s="5" t="s">
        <v>702</v>
      </c>
      <c r="B75" s="42">
        <f t="shared" si="3"/>
        <v>37.423080000000006</v>
      </c>
      <c r="C75" s="7" t="s">
        <v>161</v>
      </c>
      <c r="D75" s="7" t="s">
        <v>163</v>
      </c>
      <c r="E75" s="7" t="s">
        <v>826</v>
      </c>
      <c r="F75" s="8">
        <v>37.842970000000079</v>
      </c>
      <c r="G75" s="7" t="s">
        <v>675</v>
      </c>
      <c r="H75" s="7" t="s">
        <v>676</v>
      </c>
      <c r="I75" s="6">
        <v>647.69000000000005</v>
      </c>
      <c r="J75" s="6">
        <f t="shared" si="5"/>
        <v>37423.080000000009</v>
      </c>
      <c r="K75" s="6">
        <f t="shared" si="4"/>
        <v>219570.07000000004</v>
      </c>
    </row>
    <row r="76" spans="1:11" x14ac:dyDescent="0.25">
      <c r="A76" s="5" t="s">
        <v>702</v>
      </c>
      <c r="B76" s="42">
        <f t="shared" si="3"/>
        <v>38.07077000000001</v>
      </c>
      <c r="C76" s="7" t="s">
        <v>163</v>
      </c>
      <c r="D76" s="7" t="s">
        <v>165</v>
      </c>
      <c r="E76" s="7" t="s">
        <v>826</v>
      </c>
      <c r="F76" s="8">
        <v>38.374410000000083</v>
      </c>
      <c r="G76" s="7" t="s">
        <v>676</v>
      </c>
      <c r="H76" s="7" t="s">
        <v>677</v>
      </c>
      <c r="I76" s="6">
        <v>461.08</v>
      </c>
      <c r="J76" s="6">
        <f t="shared" si="5"/>
        <v>38070.770000000011</v>
      </c>
      <c r="K76" s="6">
        <f t="shared" si="4"/>
        <v>218922.38000000003</v>
      </c>
    </row>
    <row r="77" spans="1:11" x14ac:dyDescent="0.25">
      <c r="A77" s="5" t="s">
        <v>702</v>
      </c>
      <c r="B77" s="42">
        <f t="shared" si="3"/>
        <v>38.531850000000013</v>
      </c>
      <c r="C77" s="7" t="s">
        <v>165</v>
      </c>
      <c r="D77" s="7" t="s">
        <v>167</v>
      </c>
      <c r="E77" s="7" t="s">
        <v>826</v>
      </c>
      <c r="F77" s="8">
        <v>38.963090000000086</v>
      </c>
      <c r="G77" s="7" t="s">
        <v>677</v>
      </c>
      <c r="H77" s="7" t="s">
        <v>678</v>
      </c>
      <c r="I77" s="6">
        <v>398.96</v>
      </c>
      <c r="J77" s="6">
        <f t="shared" si="5"/>
        <v>38531.850000000013</v>
      </c>
      <c r="K77" s="6">
        <f t="shared" si="4"/>
        <v>218461.30000000005</v>
      </c>
    </row>
    <row r="78" spans="1:11" x14ac:dyDescent="0.25">
      <c r="A78" s="5" t="s">
        <v>702</v>
      </c>
      <c r="B78" s="42">
        <f t="shared" si="3"/>
        <v>38.930810000000015</v>
      </c>
      <c r="C78" s="7" t="s">
        <v>167</v>
      </c>
      <c r="D78" s="7" t="s">
        <v>169</v>
      </c>
      <c r="E78" s="7" t="s">
        <v>826</v>
      </c>
      <c r="F78" s="8">
        <v>39.53468000000008</v>
      </c>
      <c r="G78" s="7" t="s">
        <v>678</v>
      </c>
      <c r="H78" s="7" t="s">
        <v>679</v>
      </c>
      <c r="I78" s="6">
        <v>800.57</v>
      </c>
      <c r="J78" s="6">
        <f t="shared" si="5"/>
        <v>38930.810000000012</v>
      </c>
      <c r="K78" s="6">
        <f t="shared" si="4"/>
        <v>218062.34000000005</v>
      </c>
    </row>
    <row r="79" spans="1:11" x14ac:dyDescent="0.25">
      <c r="A79" s="5" t="s">
        <v>702</v>
      </c>
      <c r="B79" s="42">
        <f t="shared" si="3"/>
        <v>39.731380000000009</v>
      </c>
      <c r="C79" s="7" t="s">
        <v>169</v>
      </c>
      <c r="D79" s="7" t="s">
        <v>171</v>
      </c>
      <c r="E79" s="7" t="s">
        <v>826</v>
      </c>
      <c r="F79" s="8">
        <v>40.02989000000008</v>
      </c>
      <c r="G79" s="7" t="s">
        <v>679</v>
      </c>
      <c r="H79" s="7" t="s">
        <v>680</v>
      </c>
      <c r="I79" s="6">
        <v>507.29</v>
      </c>
      <c r="J79" s="6">
        <f t="shared" si="5"/>
        <v>39731.380000000012</v>
      </c>
      <c r="K79" s="6">
        <f t="shared" si="4"/>
        <v>217261.77000000005</v>
      </c>
    </row>
    <row r="80" spans="1:11" x14ac:dyDescent="0.25">
      <c r="A80" s="5" t="s">
        <v>702</v>
      </c>
      <c r="B80" s="42">
        <f t="shared" si="3"/>
        <v>40.238670000000013</v>
      </c>
      <c r="C80" s="7" t="s">
        <v>171</v>
      </c>
      <c r="D80" s="7" t="s">
        <v>173</v>
      </c>
      <c r="E80" s="7" t="s">
        <v>826</v>
      </c>
      <c r="F80" s="8">
        <v>40.551870000000079</v>
      </c>
      <c r="G80" s="7" t="s">
        <v>680</v>
      </c>
      <c r="H80" s="7" t="s">
        <v>681</v>
      </c>
      <c r="I80" s="6">
        <v>713.93</v>
      </c>
      <c r="J80" s="6">
        <f t="shared" si="5"/>
        <v>40238.670000000013</v>
      </c>
      <c r="K80" s="6">
        <f t="shared" si="4"/>
        <v>216754.48000000004</v>
      </c>
    </row>
    <row r="81" spans="1:11" x14ac:dyDescent="0.25">
      <c r="A81" s="5" t="s">
        <v>702</v>
      </c>
      <c r="B81" s="42">
        <f t="shared" si="3"/>
        <v>40.952600000000011</v>
      </c>
      <c r="C81" s="7" t="s">
        <v>173</v>
      </c>
      <c r="D81" s="7" t="s">
        <v>175</v>
      </c>
      <c r="E81" s="7" t="s">
        <v>826</v>
      </c>
      <c r="F81" s="8">
        <v>41.130460000000078</v>
      </c>
      <c r="G81" s="7" t="s">
        <v>681</v>
      </c>
      <c r="H81" s="7" t="s">
        <v>682</v>
      </c>
      <c r="I81" s="6">
        <v>609.09</v>
      </c>
      <c r="J81" s="6">
        <f t="shared" si="5"/>
        <v>40952.600000000013</v>
      </c>
      <c r="K81" s="6">
        <f t="shared" si="4"/>
        <v>216040.55000000005</v>
      </c>
    </row>
    <row r="82" spans="1:11" x14ac:dyDescent="0.25">
      <c r="A82" s="5" t="s">
        <v>702</v>
      </c>
      <c r="B82" s="42">
        <f t="shared" si="3"/>
        <v>41.561690000000013</v>
      </c>
      <c r="C82" s="7" t="s">
        <v>175</v>
      </c>
      <c r="D82" s="7" t="s">
        <v>177</v>
      </c>
      <c r="E82" s="7" t="s">
        <v>826</v>
      </c>
      <c r="F82" s="8">
        <v>41.732620000000082</v>
      </c>
      <c r="G82" s="7" t="s">
        <v>682</v>
      </c>
      <c r="H82" s="7" t="s">
        <v>683</v>
      </c>
      <c r="I82" s="6">
        <v>540</v>
      </c>
      <c r="J82" s="6">
        <f t="shared" si="5"/>
        <v>41561.69000000001</v>
      </c>
      <c r="K82" s="6">
        <f t="shared" si="4"/>
        <v>215431.46000000005</v>
      </c>
    </row>
    <row r="83" spans="1:11" x14ac:dyDescent="0.25">
      <c r="A83" s="5" t="s">
        <v>702</v>
      </c>
      <c r="B83" s="42">
        <f t="shared" si="3"/>
        <v>42.101690000000012</v>
      </c>
      <c r="C83" s="7" t="s">
        <v>177</v>
      </c>
      <c r="D83" s="7" t="s">
        <v>179</v>
      </c>
      <c r="E83" s="7" t="s">
        <v>827</v>
      </c>
      <c r="F83" s="8">
        <v>42.358680000000078</v>
      </c>
      <c r="G83" s="7" t="s">
        <v>683</v>
      </c>
      <c r="H83" s="7" t="s">
        <v>684</v>
      </c>
      <c r="I83" s="6">
        <v>482.55</v>
      </c>
      <c r="J83" s="6">
        <f t="shared" si="5"/>
        <v>42101.69000000001</v>
      </c>
      <c r="K83" s="6">
        <f t="shared" si="4"/>
        <v>214891.46000000005</v>
      </c>
    </row>
    <row r="84" spans="1:11" x14ac:dyDescent="0.25">
      <c r="A84" s="5" t="s">
        <v>702</v>
      </c>
      <c r="B84" s="42">
        <f t="shared" si="3"/>
        <v>42.584240000000015</v>
      </c>
      <c r="C84" s="7" t="s">
        <v>179</v>
      </c>
      <c r="D84" s="7" t="s">
        <v>181</v>
      </c>
      <c r="E84" s="7" t="s">
        <v>0</v>
      </c>
      <c r="F84" s="8">
        <v>43.235890000000083</v>
      </c>
      <c r="G84" s="7" t="s">
        <v>684</v>
      </c>
      <c r="H84" s="7" t="s">
        <v>685</v>
      </c>
      <c r="I84" s="6">
        <v>549.02</v>
      </c>
      <c r="J84" s="6">
        <f t="shared" si="5"/>
        <v>42584.240000000013</v>
      </c>
      <c r="K84" s="6">
        <f t="shared" si="4"/>
        <v>214408.91000000006</v>
      </c>
    </row>
    <row r="85" spans="1:11" x14ac:dyDescent="0.25">
      <c r="A85" s="5" t="s">
        <v>702</v>
      </c>
      <c r="B85" s="42">
        <f t="shared" si="3"/>
        <v>43.133260000000007</v>
      </c>
      <c r="C85" s="7" t="s">
        <v>181</v>
      </c>
      <c r="D85" s="7" t="s">
        <v>183</v>
      </c>
      <c r="E85" s="7" t="s">
        <v>0</v>
      </c>
      <c r="F85" s="8">
        <v>43.726580000000084</v>
      </c>
      <c r="G85" s="7" t="s">
        <v>685</v>
      </c>
      <c r="H85" s="7" t="s">
        <v>686</v>
      </c>
      <c r="I85" s="6">
        <v>587.1</v>
      </c>
      <c r="J85" s="6">
        <f t="shared" si="5"/>
        <v>43133.260000000009</v>
      </c>
      <c r="K85" s="6">
        <f t="shared" si="4"/>
        <v>213859.89000000007</v>
      </c>
    </row>
    <row r="86" spans="1:11" x14ac:dyDescent="0.25">
      <c r="A86" s="5" t="s">
        <v>702</v>
      </c>
      <c r="B86" s="42">
        <f t="shared" si="3"/>
        <v>43.720360000000007</v>
      </c>
      <c r="C86" s="7" t="s">
        <v>183</v>
      </c>
      <c r="D86" s="7" t="s">
        <v>272</v>
      </c>
      <c r="E86" s="7" t="s">
        <v>0</v>
      </c>
      <c r="F86" s="8">
        <v>44.382020000000082</v>
      </c>
      <c r="G86" s="7" t="s">
        <v>686</v>
      </c>
      <c r="H86" s="7" t="s">
        <v>687</v>
      </c>
      <c r="I86" s="6">
        <v>512.77</v>
      </c>
      <c r="J86" s="6">
        <f t="shared" si="5"/>
        <v>43720.360000000008</v>
      </c>
      <c r="K86" s="6">
        <f t="shared" si="4"/>
        <v>213272.79000000007</v>
      </c>
    </row>
    <row r="87" spans="1:11" x14ac:dyDescent="0.25">
      <c r="A87" s="5" t="s">
        <v>702</v>
      </c>
      <c r="B87" s="42">
        <f t="shared" si="3"/>
        <v>44.233130000000003</v>
      </c>
      <c r="C87" s="7" t="s">
        <v>272</v>
      </c>
      <c r="D87" s="7" t="s">
        <v>274</v>
      </c>
      <c r="E87" s="7" t="s">
        <v>0</v>
      </c>
      <c r="F87" s="8">
        <v>44.900780000000083</v>
      </c>
      <c r="G87" s="7" t="s">
        <v>687</v>
      </c>
      <c r="H87" s="7" t="s">
        <v>688</v>
      </c>
      <c r="I87" s="6">
        <v>351.72</v>
      </c>
      <c r="J87" s="6">
        <f t="shared" si="5"/>
        <v>44233.130000000005</v>
      </c>
      <c r="K87" s="6">
        <f t="shared" si="4"/>
        <v>212760.02000000008</v>
      </c>
    </row>
    <row r="88" spans="1:11" x14ac:dyDescent="0.25">
      <c r="A88" s="5" t="s">
        <v>702</v>
      </c>
      <c r="B88" s="42">
        <f t="shared" si="3"/>
        <v>44.584850000000003</v>
      </c>
      <c r="C88" s="7" t="s">
        <v>274</v>
      </c>
      <c r="D88" s="7" t="s">
        <v>276</v>
      </c>
      <c r="E88" s="7" t="s">
        <v>0</v>
      </c>
      <c r="F88" s="8">
        <v>45.377960000000087</v>
      </c>
      <c r="G88" s="7" t="s">
        <v>688</v>
      </c>
      <c r="H88" s="7" t="s">
        <v>689</v>
      </c>
      <c r="I88" s="6">
        <v>595.51</v>
      </c>
      <c r="J88" s="6">
        <f t="shared" si="5"/>
        <v>44584.850000000006</v>
      </c>
      <c r="K88" s="6">
        <f t="shared" si="4"/>
        <v>212408.30000000008</v>
      </c>
    </row>
    <row r="89" spans="1:11" x14ac:dyDescent="0.25">
      <c r="A89" s="5" t="s">
        <v>702</v>
      </c>
      <c r="B89" s="42">
        <f t="shared" si="3"/>
        <v>45.180360000000007</v>
      </c>
      <c r="C89" s="7" t="s">
        <v>276</v>
      </c>
      <c r="D89" s="7" t="s">
        <v>278</v>
      </c>
      <c r="E89" s="7" t="s">
        <v>0</v>
      </c>
      <c r="F89" s="8">
        <v>45.881600000000084</v>
      </c>
      <c r="G89" s="7" t="s">
        <v>689</v>
      </c>
      <c r="H89" s="7" t="s">
        <v>690</v>
      </c>
      <c r="I89" s="6">
        <v>497.92</v>
      </c>
      <c r="J89" s="6">
        <f t="shared" si="5"/>
        <v>45180.360000000008</v>
      </c>
      <c r="K89" s="6">
        <f t="shared" si="4"/>
        <v>211812.79000000007</v>
      </c>
    </row>
    <row r="90" spans="1:11" x14ac:dyDescent="0.25">
      <c r="A90" s="5" t="s">
        <v>702</v>
      </c>
      <c r="B90" s="42">
        <f t="shared" si="3"/>
        <v>45.678280000000008</v>
      </c>
      <c r="C90" s="7" t="s">
        <v>278</v>
      </c>
      <c r="D90" s="7" t="s">
        <v>280</v>
      </c>
      <c r="E90" s="7" t="s">
        <v>0</v>
      </c>
      <c r="F90" s="8">
        <v>46.351980000000083</v>
      </c>
      <c r="G90" s="7" t="s">
        <v>690</v>
      </c>
      <c r="H90" s="7" t="s">
        <v>691</v>
      </c>
      <c r="I90" s="6">
        <v>582.35</v>
      </c>
      <c r="J90" s="6">
        <f t="shared" si="5"/>
        <v>45678.280000000006</v>
      </c>
      <c r="K90" s="6">
        <f t="shared" si="4"/>
        <v>211314.87000000005</v>
      </c>
    </row>
    <row r="91" spans="1:11" x14ac:dyDescent="0.25">
      <c r="A91" s="5" t="s">
        <v>702</v>
      </c>
      <c r="B91" s="42">
        <f t="shared" si="3"/>
        <v>46.260630000000006</v>
      </c>
      <c r="C91" s="7" t="s">
        <v>280</v>
      </c>
      <c r="D91" s="7" t="s">
        <v>282</v>
      </c>
      <c r="E91" s="7" t="s">
        <v>0</v>
      </c>
      <c r="F91" s="8">
        <v>47.033420000000085</v>
      </c>
      <c r="G91" s="7" t="s">
        <v>691</v>
      </c>
      <c r="H91" s="7" t="s">
        <v>692</v>
      </c>
      <c r="I91" s="6">
        <v>479.94</v>
      </c>
      <c r="J91" s="6">
        <f t="shared" si="5"/>
        <v>46260.630000000005</v>
      </c>
      <c r="K91" s="6">
        <f t="shared" si="4"/>
        <v>210732.52000000005</v>
      </c>
    </row>
    <row r="92" spans="1:11" x14ac:dyDescent="0.25">
      <c r="A92" s="5" t="s">
        <v>702</v>
      </c>
      <c r="B92" s="42">
        <f t="shared" si="3"/>
        <v>46.740570000000005</v>
      </c>
      <c r="C92" s="7" t="s">
        <v>282</v>
      </c>
      <c r="D92" s="7" t="s">
        <v>284</v>
      </c>
      <c r="E92" s="7" t="s">
        <v>0</v>
      </c>
      <c r="F92" s="8">
        <v>47.400730000000081</v>
      </c>
      <c r="G92" s="7" t="s">
        <v>692</v>
      </c>
      <c r="H92" s="7" t="s">
        <v>693</v>
      </c>
      <c r="I92" s="6">
        <v>481.73</v>
      </c>
      <c r="J92" s="6">
        <f t="shared" si="5"/>
        <v>46740.570000000007</v>
      </c>
      <c r="K92" s="6">
        <f t="shared" si="4"/>
        <v>210252.58000000005</v>
      </c>
    </row>
    <row r="93" spans="1:11" x14ac:dyDescent="0.25">
      <c r="A93" s="5" t="s">
        <v>702</v>
      </c>
      <c r="B93" s="42">
        <f t="shared" si="3"/>
        <v>47.222300000000011</v>
      </c>
      <c r="C93" s="7" t="s">
        <v>284</v>
      </c>
      <c r="D93" s="7" t="s">
        <v>286</v>
      </c>
      <c r="E93" s="7" t="s">
        <v>0</v>
      </c>
      <c r="F93" s="8">
        <v>47.820620000000083</v>
      </c>
      <c r="G93" s="7" t="s">
        <v>693</v>
      </c>
      <c r="H93" s="7" t="s">
        <v>694</v>
      </c>
      <c r="I93" s="6">
        <v>684.46</v>
      </c>
      <c r="J93" s="6">
        <f t="shared" si="5"/>
        <v>47222.30000000001</v>
      </c>
      <c r="K93" s="6">
        <f t="shared" si="4"/>
        <v>209770.85000000003</v>
      </c>
    </row>
    <row r="94" spans="1:11" x14ac:dyDescent="0.25">
      <c r="A94" s="5" t="s">
        <v>702</v>
      </c>
      <c r="B94" s="42">
        <f t="shared" si="3"/>
        <v>47.906760000000013</v>
      </c>
      <c r="C94" s="7" t="s">
        <v>286</v>
      </c>
      <c r="D94" s="7" t="s">
        <v>288</v>
      </c>
      <c r="E94" s="7" t="s">
        <v>0</v>
      </c>
      <c r="F94" s="8">
        <v>48.573090000000086</v>
      </c>
      <c r="G94" s="7" t="s">
        <v>694</v>
      </c>
      <c r="H94" s="7" t="s">
        <v>695</v>
      </c>
      <c r="I94" s="6">
        <v>402.79</v>
      </c>
      <c r="J94" s="6">
        <f t="shared" si="5"/>
        <v>47906.760000000009</v>
      </c>
      <c r="K94" s="6">
        <f t="shared" si="4"/>
        <v>209086.39000000004</v>
      </c>
    </row>
    <row r="95" spans="1:11" x14ac:dyDescent="0.25">
      <c r="A95" s="5" t="s">
        <v>702</v>
      </c>
      <c r="B95" s="42">
        <f t="shared" si="3"/>
        <v>48.309550000000009</v>
      </c>
      <c r="C95" s="7" t="s">
        <v>288</v>
      </c>
      <c r="D95" s="7" t="s">
        <v>290</v>
      </c>
      <c r="E95" s="7" t="s">
        <v>0</v>
      </c>
      <c r="F95" s="8">
        <v>48.97780000000008</v>
      </c>
      <c r="G95" s="7" t="s">
        <v>695</v>
      </c>
      <c r="H95" s="7" t="s">
        <v>696</v>
      </c>
      <c r="I95" s="6">
        <v>643.92999999999995</v>
      </c>
      <c r="J95" s="6">
        <f t="shared" si="5"/>
        <v>48309.55000000001</v>
      </c>
      <c r="K95" s="6">
        <f t="shared" si="4"/>
        <v>208683.60000000003</v>
      </c>
    </row>
    <row r="96" spans="1:11" x14ac:dyDescent="0.25">
      <c r="A96" s="5" t="s">
        <v>702</v>
      </c>
      <c r="B96" s="42">
        <f t="shared" si="3"/>
        <v>48.953480000000013</v>
      </c>
      <c r="C96" s="7" t="s">
        <v>290</v>
      </c>
      <c r="D96" s="7" t="s">
        <v>292</v>
      </c>
      <c r="E96" s="7" t="s">
        <v>0</v>
      </c>
      <c r="F96" s="8">
        <v>49.377350000000085</v>
      </c>
      <c r="G96" s="7" t="s">
        <v>696</v>
      </c>
      <c r="H96" s="7" t="s">
        <v>188</v>
      </c>
      <c r="I96" s="6">
        <v>376</v>
      </c>
      <c r="J96" s="6">
        <f t="shared" si="5"/>
        <v>48953.48000000001</v>
      </c>
      <c r="K96" s="6">
        <f t="shared" si="4"/>
        <v>208039.67000000004</v>
      </c>
    </row>
    <row r="97" spans="1:11" x14ac:dyDescent="0.25">
      <c r="A97" s="5" t="s">
        <v>702</v>
      </c>
      <c r="B97" s="42">
        <f t="shared" si="3"/>
        <v>49.329480000000011</v>
      </c>
      <c r="C97" s="7" t="s">
        <v>292</v>
      </c>
      <c r="D97" s="7" t="s">
        <v>294</v>
      </c>
      <c r="E97" s="7" t="s">
        <v>0</v>
      </c>
      <c r="F97" s="8">
        <v>49.837060000000086</v>
      </c>
      <c r="G97" s="7" t="s">
        <v>188</v>
      </c>
      <c r="H97" s="7" t="s">
        <v>189</v>
      </c>
      <c r="I97" s="6">
        <v>786.03</v>
      </c>
      <c r="J97" s="6">
        <f t="shared" si="5"/>
        <v>49329.48000000001</v>
      </c>
      <c r="K97" s="6">
        <f t="shared" si="4"/>
        <v>207663.67000000004</v>
      </c>
    </row>
    <row r="98" spans="1:11" x14ac:dyDescent="0.25">
      <c r="A98" s="5" t="s">
        <v>702</v>
      </c>
      <c r="B98" s="42">
        <f t="shared" si="3"/>
        <v>50.115510000000008</v>
      </c>
      <c r="C98" s="7" t="s">
        <v>294</v>
      </c>
      <c r="D98" s="7" t="s">
        <v>296</v>
      </c>
      <c r="E98" s="7" t="s">
        <v>0</v>
      </c>
      <c r="F98" s="8">
        <v>50.337970000000091</v>
      </c>
      <c r="G98" s="7" t="s">
        <v>189</v>
      </c>
      <c r="H98" s="7" t="s">
        <v>190</v>
      </c>
      <c r="I98" s="6">
        <v>309.27</v>
      </c>
      <c r="J98" s="6">
        <f t="shared" si="5"/>
        <v>50115.510000000009</v>
      </c>
      <c r="K98" s="6">
        <f t="shared" si="4"/>
        <v>206877.64000000004</v>
      </c>
    </row>
    <row r="99" spans="1:11" x14ac:dyDescent="0.25">
      <c r="A99" s="5" t="s">
        <v>702</v>
      </c>
      <c r="B99" s="42">
        <f t="shared" si="3"/>
        <v>50.424780000000005</v>
      </c>
      <c r="C99" s="7" t="s">
        <v>296</v>
      </c>
      <c r="D99" s="7" t="s">
        <v>298</v>
      </c>
      <c r="E99" s="7" t="s">
        <v>0</v>
      </c>
      <c r="F99" s="8">
        <v>50.865240000000085</v>
      </c>
      <c r="G99" s="7" t="s">
        <v>190</v>
      </c>
      <c r="H99" s="7" t="s">
        <v>191</v>
      </c>
      <c r="I99" s="6">
        <v>563.70000000000005</v>
      </c>
      <c r="J99" s="6">
        <f t="shared" si="5"/>
        <v>50424.780000000006</v>
      </c>
      <c r="K99" s="6">
        <f t="shared" si="4"/>
        <v>206568.37000000005</v>
      </c>
    </row>
    <row r="100" spans="1:11" x14ac:dyDescent="0.25">
      <c r="A100" s="5" t="s">
        <v>702</v>
      </c>
      <c r="B100" s="42">
        <f t="shared" si="3"/>
        <v>50.988480000000003</v>
      </c>
      <c r="C100" s="7" t="s">
        <v>298</v>
      </c>
      <c r="D100" s="7" t="s">
        <v>300</v>
      </c>
      <c r="E100" s="7" t="s">
        <v>0</v>
      </c>
      <c r="F100" s="8">
        <v>51.345760000000084</v>
      </c>
      <c r="G100" s="7" t="s">
        <v>191</v>
      </c>
      <c r="H100" s="7" t="s">
        <v>192</v>
      </c>
      <c r="I100" s="6">
        <v>383.07</v>
      </c>
      <c r="J100" s="6">
        <f t="shared" si="5"/>
        <v>50988.480000000003</v>
      </c>
      <c r="K100" s="6">
        <f t="shared" si="4"/>
        <v>206004.67000000004</v>
      </c>
    </row>
    <row r="101" spans="1:11" x14ac:dyDescent="0.25">
      <c r="A101" s="5" t="s">
        <v>702</v>
      </c>
      <c r="B101" s="42">
        <f t="shared" si="3"/>
        <v>51.371550000000006</v>
      </c>
      <c r="C101" s="7" t="s">
        <v>300</v>
      </c>
      <c r="D101" s="7" t="s">
        <v>302</v>
      </c>
      <c r="E101" s="7" t="s">
        <v>0</v>
      </c>
      <c r="F101" s="8">
        <v>51.733450000000083</v>
      </c>
      <c r="G101" s="7" t="s">
        <v>192</v>
      </c>
      <c r="H101" s="7" t="s">
        <v>193</v>
      </c>
      <c r="I101" s="6">
        <v>613.86</v>
      </c>
      <c r="J101" s="6">
        <f t="shared" si="5"/>
        <v>51371.55</v>
      </c>
      <c r="K101" s="6">
        <f t="shared" si="4"/>
        <v>205621.60000000003</v>
      </c>
    </row>
    <row r="102" spans="1:11" x14ac:dyDescent="0.25">
      <c r="A102" s="5" t="s">
        <v>702</v>
      </c>
      <c r="B102" s="42">
        <f t="shared" si="3"/>
        <v>51.985410000000002</v>
      </c>
      <c r="C102" s="7" t="s">
        <v>302</v>
      </c>
      <c r="D102" s="7" t="s">
        <v>304</v>
      </c>
      <c r="E102" s="7" t="s">
        <v>0</v>
      </c>
      <c r="F102" s="8">
        <v>52.214430000000085</v>
      </c>
      <c r="G102" s="7" t="s">
        <v>193</v>
      </c>
      <c r="H102" s="7" t="s">
        <v>194</v>
      </c>
      <c r="I102" s="6">
        <v>495.39</v>
      </c>
      <c r="J102" s="6">
        <f t="shared" si="5"/>
        <v>51985.41</v>
      </c>
      <c r="K102" s="6">
        <f t="shared" si="4"/>
        <v>205007.74000000005</v>
      </c>
    </row>
    <row r="103" spans="1:11" x14ac:dyDescent="0.25">
      <c r="A103" s="5" t="s">
        <v>702</v>
      </c>
      <c r="B103" s="42">
        <f t="shared" si="3"/>
        <v>52.480800000000002</v>
      </c>
      <c r="C103" s="7" t="s">
        <v>304</v>
      </c>
      <c r="D103" s="7" t="s">
        <v>306</v>
      </c>
      <c r="E103" s="7" t="s">
        <v>0</v>
      </c>
      <c r="F103" s="8">
        <v>52.874710000000086</v>
      </c>
      <c r="G103" s="7" t="s">
        <v>194</v>
      </c>
      <c r="H103" s="7" t="s">
        <v>195</v>
      </c>
      <c r="I103" s="6">
        <v>362.64</v>
      </c>
      <c r="J103" s="6">
        <f t="shared" si="5"/>
        <v>52480.800000000003</v>
      </c>
      <c r="K103" s="6">
        <f t="shared" si="4"/>
        <v>204512.35000000003</v>
      </c>
    </row>
    <row r="104" spans="1:11" x14ac:dyDescent="0.25">
      <c r="A104" s="5" t="s">
        <v>702</v>
      </c>
      <c r="B104" s="42">
        <f t="shared" si="3"/>
        <v>52.843440000000001</v>
      </c>
      <c r="C104" s="7" t="s">
        <v>306</v>
      </c>
      <c r="D104" s="7" t="s">
        <v>308</v>
      </c>
      <c r="E104" s="7" t="s">
        <v>0</v>
      </c>
      <c r="F104" s="8">
        <v>53.41457000000009</v>
      </c>
      <c r="G104" s="7" t="s">
        <v>195</v>
      </c>
      <c r="H104" s="7" t="s">
        <v>196</v>
      </c>
      <c r="I104" s="6">
        <v>422.52</v>
      </c>
      <c r="J104" s="6">
        <f t="shared" si="5"/>
        <v>52843.44</v>
      </c>
      <c r="K104" s="6">
        <f t="shared" si="4"/>
        <v>204149.71000000002</v>
      </c>
    </row>
    <row r="105" spans="1:11" x14ac:dyDescent="0.25">
      <c r="A105" s="5" t="s">
        <v>702</v>
      </c>
      <c r="B105" s="42">
        <f t="shared" si="3"/>
        <v>53.26596</v>
      </c>
      <c r="C105" s="7" t="s">
        <v>308</v>
      </c>
      <c r="D105" s="7" t="s">
        <v>310</v>
      </c>
      <c r="E105" s="7" t="s">
        <v>0</v>
      </c>
      <c r="F105" s="8">
        <v>54.004820000000088</v>
      </c>
      <c r="G105" s="7" t="s">
        <v>196</v>
      </c>
      <c r="H105" s="7" t="s">
        <v>197</v>
      </c>
      <c r="I105" s="6">
        <v>483.77</v>
      </c>
      <c r="J105" s="6">
        <f t="shared" si="5"/>
        <v>53265.96</v>
      </c>
      <c r="K105" s="6">
        <f t="shared" si="4"/>
        <v>203727.19000000003</v>
      </c>
    </row>
    <row r="106" spans="1:11" x14ac:dyDescent="0.25">
      <c r="A106" s="5" t="s">
        <v>702</v>
      </c>
      <c r="B106" s="42">
        <f t="shared" si="3"/>
        <v>53.749729999999992</v>
      </c>
      <c r="C106" s="7" t="s">
        <v>310</v>
      </c>
      <c r="D106" s="7" t="s">
        <v>312</v>
      </c>
      <c r="E106" s="7" t="s">
        <v>0</v>
      </c>
      <c r="F106" s="8">
        <v>54.494550000000089</v>
      </c>
      <c r="G106" s="7" t="s">
        <v>197</v>
      </c>
      <c r="H106" s="7" t="s">
        <v>198</v>
      </c>
      <c r="I106" s="6">
        <v>369.42</v>
      </c>
      <c r="J106" s="6">
        <f t="shared" si="5"/>
        <v>53749.729999999996</v>
      </c>
      <c r="K106" s="6">
        <f t="shared" si="4"/>
        <v>203243.42000000004</v>
      </c>
    </row>
    <row r="107" spans="1:11" x14ac:dyDescent="0.25">
      <c r="A107" s="5" t="s">
        <v>702</v>
      </c>
      <c r="B107" s="42">
        <f t="shared" si="3"/>
        <v>54.119149999999998</v>
      </c>
      <c r="C107" s="7" t="s">
        <v>312</v>
      </c>
      <c r="D107" s="7" t="s">
        <v>314</v>
      </c>
      <c r="E107" s="7" t="s">
        <v>0</v>
      </c>
      <c r="F107" s="8">
        <v>54.998300000000093</v>
      </c>
      <c r="G107" s="7" t="s">
        <v>198</v>
      </c>
      <c r="H107" s="7" t="s">
        <v>199</v>
      </c>
      <c r="I107" s="6">
        <v>402.52</v>
      </c>
      <c r="J107" s="6">
        <f t="shared" si="5"/>
        <v>54119.149999999994</v>
      </c>
      <c r="K107" s="6">
        <f t="shared" si="4"/>
        <v>202874.00000000003</v>
      </c>
    </row>
    <row r="108" spans="1:11" x14ac:dyDescent="0.25">
      <c r="A108" s="5" t="s">
        <v>702</v>
      </c>
      <c r="B108" s="42">
        <f t="shared" si="3"/>
        <v>54.521669999999993</v>
      </c>
      <c r="C108" s="7" t="s">
        <v>314</v>
      </c>
      <c r="D108" s="7" t="s">
        <v>316</v>
      </c>
      <c r="E108" s="7" t="s">
        <v>0</v>
      </c>
      <c r="F108" s="8">
        <v>55.580150000000089</v>
      </c>
      <c r="G108" s="7" t="s">
        <v>199</v>
      </c>
      <c r="H108" s="7" t="s">
        <v>200</v>
      </c>
      <c r="I108" s="6">
        <v>548.62</v>
      </c>
      <c r="J108" s="6">
        <f t="shared" si="5"/>
        <v>54521.669999999991</v>
      </c>
      <c r="K108" s="6">
        <f t="shared" si="4"/>
        <v>202471.48000000004</v>
      </c>
    </row>
    <row r="109" spans="1:11" x14ac:dyDescent="0.25">
      <c r="A109" s="5" t="s">
        <v>702</v>
      </c>
      <c r="B109" s="42">
        <f t="shared" si="3"/>
        <v>55.070289999999993</v>
      </c>
      <c r="C109" s="7" t="s">
        <v>316</v>
      </c>
      <c r="D109" s="7" t="s">
        <v>318</v>
      </c>
      <c r="E109" s="7" t="s">
        <v>0</v>
      </c>
      <c r="F109" s="8">
        <v>56.16945000000009</v>
      </c>
      <c r="G109" s="7" t="s">
        <v>200</v>
      </c>
      <c r="H109" s="7" t="s">
        <v>201</v>
      </c>
      <c r="I109" s="6">
        <v>655.05999999999995</v>
      </c>
      <c r="J109" s="6">
        <f t="shared" si="5"/>
        <v>55070.289999999994</v>
      </c>
      <c r="K109" s="6">
        <f t="shared" si="4"/>
        <v>201922.86000000004</v>
      </c>
    </row>
    <row r="110" spans="1:11" x14ac:dyDescent="0.25">
      <c r="A110" s="5" t="s">
        <v>702</v>
      </c>
      <c r="B110" s="42">
        <f t="shared" si="3"/>
        <v>55.725349999999992</v>
      </c>
      <c r="C110" s="7" t="s">
        <v>318</v>
      </c>
      <c r="D110" s="7" t="s">
        <v>320</v>
      </c>
      <c r="E110" s="7" t="s">
        <v>0</v>
      </c>
      <c r="F110" s="8">
        <v>56.742910000000094</v>
      </c>
      <c r="G110" s="7" t="s">
        <v>201</v>
      </c>
      <c r="H110" s="7" t="s">
        <v>202</v>
      </c>
      <c r="I110" s="6">
        <v>510.44</v>
      </c>
      <c r="J110" s="6">
        <f t="shared" si="5"/>
        <v>55725.349999999991</v>
      </c>
      <c r="K110" s="6">
        <f t="shared" si="4"/>
        <v>201267.80000000005</v>
      </c>
    </row>
    <row r="111" spans="1:11" x14ac:dyDescent="0.25">
      <c r="A111" s="5" t="s">
        <v>702</v>
      </c>
      <c r="B111" s="42">
        <f t="shared" si="3"/>
        <v>56.235789999999994</v>
      </c>
      <c r="C111" s="7" t="s">
        <v>320</v>
      </c>
      <c r="D111" s="7" t="s">
        <v>322</v>
      </c>
      <c r="E111" s="7" t="s">
        <v>0</v>
      </c>
      <c r="F111" s="8">
        <v>57.33143000000009</v>
      </c>
      <c r="G111" s="7" t="s">
        <v>202</v>
      </c>
      <c r="H111" s="7" t="s">
        <v>203</v>
      </c>
      <c r="I111" s="6">
        <v>433.27</v>
      </c>
      <c r="J111" s="6">
        <f t="shared" si="5"/>
        <v>56235.789999999994</v>
      </c>
      <c r="K111" s="6">
        <f t="shared" si="4"/>
        <v>200757.36000000004</v>
      </c>
    </row>
    <row r="112" spans="1:11" x14ac:dyDescent="0.25">
      <c r="A112" s="5" t="s">
        <v>702</v>
      </c>
      <c r="B112" s="42">
        <f t="shared" si="3"/>
        <v>56.669059999999988</v>
      </c>
      <c r="C112" s="7" t="s">
        <v>322</v>
      </c>
      <c r="D112" s="7" t="s">
        <v>324</v>
      </c>
      <c r="E112" s="7" t="s">
        <v>0</v>
      </c>
      <c r="F112" s="8">
        <v>57.833540000000092</v>
      </c>
      <c r="G112" s="7" t="s">
        <v>203</v>
      </c>
      <c r="H112" s="7" t="s">
        <v>204</v>
      </c>
      <c r="I112" s="6">
        <v>350.97</v>
      </c>
      <c r="J112" s="6">
        <f t="shared" si="5"/>
        <v>56669.05999999999</v>
      </c>
      <c r="K112" s="6">
        <f t="shared" si="4"/>
        <v>200324.09000000005</v>
      </c>
    </row>
    <row r="113" spans="1:11" x14ac:dyDescent="0.25">
      <c r="A113" s="5" t="s">
        <v>702</v>
      </c>
      <c r="B113" s="42">
        <f t="shared" si="3"/>
        <v>57.020029999999991</v>
      </c>
      <c r="C113" s="7" t="s">
        <v>324</v>
      </c>
      <c r="D113" s="7" t="s">
        <v>326</v>
      </c>
      <c r="E113" s="7" t="s">
        <v>0</v>
      </c>
      <c r="F113" s="8">
        <v>58.467600000000083</v>
      </c>
      <c r="G113" s="7" t="s">
        <v>204</v>
      </c>
      <c r="H113" s="7" t="s">
        <v>205</v>
      </c>
      <c r="I113" s="6">
        <v>441.75</v>
      </c>
      <c r="J113" s="6">
        <f t="shared" si="5"/>
        <v>57020.029999999992</v>
      </c>
      <c r="K113" s="6">
        <f t="shared" si="4"/>
        <v>199973.12000000005</v>
      </c>
    </row>
    <row r="114" spans="1:11" x14ac:dyDescent="0.25">
      <c r="A114" s="5" t="s">
        <v>702</v>
      </c>
      <c r="B114" s="42">
        <f t="shared" si="3"/>
        <v>57.46177999999999</v>
      </c>
      <c r="C114" s="7" t="s">
        <v>326</v>
      </c>
      <c r="D114" s="7" t="s">
        <v>328</v>
      </c>
      <c r="E114" s="7" t="s">
        <v>0</v>
      </c>
      <c r="F114" s="8">
        <v>58.964760000000091</v>
      </c>
      <c r="G114" s="7" t="s">
        <v>205</v>
      </c>
      <c r="H114" s="7" t="s">
        <v>206</v>
      </c>
      <c r="I114" s="6">
        <v>597.45000000000005</v>
      </c>
      <c r="J114" s="6">
        <f t="shared" si="5"/>
        <v>57461.779999999992</v>
      </c>
      <c r="K114" s="6">
        <f t="shared" si="4"/>
        <v>199531.37000000005</v>
      </c>
    </row>
    <row r="115" spans="1:11" x14ac:dyDescent="0.25">
      <c r="A115" s="5" t="s">
        <v>702</v>
      </c>
      <c r="B115" s="42">
        <f t="shared" si="3"/>
        <v>58.059229999999985</v>
      </c>
      <c r="C115" s="7" t="s">
        <v>328</v>
      </c>
      <c r="D115" s="7" t="s">
        <v>330</v>
      </c>
      <c r="E115" s="7" t="s">
        <v>0</v>
      </c>
      <c r="F115" s="8">
        <v>59.44365000000009</v>
      </c>
      <c r="G115" s="7" t="s">
        <v>206</v>
      </c>
      <c r="H115" s="7" t="s">
        <v>207</v>
      </c>
      <c r="I115" s="6">
        <v>288.36</v>
      </c>
      <c r="J115" s="6">
        <f t="shared" si="5"/>
        <v>58059.229999999989</v>
      </c>
      <c r="K115" s="6">
        <f t="shared" si="4"/>
        <v>198933.92000000004</v>
      </c>
    </row>
    <row r="116" spans="1:11" x14ac:dyDescent="0.25">
      <c r="A116" s="5" t="s">
        <v>702</v>
      </c>
      <c r="B116" s="42">
        <f t="shared" si="3"/>
        <v>58.34758999999999</v>
      </c>
      <c r="C116" s="7" t="s">
        <v>330</v>
      </c>
      <c r="D116" s="7" t="s">
        <v>332</v>
      </c>
      <c r="E116" s="7" t="s">
        <v>0</v>
      </c>
      <c r="F116" s="8">
        <v>59.994490000000084</v>
      </c>
      <c r="G116" s="7" t="s">
        <v>207</v>
      </c>
      <c r="H116" s="7" t="s">
        <v>208</v>
      </c>
      <c r="I116" s="6">
        <v>576.77</v>
      </c>
      <c r="J116" s="6">
        <f t="shared" si="5"/>
        <v>58347.589999999989</v>
      </c>
      <c r="K116" s="6">
        <f t="shared" si="4"/>
        <v>198645.56000000006</v>
      </c>
    </row>
    <row r="117" spans="1:11" x14ac:dyDescent="0.25">
      <c r="A117" s="5" t="s">
        <v>702</v>
      </c>
      <c r="B117" s="42">
        <f t="shared" si="3"/>
        <v>58.924359999999986</v>
      </c>
      <c r="C117" s="7" t="s">
        <v>332</v>
      </c>
      <c r="D117" s="7" t="s">
        <v>334</v>
      </c>
      <c r="E117" s="7" t="s">
        <v>0</v>
      </c>
      <c r="F117" s="8">
        <v>60.568660000000087</v>
      </c>
      <c r="G117" s="7" t="s">
        <v>208</v>
      </c>
      <c r="H117" s="7" t="s">
        <v>209</v>
      </c>
      <c r="I117" s="6">
        <v>368.9</v>
      </c>
      <c r="J117" s="6">
        <f t="shared" si="5"/>
        <v>58924.359999999986</v>
      </c>
      <c r="K117" s="6">
        <f t="shared" si="4"/>
        <v>198068.79000000007</v>
      </c>
    </row>
    <row r="118" spans="1:11" x14ac:dyDescent="0.25">
      <c r="A118" s="5" t="s">
        <v>702</v>
      </c>
      <c r="B118" s="42">
        <f t="shared" si="3"/>
        <v>59.293259999999989</v>
      </c>
      <c r="C118" s="7" t="s">
        <v>334</v>
      </c>
      <c r="D118" s="7" t="s">
        <v>336</v>
      </c>
      <c r="E118" s="7" t="s">
        <v>0</v>
      </c>
      <c r="F118" s="8">
        <v>61.162710000000089</v>
      </c>
      <c r="G118" s="7" t="s">
        <v>209</v>
      </c>
      <c r="H118" s="7" t="s">
        <v>210</v>
      </c>
      <c r="I118" s="6">
        <v>597.91999999999996</v>
      </c>
      <c r="J118" s="6">
        <f t="shared" si="5"/>
        <v>59293.259999999987</v>
      </c>
      <c r="K118" s="6">
        <f t="shared" si="4"/>
        <v>197699.89000000007</v>
      </c>
    </row>
    <row r="119" spans="1:11" x14ac:dyDescent="0.25">
      <c r="A119" s="5" t="s">
        <v>702</v>
      </c>
      <c r="B119" s="42">
        <f t="shared" si="3"/>
        <v>59.891179999999984</v>
      </c>
      <c r="C119" s="7" t="s">
        <v>336</v>
      </c>
      <c r="D119" s="7" t="s">
        <v>338</v>
      </c>
      <c r="E119" s="7" t="s">
        <v>0</v>
      </c>
      <c r="F119" s="8">
        <v>61.740150000000092</v>
      </c>
      <c r="G119" s="7" t="s">
        <v>210</v>
      </c>
      <c r="H119" s="7" t="s">
        <v>211</v>
      </c>
      <c r="I119" s="6">
        <v>437.08</v>
      </c>
      <c r="J119" s="6">
        <f t="shared" si="5"/>
        <v>59891.179999999986</v>
      </c>
      <c r="K119" s="6">
        <f t="shared" si="4"/>
        <v>197101.97000000006</v>
      </c>
    </row>
    <row r="120" spans="1:11" x14ac:dyDescent="0.25">
      <c r="A120" s="5" t="s">
        <v>702</v>
      </c>
      <c r="B120" s="42">
        <f t="shared" si="3"/>
        <v>60.328259999999986</v>
      </c>
      <c r="C120" s="7" t="s">
        <v>338</v>
      </c>
      <c r="D120" s="7" t="s">
        <v>340</v>
      </c>
      <c r="E120" s="7" t="s">
        <v>0</v>
      </c>
      <c r="F120" s="8">
        <v>62.264820000000086</v>
      </c>
      <c r="G120" s="7" t="s">
        <v>211</v>
      </c>
      <c r="H120" s="7" t="s">
        <v>212</v>
      </c>
      <c r="I120" s="6">
        <v>485.85</v>
      </c>
      <c r="J120" s="6">
        <f t="shared" si="5"/>
        <v>60328.259999999987</v>
      </c>
      <c r="K120" s="6">
        <f t="shared" si="4"/>
        <v>196664.89000000007</v>
      </c>
    </row>
    <row r="121" spans="1:11" x14ac:dyDescent="0.25">
      <c r="A121" s="5" t="s">
        <v>702</v>
      </c>
      <c r="B121" s="42">
        <f t="shared" si="3"/>
        <v>60.814109999999985</v>
      </c>
      <c r="C121" s="7" t="s">
        <v>340</v>
      </c>
      <c r="D121" s="7" t="s">
        <v>342</v>
      </c>
      <c r="E121" s="7" t="s">
        <v>0</v>
      </c>
      <c r="F121" s="8">
        <v>62.800520000000084</v>
      </c>
      <c r="G121" s="7" t="s">
        <v>212</v>
      </c>
      <c r="H121" s="7" t="s">
        <v>213</v>
      </c>
      <c r="I121" s="6">
        <v>574.38</v>
      </c>
      <c r="J121" s="6">
        <f t="shared" si="5"/>
        <v>60814.109999999986</v>
      </c>
      <c r="K121" s="6">
        <f t="shared" si="4"/>
        <v>196179.04000000007</v>
      </c>
    </row>
    <row r="122" spans="1:11" x14ac:dyDescent="0.25">
      <c r="A122" s="5" t="s">
        <v>702</v>
      </c>
      <c r="B122" s="42">
        <f t="shared" si="3"/>
        <v>61.388489999999983</v>
      </c>
      <c r="C122" s="7" t="s">
        <v>342</v>
      </c>
      <c r="D122" s="7" t="s">
        <v>344</v>
      </c>
      <c r="E122" s="7" t="s">
        <v>0</v>
      </c>
      <c r="F122" s="8">
        <v>63.327620000000081</v>
      </c>
      <c r="G122" s="7" t="s">
        <v>213</v>
      </c>
      <c r="H122" s="7" t="s">
        <v>214</v>
      </c>
      <c r="I122" s="6">
        <v>528.9</v>
      </c>
      <c r="J122" s="6">
        <f t="shared" si="5"/>
        <v>61388.489999999983</v>
      </c>
      <c r="K122" s="6">
        <f t="shared" si="4"/>
        <v>195604.66000000006</v>
      </c>
    </row>
    <row r="123" spans="1:11" x14ac:dyDescent="0.25">
      <c r="A123" s="5" t="s">
        <v>702</v>
      </c>
      <c r="B123" s="42">
        <f t="shared" si="3"/>
        <v>61.917389999999983</v>
      </c>
      <c r="C123" s="7" t="s">
        <v>344</v>
      </c>
      <c r="D123" s="7" t="s">
        <v>346</v>
      </c>
      <c r="E123" s="7" t="s">
        <v>0</v>
      </c>
      <c r="F123" s="8">
        <v>63.984890000000078</v>
      </c>
      <c r="G123" s="7" t="s">
        <v>214</v>
      </c>
      <c r="H123" s="7" t="s">
        <v>215</v>
      </c>
      <c r="I123" s="6">
        <v>433.61</v>
      </c>
      <c r="J123" s="6">
        <f t="shared" si="5"/>
        <v>61917.389999999985</v>
      </c>
      <c r="K123" s="6">
        <f t="shared" si="4"/>
        <v>195075.76000000007</v>
      </c>
    </row>
    <row r="124" spans="1:11" x14ac:dyDescent="0.25">
      <c r="A124" s="5" t="s">
        <v>702</v>
      </c>
      <c r="B124" s="42">
        <f t="shared" si="3"/>
        <v>62.350999999999985</v>
      </c>
      <c r="C124" s="7" t="s">
        <v>346</v>
      </c>
      <c r="D124" s="7" t="s">
        <v>348</v>
      </c>
      <c r="E124" s="7" t="s">
        <v>0</v>
      </c>
      <c r="F124" s="8">
        <v>64.609400000000079</v>
      </c>
      <c r="G124" s="7" t="s">
        <v>215</v>
      </c>
      <c r="H124" s="7" t="s">
        <v>216</v>
      </c>
      <c r="I124" s="6">
        <v>466.63</v>
      </c>
      <c r="J124" s="6">
        <f t="shared" si="5"/>
        <v>62350.999999999985</v>
      </c>
      <c r="K124" s="6">
        <f t="shared" si="4"/>
        <v>194642.15000000008</v>
      </c>
    </row>
    <row r="125" spans="1:11" x14ac:dyDescent="0.25">
      <c r="A125" s="5" t="s">
        <v>702</v>
      </c>
      <c r="B125" s="42">
        <f t="shared" si="3"/>
        <v>62.81762999999998</v>
      </c>
      <c r="C125" s="7" t="s">
        <v>348</v>
      </c>
      <c r="D125" s="7" t="s">
        <v>350</v>
      </c>
      <c r="E125" s="7" t="s">
        <v>0</v>
      </c>
      <c r="F125" s="8">
        <v>65.243600000000072</v>
      </c>
      <c r="G125" s="7" t="s">
        <v>216</v>
      </c>
      <c r="H125" s="7" t="s">
        <v>217</v>
      </c>
      <c r="I125" s="6">
        <v>513.41</v>
      </c>
      <c r="J125" s="6">
        <f t="shared" si="5"/>
        <v>62817.629999999983</v>
      </c>
      <c r="K125" s="6">
        <f t="shared" si="4"/>
        <v>194175.52000000008</v>
      </c>
    </row>
    <row r="126" spans="1:11" x14ac:dyDescent="0.25">
      <c r="A126" s="5" t="s">
        <v>702</v>
      </c>
      <c r="B126" s="42">
        <f t="shared" si="3"/>
        <v>63.331039999999987</v>
      </c>
      <c r="C126" s="7" t="s">
        <v>350</v>
      </c>
      <c r="D126" s="7" t="s">
        <v>352</v>
      </c>
      <c r="E126" s="7" t="s">
        <v>0</v>
      </c>
      <c r="F126" s="8">
        <v>65.802880000000073</v>
      </c>
      <c r="G126" s="7" t="s">
        <v>217</v>
      </c>
      <c r="H126" s="7" t="s">
        <v>218</v>
      </c>
      <c r="I126" s="6">
        <v>508.47</v>
      </c>
      <c r="J126" s="6">
        <f t="shared" si="5"/>
        <v>63331.039999999986</v>
      </c>
      <c r="K126" s="6">
        <f t="shared" si="4"/>
        <v>193662.11000000007</v>
      </c>
    </row>
    <row r="127" spans="1:11" x14ac:dyDescent="0.25">
      <c r="A127" s="5" t="s">
        <v>702</v>
      </c>
      <c r="B127" s="42">
        <f t="shared" si="3"/>
        <v>63.83950999999999</v>
      </c>
      <c r="C127" s="7" t="s">
        <v>352</v>
      </c>
      <c r="D127" s="7" t="s">
        <v>354</v>
      </c>
      <c r="E127" s="7" t="s">
        <v>0</v>
      </c>
      <c r="F127" s="8">
        <v>66.338550000000069</v>
      </c>
      <c r="G127" s="7" t="s">
        <v>218</v>
      </c>
      <c r="H127" s="7" t="s">
        <v>219</v>
      </c>
      <c r="I127" s="6">
        <v>643.24</v>
      </c>
      <c r="J127" s="6">
        <f t="shared" si="5"/>
        <v>63839.509999999987</v>
      </c>
      <c r="K127" s="6">
        <f t="shared" si="4"/>
        <v>193153.64000000007</v>
      </c>
    </row>
    <row r="128" spans="1:11" x14ac:dyDescent="0.25">
      <c r="A128" s="5" t="s">
        <v>702</v>
      </c>
      <c r="B128" s="42">
        <f t="shared" si="3"/>
        <v>64.482749999999982</v>
      </c>
      <c r="C128" s="7" t="s">
        <v>354</v>
      </c>
      <c r="D128" s="7" t="s">
        <v>356</v>
      </c>
      <c r="E128" s="7" t="s">
        <v>0</v>
      </c>
      <c r="F128" s="8">
        <v>66.96166000000008</v>
      </c>
      <c r="G128" s="7" t="s">
        <v>219</v>
      </c>
      <c r="H128" s="7" t="s">
        <v>220</v>
      </c>
      <c r="I128" s="6">
        <v>551.1</v>
      </c>
      <c r="J128" s="6">
        <f t="shared" si="5"/>
        <v>64482.749999999985</v>
      </c>
      <c r="K128" s="6">
        <f t="shared" si="4"/>
        <v>192510.40000000008</v>
      </c>
    </row>
    <row r="129" spans="1:11" x14ac:dyDescent="0.25">
      <c r="A129" s="5" t="s">
        <v>702</v>
      </c>
      <c r="B129" s="42">
        <f t="shared" si="3"/>
        <v>65.033849999999987</v>
      </c>
      <c r="C129" s="7" t="s">
        <v>356</v>
      </c>
      <c r="D129" s="7" t="s">
        <v>358</v>
      </c>
      <c r="E129" s="7" t="s">
        <v>0</v>
      </c>
      <c r="F129" s="8">
        <v>67.488450000000071</v>
      </c>
      <c r="G129" s="7" t="s">
        <v>220</v>
      </c>
      <c r="H129" s="7" t="s">
        <v>221</v>
      </c>
      <c r="I129" s="6">
        <v>575.12</v>
      </c>
      <c r="J129" s="6">
        <f t="shared" si="5"/>
        <v>65033.849999999984</v>
      </c>
      <c r="K129" s="6">
        <f t="shared" si="4"/>
        <v>191959.30000000008</v>
      </c>
    </row>
    <row r="130" spans="1:11" x14ac:dyDescent="0.25">
      <c r="A130" s="5" t="s">
        <v>702</v>
      </c>
      <c r="B130" s="42">
        <f t="shared" si="3"/>
        <v>65.608969999999985</v>
      </c>
      <c r="C130" s="7" t="s">
        <v>358</v>
      </c>
      <c r="D130" s="7" t="s">
        <v>360</v>
      </c>
      <c r="E130" s="7" t="s">
        <v>0</v>
      </c>
      <c r="F130" s="8">
        <v>68.055450000000064</v>
      </c>
      <c r="G130" s="7" t="s">
        <v>221</v>
      </c>
      <c r="H130" s="7" t="s">
        <v>222</v>
      </c>
      <c r="I130" s="6">
        <v>549.71</v>
      </c>
      <c r="J130" s="6">
        <f t="shared" si="5"/>
        <v>65608.969999999987</v>
      </c>
      <c r="K130" s="6">
        <f t="shared" si="4"/>
        <v>191384.18000000008</v>
      </c>
    </row>
    <row r="131" spans="1:11" x14ac:dyDescent="0.25">
      <c r="A131" s="5" t="s">
        <v>702</v>
      </c>
      <c r="B131" s="42">
        <f t="shared" ref="B131:B194" si="6">J131/1000</f>
        <v>66.15867999999999</v>
      </c>
      <c r="C131" s="7" t="s">
        <v>360</v>
      </c>
      <c r="D131" s="7" t="s">
        <v>362</v>
      </c>
      <c r="E131" s="7" t="s">
        <v>0</v>
      </c>
      <c r="F131" s="8">
        <v>68.611650000000068</v>
      </c>
      <c r="G131" s="7" t="s">
        <v>222</v>
      </c>
      <c r="H131" s="7" t="s">
        <v>223</v>
      </c>
      <c r="I131" s="6">
        <v>506.01</v>
      </c>
      <c r="J131" s="6">
        <f t="shared" si="5"/>
        <v>66158.679999999993</v>
      </c>
      <c r="K131" s="6">
        <f t="shared" si="4"/>
        <v>190834.47000000009</v>
      </c>
    </row>
    <row r="132" spans="1:11" x14ac:dyDescent="0.25">
      <c r="A132" s="5" t="s">
        <v>702</v>
      </c>
      <c r="B132" s="42">
        <f t="shared" si="6"/>
        <v>66.664689999999993</v>
      </c>
      <c r="C132" s="7" t="s">
        <v>362</v>
      </c>
      <c r="D132" s="7" t="s">
        <v>364</v>
      </c>
      <c r="E132" s="7" t="s">
        <v>0</v>
      </c>
      <c r="F132" s="8">
        <v>69.18366000000006</v>
      </c>
      <c r="G132" s="7" t="s">
        <v>223</v>
      </c>
      <c r="H132" s="7" t="s">
        <v>224</v>
      </c>
      <c r="I132" s="6">
        <v>510.37</v>
      </c>
      <c r="J132" s="6">
        <f t="shared" si="5"/>
        <v>66664.689999999988</v>
      </c>
      <c r="K132" s="6">
        <f t="shared" ref="K132:K195" si="7">K131-I131</f>
        <v>190328.46000000008</v>
      </c>
    </row>
    <row r="133" spans="1:11" x14ac:dyDescent="0.25">
      <c r="A133" s="5" t="s">
        <v>702</v>
      </c>
      <c r="B133" s="42">
        <f t="shared" si="6"/>
        <v>67.175059999999988</v>
      </c>
      <c r="C133" s="7" t="s">
        <v>364</v>
      </c>
      <c r="D133" s="7" t="s">
        <v>366</v>
      </c>
      <c r="E133" s="7" t="s">
        <v>0</v>
      </c>
      <c r="F133" s="8">
        <v>69.766620000000074</v>
      </c>
      <c r="G133" s="7" t="s">
        <v>224</v>
      </c>
      <c r="H133" s="7" t="s">
        <v>225</v>
      </c>
      <c r="I133" s="6">
        <v>433.69</v>
      </c>
      <c r="J133" s="6">
        <f t="shared" ref="J133:J196" si="8">J132+I132</f>
        <v>67175.059999999983</v>
      </c>
      <c r="K133" s="6">
        <f t="shared" si="7"/>
        <v>189818.09000000008</v>
      </c>
    </row>
    <row r="134" spans="1:11" x14ac:dyDescent="0.25">
      <c r="A134" s="5" t="s">
        <v>702</v>
      </c>
      <c r="B134" s="42">
        <f t="shared" si="6"/>
        <v>67.608749999999986</v>
      </c>
      <c r="C134" s="7" t="s">
        <v>366</v>
      </c>
      <c r="D134" s="7" t="s">
        <v>368</v>
      </c>
      <c r="E134" s="7" t="s">
        <v>0</v>
      </c>
      <c r="F134" s="8">
        <v>70.293790000000072</v>
      </c>
      <c r="G134" s="7" t="s">
        <v>225</v>
      </c>
      <c r="H134" s="7" t="s">
        <v>226</v>
      </c>
      <c r="I134" s="6">
        <v>528.96</v>
      </c>
      <c r="J134" s="6">
        <f t="shared" si="8"/>
        <v>67608.749999999985</v>
      </c>
      <c r="K134" s="6">
        <f t="shared" si="7"/>
        <v>189384.40000000008</v>
      </c>
    </row>
    <row r="135" spans="1:11" x14ac:dyDescent="0.25">
      <c r="A135" s="5" t="s">
        <v>702</v>
      </c>
      <c r="B135" s="42">
        <f t="shared" si="6"/>
        <v>68.137709999999998</v>
      </c>
      <c r="C135" s="7" t="s">
        <v>368</v>
      </c>
      <c r="D135" s="7" t="s">
        <v>370</v>
      </c>
      <c r="E135" s="7" t="s">
        <v>0</v>
      </c>
      <c r="F135" s="8">
        <v>70.85749000000007</v>
      </c>
      <c r="G135" s="7" t="s">
        <v>226</v>
      </c>
      <c r="H135" s="7" t="s">
        <v>227</v>
      </c>
      <c r="I135" s="6">
        <v>502.84</v>
      </c>
      <c r="J135" s="6">
        <f t="shared" si="8"/>
        <v>68137.709999999992</v>
      </c>
      <c r="K135" s="6">
        <f t="shared" si="7"/>
        <v>188855.44000000009</v>
      </c>
    </row>
    <row r="136" spans="1:11" x14ac:dyDescent="0.25">
      <c r="A136" s="5" t="s">
        <v>702</v>
      </c>
      <c r="B136" s="42">
        <f t="shared" si="6"/>
        <v>68.64054999999999</v>
      </c>
      <c r="C136" s="7" t="s">
        <v>370</v>
      </c>
      <c r="D136" s="7" t="s">
        <v>372</v>
      </c>
      <c r="E136" s="7" t="s">
        <v>0</v>
      </c>
      <c r="F136" s="8">
        <v>71.436770000000067</v>
      </c>
      <c r="G136" s="7" t="s">
        <v>227</v>
      </c>
      <c r="H136" s="7" t="s">
        <v>228</v>
      </c>
      <c r="I136" s="6">
        <v>539.69000000000005</v>
      </c>
      <c r="J136" s="6">
        <f t="shared" si="8"/>
        <v>68640.549999999988</v>
      </c>
      <c r="K136" s="6">
        <f t="shared" si="7"/>
        <v>188352.60000000009</v>
      </c>
    </row>
    <row r="137" spans="1:11" x14ac:dyDescent="0.25">
      <c r="A137" s="5" t="s">
        <v>702</v>
      </c>
      <c r="B137" s="42">
        <f t="shared" si="6"/>
        <v>69.180239999999998</v>
      </c>
      <c r="C137" s="7" t="s">
        <v>372</v>
      </c>
      <c r="D137" s="7" t="s">
        <v>374</v>
      </c>
      <c r="E137" s="7" t="s">
        <v>0</v>
      </c>
      <c r="F137" s="8">
        <v>71.978570000000062</v>
      </c>
      <c r="G137" s="7" t="s">
        <v>228</v>
      </c>
      <c r="H137" s="7" t="s">
        <v>229</v>
      </c>
      <c r="I137" s="6">
        <v>487.52</v>
      </c>
      <c r="J137" s="6">
        <f t="shared" si="8"/>
        <v>69180.239999999991</v>
      </c>
      <c r="K137" s="6">
        <f t="shared" si="7"/>
        <v>187812.91000000009</v>
      </c>
    </row>
    <row r="138" spans="1:11" x14ac:dyDescent="0.25">
      <c r="A138" s="5" t="s">
        <v>702</v>
      </c>
      <c r="B138" s="42">
        <f t="shared" si="6"/>
        <v>69.667760000000001</v>
      </c>
      <c r="C138" s="7" t="s">
        <v>374</v>
      </c>
      <c r="D138" s="7" t="s">
        <v>376</v>
      </c>
      <c r="E138" s="7" t="s">
        <v>0</v>
      </c>
      <c r="F138" s="8">
        <v>72.419600000000059</v>
      </c>
      <c r="G138" s="7" t="s">
        <v>229</v>
      </c>
      <c r="H138" s="7" t="s">
        <v>230</v>
      </c>
      <c r="I138" s="6">
        <v>414.8</v>
      </c>
      <c r="J138" s="6">
        <f t="shared" si="8"/>
        <v>69667.759999999995</v>
      </c>
      <c r="K138" s="6">
        <f t="shared" si="7"/>
        <v>187325.3900000001</v>
      </c>
    </row>
    <row r="139" spans="1:11" x14ac:dyDescent="0.25">
      <c r="A139" s="5" t="s">
        <v>702</v>
      </c>
      <c r="B139" s="42">
        <f t="shared" si="6"/>
        <v>70.082560000000001</v>
      </c>
      <c r="C139" s="7" t="s">
        <v>376</v>
      </c>
      <c r="D139" s="7" t="s">
        <v>378</v>
      </c>
      <c r="E139" s="7" t="s">
        <v>0</v>
      </c>
      <c r="F139" s="8">
        <v>72.831700000000069</v>
      </c>
      <c r="G139" s="7" t="s">
        <v>230</v>
      </c>
      <c r="H139" s="7" t="s">
        <v>231</v>
      </c>
      <c r="I139" s="6">
        <v>406.69</v>
      </c>
      <c r="J139" s="6">
        <f t="shared" si="8"/>
        <v>70082.559999999998</v>
      </c>
      <c r="K139" s="6">
        <f t="shared" si="7"/>
        <v>186910.59000000011</v>
      </c>
    </row>
    <row r="140" spans="1:11" x14ac:dyDescent="0.25">
      <c r="A140" s="5" t="s">
        <v>702</v>
      </c>
      <c r="B140" s="42">
        <f t="shared" si="6"/>
        <v>70.489249999999998</v>
      </c>
      <c r="C140" s="7" t="s">
        <v>378</v>
      </c>
      <c r="D140" s="7" t="s">
        <v>380</v>
      </c>
      <c r="E140" s="7" t="s">
        <v>0</v>
      </c>
      <c r="F140" s="8">
        <v>73.268590000000074</v>
      </c>
      <c r="G140" s="7" t="s">
        <v>231</v>
      </c>
      <c r="H140" s="7" t="s">
        <v>232</v>
      </c>
      <c r="I140" s="6">
        <v>439.48</v>
      </c>
      <c r="J140" s="6">
        <f t="shared" si="8"/>
        <v>70489.25</v>
      </c>
      <c r="K140" s="6">
        <f t="shared" si="7"/>
        <v>186503.90000000011</v>
      </c>
    </row>
    <row r="141" spans="1:11" x14ac:dyDescent="0.25">
      <c r="A141" s="5" t="s">
        <v>702</v>
      </c>
      <c r="B141" s="42">
        <f t="shared" si="6"/>
        <v>70.928730000000002</v>
      </c>
      <c r="C141" s="7" t="s">
        <v>380</v>
      </c>
      <c r="D141" s="7" t="s">
        <v>382</v>
      </c>
      <c r="E141" s="7" t="s">
        <v>0</v>
      </c>
      <c r="F141" s="8">
        <v>74.029150000000072</v>
      </c>
      <c r="G141" s="7" t="s">
        <v>232</v>
      </c>
      <c r="H141" s="7" t="s">
        <v>233</v>
      </c>
      <c r="I141" s="6">
        <v>396.18</v>
      </c>
      <c r="J141" s="6">
        <f t="shared" si="8"/>
        <v>70928.73</v>
      </c>
      <c r="K141" s="6">
        <f t="shared" si="7"/>
        <v>186064.4200000001</v>
      </c>
    </row>
    <row r="142" spans="1:11" x14ac:dyDescent="0.25">
      <c r="A142" s="5" t="s">
        <v>702</v>
      </c>
      <c r="B142" s="42">
        <f t="shared" si="6"/>
        <v>71.324909999999988</v>
      </c>
      <c r="C142" s="7" t="s">
        <v>382</v>
      </c>
      <c r="D142" s="7" t="s">
        <v>384</v>
      </c>
      <c r="E142" s="7" t="s">
        <v>0</v>
      </c>
      <c r="F142" s="8">
        <v>74.38871000000006</v>
      </c>
      <c r="G142" s="7" t="s">
        <v>233</v>
      </c>
      <c r="H142" s="7" t="s">
        <v>234</v>
      </c>
      <c r="I142" s="6">
        <v>468.17</v>
      </c>
      <c r="J142" s="6">
        <f t="shared" si="8"/>
        <v>71324.909999999989</v>
      </c>
      <c r="K142" s="6">
        <f t="shared" si="7"/>
        <v>185668.24000000011</v>
      </c>
    </row>
    <row r="143" spans="1:11" x14ac:dyDescent="0.25">
      <c r="A143" s="5" t="s">
        <v>702</v>
      </c>
      <c r="B143" s="42">
        <f t="shared" si="6"/>
        <v>71.793079999999989</v>
      </c>
      <c r="C143" s="7" t="s">
        <v>384</v>
      </c>
      <c r="D143" s="7" t="s">
        <v>386</v>
      </c>
      <c r="E143" s="7" t="s">
        <v>0</v>
      </c>
      <c r="F143" s="8">
        <v>74.883710000000065</v>
      </c>
      <c r="G143" s="7" t="s">
        <v>234</v>
      </c>
      <c r="H143" s="7" t="s">
        <v>235</v>
      </c>
      <c r="I143" s="6">
        <v>447.18</v>
      </c>
      <c r="J143" s="6">
        <f t="shared" si="8"/>
        <v>71793.079999999987</v>
      </c>
      <c r="K143" s="6">
        <f t="shared" si="7"/>
        <v>185200.07000000009</v>
      </c>
    </row>
    <row r="144" spans="1:11" x14ac:dyDescent="0.25">
      <c r="A144" s="5" t="s">
        <v>702</v>
      </c>
      <c r="B144" s="42">
        <f t="shared" si="6"/>
        <v>72.240259999999978</v>
      </c>
      <c r="C144" s="7" t="s">
        <v>386</v>
      </c>
      <c r="D144" s="7" t="s">
        <v>388</v>
      </c>
      <c r="E144" s="7" t="s">
        <v>0</v>
      </c>
      <c r="F144" s="8">
        <v>75.460850000000065</v>
      </c>
      <c r="G144" s="7" t="s">
        <v>235</v>
      </c>
      <c r="H144" s="7" t="s">
        <v>236</v>
      </c>
      <c r="I144" s="6">
        <v>454.62</v>
      </c>
      <c r="J144" s="6">
        <f t="shared" si="8"/>
        <v>72240.25999999998</v>
      </c>
      <c r="K144" s="6">
        <f t="shared" si="7"/>
        <v>184752.8900000001</v>
      </c>
    </row>
    <row r="145" spans="1:11" x14ac:dyDescent="0.25">
      <c r="A145" s="5" t="s">
        <v>702</v>
      </c>
      <c r="B145" s="42">
        <f t="shared" si="6"/>
        <v>72.694879999999969</v>
      </c>
      <c r="C145" s="7" t="s">
        <v>388</v>
      </c>
      <c r="D145" s="7" t="s">
        <v>390</v>
      </c>
      <c r="E145" s="7" t="s">
        <v>0</v>
      </c>
      <c r="F145" s="8">
        <v>75.820590000000067</v>
      </c>
      <c r="G145" s="7" t="s">
        <v>236</v>
      </c>
      <c r="H145" s="7" t="s">
        <v>237</v>
      </c>
      <c r="I145" s="6">
        <v>490.54</v>
      </c>
      <c r="J145" s="6">
        <f t="shared" si="8"/>
        <v>72694.879999999976</v>
      </c>
      <c r="K145" s="6">
        <f t="shared" si="7"/>
        <v>184298.27000000011</v>
      </c>
    </row>
    <row r="146" spans="1:11" x14ac:dyDescent="0.25">
      <c r="A146" s="5" t="s">
        <v>702</v>
      </c>
      <c r="B146" s="42">
        <f t="shared" si="6"/>
        <v>73.185419999999965</v>
      </c>
      <c r="C146" s="7" t="s">
        <v>390</v>
      </c>
      <c r="D146" s="7" t="s">
        <v>392</v>
      </c>
      <c r="E146" s="7" t="s">
        <v>0</v>
      </c>
      <c r="F146" s="8">
        <v>76.292100000000062</v>
      </c>
      <c r="G146" s="7" t="s">
        <v>237</v>
      </c>
      <c r="H146" s="7" t="s">
        <v>238</v>
      </c>
      <c r="I146" s="6">
        <v>464.33</v>
      </c>
      <c r="J146" s="6">
        <f t="shared" si="8"/>
        <v>73185.419999999969</v>
      </c>
      <c r="K146" s="6">
        <f t="shared" si="7"/>
        <v>183807.7300000001</v>
      </c>
    </row>
    <row r="147" spans="1:11" x14ac:dyDescent="0.25">
      <c r="A147" s="5" t="s">
        <v>702</v>
      </c>
      <c r="B147" s="42">
        <f t="shared" si="6"/>
        <v>73.649749999999969</v>
      </c>
      <c r="C147" s="7" t="s">
        <v>392</v>
      </c>
      <c r="D147" s="7" t="s">
        <v>394</v>
      </c>
      <c r="E147" s="7" t="s">
        <v>0</v>
      </c>
      <c r="F147" s="8">
        <v>76.640230000000074</v>
      </c>
      <c r="G147" s="7" t="s">
        <v>238</v>
      </c>
      <c r="H147" s="7" t="s">
        <v>239</v>
      </c>
      <c r="I147" s="6">
        <v>562.13</v>
      </c>
      <c r="J147" s="6">
        <f t="shared" si="8"/>
        <v>73649.749999999971</v>
      </c>
      <c r="K147" s="6">
        <f t="shared" si="7"/>
        <v>183343.40000000011</v>
      </c>
    </row>
    <row r="148" spans="1:11" x14ac:dyDescent="0.25">
      <c r="A148" s="5" t="s">
        <v>702</v>
      </c>
      <c r="B148" s="42">
        <f t="shared" si="6"/>
        <v>74.211879999999979</v>
      </c>
      <c r="C148" s="7" t="s">
        <v>394</v>
      </c>
      <c r="D148" s="7" t="s">
        <v>396</v>
      </c>
      <c r="E148" s="7" t="s">
        <v>0</v>
      </c>
      <c r="F148" s="8">
        <v>77.278240000000068</v>
      </c>
      <c r="G148" s="7" t="s">
        <v>239</v>
      </c>
      <c r="H148" s="7" t="s">
        <v>240</v>
      </c>
      <c r="I148" s="6">
        <v>410.18</v>
      </c>
      <c r="J148" s="6">
        <f t="shared" si="8"/>
        <v>74211.879999999976</v>
      </c>
      <c r="K148" s="6">
        <f t="shared" si="7"/>
        <v>182781.27000000011</v>
      </c>
    </row>
    <row r="149" spans="1:11" x14ac:dyDescent="0.25">
      <c r="A149" s="5" t="s">
        <v>702</v>
      </c>
      <c r="B149" s="42">
        <f t="shared" si="6"/>
        <v>74.622059999999962</v>
      </c>
      <c r="C149" s="7" t="s">
        <v>396</v>
      </c>
      <c r="D149" s="7" t="s">
        <v>398</v>
      </c>
      <c r="E149" s="7" t="s">
        <v>0</v>
      </c>
      <c r="F149" s="8">
        <v>77.812180000000069</v>
      </c>
      <c r="G149" s="7" t="s">
        <v>240</v>
      </c>
      <c r="H149" s="7" t="s">
        <v>241</v>
      </c>
      <c r="I149" s="6">
        <v>422.96</v>
      </c>
      <c r="J149" s="6">
        <f t="shared" si="8"/>
        <v>74622.059999999969</v>
      </c>
      <c r="K149" s="6">
        <f t="shared" si="7"/>
        <v>182371.09000000011</v>
      </c>
    </row>
    <row r="150" spans="1:11" x14ac:dyDescent="0.25">
      <c r="A150" s="5" t="s">
        <v>702</v>
      </c>
      <c r="B150" s="42">
        <f t="shared" si="6"/>
        <v>75.04501999999998</v>
      </c>
      <c r="C150" s="7" t="s">
        <v>398</v>
      </c>
      <c r="D150" s="7" t="s">
        <v>400</v>
      </c>
      <c r="E150" s="7" t="s">
        <v>0</v>
      </c>
      <c r="F150" s="8">
        <v>78.380290000000073</v>
      </c>
      <c r="G150" s="7" t="s">
        <v>241</v>
      </c>
      <c r="H150" s="7" t="s">
        <v>242</v>
      </c>
      <c r="I150" s="6">
        <v>505.06</v>
      </c>
      <c r="J150" s="6">
        <f t="shared" si="8"/>
        <v>75045.019999999975</v>
      </c>
      <c r="K150" s="6">
        <f t="shared" si="7"/>
        <v>181948.13000000012</v>
      </c>
    </row>
    <row r="151" spans="1:11" x14ac:dyDescent="0.25">
      <c r="A151" s="5" t="s">
        <v>702</v>
      </c>
      <c r="B151" s="42">
        <f t="shared" si="6"/>
        <v>75.550079999999966</v>
      </c>
      <c r="C151" s="7" t="s">
        <v>400</v>
      </c>
      <c r="D151" s="7" t="s">
        <v>402</v>
      </c>
      <c r="E151" s="7" t="s">
        <v>0</v>
      </c>
      <c r="F151" s="8">
        <v>78.721610000000069</v>
      </c>
      <c r="G151" s="7" t="s">
        <v>242</v>
      </c>
      <c r="H151" s="7" t="s">
        <v>243</v>
      </c>
      <c r="I151" s="6">
        <v>591.33000000000004</v>
      </c>
      <c r="J151" s="6">
        <f t="shared" si="8"/>
        <v>75550.079999999973</v>
      </c>
      <c r="K151" s="6">
        <f t="shared" si="7"/>
        <v>181443.07000000012</v>
      </c>
    </row>
    <row r="152" spans="1:11" x14ac:dyDescent="0.25">
      <c r="A152" s="5" t="s">
        <v>702</v>
      </c>
      <c r="B152" s="42">
        <f t="shared" si="6"/>
        <v>76.141409999999979</v>
      </c>
      <c r="C152" s="7" t="s">
        <v>402</v>
      </c>
      <c r="D152" s="7" t="s">
        <v>404</v>
      </c>
      <c r="E152" s="7" t="s">
        <v>0</v>
      </c>
      <c r="F152" s="8">
        <v>79.203610000000069</v>
      </c>
      <c r="G152" s="7" t="s">
        <v>243</v>
      </c>
      <c r="H152" s="7" t="s">
        <v>244</v>
      </c>
      <c r="I152" s="6">
        <v>539.05999999999995</v>
      </c>
      <c r="J152" s="6">
        <f t="shared" si="8"/>
        <v>76141.409999999974</v>
      </c>
      <c r="K152" s="6">
        <f t="shared" si="7"/>
        <v>180851.74000000014</v>
      </c>
    </row>
    <row r="153" spans="1:11" x14ac:dyDescent="0.25">
      <c r="A153" s="5" t="s">
        <v>702</v>
      </c>
      <c r="B153" s="42">
        <f t="shared" si="6"/>
        <v>76.680469999999971</v>
      </c>
      <c r="C153" s="7" t="s">
        <v>404</v>
      </c>
      <c r="D153" s="7" t="s">
        <v>406</v>
      </c>
      <c r="E153" s="7" t="s">
        <v>0</v>
      </c>
      <c r="F153" s="8">
        <v>79.686350000000076</v>
      </c>
      <c r="G153" s="7" t="s">
        <v>244</v>
      </c>
      <c r="H153" s="7" t="s">
        <v>245</v>
      </c>
      <c r="I153" s="6">
        <v>618.35</v>
      </c>
      <c r="J153" s="6">
        <f t="shared" si="8"/>
        <v>76680.469999999972</v>
      </c>
      <c r="K153" s="6">
        <f t="shared" si="7"/>
        <v>180312.68000000014</v>
      </c>
    </row>
    <row r="154" spans="1:11" x14ac:dyDescent="0.25">
      <c r="A154" s="5" t="s">
        <v>702</v>
      </c>
      <c r="B154" s="42">
        <f t="shared" si="6"/>
        <v>77.298819999999978</v>
      </c>
      <c r="C154" s="7" t="s">
        <v>406</v>
      </c>
      <c r="D154" s="7" t="s">
        <v>408</v>
      </c>
      <c r="E154" s="7" t="s">
        <v>0</v>
      </c>
      <c r="F154" s="8">
        <v>80.353170000000091</v>
      </c>
      <c r="G154" s="7" t="s">
        <v>245</v>
      </c>
      <c r="H154" s="7" t="s">
        <v>246</v>
      </c>
      <c r="I154" s="6">
        <v>348.7</v>
      </c>
      <c r="J154" s="6">
        <f t="shared" si="8"/>
        <v>77298.819999999978</v>
      </c>
      <c r="K154" s="6">
        <f t="shared" si="7"/>
        <v>179694.33000000013</v>
      </c>
    </row>
    <row r="155" spans="1:11" x14ac:dyDescent="0.25">
      <c r="A155" s="5" t="s">
        <v>702</v>
      </c>
      <c r="B155" s="42">
        <f t="shared" si="6"/>
        <v>77.647519999999972</v>
      </c>
      <c r="C155" s="7" t="s">
        <v>408</v>
      </c>
      <c r="D155" s="7" t="s">
        <v>410</v>
      </c>
      <c r="E155" s="7" t="s">
        <v>0</v>
      </c>
      <c r="F155" s="8">
        <v>80.751080000000087</v>
      </c>
      <c r="G155" s="7" t="s">
        <v>246</v>
      </c>
      <c r="H155" s="7" t="s">
        <v>247</v>
      </c>
      <c r="I155" s="6">
        <v>600.01</v>
      </c>
      <c r="J155" s="6">
        <f t="shared" si="8"/>
        <v>77647.519999999975</v>
      </c>
      <c r="K155" s="6">
        <f t="shared" si="7"/>
        <v>179345.63000000012</v>
      </c>
    </row>
    <row r="156" spans="1:11" x14ac:dyDescent="0.25">
      <c r="A156" s="5" t="s">
        <v>702</v>
      </c>
      <c r="B156" s="42">
        <f t="shared" si="6"/>
        <v>78.247529999999969</v>
      </c>
      <c r="C156" s="7" t="s">
        <v>410</v>
      </c>
      <c r="D156" s="7" t="s">
        <v>412</v>
      </c>
      <c r="E156" s="7" t="s">
        <v>0</v>
      </c>
      <c r="F156" s="8">
        <v>81.283970000000082</v>
      </c>
      <c r="G156" s="7" t="s">
        <v>247</v>
      </c>
      <c r="H156" s="7" t="s">
        <v>248</v>
      </c>
      <c r="I156" s="6">
        <v>493.49</v>
      </c>
      <c r="J156" s="6">
        <f t="shared" si="8"/>
        <v>78247.52999999997</v>
      </c>
      <c r="K156" s="6">
        <f t="shared" si="7"/>
        <v>178745.62000000011</v>
      </c>
    </row>
    <row r="157" spans="1:11" x14ac:dyDescent="0.25">
      <c r="A157" s="5" t="s">
        <v>702</v>
      </c>
      <c r="B157" s="42">
        <f t="shared" si="6"/>
        <v>78.741019999999978</v>
      </c>
      <c r="C157" s="7" t="s">
        <v>412</v>
      </c>
      <c r="D157" s="7" t="s">
        <v>414</v>
      </c>
      <c r="E157" s="7" t="s">
        <v>0</v>
      </c>
      <c r="F157" s="8">
        <v>81.745680000000092</v>
      </c>
      <c r="G157" s="7" t="s">
        <v>248</v>
      </c>
      <c r="H157" s="7" t="s">
        <v>249</v>
      </c>
      <c r="I157" s="6">
        <v>552.83000000000004</v>
      </c>
      <c r="J157" s="6">
        <f t="shared" si="8"/>
        <v>78741.019999999975</v>
      </c>
      <c r="K157" s="6">
        <f t="shared" si="7"/>
        <v>178252.13000000012</v>
      </c>
    </row>
    <row r="158" spans="1:11" x14ac:dyDescent="0.25">
      <c r="A158" s="5" t="s">
        <v>702</v>
      </c>
      <c r="B158" s="42">
        <f t="shared" si="6"/>
        <v>79.293849999999978</v>
      </c>
      <c r="C158" s="7" t="s">
        <v>414</v>
      </c>
      <c r="D158" s="7" t="s">
        <v>416</v>
      </c>
      <c r="E158" s="7" t="s">
        <v>0</v>
      </c>
      <c r="F158" s="8">
        <v>82.259700000000095</v>
      </c>
      <c r="G158" s="7" t="s">
        <v>249</v>
      </c>
      <c r="H158" s="7" t="s">
        <v>250</v>
      </c>
      <c r="I158" s="6">
        <v>602.86</v>
      </c>
      <c r="J158" s="6">
        <f t="shared" si="8"/>
        <v>79293.849999999977</v>
      </c>
      <c r="K158" s="6">
        <f t="shared" si="7"/>
        <v>177699.30000000013</v>
      </c>
    </row>
    <row r="159" spans="1:11" x14ac:dyDescent="0.25">
      <c r="A159" s="5" t="s">
        <v>702</v>
      </c>
      <c r="B159" s="42">
        <f t="shared" si="6"/>
        <v>79.89670999999997</v>
      </c>
      <c r="C159" s="7" t="s">
        <v>416</v>
      </c>
      <c r="D159" s="7" t="s">
        <v>418</v>
      </c>
      <c r="E159" s="7" t="s">
        <v>0</v>
      </c>
      <c r="F159" s="8">
        <v>82.928590000000099</v>
      </c>
      <c r="G159" s="7" t="s">
        <v>250</v>
      </c>
      <c r="H159" s="7" t="s">
        <v>251</v>
      </c>
      <c r="I159" s="6">
        <v>380.89</v>
      </c>
      <c r="J159" s="6">
        <f t="shared" si="8"/>
        <v>79896.709999999977</v>
      </c>
      <c r="K159" s="6">
        <f t="shared" si="7"/>
        <v>177096.44000000015</v>
      </c>
    </row>
    <row r="160" spans="1:11" x14ac:dyDescent="0.25">
      <c r="A160" s="5" t="s">
        <v>702</v>
      </c>
      <c r="B160" s="42">
        <f t="shared" si="6"/>
        <v>80.277599999999978</v>
      </c>
      <c r="C160" s="7" t="s">
        <v>418</v>
      </c>
      <c r="D160" s="7" t="s">
        <v>420</v>
      </c>
      <c r="E160" s="7" t="s">
        <v>0</v>
      </c>
      <c r="F160" s="8">
        <v>83.43055000000011</v>
      </c>
      <c r="G160" s="7" t="s">
        <v>251</v>
      </c>
      <c r="H160" s="7" t="s">
        <v>252</v>
      </c>
      <c r="I160" s="6">
        <v>454.19</v>
      </c>
      <c r="J160" s="6">
        <f t="shared" si="8"/>
        <v>80277.599999999977</v>
      </c>
      <c r="K160" s="6">
        <f t="shared" si="7"/>
        <v>176715.55000000013</v>
      </c>
    </row>
    <row r="161" spans="1:11" x14ac:dyDescent="0.25">
      <c r="A161" s="5" t="s">
        <v>702</v>
      </c>
      <c r="B161" s="42">
        <f t="shared" si="6"/>
        <v>80.731789999999975</v>
      </c>
      <c r="C161" s="7" t="s">
        <v>420</v>
      </c>
      <c r="D161" s="7" t="s">
        <v>422</v>
      </c>
      <c r="E161" s="7" t="s">
        <v>0</v>
      </c>
      <c r="F161" s="8">
        <v>84.029010000000113</v>
      </c>
      <c r="G161" s="7" t="s">
        <v>252</v>
      </c>
      <c r="H161" s="7" t="s">
        <v>253</v>
      </c>
      <c r="I161" s="6">
        <v>474.61</v>
      </c>
      <c r="J161" s="6">
        <f t="shared" si="8"/>
        <v>80731.789999999979</v>
      </c>
      <c r="K161" s="6">
        <f t="shared" si="7"/>
        <v>176261.36000000013</v>
      </c>
    </row>
    <row r="162" spans="1:11" x14ac:dyDescent="0.25">
      <c r="A162" s="5" t="s">
        <v>702</v>
      </c>
      <c r="B162" s="42">
        <f t="shared" si="6"/>
        <v>81.206399999999974</v>
      </c>
      <c r="C162" s="7" t="s">
        <v>422</v>
      </c>
      <c r="D162" s="7" t="s">
        <v>424</v>
      </c>
      <c r="E162" s="7" t="s">
        <v>0</v>
      </c>
      <c r="F162" s="8">
        <v>84.565600000000103</v>
      </c>
      <c r="G162" s="7" t="s">
        <v>253</v>
      </c>
      <c r="H162" s="7" t="s">
        <v>254</v>
      </c>
      <c r="I162" s="6">
        <v>452.56</v>
      </c>
      <c r="J162" s="6">
        <f t="shared" si="8"/>
        <v>81206.39999999998</v>
      </c>
      <c r="K162" s="6">
        <f t="shared" si="7"/>
        <v>175786.75000000015</v>
      </c>
    </row>
    <row r="163" spans="1:11" x14ac:dyDescent="0.25">
      <c r="A163" s="5" t="s">
        <v>702</v>
      </c>
      <c r="B163" s="42">
        <f t="shared" si="6"/>
        <v>81.658959999999979</v>
      </c>
      <c r="C163" s="7" t="s">
        <v>424</v>
      </c>
      <c r="D163" s="7" t="s">
        <v>426</v>
      </c>
      <c r="E163" s="7" t="s">
        <v>0</v>
      </c>
      <c r="F163" s="8">
        <v>85.16882000000011</v>
      </c>
      <c r="G163" s="7" t="s">
        <v>254</v>
      </c>
      <c r="H163" s="7" t="s">
        <v>255</v>
      </c>
      <c r="I163" s="6">
        <v>423.35</v>
      </c>
      <c r="J163" s="6">
        <f t="shared" si="8"/>
        <v>81658.959999999977</v>
      </c>
      <c r="K163" s="6">
        <f t="shared" si="7"/>
        <v>175334.19000000015</v>
      </c>
    </row>
    <row r="164" spans="1:11" x14ac:dyDescent="0.25">
      <c r="A164" s="5" t="s">
        <v>702</v>
      </c>
      <c r="B164" s="42">
        <f t="shared" si="6"/>
        <v>82.082309999999978</v>
      </c>
      <c r="C164" s="7" t="s">
        <v>426</v>
      </c>
      <c r="D164" s="7" t="s">
        <v>428</v>
      </c>
      <c r="E164" s="7" t="s">
        <v>0</v>
      </c>
      <c r="F164" s="8">
        <v>85.69868000000011</v>
      </c>
      <c r="G164" s="7" t="s">
        <v>255</v>
      </c>
      <c r="H164" s="7" t="s">
        <v>256</v>
      </c>
      <c r="I164" s="6">
        <v>545.22</v>
      </c>
      <c r="J164" s="6">
        <f t="shared" si="8"/>
        <v>82082.309999999983</v>
      </c>
      <c r="K164" s="6">
        <f t="shared" si="7"/>
        <v>174910.84000000014</v>
      </c>
    </row>
    <row r="165" spans="1:11" x14ac:dyDescent="0.25">
      <c r="A165" s="5" t="s">
        <v>702</v>
      </c>
      <c r="B165" s="42">
        <f t="shared" si="6"/>
        <v>82.627529999999979</v>
      </c>
      <c r="C165" s="7" t="s">
        <v>428</v>
      </c>
      <c r="D165" s="7" t="s">
        <v>430</v>
      </c>
      <c r="E165" s="7" t="s">
        <v>0</v>
      </c>
      <c r="F165" s="8">
        <v>86.253150000000105</v>
      </c>
      <c r="G165" s="7" t="s">
        <v>256</v>
      </c>
      <c r="H165" s="7" t="s">
        <v>257</v>
      </c>
      <c r="I165" s="6">
        <v>553.96</v>
      </c>
      <c r="J165" s="6">
        <f t="shared" si="8"/>
        <v>82627.529999999984</v>
      </c>
      <c r="K165" s="6">
        <f t="shared" si="7"/>
        <v>174365.62000000014</v>
      </c>
    </row>
    <row r="166" spans="1:11" x14ac:dyDescent="0.25">
      <c r="A166" s="5" t="s">
        <v>702</v>
      </c>
      <c r="B166" s="42">
        <f t="shared" si="6"/>
        <v>83.181489999999997</v>
      </c>
      <c r="C166" s="7" t="s">
        <v>430</v>
      </c>
      <c r="D166" s="7" t="s">
        <v>432</v>
      </c>
      <c r="E166" s="7" t="s">
        <v>0</v>
      </c>
      <c r="F166" s="8">
        <v>86.830120000000107</v>
      </c>
      <c r="G166" s="7" t="s">
        <v>257</v>
      </c>
      <c r="H166" s="7" t="s">
        <v>258</v>
      </c>
      <c r="I166" s="6">
        <v>665.58</v>
      </c>
      <c r="J166" s="6">
        <f t="shared" si="8"/>
        <v>83181.489999999991</v>
      </c>
      <c r="K166" s="6">
        <f t="shared" si="7"/>
        <v>173811.66000000015</v>
      </c>
    </row>
    <row r="167" spans="1:11" x14ac:dyDescent="0.25">
      <c r="A167" s="5" t="s">
        <v>702</v>
      </c>
      <c r="B167" s="42">
        <f t="shared" si="6"/>
        <v>83.847069999999988</v>
      </c>
      <c r="C167" s="7" t="s">
        <v>432</v>
      </c>
      <c r="D167" s="7" t="s">
        <v>434</v>
      </c>
      <c r="E167" s="7" t="s">
        <v>0</v>
      </c>
      <c r="F167" s="8">
        <v>87.262840000000111</v>
      </c>
      <c r="G167" s="7" t="s">
        <v>258</v>
      </c>
      <c r="H167" s="7" t="s">
        <v>259</v>
      </c>
      <c r="I167" s="6">
        <v>420.27</v>
      </c>
      <c r="J167" s="6">
        <f t="shared" si="8"/>
        <v>83847.069999999992</v>
      </c>
      <c r="K167" s="6">
        <f t="shared" si="7"/>
        <v>173146.08000000016</v>
      </c>
    </row>
    <row r="168" spans="1:11" x14ac:dyDescent="0.25">
      <c r="A168" s="5" t="s">
        <v>702</v>
      </c>
      <c r="B168" s="42">
        <f t="shared" si="6"/>
        <v>84.26733999999999</v>
      </c>
      <c r="C168" s="7" t="s">
        <v>434</v>
      </c>
      <c r="D168" s="7" t="s">
        <v>436</v>
      </c>
      <c r="E168" s="7" t="s">
        <v>0</v>
      </c>
      <c r="F168" s="8">
        <v>87.867470000000111</v>
      </c>
      <c r="G168" s="7" t="s">
        <v>259</v>
      </c>
      <c r="H168" s="7" t="s">
        <v>260</v>
      </c>
      <c r="I168" s="6">
        <v>403.77</v>
      </c>
      <c r="J168" s="6">
        <f t="shared" si="8"/>
        <v>84267.34</v>
      </c>
      <c r="K168" s="6">
        <f t="shared" si="7"/>
        <v>172725.81000000017</v>
      </c>
    </row>
    <row r="169" spans="1:11" x14ac:dyDescent="0.25">
      <c r="A169" s="5" t="s">
        <v>702</v>
      </c>
      <c r="B169" s="42">
        <f t="shared" si="6"/>
        <v>84.671109999999999</v>
      </c>
      <c r="C169" s="7" t="s">
        <v>436</v>
      </c>
      <c r="D169" s="7" t="s">
        <v>438</v>
      </c>
      <c r="E169" s="7" t="s">
        <v>0</v>
      </c>
      <c r="F169" s="8">
        <v>88.40730000000012</v>
      </c>
      <c r="G169" s="7" t="s">
        <v>260</v>
      </c>
      <c r="H169" s="7" t="s">
        <v>261</v>
      </c>
      <c r="I169" s="6">
        <v>369.56</v>
      </c>
      <c r="J169" s="6">
        <f t="shared" si="8"/>
        <v>84671.11</v>
      </c>
      <c r="K169" s="6">
        <f t="shared" si="7"/>
        <v>172322.04000000018</v>
      </c>
    </row>
    <row r="170" spans="1:11" x14ac:dyDescent="0.25">
      <c r="A170" s="5" t="s">
        <v>702</v>
      </c>
      <c r="B170" s="42">
        <f t="shared" si="6"/>
        <v>85.040669999999992</v>
      </c>
      <c r="C170" s="7" t="s">
        <v>438</v>
      </c>
      <c r="D170" s="7" t="s">
        <v>440</v>
      </c>
      <c r="E170" s="7" t="s">
        <v>0</v>
      </c>
      <c r="F170" s="8">
        <v>88.939460000000125</v>
      </c>
      <c r="G170" s="7" t="s">
        <v>261</v>
      </c>
      <c r="H170" s="7" t="s">
        <v>262</v>
      </c>
      <c r="I170" s="6">
        <v>547.26</v>
      </c>
      <c r="J170" s="6">
        <f t="shared" si="8"/>
        <v>85040.67</v>
      </c>
      <c r="K170" s="6">
        <f t="shared" si="7"/>
        <v>171952.48000000019</v>
      </c>
    </row>
    <row r="171" spans="1:11" x14ac:dyDescent="0.25">
      <c r="A171" s="5" t="s">
        <v>702</v>
      </c>
      <c r="B171" s="42">
        <f t="shared" si="6"/>
        <v>85.58793</v>
      </c>
      <c r="C171" s="7" t="s">
        <v>440</v>
      </c>
      <c r="D171" s="7" t="s">
        <v>442</v>
      </c>
      <c r="E171" s="7" t="s">
        <v>0</v>
      </c>
      <c r="F171" s="8">
        <v>89.575060000000136</v>
      </c>
      <c r="G171" s="7" t="s">
        <v>262</v>
      </c>
      <c r="H171" s="7" t="s">
        <v>263</v>
      </c>
      <c r="I171" s="6">
        <v>489.48</v>
      </c>
      <c r="J171" s="6">
        <f t="shared" si="8"/>
        <v>85587.93</v>
      </c>
      <c r="K171" s="6">
        <f t="shared" si="7"/>
        <v>171405.22000000018</v>
      </c>
    </row>
    <row r="172" spans="1:11" x14ac:dyDescent="0.25">
      <c r="A172" s="5" t="s">
        <v>702</v>
      </c>
      <c r="B172" s="42">
        <f t="shared" si="6"/>
        <v>86.077409999999986</v>
      </c>
      <c r="C172" s="7" t="s">
        <v>442</v>
      </c>
      <c r="D172" s="7" t="s">
        <v>444</v>
      </c>
      <c r="E172" s="7" t="s">
        <v>0</v>
      </c>
      <c r="F172" s="8">
        <v>90.078630000000132</v>
      </c>
      <c r="G172" s="7" t="s">
        <v>263</v>
      </c>
      <c r="H172" s="7" t="s">
        <v>264</v>
      </c>
      <c r="I172" s="6">
        <v>469.76</v>
      </c>
      <c r="J172" s="6">
        <f t="shared" si="8"/>
        <v>86077.409999999989</v>
      </c>
      <c r="K172" s="6">
        <f t="shared" si="7"/>
        <v>170915.74000000017</v>
      </c>
    </row>
    <row r="173" spans="1:11" x14ac:dyDescent="0.25">
      <c r="A173" s="5" t="s">
        <v>702</v>
      </c>
      <c r="B173" s="42">
        <f t="shared" si="6"/>
        <v>86.54716999999998</v>
      </c>
      <c r="C173" s="7" t="s">
        <v>444</v>
      </c>
      <c r="D173" s="7" t="s">
        <v>446</v>
      </c>
      <c r="E173" s="7" t="s">
        <v>0</v>
      </c>
      <c r="F173" s="8">
        <v>90.570900000000137</v>
      </c>
      <c r="G173" s="7" t="s">
        <v>264</v>
      </c>
      <c r="H173" s="7" t="s">
        <v>265</v>
      </c>
      <c r="I173" s="6">
        <v>568.91999999999996</v>
      </c>
      <c r="J173" s="6">
        <f t="shared" si="8"/>
        <v>86547.169999999984</v>
      </c>
      <c r="K173" s="6">
        <f t="shared" si="7"/>
        <v>170445.98000000016</v>
      </c>
    </row>
    <row r="174" spans="1:11" x14ac:dyDescent="0.25">
      <c r="A174" s="5" t="s">
        <v>702</v>
      </c>
      <c r="B174" s="42">
        <f t="shared" si="6"/>
        <v>87.116089999999986</v>
      </c>
      <c r="C174" s="7" t="s">
        <v>446</v>
      </c>
      <c r="D174" s="7" t="s">
        <v>448</v>
      </c>
      <c r="E174" s="7" t="s">
        <v>0</v>
      </c>
      <c r="F174" s="8">
        <v>91.147270000000134</v>
      </c>
      <c r="G174" s="7" t="s">
        <v>265</v>
      </c>
      <c r="H174" s="7" t="s">
        <v>266</v>
      </c>
      <c r="I174" s="6">
        <v>489.6</v>
      </c>
      <c r="J174" s="6">
        <f t="shared" si="8"/>
        <v>87116.089999999982</v>
      </c>
      <c r="K174" s="6">
        <f t="shared" si="7"/>
        <v>169877.06000000014</v>
      </c>
    </row>
    <row r="175" spans="1:11" x14ac:dyDescent="0.25">
      <c r="A175" s="5" t="s">
        <v>702</v>
      </c>
      <c r="B175" s="42">
        <f t="shared" si="6"/>
        <v>87.605689999999981</v>
      </c>
      <c r="C175" s="7" t="s">
        <v>448</v>
      </c>
      <c r="D175" s="7" t="s">
        <v>450</v>
      </c>
      <c r="E175" s="7" t="s">
        <v>0</v>
      </c>
      <c r="F175" s="8">
        <v>91.667510000000135</v>
      </c>
      <c r="G175" s="7" t="s">
        <v>266</v>
      </c>
      <c r="H175" s="7" t="s">
        <v>267</v>
      </c>
      <c r="I175" s="6">
        <v>448.84</v>
      </c>
      <c r="J175" s="6">
        <f t="shared" si="8"/>
        <v>87605.689999999988</v>
      </c>
      <c r="K175" s="6">
        <f t="shared" si="7"/>
        <v>169387.46000000014</v>
      </c>
    </row>
    <row r="176" spans="1:11" x14ac:dyDescent="0.25">
      <c r="A176" s="5" t="s">
        <v>702</v>
      </c>
      <c r="B176" s="42">
        <f t="shared" si="6"/>
        <v>88.054529999999986</v>
      </c>
      <c r="C176" s="7" t="s">
        <v>450</v>
      </c>
      <c r="D176" s="7" t="s">
        <v>452</v>
      </c>
      <c r="E176" s="7" t="s">
        <v>0</v>
      </c>
      <c r="F176" s="8">
        <v>92.162590000000137</v>
      </c>
      <c r="G176" s="7" t="s">
        <v>267</v>
      </c>
      <c r="H176" s="7" t="s">
        <v>268</v>
      </c>
      <c r="I176" s="6">
        <v>406.13</v>
      </c>
      <c r="J176" s="6">
        <f t="shared" si="8"/>
        <v>88054.529999999984</v>
      </c>
      <c r="K176" s="6">
        <f t="shared" si="7"/>
        <v>168938.62000000014</v>
      </c>
    </row>
    <row r="177" spans="1:11" x14ac:dyDescent="0.25">
      <c r="A177" s="5" t="s">
        <v>702</v>
      </c>
      <c r="B177" s="42">
        <f t="shared" si="6"/>
        <v>88.46065999999999</v>
      </c>
      <c r="C177" s="7" t="s">
        <v>452</v>
      </c>
      <c r="D177" s="7" t="s">
        <v>454</v>
      </c>
      <c r="E177" s="7" t="s">
        <v>0</v>
      </c>
      <c r="F177" s="8">
        <v>92.612590000000139</v>
      </c>
      <c r="G177" s="7" t="s">
        <v>268</v>
      </c>
      <c r="H177" s="7" t="s">
        <v>269</v>
      </c>
      <c r="I177" s="6">
        <v>439.67</v>
      </c>
      <c r="J177" s="6">
        <f t="shared" si="8"/>
        <v>88460.659999999989</v>
      </c>
      <c r="K177" s="6">
        <f t="shared" si="7"/>
        <v>168532.49000000014</v>
      </c>
    </row>
    <row r="178" spans="1:11" x14ac:dyDescent="0.25">
      <c r="A178" s="5" t="s">
        <v>702</v>
      </c>
      <c r="B178" s="42">
        <f t="shared" si="6"/>
        <v>88.900329999999983</v>
      </c>
      <c r="C178" s="7" t="s">
        <v>454</v>
      </c>
      <c r="D178" s="7" t="s">
        <v>456</v>
      </c>
      <c r="E178" s="7" t="s">
        <v>0</v>
      </c>
      <c r="F178" s="8">
        <v>93.152560000000136</v>
      </c>
      <c r="G178" s="7" t="s">
        <v>269</v>
      </c>
      <c r="H178" s="7" t="s">
        <v>270</v>
      </c>
      <c r="I178" s="6">
        <v>770.36</v>
      </c>
      <c r="J178" s="6">
        <f t="shared" si="8"/>
        <v>88900.329999999987</v>
      </c>
      <c r="K178" s="6">
        <f t="shared" si="7"/>
        <v>168092.82000000012</v>
      </c>
    </row>
    <row r="179" spans="1:11" x14ac:dyDescent="0.25">
      <c r="A179" s="5" t="s">
        <v>702</v>
      </c>
      <c r="B179" s="42">
        <f t="shared" si="6"/>
        <v>89.670689999999993</v>
      </c>
      <c r="C179" s="7" t="s">
        <v>456</v>
      </c>
      <c r="D179" s="7" t="s">
        <v>458</v>
      </c>
      <c r="E179" s="7" t="s">
        <v>0</v>
      </c>
      <c r="F179" s="8">
        <v>93.812570000000136</v>
      </c>
      <c r="G179" s="7" t="s">
        <v>270</v>
      </c>
      <c r="H179" s="7" t="s">
        <v>271</v>
      </c>
      <c r="I179" s="6">
        <v>528.58000000000004</v>
      </c>
      <c r="J179" s="6">
        <f t="shared" si="8"/>
        <v>89670.689999999988</v>
      </c>
      <c r="K179" s="6">
        <f t="shared" si="7"/>
        <v>167322.46000000014</v>
      </c>
    </row>
    <row r="180" spans="1:11" x14ac:dyDescent="0.25">
      <c r="A180" s="5" t="s">
        <v>702</v>
      </c>
      <c r="B180" s="42">
        <f t="shared" si="6"/>
        <v>90.199269999999984</v>
      </c>
      <c r="C180" s="7" t="s">
        <v>458</v>
      </c>
      <c r="D180" s="7" t="s">
        <v>460</v>
      </c>
      <c r="E180" s="7" t="s">
        <v>0</v>
      </c>
      <c r="F180" s="8">
        <v>94.220960000000133</v>
      </c>
      <c r="G180" s="7" t="s">
        <v>271</v>
      </c>
      <c r="H180" s="7" t="s">
        <v>273</v>
      </c>
      <c r="I180" s="6">
        <v>502.49</v>
      </c>
      <c r="J180" s="6">
        <f t="shared" si="8"/>
        <v>90199.26999999999</v>
      </c>
      <c r="K180" s="6">
        <f t="shared" si="7"/>
        <v>166793.88000000015</v>
      </c>
    </row>
    <row r="181" spans="1:11" x14ac:dyDescent="0.25">
      <c r="A181" s="5" t="s">
        <v>702</v>
      </c>
      <c r="B181" s="42">
        <f t="shared" si="6"/>
        <v>90.701759999999993</v>
      </c>
      <c r="C181" s="7" t="s">
        <v>460</v>
      </c>
      <c r="D181" s="7" t="s">
        <v>462</v>
      </c>
      <c r="E181" s="7" t="s">
        <v>0</v>
      </c>
      <c r="F181" s="8">
        <v>94.731570000000133</v>
      </c>
      <c r="G181" s="7" t="s">
        <v>273</v>
      </c>
      <c r="H181" s="7" t="s">
        <v>275</v>
      </c>
      <c r="I181" s="6">
        <v>420.43</v>
      </c>
      <c r="J181" s="6">
        <f t="shared" si="8"/>
        <v>90701.759999999995</v>
      </c>
      <c r="K181" s="6">
        <f t="shared" si="7"/>
        <v>166291.39000000016</v>
      </c>
    </row>
    <row r="182" spans="1:11" x14ac:dyDescent="0.25">
      <c r="A182" s="5" t="s">
        <v>702</v>
      </c>
      <c r="B182" s="42">
        <f t="shared" si="6"/>
        <v>91.122189999999989</v>
      </c>
      <c r="C182" s="7" t="s">
        <v>462</v>
      </c>
      <c r="D182" s="7" t="s">
        <v>464</v>
      </c>
      <c r="E182" s="7" t="s">
        <v>0</v>
      </c>
      <c r="F182" s="8">
        <v>95.420200000000136</v>
      </c>
      <c r="G182" s="7" t="s">
        <v>275</v>
      </c>
      <c r="H182" s="7" t="s">
        <v>277</v>
      </c>
      <c r="I182" s="6">
        <v>378.33</v>
      </c>
      <c r="J182" s="6">
        <f t="shared" si="8"/>
        <v>91122.189999999988</v>
      </c>
      <c r="K182" s="6">
        <f t="shared" si="7"/>
        <v>165870.96000000017</v>
      </c>
    </row>
    <row r="183" spans="1:11" x14ac:dyDescent="0.25">
      <c r="A183" s="5" t="s">
        <v>702</v>
      </c>
      <c r="B183" s="42">
        <f t="shared" si="6"/>
        <v>91.500519999999995</v>
      </c>
      <c r="C183" s="7" t="s">
        <v>464</v>
      </c>
      <c r="D183" s="7" t="s">
        <v>466</v>
      </c>
      <c r="E183" s="7" t="s">
        <v>0</v>
      </c>
      <c r="F183" s="8">
        <v>96.006070000000136</v>
      </c>
      <c r="G183" s="7" t="s">
        <v>277</v>
      </c>
      <c r="H183" s="7" t="s">
        <v>279</v>
      </c>
      <c r="I183" s="6">
        <v>442.09</v>
      </c>
      <c r="J183" s="6">
        <f t="shared" si="8"/>
        <v>91500.51999999999</v>
      </c>
      <c r="K183" s="6">
        <f t="shared" si="7"/>
        <v>165492.63000000018</v>
      </c>
    </row>
    <row r="184" spans="1:11" x14ac:dyDescent="0.25">
      <c r="A184" s="5" t="s">
        <v>702</v>
      </c>
      <c r="B184" s="42">
        <f t="shared" si="6"/>
        <v>91.942609999999988</v>
      </c>
      <c r="C184" s="7" t="s">
        <v>466</v>
      </c>
      <c r="D184" s="7" t="s">
        <v>468</v>
      </c>
      <c r="E184" s="7" t="s">
        <v>0</v>
      </c>
      <c r="F184" s="8">
        <v>96.541100000000142</v>
      </c>
      <c r="G184" s="7" t="s">
        <v>279</v>
      </c>
      <c r="H184" s="7" t="s">
        <v>281</v>
      </c>
      <c r="I184" s="6">
        <v>332.11</v>
      </c>
      <c r="J184" s="6">
        <f t="shared" si="8"/>
        <v>91942.609999999986</v>
      </c>
      <c r="K184" s="6">
        <f t="shared" si="7"/>
        <v>165050.54000000018</v>
      </c>
    </row>
    <row r="185" spans="1:11" x14ac:dyDescent="0.25">
      <c r="A185" s="5" t="s">
        <v>702</v>
      </c>
      <c r="B185" s="42">
        <f t="shared" si="6"/>
        <v>92.274719999999988</v>
      </c>
      <c r="C185" s="7" t="s">
        <v>468</v>
      </c>
      <c r="D185" s="7" t="s">
        <v>470</v>
      </c>
      <c r="E185" s="7" t="s">
        <v>0</v>
      </c>
      <c r="F185" s="8">
        <v>97.05100000000013</v>
      </c>
      <c r="G185" s="7" t="s">
        <v>281</v>
      </c>
      <c r="H185" s="7" t="s">
        <v>283</v>
      </c>
      <c r="I185" s="6">
        <v>502.59</v>
      </c>
      <c r="J185" s="6">
        <f t="shared" si="8"/>
        <v>92274.719999999987</v>
      </c>
      <c r="K185" s="6">
        <f t="shared" si="7"/>
        <v>164718.4300000002</v>
      </c>
    </row>
    <row r="186" spans="1:11" x14ac:dyDescent="0.25">
      <c r="A186" s="5" t="s">
        <v>702</v>
      </c>
      <c r="B186" s="42">
        <f t="shared" si="6"/>
        <v>92.777309999999986</v>
      </c>
      <c r="C186" s="7" t="s">
        <v>470</v>
      </c>
      <c r="D186" s="7" t="s">
        <v>472</v>
      </c>
      <c r="E186" s="7" t="s">
        <v>0</v>
      </c>
      <c r="F186" s="8">
        <v>97.504690000000139</v>
      </c>
      <c r="G186" s="7" t="s">
        <v>283</v>
      </c>
      <c r="H186" s="7" t="s">
        <v>285</v>
      </c>
      <c r="I186" s="6">
        <v>602.16</v>
      </c>
      <c r="J186" s="6">
        <f t="shared" si="8"/>
        <v>92777.309999999983</v>
      </c>
      <c r="K186" s="6">
        <f t="shared" si="7"/>
        <v>164215.8400000002</v>
      </c>
    </row>
    <row r="187" spans="1:11" x14ac:dyDescent="0.25">
      <c r="A187" s="5" t="s">
        <v>702</v>
      </c>
      <c r="B187" s="42">
        <f t="shared" si="6"/>
        <v>93.379469999999984</v>
      </c>
      <c r="C187" s="7" t="s">
        <v>472</v>
      </c>
      <c r="D187" s="7" t="s">
        <v>474</v>
      </c>
      <c r="E187" s="7" t="s">
        <v>0</v>
      </c>
      <c r="F187" s="8">
        <v>98.017360000000139</v>
      </c>
      <c r="G187" s="7" t="s">
        <v>285</v>
      </c>
      <c r="H187" s="7" t="s">
        <v>287</v>
      </c>
      <c r="I187" s="6">
        <v>453.82</v>
      </c>
      <c r="J187" s="6">
        <f t="shared" si="8"/>
        <v>93379.469999999987</v>
      </c>
      <c r="K187" s="6">
        <f t="shared" si="7"/>
        <v>163613.6800000002</v>
      </c>
    </row>
    <row r="188" spans="1:11" x14ac:dyDescent="0.25">
      <c r="A188" s="5" t="s">
        <v>702</v>
      </c>
      <c r="B188" s="42">
        <f t="shared" si="6"/>
        <v>93.833289999999991</v>
      </c>
      <c r="C188" s="7" t="s">
        <v>474</v>
      </c>
      <c r="D188" s="7" t="s">
        <v>476</v>
      </c>
      <c r="E188" s="7" t="s">
        <v>0</v>
      </c>
      <c r="F188" s="8">
        <v>98.572060000000135</v>
      </c>
      <c r="G188" s="7" t="s">
        <v>287</v>
      </c>
      <c r="H188" s="7" t="s">
        <v>289</v>
      </c>
      <c r="I188" s="6">
        <v>447.96</v>
      </c>
      <c r="J188" s="6">
        <f t="shared" si="8"/>
        <v>93833.29</v>
      </c>
      <c r="K188" s="6">
        <f t="shared" si="7"/>
        <v>163159.86000000019</v>
      </c>
    </row>
    <row r="189" spans="1:11" x14ac:dyDescent="0.25">
      <c r="A189" s="5" t="s">
        <v>702</v>
      </c>
      <c r="B189" s="42">
        <f t="shared" si="6"/>
        <v>94.28125</v>
      </c>
      <c r="C189" s="7" t="s">
        <v>476</v>
      </c>
      <c r="D189" s="7" t="s">
        <v>478</v>
      </c>
      <c r="E189" s="7" t="s">
        <v>0</v>
      </c>
      <c r="F189" s="8">
        <v>99.18003000000013</v>
      </c>
      <c r="G189" s="7" t="s">
        <v>289</v>
      </c>
      <c r="H189" s="7" t="s">
        <v>291</v>
      </c>
      <c r="I189" s="6">
        <v>482.19</v>
      </c>
      <c r="J189" s="6">
        <f t="shared" si="8"/>
        <v>94281.25</v>
      </c>
      <c r="K189" s="6">
        <f t="shared" si="7"/>
        <v>162711.9000000002</v>
      </c>
    </row>
    <row r="190" spans="1:11" x14ac:dyDescent="0.25">
      <c r="A190" s="5" t="s">
        <v>702</v>
      </c>
      <c r="B190" s="42">
        <f t="shared" si="6"/>
        <v>94.763440000000003</v>
      </c>
      <c r="C190" s="7" t="s">
        <v>478</v>
      </c>
      <c r="D190" s="7" t="s">
        <v>480</v>
      </c>
      <c r="E190" s="7" t="s">
        <v>0</v>
      </c>
      <c r="F190" s="8">
        <v>99.738730000000132</v>
      </c>
      <c r="G190" s="7" t="s">
        <v>291</v>
      </c>
      <c r="H190" s="7" t="s">
        <v>293</v>
      </c>
      <c r="I190" s="6">
        <v>644.89</v>
      </c>
      <c r="J190" s="6">
        <f t="shared" si="8"/>
        <v>94763.44</v>
      </c>
      <c r="K190" s="6">
        <f t="shared" si="7"/>
        <v>162229.7100000002</v>
      </c>
    </row>
    <row r="191" spans="1:11" x14ac:dyDescent="0.25">
      <c r="A191" s="5" t="s">
        <v>702</v>
      </c>
      <c r="B191" s="42">
        <f t="shared" si="6"/>
        <v>95.408330000000007</v>
      </c>
      <c r="C191" s="7" t="s">
        <v>480</v>
      </c>
      <c r="D191" s="7" t="s">
        <v>482</v>
      </c>
      <c r="E191" s="7" t="s">
        <v>0</v>
      </c>
      <c r="F191" s="8">
        <v>100.27338000000012</v>
      </c>
      <c r="G191" s="7" t="s">
        <v>293</v>
      </c>
      <c r="H191" s="7" t="s">
        <v>295</v>
      </c>
      <c r="I191" s="6">
        <v>500.97</v>
      </c>
      <c r="J191" s="6">
        <f t="shared" si="8"/>
        <v>95408.33</v>
      </c>
      <c r="K191" s="6">
        <f t="shared" si="7"/>
        <v>161584.82000000018</v>
      </c>
    </row>
    <row r="192" spans="1:11" x14ac:dyDescent="0.25">
      <c r="A192" s="5" t="s">
        <v>702</v>
      </c>
      <c r="B192" s="42">
        <f t="shared" si="6"/>
        <v>95.909300000000002</v>
      </c>
      <c r="C192" s="7" t="s">
        <v>482</v>
      </c>
      <c r="D192" s="7" t="s">
        <v>484</v>
      </c>
      <c r="E192" s="7" t="s">
        <v>0</v>
      </c>
      <c r="F192" s="8">
        <v>100.81073000000012</v>
      </c>
      <c r="G192" s="7" t="s">
        <v>295</v>
      </c>
      <c r="H192" s="7" t="s">
        <v>297</v>
      </c>
      <c r="I192" s="6">
        <v>428.58</v>
      </c>
      <c r="J192" s="6">
        <f t="shared" si="8"/>
        <v>95909.3</v>
      </c>
      <c r="K192" s="6">
        <f t="shared" si="7"/>
        <v>161083.85000000018</v>
      </c>
    </row>
    <row r="193" spans="1:11" x14ac:dyDescent="0.25">
      <c r="A193" s="5" t="s">
        <v>702</v>
      </c>
      <c r="B193" s="42">
        <f t="shared" si="6"/>
        <v>96.337879999999998</v>
      </c>
      <c r="C193" s="7" t="s">
        <v>484</v>
      </c>
      <c r="D193" s="7" t="s">
        <v>486</v>
      </c>
      <c r="E193" s="7" t="s">
        <v>0</v>
      </c>
      <c r="F193" s="8">
        <v>101.27004000000012</v>
      </c>
      <c r="G193" s="7" t="s">
        <v>297</v>
      </c>
      <c r="H193" s="7" t="s">
        <v>299</v>
      </c>
      <c r="I193" s="6">
        <v>545.75</v>
      </c>
      <c r="J193" s="6">
        <f t="shared" si="8"/>
        <v>96337.88</v>
      </c>
      <c r="K193" s="6">
        <f t="shared" si="7"/>
        <v>160655.27000000019</v>
      </c>
    </row>
    <row r="194" spans="1:11" x14ac:dyDescent="0.25">
      <c r="A194" s="5" t="s">
        <v>702</v>
      </c>
      <c r="B194" s="42">
        <f t="shared" si="6"/>
        <v>96.883630000000011</v>
      </c>
      <c r="C194" s="7" t="s">
        <v>486</v>
      </c>
      <c r="D194" s="7" t="s">
        <v>488</v>
      </c>
      <c r="E194" s="7" t="s">
        <v>0</v>
      </c>
      <c r="F194" s="8">
        <v>101.86304000000013</v>
      </c>
      <c r="G194" s="7" t="s">
        <v>299</v>
      </c>
      <c r="H194" s="7" t="s">
        <v>301</v>
      </c>
      <c r="I194" s="6">
        <v>820.82</v>
      </c>
      <c r="J194" s="6">
        <f t="shared" si="8"/>
        <v>96883.63</v>
      </c>
      <c r="K194" s="6">
        <f t="shared" si="7"/>
        <v>160109.52000000019</v>
      </c>
    </row>
    <row r="195" spans="1:11" x14ac:dyDescent="0.25">
      <c r="A195" s="5" t="s">
        <v>702</v>
      </c>
      <c r="B195" s="42">
        <f t="shared" ref="B195:B258" si="9">J195/1000</f>
        <v>97.704450000000008</v>
      </c>
      <c r="C195" s="7" t="s">
        <v>488</v>
      </c>
      <c r="D195" s="7" t="s">
        <v>490</v>
      </c>
      <c r="E195" s="7" t="s">
        <v>0</v>
      </c>
      <c r="F195" s="8">
        <v>102.43904000000012</v>
      </c>
      <c r="G195" s="7" t="s">
        <v>301</v>
      </c>
      <c r="H195" s="7" t="s">
        <v>303</v>
      </c>
      <c r="I195" s="6">
        <v>521.03</v>
      </c>
      <c r="J195" s="6">
        <f t="shared" si="8"/>
        <v>97704.450000000012</v>
      </c>
      <c r="K195" s="6">
        <f t="shared" si="7"/>
        <v>159288.70000000019</v>
      </c>
    </row>
    <row r="196" spans="1:11" x14ac:dyDescent="0.25">
      <c r="A196" s="5" t="s">
        <v>702</v>
      </c>
      <c r="B196" s="42">
        <f t="shared" si="9"/>
        <v>98.225480000000005</v>
      </c>
      <c r="C196" s="7" t="s">
        <v>490</v>
      </c>
      <c r="D196" s="7" t="s">
        <v>492</v>
      </c>
      <c r="E196" s="7" t="s">
        <v>0</v>
      </c>
      <c r="F196" s="8">
        <v>102.90363000000012</v>
      </c>
      <c r="G196" s="7" t="s">
        <v>303</v>
      </c>
      <c r="H196" s="7" t="s">
        <v>305</v>
      </c>
      <c r="I196" s="6">
        <v>624.04999999999995</v>
      </c>
      <c r="J196" s="6">
        <f t="shared" si="8"/>
        <v>98225.48000000001</v>
      </c>
      <c r="K196" s="6">
        <f t="shared" ref="K196:K259" si="10">K195-I195</f>
        <v>158767.67000000019</v>
      </c>
    </row>
    <row r="197" spans="1:11" x14ac:dyDescent="0.25">
      <c r="A197" s="5" t="s">
        <v>702</v>
      </c>
      <c r="B197" s="42">
        <f t="shared" si="9"/>
        <v>98.849530000000016</v>
      </c>
      <c r="C197" s="7" t="s">
        <v>492</v>
      </c>
      <c r="D197" s="7" t="s">
        <v>494</v>
      </c>
      <c r="E197" s="7" t="s">
        <v>0</v>
      </c>
      <c r="F197" s="8">
        <v>103.43397000000012</v>
      </c>
      <c r="G197" s="7" t="s">
        <v>305</v>
      </c>
      <c r="H197" s="7" t="s">
        <v>307</v>
      </c>
      <c r="I197" s="6">
        <v>557.58000000000004</v>
      </c>
      <c r="J197" s="6">
        <f t="shared" ref="J197:J260" si="11">J196+I196</f>
        <v>98849.530000000013</v>
      </c>
      <c r="K197" s="6">
        <f t="shared" si="10"/>
        <v>158143.6200000002</v>
      </c>
    </row>
    <row r="198" spans="1:11" x14ac:dyDescent="0.25">
      <c r="A198" s="5" t="s">
        <v>702</v>
      </c>
      <c r="B198" s="42">
        <f t="shared" si="9"/>
        <v>99.407110000000017</v>
      </c>
      <c r="C198" s="7" t="s">
        <v>494</v>
      </c>
      <c r="D198" s="7" t="s">
        <v>496</v>
      </c>
      <c r="E198" s="7" t="s">
        <v>0</v>
      </c>
      <c r="F198" s="8">
        <v>103.85897000000011</v>
      </c>
      <c r="G198" s="7" t="s">
        <v>307</v>
      </c>
      <c r="H198" s="7" t="s">
        <v>309</v>
      </c>
      <c r="I198" s="6">
        <v>385.42</v>
      </c>
      <c r="J198" s="6">
        <f t="shared" si="11"/>
        <v>99407.110000000015</v>
      </c>
      <c r="K198" s="6">
        <f t="shared" si="10"/>
        <v>157586.04000000021</v>
      </c>
    </row>
    <row r="199" spans="1:11" x14ac:dyDescent="0.25">
      <c r="A199" s="5" t="s">
        <v>702</v>
      </c>
      <c r="B199" s="42">
        <f t="shared" si="9"/>
        <v>99.792530000000014</v>
      </c>
      <c r="C199" s="7" t="s">
        <v>496</v>
      </c>
      <c r="D199" s="7" t="s">
        <v>498</v>
      </c>
      <c r="E199" s="7" t="s">
        <v>0</v>
      </c>
      <c r="F199" s="8">
        <v>104.28921000000012</v>
      </c>
      <c r="G199" s="7" t="s">
        <v>309</v>
      </c>
      <c r="H199" s="7" t="s">
        <v>311</v>
      </c>
      <c r="I199" s="6">
        <v>533.63</v>
      </c>
      <c r="J199" s="6">
        <f t="shared" si="11"/>
        <v>99792.530000000013</v>
      </c>
      <c r="K199" s="6">
        <f t="shared" si="10"/>
        <v>157200.6200000002</v>
      </c>
    </row>
    <row r="200" spans="1:11" x14ac:dyDescent="0.25">
      <c r="A200" s="5" t="s">
        <v>702</v>
      </c>
      <c r="B200" s="42">
        <f t="shared" si="9"/>
        <v>100.32616000000002</v>
      </c>
      <c r="C200" s="7" t="s">
        <v>498</v>
      </c>
      <c r="D200" s="7" t="s">
        <v>500</v>
      </c>
      <c r="E200" s="7" t="s">
        <v>0</v>
      </c>
      <c r="F200" s="8">
        <v>104.83057000000012</v>
      </c>
      <c r="G200" s="7" t="s">
        <v>311</v>
      </c>
      <c r="H200" s="7" t="s">
        <v>313</v>
      </c>
      <c r="I200" s="6">
        <v>458.61</v>
      </c>
      <c r="J200" s="6">
        <f t="shared" si="11"/>
        <v>100326.16000000002</v>
      </c>
      <c r="K200" s="6">
        <f t="shared" si="10"/>
        <v>156666.99000000019</v>
      </c>
    </row>
    <row r="201" spans="1:11" x14ac:dyDescent="0.25">
      <c r="A201" s="5" t="s">
        <v>702</v>
      </c>
      <c r="B201" s="42">
        <f t="shared" si="9"/>
        <v>100.78477000000002</v>
      </c>
      <c r="C201" s="7" t="s">
        <v>500</v>
      </c>
      <c r="D201" s="7" t="s">
        <v>502</v>
      </c>
      <c r="E201" s="7" t="s">
        <v>0</v>
      </c>
      <c r="F201" s="8">
        <v>105.42139000000013</v>
      </c>
      <c r="G201" s="7" t="s">
        <v>313</v>
      </c>
      <c r="H201" s="7" t="s">
        <v>315</v>
      </c>
      <c r="I201" s="6">
        <v>400.37</v>
      </c>
      <c r="J201" s="6">
        <f t="shared" si="11"/>
        <v>100784.77000000002</v>
      </c>
      <c r="K201" s="6">
        <f t="shared" si="10"/>
        <v>156208.38000000021</v>
      </c>
    </row>
    <row r="202" spans="1:11" x14ac:dyDescent="0.25">
      <c r="A202" s="5" t="s">
        <v>702</v>
      </c>
      <c r="B202" s="42">
        <f t="shared" si="9"/>
        <v>101.18514000000002</v>
      </c>
      <c r="C202" s="7" t="s">
        <v>502</v>
      </c>
      <c r="D202" s="7" t="s">
        <v>503</v>
      </c>
      <c r="E202" s="7" t="s">
        <v>0</v>
      </c>
      <c r="F202" s="8">
        <v>106.00261000000013</v>
      </c>
      <c r="G202" s="7" t="s">
        <v>315</v>
      </c>
      <c r="H202" s="7" t="s">
        <v>317</v>
      </c>
      <c r="I202" s="6">
        <v>427.1</v>
      </c>
      <c r="J202" s="6">
        <f t="shared" si="11"/>
        <v>101185.14000000001</v>
      </c>
      <c r="K202" s="6">
        <f t="shared" si="10"/>
        <v>155808.01000000021</v>
      </c>
    </row>
    <row r="203" spans="1:11" x14ac:dyDescent="0.25">
      <c r="A203" s="5" t="s">
        <v>702</v>
      </c>
      <c r="B203" s="42">
        <f t="shared" si="9"/>
        <v>101.61224000000001</v>
      </c>
      <c r="C203" s="7" t="s">
        <v>503</v>
      </c>
      <c r="D203" s="7" t="s">
        <v>501</v>
      </c>
      <c r="E203" s="7" t="s">
        <v>0</v>
      </c>
      <c r="F203" s="8">
        <v>106.57275000000013</v>
      </c>
      <c r="G203" s="7" t="s">
        <v>317</v>
      </c>
      <c r="H203" s="7" t="s">
        <v>319</v>
      </c>
      <c r="I203" s="6">
        <v>595.74</v>
      </c>
      <c r="J203" s="6">
        <f t="shared" si="11"/>
        <v>101612.24000000002</v>
      </c>
      <c r="K203" s="6">
        <f t="shared" si="10"/>
        <v>155380.91000000021</v>
      </c>
    </row>
    <row r="204" spans="1:11" x14ac:dyDescent="0.25">
      <c r="A204" s="5" t="s">
        <v>702</v>
      </c>
      <c r="B204" s="42">
        <f t="shared" si="9"/>
        <v>102.20798000000002</v>
      </c>
      <c r="C204" s="7" t="s">
        <v>501</v>
      </c>
      <c r="D204" s="7" t="s">
        <v>499</v>
      </c>
      <c r="E204" s="7" t="s">
        <v>0</v>
      </c>
      <c r="F204" s="8">
        <v>107.05567000000013</v>
      </c>
      <c r="G204" s="7" t="s">
        <v>319</v>
      </c>
      <c r="H204" s="7" t="s">
        <v>321</v>
      </c>
      <c r="I204" s="6">
        <v>576.16999999999996</v>
      </c>
      <c r="J204" s="6">
        <f t="shared" si="11"/>
        <v>102207.98000000003</v>
      </c>
      <c r="K204" s="6">
        <f t="shared" si="10"/>
        <v>154785.17000000022</v>
      </c>
    </row>
    <row r="205" spans="1:11" x14ac:dyDescent="0.25">
      <c r="A205" s="5" t="s">
        <v>702</v>
      </c>
      <c r="B205" s="42">
        <f t="shared" si="9"/>
        <v>102.78415000000003</v>
      </c>
      <c r="C205" s="7" t="s">
        <v>499</v>
      </c>
      <c r="D205" s="7" t="s">
        <v>497</v>
      </c>
      <c r="E205" s="7" t="s">
        <v>0</v>
      </c>
      <c r="F205" s="8">
        <v>107.38056000000013</v>
      </c>
      <c r="G205" s="7" t="s">
        <v>321</v>
      </c>
      <c r="H205" s="7" t="s">
        <v>323</v>
      </c>
      <c r="I205" s="6">
        <v>541.97</v>
      </c>
      <c r="J205" s="6">
        <f t="shared" si="11"/>
        <v>102784.15000000002</v>
      </c>
      <c r="K205" s="6">
        <f t="shared" si="10"/>
        <v>154209.0000000002</v>
      </c>
    </row>
    <row r="206" spans="1:11" x14ac:dyDescent="0.25">
      <c r="A206" s="5" t="s">
        <v>702</v>
      </c>
      <c r="B206" s="42">
        <f t="shared" si="9"/>
        <v>103.32612000000003</v>
      </c>
      <c r="C206" s="7" t="s">
        <v>497</v>
      </c>
      <c r="D206" s="7" t="s">
        <v>495</v>
      </c>
      <c r="E206" s="7" t="s">
        <v>0</v>
      </c>
      <c r="F206" s="8">
        <v>107.99736000000013</v>
      </c>
      <c r="G206" s="7" t="s">
        <v>323</v>
      </c>
      <c r="H206" s="7" t="s">
        <v>325</v>
      </c>
      <c r="I206" s="6">
        <v>432.15</v>
      </c>
      <c r="J206" s="6">
        <f t="shared" si="11"/>
        <v>103326.12000000002</v>
      </c>
      <c r="K206" s="6">
        <f t="shared" si="10"/>
        <v>153667.0300000002</v>
      </c>
    </row>
    <row r="207" spans="1:11" x14ac:dyDescent="0.25">
      <c r="A207" s="5" t="s">
        <v>702</v>
      </c>
      <c r="B207" s="42">
        <f t="shared" si="9"/>
        <v>103.75827000000002</v>
      </c>
      <c r="C207" s="7" t="s">
        <v>495</v>
      </c>
      <c r="D207" s="7" t="s">
        <v>493</v>
      </c>
      <c r="E207" s="7" t="s">
        <v>0</v>
      </c>
      <c r="F207" s="8">
        <v>108.52126000000013</v>
      </c>
      <c r="G207" s="7" t="s">
        <v>325</v>
      </c>
      <c r="H207" s="7" t="s">
        <v>327</v>
      </c>
      <c r="I207" s="6">
        <v>557.53</v>
      </c>
      <c r="J207" s="6">
        <f t="shared" si="11"/>
        <v>103758.27000000002</v>
      </c>
      <c r="K207" s="6">
        <f t="shared" si="10"/>
        <v>153234.88000000021</v>
      </c>
    </row>
    <row r="208" spans="1:11" x14ac:dyDescent="0.25">
      <c r="A208" s="5" t="s">
        <v>702</v>
      </c>
      <c r="B208" s="42">
        <f t="shared" si="9"/>
        <v>104.31580000000002</v>
      </c>
      <c r="C208" s="7" t="s">
        <v>493</v>
      </c>
      <c r="D208" s="7" t="s">
        <v>491</v>
      </c>
      <c r="E208" s="7" t="s">
        <v>0</v>
      </c>
      <c r="F208" s="8">
        <v>108.85647000000013</v>
      </c>
      <c r="G208" s="7" t="s">
        <v>327</v>
      </c>
      <c r="H208" s="7" t="s">
        <v>329</v>
      </c>
      <c r="I208" s="6">
        <v>392.19</v>
      </c>
      <c r="J208" s="6">
        <f t="shared" si="11"/>
        <v>104315.80000000002</v>
      </c>
      <c r="K208" s="6">
        <f t="shared" si="10"/>
        <v>152677.35000000021</v>
      </c>
    </row>
    <row r="209" spans="1:11" x14ac:dyDescent="0.25">
      <c r="A209" s="5" t="s">
        <v>702</v>
      </c>
      <c r="B209" s="42">
        <f t="shared" si="9"/>
        <v>104.70799000000002</v>
      </c>
      <c r="C209" s="7" t="s">
        <v>491</v>
      </c>
      <c r="D209" s="7" t="s">
        <v>489</v>
      </c>
      <c r="E209" s="7" t="s">
        <v>0</v>
      </c>
      <c r="F209" s="8">
        <v>109.26663000000013</v>
      </c>
      <c r="G209" s="7" t="s">
        <v>329</v>
      </c>
      <c r="H209" s="7" t="s">
        <v>331</v>
      </c>
      <c r="I209" s="6">
        <v>414.64</v>
      </c>
      <c r="J209" s="6">
        <f t="shared" si="11"/>
        <v>104707.99000000002</v>
      </c>
      <c r="K209" s="6">
        <f t="shared" si="10"/>
        <v>152285.16000000021</v>
      </c>
    </row>
    <row r="210" spans="1:11" x14ac:dyDescent="0.25">
      <c r="A210" s="5" t="s">
        <v>702</v>
      </c>
      <c r="B210" s="42">
        <f t="shared" si="9"/>
        <v>105.12263000000002</v>
      </c>
      <c r="C210" s="7" t="s">
        <v>489</v>
      </c>
      <c r="D210" s="7" t="s">
        <v>487</v>
      </c>
      <c r="E210" s="7" t="s">
        <v>0</v>
      </c>
      <c r="F210" s="8">
        <v>109.80757000000014</v>
      </c>
      <c r="G210" s="7" t="s">
        <v>331</v>
      </c>
      <c r="H210" s="7" t="s">
        <v>333</v>
      </c>
      <c r="I210" s="6">
        <v>569.92999999999995</v>
      </c>
      <c r="J210" s="6">
        <f t="shared" si="11"/>
        <v>105122.63000000002</v>
      </c>
      <c r="K210" s="6">
        <f t="shared" si="10"/>
        <v>151870.52000000019</v>
      </c>
    </row>
    <row r="211" spans="1:11" x14ac:dyDescent="0.25">
      <c r="A211" s="5" t="s">
        <v>702</v>
      </c>
      <c r="B211" s="42">
        <f t="shared" si="9"/>
        <v>105.69256000000001</v>
      </c>
      <c r="C211" s="7" t="s">
        <v>487</v>
      </c>
      <c r="D211" s="7" t="s">
        <v>485</v>
      </c>
      <c r="E211" s="7" t="s">
        <v>0</v>
      </c>
      <c r="F211" s="8">
        <v>110.41843000000014</v>
      </c>
      <c r="G211" s="7" t="s">
        <v>333</v>
      </c>
      <c r="H211" s="7" t="s">
        <v>335</v>
      </c>
      <c r="I211" s="6">
        <v>563.38</v>
      </c>
      <c r="J211" s="6">
        <f t="shared" si="11"/>
        <v>105692.56000000001</v>
      </c>
      <c r="K211" s="6">
        <f t="shared" si="10"/>
        <v>151300.5900000002</v>
      </c>
    </row>
    <row r="212" spans="1:11" x14ac:dyDescent="0.25">
      <c r="A212" s="5" t="s">
        <v>702</v>
      </c>
      <c r="B212" s="42">
        <f t="shared" si="9"/>
        <v>106.25594000000002</v>
      </c>
      <c r="C212" s="7" t="s">
        <v>485</v>
      </c>
      <c r="D212" s="7" t="s">
        <v>483</v>
      </c>
      <c r="E212" s="7" t="s">
        <v>0</v>
      </c>
      <c r="F212" s="8">
        <v>110.86350000000014</v>
      </c>
      <c r="G212" s="7" t="s">
        <v>335</v>
      </c>
      <c r="H212" s="7" t="s">
        <v>337</v>
      </c>
      <c r="I212" s="6">
        <v>610.51</v>
      </c>
      <c r="J212" s="6">
        <f t="shared" si="11"/>
        <v>106255.94000000002</v>
      </c>
      <c r="K212" s="6">
        <f t="shared" si="10"/>
        <v>150737.2100000002</v>
      </c>
    </row>
    <row r="213" spans="1:11" x14ac:dyDescent="0.25">
      <c r="A213" s="5" t="s">
        <v>702</v>
      </c>
      <c r="B213" s="42">
        <f t="shared" si="9"/>
        <v>106.86645000000001</v>
      </c>
      <c r="C213" s="7" t="s">
        <v>483</v>
      </c>
      <c r="D213" s="7" t="s">
        <v>481</v>
      </c>
      <c r="E213" s="7" t="s">
        <v>0</v>
      </c>
      <c r="F213" s="8">
        <v>111.18595000000015</v>
      </c>
      <c r="G213" s="7" t="s">
        <v>337</v>
      </c>
      <c r="H213" s="7" t="s">
        <v>339</v>
      </c>
      <c r="I213" s="6">
        <v>559.26</v>
      </c>
      <c r="J213" s="6">
        <f t="shared" si="11"/>
        <v>106866.45000000001</v>
      </c>
      <c r="K213" s="6">
        <f t="shared" si="10"/>
        <v>150126.70000000019</v>
      </c>
    </row>
    <row r="214" spans="1:11" x14ac:dyDescent="0.25">
      <c r="A214" s="5" t="s">
        <v>702</v>
      </c>
      <c r="B214" s="42">
        <f t="shared" si="9"/>
        <v>107.42571000000001</v>
      </c>
      <c r="C214" s="7" t="s">
        <v>481</v>
      </c>
      <c r="D214" s="7" t="s">
        <v>479</v>
      </c>
      <c r="E214" s="7" t="s">
        <v>0</v>
      </c>
      <c r="F214" s="8">
        <v>111.65494000000015</v>
      </c>
      <c r="G214" s="7" t="s">
        <v>339</v>
      </c>
      <c r="H214" s="7" t="s">
        <v>341</v>
      </c>
      <c r="I214" s="6">
        <v>538.72</v>
      </c>
      <c r="J214" s="6">
        <f t="shared" si="11"/>
        <v>107425.71</v>
      </c>
      <c r="K214" s="6">
        <f t="shared" si="10"/>
        <v>149567.44000000018</v>
      </c>
    </row>
    <row r="215" spans="1:11" x14ac:dyDescent="0.25">
      <c r="A215" s="5" t="s">
        <v>702</v>
      </c>
      <c r="B215" s="42">
        <f t="shared" si="9"/>
        <v>107.96443000000001</v>
      </c>
      <c r="C215" s="7" t="s">
        <v>479</v>
      </c>
      <c r="D215" s="7" t="s">
        <v>477</v>
      </c>
      <c r="E215" s="7" t="s">
        <v>0</v>
      </c>
      <c r="F215" s="8">
        <v>112.17770000000014</v>
      </c>
      <c r="G215" s="7" t="s">
        <v>341</v>
      </c>
      <c r="H215" s="7" t="s">
        <v>343</v>
      </c>
      <c r="I215" s="6">
        <v>566.38</v>
      </c>
      <c r="J215" s="6">
        <f t="shared" si="11"/>
        <v>107964.43000000001</v>
      </c>
      <c r="K215" s="6">
        <f t="shared" si="10"/>
        <v>149028.72000000018</v>
      </c>
    </row>
    <row r="216" spans="1:11" x14ac:dyDescent="0.25">
      <c r="A216" s="5" t="s">
        <v>702</v>
      </c>
      <c r="B216" s="42">
        <f t="shared" si="9"/>
        <v>108.53081000000002</v>
      </c>
      <c r="C216" s="7" t="s">
        <v>477</v>
      </c>
      <c r="D216" s="7" t="s">
        <v>475</v>
      </c>
      <c r="E216" s="7" t="s">
        <v>0</v>
      </c>
      <c r="F216" s="8">
        <v>112.49131000000014</v>
      </c>
      <c r="G216" s="7" t="s">
        <v>343</v>
      </c>
      <c r="H216" s="7" t="s">
        <v>345</v>
      </c>
      <c r="I216" s="6">
        <v>467.61</v>
      </c>
      <c r="J216" s="6">
        <f t="shared" si="11"/>
        <v>108530.81000000001</v>
      </c>
      <c r="K216" s="6">
        <f t="shared" si="10"/>
        <v>148462.34000000017</v>
      </c>
    </row>
    <row r="217" spans="1:11" x14ac:dyDescent="0.25">
      <c r="A217" s="5" t="s">
        <v>702</v>
      </c>
      <c r="B217" s="42">
        <f t="shared" si="9"/>
        <v>108.99842000000001</v>
      </c>
      <c r="C217" s="7" t="s">
        <v>475</v>
      </c>
      <c r="D217" s="7" t="s">
        <v>473</v>
      </c>
      <c r="E217" s="7" t="s">
        <v>0</v>
      </c>
      <c r="F217" s="8">
        <v>112.86983000000015</v>
      </c>
      <c r="G217" s="7" t="s">
        <v>345</v>
      </c>
      <c r="H217" s="7" t="s">
        <v>347</v>
      </c>
      <c r="I217" s="6">
        <v>487.59</v>
      </c>
      <c r="J217" s="6">
        <f t="shared" si="11"/>
        <v>108998.42000000001</v>
      </c>
      <c r="K217" s="6">
        <f t="shared" si="10"/>
        <v>147994.73000000019</v>
      </c>
    </row>
    <row r="218" spans="1:11" x14ac:dyDescent="0.25">
      <c r="A218" s="5" t="s">
        <v>702</v>
      </c>
      <c r="B218" s="42">
        <f t="shared" si="9"/>
        <v>109.48601000000001</v>
      </c>
      <c r="C218" s="7" t="s">
        <v>473</v>
      </c>
      <c r="D218" s="7" t="s">
        <v>471</v>
      </c>
      <c r="E218" s="7" t="s">
        <v>0</v>
      </c>
      <c r="F218" s="8">
        <v>113.30216000000014</v>
      </c>
      <c r="G218" s="7" t="s">
        <v>347</v>
      </c>
      <c r="H218" s="7" t="s">
        <v>349</v>
      </c>
      <c r="I218" s="6">
        <v>606.36</v>
      </c>
      <c r="J218" s="6">
        <f t="shared" si="11"/>
        <v>109486.01000000001</v>
      </c>
      <c r="K218" s="6">
        <f t="shared" si="10"/>
        <v>147507.14000000019</v>
      </c>
    </row>
    <row r="219" spans="1:11" x14ac:dyDescent="0.25">
      <c r="A219" s="5" t="s">
        <v>702</v>
      </c>
      <c r="B219" s="42">
        <f t="shared" si="9"/>
        <v>110.09237000000002</v>
      </c>
      <c r="C219" s="7" t="s">
        <v>471</v>
      </c>
      <c r="D219" s="7" t="s">
        <v>469</v>
      </c>
      <c r="E219" s="7" t="s">
        <v>0</v>
      </c>
      <c r="F219" s="8">
        <v>113.68779000000015</v>
      </c>
      <c r="G219" s="7" t="s">
        <v>349</v>
      </c>
      <c r="H219" s="7" t="s">
        <v>351</v>
      </c>
      <c r="I219" s="6">
        <v>582.07000000000005</v>
      </c>
      <c r="J219" s="6">
        <f t="shared" si="11"/>
        <v>110092.37000000001</v>
      </c>
      <c r="K219" s="6">
        <f t="shared" si="10"/>
        <v>146900.7800000002</v>
      </c>
    </row>
    <row r="220" spans="1:11" x14ac:dyDescent="0.25">
      <c r="A220" s="5" t="s">
        <v>702</v>
      </c>
      <c r="B220" s="42">
        <f t="shared" si="9"/>
        <v>110.67444000000002</v>
      </c>
      <c r="C220" s="7" t="s">
        <v>469</v>
      </c>
      <c r="D220" s="7" t="s">
        <v>467</v>
      </c>
      <c r="E220" s="7" t="s">
        <v>0</v>
      </c>
      <c r="F220" s="8">
        <v>114.11717000000016</v>
      </c>
      <c r="G220" s="7" t="s">
        <v>351</v>
      </c>
      <c r="H220" s="7" t="s">
        <v>353</v>
      </c>
      <c r="I220" s="6">
        <v>475.82</v>
      </c>
      <c r="J220" s="6">
        <f t="shared" si="11"/>
        <v>110674.44000000002</v>
      </c>
      <c r="K220" s="6">
        <f t="shared" si="10"/>
        <v>146318.7100000002</v>
      </c>
    </row>
    <row r="221" spans="1:11" x14ac:dyDescent="0.25">
      <c r="A221" s="5" t="s">
        <v>702</v>
      </c>
      <c r="B221" s="42">
        <f t="shared" si="9"/>
        <v>111.15026000000002</v>
      </c>
      <c r="C221" s="7" t="s">
        <v>467</v>
      </c>
      <c r="D221" s="7" t="s">
        <v>465</v>
      </c>
      <c r="E221" s="7" t="s">
        <v>0</v>
      </c>
      <c r="F221" s="8">
        <v>114.80857000000016</v>
      </c>
      <c r="G221" s="7" t="s">
        <v>353</v>
      </c>
      <c r="H221" s="7" t="s">
        <v>355</v>
      </c>
      <c r="I221" s="6">
        <v>481.85</v>
      </c>
      <c r="J221" s="6">
        <f t="shared" si="11"/>
        <v>111150.26000000002</v>
      </c>
      <c r="K221" s="6">
        <f t="shared" si="10"/>
        <v>145842.89000000019</v>
      </c>
    </row>
    <row r="222" spans="1:11" x14ac:dyDescent="0.25">
      <c r="A222" s="5" t="s">
        <v>702</v>
      </c>
      <c r="B222" s="42">
        <f t="shared" si="9"/>
        <v>111.63211000000003</v>
      </c>
      <c r="C222" s="7" t="s">
        <v>465</v>
      </c>
      <c r="D222" s="7" t="s">
        <v>463</v>
      </c>
      <c r="E222" s="7" t="s">
        <v>0</v>
      </c>
      <c r="F222" s="8">
        <v>115.25547000000014</v>
      </c>
      <c r="G222" s="7" t="s">
        <v>355</v>
      </c>
      <c r="H222" s="7" t="s">
        <v>357</v>
      </c>
      <c r="I222" s="6">
        <v>638.62</v>
      </c>
      <c r="J222" s="6">
        <f t="shared" si="11"/>
        <v>111632.11000000003</v>
      </c>
      <c r="K222" s="6">
        <f t="shared" si="10"/>
        <v>145361.04000000018</v>
      </c>
    </row>
    <row r="223" spans="1:11" x14ac:dyDescent="0.25">
      <c r="A223" s="5" t="s">
        <v>702</v>
      </c>
      <c r="B223" s="42">
        <f t="shared" si="9"/>
        <v>112.27073000000003</v>
      </c>
      <c r="C223" s="7" t="s">
        <v>463</v>
      </c>
      <c r="D223" s="7" t="s">
        <v>461</v>
      </c>
      <c r="E223" s="7" t="s">
        <v>0</v>
      </c>
      <c r="F223" s="8">
        <v>115.76900000000015</v>
      </c>
      <c r="G223" s="7" t="s">
        <v>357</v>
      </c>
      <c r="H223" s="7" t="s">
        <v>359</v>
      </c>
      <c r="I223" s="6">
        <v>386.46</v>
      </c>
      <c r="J223" s="6">
        <f t="shared" si="11"/>
        <v>112270.73000000003</v>
      </c>
      <c r="K223" s="6">
        <f t="shared" si="10"/>
        <v>144722.42000000019</v>
      </c>
    </row>
    <row r="224" spans="1:11" x14ac:dyDescent="0.25">
      <c r="A224" s="5" t="s">
        <v>702</v>
      </c>
      <c r="B224" s="42">
        <f t="shared" si="9"/>
        <v>112.65719000000003</v>
      </c>
      <c r="C224" s="7" t="s">
        <v>461</v>
      </c>
      <c r="D224" s="7" t="s">
        <v>459</v>
      </c>
      <c r="E224" s="7" t="s">
        <v>0</v>
      </c>
      <c r="F224" s="8">
        <v>116.38378000000014</v>
      </c>
      <c r="G224" s="7" t="s">
        <v>359</v>
      </c>
      <c r="H224" s="7" t="s">
        <v>361</v>
      </c>
      <c r="I224" s="6">
        <v>356.46</v>
      </c>
      <c r="J224" s="6">
        <f t="shared" si="11"/>
        <v>112657.19000000003</v>
      </c>
      <c r="K224" s="6">
        <f t="shared" si="10"/>
        <v>144335.9600000002</v>
      </c>
    </row>
    <row r="225" spans="1:11" x14ac:dyDescent="0.25">
      <c r="A225" s="5" t="s">
        <v>702</v>
      </c>
      <c r="B225" s="42">
        <f t="shared" si="9"/>
        <v>113.01365000000004</v>
      </c>
      <c r="C225" s="7" t="s">
        <v>459</v>
      </c>
      <c r="D225" s="7" t="s">
        <v>457</v>
      </c>
      <c r="E225" s="7" t="s">
        <v>0</v>
      </c>
      <c r="F225" s="8">
        <v>116.93434000000015</v>
      </c>
      <c r="G225" s="7" t="s">
        <v>361</v>
      </c>
      <c r="H225" s="7" t="s">
        <v>363</v>
      </c>
      <c r="I225" s="6">
        <v>403.97</v>
      </c>
      <c r="J225" s="6">
        <f t="shared" si="11"/>
        <v>113013.65000000004</v>
      </c>
      <c r="K225" s="6">
        <f t="shared" si="10"/>
        <v>143979.5000000002</v>
      </c>
    </row>
    <row r="226" spans="1:11" x14ac:dyDescent="0.25">
      <c r="A226" s="5" t="s">
        <v>702</v>
      </c>
      <c r="B226" s="42">
        <f t="shared" si="9"/>
        <v>113.41762000000004</v>
      </c>
      <c r="C226" s="7" t="s">
        <v>457</v>
      </c>
      <c r="D226" s="7" t="s">
        <v>455</v>
      </c>
      <c r="E226" s="7" t="s">
        <v>0</v>
      </c>
      <c r="F226" s="8">
        <v>117.49947000000014</v>
      </c>
      <c r="G226" s="7" t="s">
        <v>363</v>
      </c>
      <c r="H226" s="7" t="s">
        <v>365</v>
      </c>
      <c r="I226" s="6">
        <v>498.64</v>
      </c>
      <c r="J226" s="6">
        <f t="shared" si="11"/>
        <v>113417.62000000004</v>
      </c>
      <c r="K226" s="6">
        <f t="shared" si="10"/>
        <v>143575.5300000002</v>
      </c>
    </row>
    <row r="227" spans="1:11" x14ac:dyDescent="0.25">
      <c r="A227" s="5" t="s">
        <v>702</v>
      </c>
      <c r="B227" s="42">
        <f t="shared" si="9"/>
        <v>113.91626000000004</v>
      </c>
      <c r="C227" s="7" t="s">
        <v>455</v>
      </c>
      <c r="D227" s="7" t="s">
        <v>453</v>
      </c>
      <c r="E227" s="7" t="s">
        <v>0</v>
      </c>
      <c r="F227" s="8">
        <v>117.87464000000014</v>
      </c>
      <c r="G227" s="7" t="s">
        <v>365</v>
      </c>
      <c r="H227" s="7" t="s">
        <v>367</v>
      </c>
      <c r="I227" s="6">
        <v>605.97</v>
      </c>
      <c r="J227" s="6">
        <f t="shared" si="11"/>
        <v>113916.26000000004</v>
      </c>
      <c r="K227" s="6">
        <f t="shared" si="10"/>
        <v>143076.89000000019</v>
      </c>
    </row>
    <row r="228" spans="1:11" x14ac:dyDescent="0.25">
      <c r="A228" s="5" t="s">
        <v>702</v>
      </c>
      <c r="B228" s="42">
        <f t="shared" si="9"/>
        <v>114.52223000000004</v>
      </c>
      <c r="C228" s="7" t="s">
        <v>453</v>
      </c>
      <c r="D228" s="7" t="s">
        <v>451</v>
      </c>
      <c r="E228" s="7" t="s">
        <v>0</v>
      </c>
      <c r="F228" s="8">
        <v>118.34134000000014</v>
      </c>
      <c r="G228" s="7" t="s">
        <v>367</v>
      </c>
      <c r="H228" s="7" t="s">
        <v>369</v>
      </c>
      <c r="I228" s="6">
        <v>727.66</v>
      </c>
      <c r="J228" s="6">
        <f t="shared" si="11"/>
        <v>114522.23000000004</v>
      </c>
      <c r="K228" s="6">
        <f t="shared" si="10"/>
        <v>142470.92000000019</v>
      </c>
    </row>
    <row r="229" spans="1:11" x14ac:dyDescent="0.25">
      <c r="A229" s="5" t="s">
        <v>702</v>
      </c>
      <c r="B229" s="42">
        <f t="shared" si="9"/>
        <v>115.24989000000004</v>
      </c>
      <c r="C229" s="7" t="s">
        <v>451</v>
      </c>
      <c r="D229" s="7" t="s">
        <v>449</v>
      </c>
      <c r="E229" s="7" t="s">
        <v>0</v>
      </c>
      <c r="F229" s="8">
        <v>118.75994000000014</v>
      </c>
      <c r="G229" s="7" t="s">
        <v>369</v>
      </c>
      <c r="H229" s="7" t="s">
        <v>371</v>
      </c>
      <c r="I229" s="6">
        <v>522.76</v>
      </c>
      <c r="J229" s="6">
        <f t="shared" si="11"/>
        <v>115249.89000000004</v>
      </c>
      <c r="K229" s="6">
        <f t="shared" si="10"/>
        <v>141743.26000000018</v>
      </c>
    </row>
    <row r="230" spans="1:11" x14ac:dyDescent="0.25">
      <c r="A230" s="5" t="s">
        <v>702</v>
      </c>
      <c r="B230" s="42">
        <f t="shared" si="9"/>
        <v>115.77265000000004</v>
      </c>
      <c r="C230" s="7" t="s">
        <v>449</v>
      </c>
      <c r="D230" s="7" t="s">
        <v>447</v>
      </c>
      <c r="E230" s="7" t="s">
        <v>0</v>
      </c>
      <c r="F230" s="8">
        <v>119.22139000000014</v>
      </c>
      <c r="G230" s="7" t="s">
        <v>371</v>
      </c>
      <c r="H230" s="7" t="s">
        <v>373</v>
      </c>
      <c r="I230" s="6">
        <v>718.62</v>
      </c>
      <c r="J230" s="6">
        <f t="shared" si="11"/>
        <v>115772.65000000004</v>
      </c>
      <c r="K230" s="6">
        <f t="shared" si="10"/>
        <v>141220.50000000017</v>
      </c>
    </row>
    <row r="231" spans="1:11" x14ac:dyDescent="0.25">
      <c r="A231" s="5" t="s">
        <v>702</v>
      </c>
      <c r="B231" s="42">
        <f t="shared" si="9"/>
        <v>116.49127000000003</v>
      </c>
      <c r="C231" s="7" t="s">
        <v>447</v>
      </c>
      <c r="D231" s="7" t="s">
        <v>445</v>
      </c>
      <c r="E231" s="7" t="s">
        <v>0</v>
      </c>
      <c r="F231" s="8">
        <v>119.94543000000014</v>
      </c>
      <c r="G231" s="7" t="s">
        <v>373</v>
      </c>
      <c r="H231" s="7" t="s">
        <v>375</v>
      </c>
      <c r="I231" s="6">
        <v>767.47</v>
      </c>
      <c r="J231" s="6">
        <f t="shared" si="11"/>
        <v>116491.27000000003</v>
      </c>
      <c r="K231" s="6">
        <f t="shared" si="10"/>
        <v>140501.88000000018</v>
      </c>
    </row>
    <row r="232" spans="1:11" x14ac:dyDescent="0.25">
      <c r="A232" s="5" t="s">
        <v>702</v>
      </c>
      <c r="B232" s="42">
        <f t="shared" si="9"/>
        <v>117.25874000000003</v>
      </c>
      <c r="C232" s="7" t="s">
        <v>445</v>
      </c>
      <c r="D232" s="7" t="s">
        <v>443</v>
      </c>
      <c r="E232" s="7" t="s">
        <v>0</v>
      </c>
      <c r="F232" s="8">
        <v>120.60884000000014</v>
      </c>
      <c r="G232" s="7" t="s">
        <v>375</v>
      </c>
      <c r="H232" s="7" t="s">
        <v>377</v>
      </c>
      <c r="I232" s="6">
        <v>462.07</v>
      </c>
      <c r="J232" s="6">
        <f t="shared" si="11"/>
        <v>117258.74000000003</v>
      </c>
      <c r="K232" s="6">
        <f t="shared" si="10"/>
        <v>139734.41000000018</v>
      </c>
    </row>
    <row r="233" spans="1:11" x14ac:dyDescent="0.25">
      <c r="A233" s="5" t="s">
        <v>702</v>
      </c>
      <c r="B233" s="42">
        <f t="shared" si="9"/>
        <v>117.72081000000004</v>
      </c>
      <c r="C233" s="7" t="s">
        <v>443</v>
      </c>
      <c r="D233" s="7" t="s">
        <v>441</v>
      </c>
      <c r="E233" s="7" t="s">
        <v>0</v>
      </c>
      <c r="F233" s="8">
        <v>121.14322000000014</v>
      </c>
      <c r="G233" s="7" t="s">
        <v>377</v>
      </c>
      <c r="H233" s="7" t="s">
        <v>379</v>
      </c>
      <c r="I233" s="6">
        <v>694.48</v>
      </c>
      <c r="J233" s="6">
        <f t="shared" si="11"/>
        <v>117720.81000000004</v>
      </c>
      <c r="K233" s="6">
        <f t="shared" si="10"/>
        <v>139272.34000000017</v>
      </c>
    </row>
    <row r="234" spans="1:11" x14ac:dyDescent="0.25">
      <c r="A234" s="5" t="s">
        <v>702</v>
      </c>
      <c r="B234" s="42">
        <f t="shared" si="9"/>
        <v>118.41529000000004</v>
      </c>
      <c r="C234" s="7" t="s">
        <v>441</v>
      </c>
      <c r="D234" s="7" t="s">
        <v>439</v>
      </c>
      <c r="E234" s="7" t="s">
        <v>0</v>
      </c>
      <c r="F234" s="8">
        <v>121.65402000000014</v>
      </c>
      <c r="G234" s="7" t="s">
        <v>379</v>
      </c>
      <c r="H234" s="7" t="s">
        <v>381</v>
      </c>
      <c r="I234" s="6">
        <v>405.79</v>
      </c>
      <c r="J234" s="6">
        <f t="shared" si="11"/>
        <v>118415.29000000004</v>
      </c>
      <c r="K234" s="6">
        <f t="shared" si="10"/>
        <v>138577.86000000016</v>
      </c>
    </row>
    <row r="235" spans="1:11" x14ac:dyDescent="0.25">
      <c r="A235" s="5" t="s">
        <v>702</v>
      </c>
      <c r="B235" s="42">
        <f t="shared" si="9"/>
        <v>118.82108000000004</v>
      </c>
      <c r="C235" s="7" t="s">
        <v>439</v>
      </c>
      <c r="D235" s="7" t="s">
        <v>437</v>
      </c>
      <c r="E235" s="7" t="s">
        <v>0</v>
      </c>
      <c r="F235" s="8">
        <v>122.30091000000014</v>
      </c>
      <c r="G235" s="7" t="s">
        <v>381</v>
      </c>
      <c r="H235" s="7" t="s">
        <v>383</v>
      </c>
      <c r="I235" s="6">
        <v>397.25</v>
      </c>
      <c r="J235" s="6">
        <f t="shared" si="11"/>
        <v>118821.08000000003</v>
      </c>
      <c r="K235" s="6">
        <f t="shared" si="10"/>
        <v>138172.07000000015</v>
      </c>
    </row>
    <row r="236" spans="1:11" x14ac:dyDescent="0.25">
      <c r="A236" s="5" t="s">
        <v>702</v>
      </c>
      <c r="B236" s="42">
        <f t="shared" si="9"/>
        <v>119.21833000000004</v>
      </c>
      <c r="C236" s="7" t="s">
        <v>437</v>
      </c>
      <c r="D236" s="7" t="s">
        <v>435</v>
      </c>
      <c r="E236" s="7" t="s">
        <v>0</v>
      </c>
      <c r="F236" s="8">
        <v>122.66862000000016</v>
      </c>
      <c r="G236" s="7" t="s">
        <v>383</v>
      </c>
      <c r="H236" s="7" t="s">
        <v>385</v>
      </c>
      <c r="I236" s="6">
        <v>689.5</v>
      </c>
      <c r="J236" s="6">
        <f t="shared" si="11"/>
        <v>119218.33000000003</v>
      </c>
      <c r="K236" s="6">
        <f t="shared" si="10"/>
        <v>137774.82000000015</v>
      </c>
    </row>
    <row r="237" spans="1:11" x14ac:dyDescent="0.25">
      <c r="A237" s="5" t="s">
        <v>702</v>
      </c>
      <c r="B237" s="42">
        <f t="shared" si="9"/>
        <v>119.90783000000003</v>
      </c>
      <c r="C237" s="7" t="s">
        <v>435</v>
      </c>
      <c r="D237" s="7" t="s">
        <v>433</v>
      </c>
      <c r="E237" s="7" t="s">
        <v>0</v>
      </c>
      <c r="F237" s="8">
        <v>123.42510000000016</v>
      </c>
      <c r="G237" s="7" t="s">
        <v>385</v>
      </c>
      <c r="H237" s="7" t="s">
        <v>387</v>
      </c>
      <c r="I237" s="6">
        <v>374.82</v>
      </c>
      <c r="J237" s="6">
        <f t="shared" si="11"/>
        <v>119907.83000000003</v>
      </c>
      <c r="K237" s="6">
        <f t="shared" si="10"/>
        <v>137085.32000000015</v>
      </c>
    </row>
    <row r="238" spans="1:11" x14ac:dyDescent="0.25">
      <c r="A238" s="5" t="s">
        <v>702</v>
      </c>
      <c r="B238" s="42">
        <f t="shared" si="9"/>
        <v>120.28265000000003</v>
      </c>
      <c r="C238" s="7" t="s">
        <v>433</v>
      </c>
      <c r="D238" s="7" t="s">
        <v>431</v>
      </c>
      <c r="E238" s="7" t="s">
        <v>0</v>
      </c>
      <c r="F238" s="8">
        <v>123.95229000000015</v>
      </c>
      <c r="G238" s="7" t="s">
        <v>387</v>
      </c>
      <c r="H238" s="7" t="s">
        <v>389</v>
      </c>
      <c r="I238" s="6">
        <v>523.33000000000004</v>
      </c>
      <c r="J238" s="6">
        <f t="shared" si="11"/>
        <v>120282.65000000004</v>
      </c>
      <c r="K238" s="6">
        <f t="shared" si="10"/>
        <v>136710.50000000015</v>
      </c>
    </row>
    <row r="239" spans="1:11" x14ac:dyDescent="0.25">
      <c r="A239" s="5" t="s">
        <v>702</v>
      </c>
      <c r="B239" s="42">
        <f t="shared" si="9"/>
        <v>120.80598000000003</v>
      </c>
      <c r="C239" s="7" t="s">
        <v>431</v>
      </c>
      <c r="D239" s="7" t="s">
        <v>429</v>
      </c>
      <c r="E239" s="7" t="s">
        <v>0</v>
      </c>
      <c r="F239" s="8">
        <v>124.31584000000015</v>
      </c>
      <c r="G239" s="7" t="s">
        <v>389</v>
      </c>
      <c r="H239" s="7" t="s">
        <v>391</v>
      </c>
      <c r="I239" s="6">
        <v>460.07</v>
      </c>
      <c r="J239" s="6">
        <f t="shared" si="11"/>
        <v>120805.98000000004</v>
      </c>
      <c r="K239" s="6">
        <f t="shared" si="10"/>
        <v>136187.17000000016</v>
      </c>
    </row>
    <row r="240" spans="1:11" x14ac:dyDescent="0.25">
      <c r="A240" s="5" t="s">
        <v>702</v>
      </c>
      <c r="B240" s="42">
        <f t="shared" si="9"/>
        <v>121.26605000000005</v>
      </c>
      <c r="C240" s="7" t="s">
        <v>429</v>
      </c>
      <c r="D240" s="7" t="s">
        <v>427</v>
      </c>
      <c r="E240" s="7" t="s">
        <v>0</v>
      </c>
      <c r="F240" s="8">
        <v>124.71818000000016</v>
      </c>
      <c r="G240" s="7" t="s">
        <v>391</v>
      </c>
      <c r="H240" s="7" t="s">
        <v>393</v>
      </c>
      <c r="I240" s="6">
        <v>619.41999999999996</v>
      </c>
      <c r="J240" s="6">
        <f t="shared" si="11"/>
        <v>121266.05000000005</v>
      </c>
      <c r="K240" s="6">
        <f t="shared" si="10"/>
        <v>135727.10000000015</v>
      </c>
    </row>
    <row r="241" spans="1:11" x14ac:dyDescent="0.25">
      <c r="A241" s="5" t="s">
        <v>702</v>
      </c>
      <c r="B241" s="42">
        <f t="shared" si="9"/>
        <v>121.88547000000004</v>
      </c>
      <c r="C241" s="7" t="s">
        <v>427</v>
      </c>
      <c r="D241" s="7" t="s">
        <v>425</v>
      </c>
      <c r="E241" s="7" t="s">
        <v>0</v>
      </c>
      <c r="F241" s="8">
        <v>125.32747000000015</v>
      </c>
      <c r="G241" s="7" t="s">
        <v>393</v>
      </c>
      <c r="H241" s="7" t="s">
        <v>395</v>
      </c>
      <c r="I241" s="6">
        <v>550.9</v>
      </c>
      <c r="J241" s="6">
        <f t="shared" si="11"/>
        <v>121885.47000000004</v>
      </c>
      <c r="K241" s="6">
        <f t="shared" si="10"/>
        <v>135107.68000000014</v>
      </c>
    </row>
    <row r="242" spans="1:11" x14ac:dyDescent="0.25">
      <c r="A242" s="5" t="s">
        <v>702</v>
      </c>
      <c r="B242" s="42">
        <f t="shared" si="9"/>
        <v>122.43637000000004</v>
      </c>
      <c r="C242" s="7" t="s">
        <v>425</v>
      </c>
      <c r="D242" s="7" t="s">
        <v>423</v>
      </c>
      <c r="E242" s="7" t="s">
        <v>0</v>
      </c>
      <c r="F242" s="8">
        <v>126.04560000000015</v>
      </c>
      <c r="G242" s="7" t="s">
        <v>395</v>
      </c>
      <c r="H242" s="7" t="s">
        <v>397</v>
      </c>
      <c r="I242" s="6">
        <v>487.59</v>
      </c>
      <c r="J242" s="6">
        <f t="shared" si="11"/>
        <v>122436.37000000004</v>
      </c>
      <c r="K242" s="6">
        <f t="shared" si="10"/>
        <v>134556.78000000014</v>
      </c>
    </row>
    <row r="243" spans="1:11" x14ac:dyDescent="0.25">
      <c r="A243" s="5" t="s">
        <v>702</v>
      </c>
      <c r="B243" s="42">
        <f t="shared" si="9"/>
        <v>122.92396000000004</v>
      </c>
      <c r="C243" s="7" t="s">
        <v>423</v>
      </c>
      <c r="D243" s="7" t="s">
        <v>421</v>
      </c>
      <c r="E243" s="7" t="s">
        <v>0</v>
      </c>
      <c r="F243" s="8">
        <v>126.69302000000015</v>
      </c>
      <c r="G243" s="7" t="s">
        <v>397</v>
      </c>
      <c r="H243" s="7" t="s">
        <v>399</v>
      </c>
      <c r="I243" s="6">
        <v>510.62</v>
      </c>
      <c r="J243" s="6">
        <f t="shared" si="11"/>
        <v>122923.96000000004</v>
      </c>
      <c r="K243" s="6">
        <f t="shared" si="10"/>
        <v>134069.19000000015</v>
      </c>
    </row>
    <row r="244" spans="1:11" x14ac:dyDescent="0.25">
      <c r="A244" s="5" t="s">
        <v>702</v>
      </c>
      <c r="B244" s="42">
        <f t="shared" si="9"/>
        <v>123.43458000000003</v>
      </c>
      <c r="C244" s="7" t="s">
        <v>421</v>
      </c>
      <c r="D244" s="7" t="s">
        <v>419</v>
      </c>
      <c r="E244" s="7" t="s">
        <v>0</v>
      </c>
      <c r="F244" s="8">
        <v>127.16924000000014</v>
      </c>
      <c r="G244" s="7" t="s">
        <v>399</v>
      </c>
      <c r="H244" s="7" t="s">
        <v>401</v>
      </c>
      <c r="I244" s="6">
        <v>627.4</v>
      </c>
      <c r="J244" s="6">
        <f t="shared" si="11"/>
        <v>123434.58000000003</v>
      </c>
      <c r="K244" s="6">
        <f t="shared" si="10"/>
        <v>133558.57000000015</v>
      </c>
    </row>
    <row r="245" spans="1:11" x14ac:dyDescent="0.25">
      <c r="A245" s="5" t="s">
        <v>702</v>
      </c>
      <c r="B245" s="42">
        <f t="shared" si="9"/>
        <v>124.06198000000002</v>
      </c>
      <c r="C245" s="7" t="s">
        <v>419</v>
      </c>
      <c r="D245" s="7" t="s">
        <v>417</v>
      </c>
      <c r="E245" s="7" t="s">
        <v>0</v>
      </c>
      <c r="F245" s="8">
        <v>127.58539000000015</v>
      </c>
      <c r="G245" s="7" t="s">
        <v>401</v>
      </c>
      <c r="H245" s="7" t="s">
        <v>403</v>
      </c>
      <c r="I245" s="6">
        <v>525.20000000000005</v>
      </c>
      <c r="J245" s="6">
        <f t="shared" si="11"/>
        <v>124061.98000000003</v>
      </c>
      <c r="K245" s="6">
        <f t="shared" si="10"/>
        <v>132931.17000000016</v>
      </c>
    </row>
    <row r="246" spans="1:11" x14ac:dyDescent="0.25">
      <c r="A246" s="5" t="s">
        <v>702</v>
      </c>
      <c r="B246" s="42">
        <f t="shared" si="9"/>
        <v>124.58718000000002</v>
      </c>
      <c r="C246" s="7" t="s">
        <v>417</v>
      </c>
      <c r="D246" s="7" t="s">
        <v>415</v>
      </c>
      <c r="E246" s="7" t="s">
        <v>0</v>
      </c>
      <c r="F246" s="8">
        <v>128.49197000000015</v>
      </c>
      <c r="G246" s="7" t="s">
        <v>403</v>
      </c>
      <c r="H246" s="7" t="s">
        <v>405</v>
      </c>
      <c r="I246" s="6">
        <v>578.22</v>
      </c>
      <c r="J246" s="6">
        <f t="shared" si="11"/>
        <v>124587.18000000002</v>
      </c>
      <c r="K246" s="6">
        <f t="shared" si="10"/>
        <v>132405.97000000015</v>
      </c>
    </row>
    <row r="247" spans="1:11" x14ac:dyDescent="0.25">
      <c r="A247" s="5" t="s">
        <v>702</v>
      </c>
      <c r="B247" s="42">
        <f t="shared" si="9"/>
        <v>125.16540000000002</v>
      </c>
      <c r="C247" s="7" t="s">
        <v>415</v>
      </c>
      <c r="D247" s="7" t="s">
        <v>413</v>
      </c>
      <c r="E247" s="7" t="s">
        <v>0</v>
      </c>
      <c r="F247" s="8">
        <v>129.01186000000015</v>
      </c>
      <c r="G247" s="7" t="s">
        <v>405</v>
      </c>
      <c r="H247" s="7" t="s">
        <v>407</v>
      </c>
      <c r="I247" s="6">
        <v>529.28</v>
      </c>
      <c r="J247" s="6">
        <f t="shared" si="11"/>
        <v>125165.40000000002</v>
      </c>
      <c r="K247" s="6">
        <f t="shared" si="10"/>
        <v>131827.75000000015</v>
      </c>
    </row>
    <row r="248" spans="1:11" x14ac:dyDescent="0.25">
      <c r="A248" s="5" t="s">
        <v>702</v>
      </c>
      <c r="B248" s="42">
        <f t="shared" si="9"/>
        <v>125.69468000000002</v>
      </c>
      <c r="C248" s="7" t="s">
        <v>413</v>
      </c>
      <c r="D248" s="7" t="s">
        <v>411</v>
      </c>
      <c r="E248" s="7" t="s">
        <v>0</v>
      </c>
      <c r="F248" s="8">
        <v>129.44834000000014</v>
      </c>
      <c r="G248" s="7" t="s">
        <v>407</v>
      </c>
      <c r="H248" s="7" t="s">
        <v>409</v>
      </c>
      <c r="I248" s="6">
        <v>466.39</v>
      </c>
      <c r="J248" s="6">
        <f t="shared" si="11"/>
        <v>125694.68000000002</v>
      </c>
      <c r="K248" s="6">
        <f t="shared" si="10"/>
        <v>131298.47000000015</v>
      </c>
    </row>
    <row r="249" spans="1:11" x14ac:dyDescent="0.25">
      <c r="A249" s="5" t="s">
        <v>702</v>
      </c>
      <c r="B249" s="42">
        <f t="shared" si="9"/>
        <v>126.16107000000002</v>
      </c>
      <c r="C249" s="7" t="s">
        <v>411</v>
      </c>
      <c r="D249" s="7" t="s">
        <v>409</v>
      </c>
      <c r="E249" s="7" t="s">
        <v>0</v>
      </c>
      <c r="F249" s="8">
        <v>130.20525000000015</v>
      </c>
      <c r="G249" s="7" t="s">
        <v>409</v>
      </c>
      <c r="H249" s="7" t="s">
        <v>411</v>
      </c>
      <c r="I249" s="6">
        <v>626.83000000000004</v>
      </c>
      <c r="J249" s="6">
        <f t="shared" si="11"/>
        <v>126161.07000000002</v>
      </c>
      <c r="K249" s="6">
        <f t="shared" si="10"/>
        <v>130832.08000000015</v>
      </c>
    </row>
    <row r="250" spans="1:11" x14ac:dyDescent="0.25">
      <c r="A250" s="5" t="s">
        <v>702</v>
      </c>
      <c r="B250" s="42">
        <f t="shared" si="9"/>
        <v>126.78790000000002</v>
      </c>
      <c r="C250" s="7" t="s">
        <v>409</v>
      </c>
      <c r="D250" s="7" t="s">
        <v>407</v>
      </c>
      <c r="E250" s="7" t="s">
        <v>0</v>
      </c>
      <c r="F250" s="8">
        <v>130.83208000000016</v>
      </c>
      <c r="G250" s="7" t="s">
        <v>411</v>
      </c>
      <c r="H250" s="7" t="s">
        <v>413</v>
      </c>
      <c r="I250" s="6">
        <v>756.91</v>
      </c>
      <c r="J250" s="6">
        <f t="shared" si="11"/>
        <v>126787.90000000002</v>
      </c>
      <c r="K250" s="6">
        <f t="shared" si="10"/>
        <v>130205.25000000015</v>
      </c>
    </row>
    <row r="251" spans="1:11" x14ac:dyDescent="0.25">
      <c r="A251" s="5" t="s">
        <v>702</v>
      </c>
      <c r="B251" s="42">
        <f t="shared" si="9"/>
        <v>127.54481000000003</v>
      </c>
      <c r="C251" s="7" t="s">
        <v>407</v>
      </c>
      <c r="D251" s="7" t="s">
        <v>405</v>
      </c>
      <c r="E251" s="7" t="s">
        <v>828</v>
      </c>
      <c r="F251" s="8">
        <v>131.29847000000015</v>
      </c>
      <c r="G251" s="7" t="s">
        <v>413</v>
      </c>
      <c r="H251" s="7" t="s">
        <v>415</v>
      </c>
      <c r="I251" s="6">
        <v>436.48</v>
      </c>
      <c r="J251" s="6">
        <f t="shared" si="11"/>
        <v>127544.81000000003</v>
      </c>
      <c r="K251" s="6">
        <f t="shared" si="10"/>
        <v>129448.34000000014</v>
      </c>
    </row>
    <row r="252" spans="1:11" x14ac:dyDescent="0.25">
      <c r="A252" s="5" t="s">
        <v>702</v>
      </c>
      <c r="B252" s="42">
        <f t="shared" si="9"/>
        <v>127.98129000000003</v>
      </c>
      <c r="C252" s="7" t="s">
        <v>405</v>
      </c>
      <c r="D252" s="7" t="s">
        <v>403</v>
      </c>
      <c r="E252" s="7" t="s">
        <v>829</v>
      </c>
      <c r="F252" s="8">
        <v>131.82775000000015</v>
      </c>
      <c r="G252" s="7" t="s">
        <v>415</v>
      </c>
      <c r="H252" s="7" t="s">
        <v>417</v>
      </c>
      <c r="I252" s="6">
        <v>519.89</v>
      </c>
      <c r="J252" s="6">
        <f t="shared" si="11"/>
        <v>127981.29000000002</v>
      </c>
      <c r="K252" s="6">
        <f t="shared" si="10"/>
        <v>129011.86000000015</v>
      </c>
    </row>
    <row r="253" spans="1:11" x14ac:dyDescent="0.25">
      <c r="A253" s="5" t="s">
        <v>702</v>
      </c>
      <c r="B253" s="42">
        <f t="shared" si="9"/>
        <v>128.50118000000003</v>
      </c>
      <c r="C253" s="7" t="s">
        <v>403</v>
      </c>
      <c r="D253" s="7" t="s">
        <v>401</v>
      </c>
      <c r="E253" s="7" t="s">
        <v>829</v>
      </c>
      <c r="F253" s="8">
        <v>132.40597000000014</v>
      </c>
      <c r="G253" s="7" t="s">
        <v>417</v>
      </c>
      <c r="H253" s="7" t="s">
        <v>419</v>
      </c>
      <c r="I253" s="6">
        <v>906.58</v>
      </c>
      <c r="J253" s="6">
        <f t="shared" si="11"/>
        <v>128501.18000000002</v>
      </c>
      <c r="K253" s="6">
        <f t="shared" si="10"/>
        <v>128491.97000000015</v>
      </c>
    </row>
    <row r="254" spans="1:11" x14ac:dyDescent="0.25">
      <c r="A254" s="5" t="s">
        <v>702</v>
      </c>
      <c r="B254" s="42">
        <f t="shared" si="9"/>
        <v>129.40776000000002</v>
      </c>
      <c r="C254" s="7" t="s">
        <v>401</v>
      </c>
      <c r="D254" s="7" t="s">
        <v>399</v>
      </c>
      <c r="E254" s="7" t="s">
        <v>829</v>
      </c>
      <c r="F254" s="8">
        <v>132.93117000000015</v>
      </c>
      <c r="G254" s="7" t="s">
        <v>419</v>
      </c>
      <c r="H254" s="7" t="s">
        <v>421</v>
      </c>
      <c r="I254" s="6">
        <v>416.15</v>
      </c>
      <c r="J254" s="6">
        <f t="shared" si="11"/>
        <v>129407.76000000002</v>
      </c>
      <c r="K254" s="6">
        <f t="shared" si="10"/>
        <v>127585.39000000014</v>
      </c>
    </row>
    <row r="255" spans="1:11" x14ac:dyDescent="0.25">
      <c r="A255" s="5" t="s">
        <v>702</v>
      </c>
      <c r="B255" s="42">
        <f t="shared" si="9"/>
        <v>129.82391000000001</v>
      </c>
      <c r="C255" s="7" t="s">
        <v>399</v>
      </c>
      <c r="D255" s="7" t="s">
        <v>397</v>
      </c>
      <c r="E255" s="7" t="s">
        <v>829</v>
      </c>
      <c r="F255" s="8">
        <v>133.55857000000015</v>
      </c>
      <c r="G255" s="7" t="s">
        <v>421</v>
      </c>
      <c r="H255" s="7" t="s">
        <v>423</v>
      </c>
      <c r="I255" s="6">
        <v>476.22</v>
      </c>
      <c r="J255" s="6">
        <f t="shared" si="11"/>
        <v>129823.91000000002</v>
      </c>
      <c r="K255" s="6">
        <f t="shared" si="10"/>
        <v>127169.24000000015</v>
      </c>
    </row>
    <row r="256" spans="1:11" x14ac:dyDescent="0.25">
      <c r="A256" s="5" t="s">
        <v>702</v>
      </c>
      <c r="B256" s="42">
        <f t="shared" si="9"/>
        <v>130.30013000000002</v>
      </c>
      <c r="C256" s="7" t="s">
        <v>397</v>
      </c>
      <c r="D256" s="7" t="s">
        <v>395</v>
      </c>
      <c r="E256" s="7" t="s">
        <v>829</v>
      </c>
      <c r="F256" s="8">
        <v>134.06919000000013</v>
      </c>
      <c r="G256" s="7" t="s">
        <v>423</v>
      </c>
      <c r="H256" s="7" t="s">
        <v>425</v>
      </c>
      <c r="I256" s="6">
        <v>647.41999999999996</v>
      </c>
      <c r="J256" s="6">
        <f t="shared" si="11"/>
        <v>130300.13000000002</v>
      </c>
      <c r="K256" s="6">
        <f t="shared" si="10"/>
        <v>126693.02000000015</v>
      </c>
    </row>
    <row r="257" spans="1:11" x14ac:dyDescent="0.25">
      <c r="A257" s="5" t="s">
        <v>702</v>
      </c>
      <c r="B257" s="42">
        <f t="shared" si="9"/>
        <v>130.94755000000001</v>
      </c>
      <c r="C257" s="7" t="s">
        <v>395</v>
      </c>
      <c r="D257" s="7" t="s">
        <v>393</v>
      </c>
      <c r="E257" s="7" t="s">
        <v>829</v>
      </c>
      <c r="F257" s="8">
        <v>134.55678000000015</v>
      </c>
      <c r="G257" s="7" t="s">
        <v>425</v>
      </c>
      <c r="H257" s="7" t="s">
        <v>427</v>
      </c>
      <c r="I257" s="6">
        <v>718.13</v>
      </c>
      <c r="J257" s="6">
        <f t="shared" si="11"/>
        <v>130947.55000000002</v>
      </c>
      <c r="K257" s="6">
        <f t="shared" si="10"/>
        <v>126045.60000000015</v>
      </c>
    </row>
    <row r="258" spans="1:11" x14ac:dyDescent="0.25">
      <c r="A258" s="5" t="s">
        <v>702</v>
      </c>
      <c r="B258" s="42">
        <f t="shared" si="9"/>
        <v>131.66568000000001</v>
      </c>
      <c r="C258" s="7" t="s">
        <v>393</v>
      </c>
      <c r="D258" s="7" t="s">
        <v>391</v>
      </c>
      <c r="E258" s="7" t="s">
        <v>829</v>
      </c>
      <c r="F258" s="8">
        <v>135.10768000000013</v>
      </c>
      <c r="G258" s="7" t="s">
        <v>427</v>
      </c>
      <c r="H258" s="7" t="s">
        <v>429</v>
      </c>
      <c r="I258" s="6">
        <v>609.29</v>
      </c>
      <c r="J258" s="6">
        <f t="shared" si="11"/>
        <v>131665.68000000002</v>
      </c>
      <c r="K258" s="6">
        <f t="shared" si="10"/>
        <v>125327.47000000015</v>
      </c>
    </row>
    <row r="259" spans="1:11" x14ac:dyDescent="0.25">
      <c r="A259" s="5" t="s">
        <v>702</v>
      </c>
      <c r="B259" s="42">
        <f t="shared" ref="B259:B322" si="12">J259/1000</f>
        <v>132.27497000000002</v>
      </c>
      <c r="C259" s="7" t="s">
        <v>391</v>
      </c>
      <c r="D259" s="7" t="s">
        <v>389</v>
      </c>
      <c r="E259" s="7" t="s">
        <v>829</v>
      </c>
      <c r="F259" s="8">
        <v>135.72710000000015</v>
      </c>
      <c r="G259" s="7" t="s">
        <v>429</v>
      </c>
      <c r="H259" s="7" t="s">
        <v>431</v>
      </c>
      <c r="I259" s="6">
        <v>402.34</v>
      </c>
      <c r="J259" s="6">
        <f t="shared" si="11"/>
        <v>132274.97000000003</v>
      </c>
      <c r="K259" s="6">
        <f t="shared" si="10"/>
        <v>124718.18000000015</v>
      </c>
    </row>
    <row r="260" spans="1:11" x14ac:dyDescent="0.25">
      <c r="A260" s="5" t="s">
        <v>702</v>
      </c>
      <c r="B260" s="42">
        <f t="shared" si="12"/>
        <v>132.67731000000003</v>
      </c>
      <c r="C260" s="7" t="s">
        <v>389</v>
      </c>
      <c r="D260" s="7" t="s">
        <v>387</v>
      </c>
      <c r="E260" s="7" t="s">
        <v>829</v>
      </c>
      <c r="F260" s="8">
        <v>136.18717000000015</v>
      </c>
      <c r="G260" s="7" t="s">
        <v>431</v>
      </c>
      <c r="H260" s="7" t="s">
        <v>433</v>
      </c>
      <c r="I260" s="6">
        <v>363.55</v>
      </c>
      <c r="J260" s="6">
        <f t="shared" si="11"/>
        <v>132677.31000000003</v>
      </c>
      <c r="K260" s="6">
        <f t="shared" ref="K260:K323" si="13">K259-I259</f>
        <v>124315.84000000016</v>
      </c>
    </row>
    <row r="261" spans="1:11" x14ac:dyDescent="0.25">
      <c r="A261" s="5" t="s">
        <v>702</v>
      </c>
      <c r="B261" s="42">
        <f t="shared" si="12"/>
        <v>133.04086000000001</v>
      </c>
      <c r="C261" s="7" t="s">
        <v>387</v>
      </c>
      <c r="D261" s="7" t="s">
        <v>385</v>
      </c>
      <c r="E261" s="7" t="s">
        <v>829</v>
      </c>
      <c r="F261" s="8">
        <v>136.71050000000014</v>
      </c>
      <c r="G261" s="7" t="s">
        <v>433</v>
      </c>
      <c r="H261" s="7" t="s">
        <v>435</v>
      </c>
      <c r="I261" s="6">
        <v>527.19000000000005</v>
      </c>
      <c r="J261" s="6">
        <f t="shared" ref="J261:J324" si="14">J260+I260</f>
        <v>133040.86000000002</v>
      </c>
      <c r="K261" s="6">
        <f t="shared" si="13"/>
        <v>123952.29000000015</v>
      </c>
    </row>
    <row r="262" spans="1:11" x14ac:dyDescent="0.25">
      <c r="A262" s="5" t="s">
        <v>702</v>
      </c>
      <c r="B262" s="42">
        <f t="shared" si="12"/>
        <v>133.56805000000003</v>
      </c>
      <c r="C262" s="7" t="s">
        <v>385</v>
      </c>
      <c r="D262" s="7" t="s">
        <v>383</v>
      </c>
      <c r="E262" s="7" t="s">
        <v>829</v>
      </c>
      <c r="F262" s="8">
        <v>137.08532000000017</v>
      </c>
      <c r="G262" s="7" t="s">
        <v>435</v>
      </c>
      <c r="H262" s="7" t="s">
        <v>437</v>
      </c>
      <c r="I262" s="6">
        <v>756.48</v>
      </c>
      <c r="J262" s="6">
        <f t="shared" si="14"/>
        <v>133568.05000000002</v>
      </c>
      <c r="K262" s="6">
        <f t="shared" si="13"/>
        <v>123425.10000000015</v>
      </c>
    </row>
    <row r="263" spans="1:11" x14ac:dyDescent="0.25">
      <c r="A263" s="5" t="s">
        <v>702</v>
      </c>
      <c r="B263" s="42">
        <f t="shared" si="12"/>
        <v>134.32453000000004</v>
      </c>
      <c r="C263" s="7" t="s">
        <v>383</v>
      </c>
      <c r="D263" s="7" t="s">
        <v>381</v>
      </c>
      <c r="E263" s="7" t="s">
        <v>829</v>
      </c>
      <c r="F263" s="8">
        <v>137.77482000000015</v>
      </c>
      <c r="G263" s="7" t="s">
        <v>437</v>
      </c>
      <c r="H263" s="7" t="s">
        <v>439</v>
      </c>
      <c r="I263" s="6">
        <v>367.71</v>
      </c>
      <c r="J263" s="6">
        <f t="shared" si="14"/>
        <v>134324.53000000003</v>
      </c>
      <c r="K263" s="6">
        <f t="shared" si="13"/>
        <v>122668.62000000016</v>
      </c>
    </row>
    <row r="264" spans="1:11" x14ac:dyDescent="0.25">
      <c r="A264" s="5" t="s">
        <v>702</v>
      </c>
      <c r="B264" s="42">
        <f t="shared" si="12"/>
        <v>134.69224000000003</v>
      </c>
      <c r="C264" s="7" t="s">
        <v>381</v>
      </c>
      <c r="D264" s="7" t="s">
        <v>379</v>
      </c>
      <c r="E264" s="7" t="s">
        <v>829</v>
      </c>
      <c r="F264" s="8">
        <v>138.17207000000016</v>
      </c>
      <c r="G264" s="7" t="s">
        <v>439</v>
      </c>
      <c r="H264" s="7" t="s">
        <v>441</v>
      </c>
      <c r="I264" s="6">
        <v>646.89</v>
      </c>
      <c r="J264" s="6">
        <f t="shared" si="14"/>
        <v>134692.24000000002</v>
      </c>
      <c r="K264" s="6">
        <f t="shared" si="13"/>
        <v>122300.91000000015</v>
      </c>
    </row>
    <row r="265" spans="1:11" x14ac:dyDescent="0.25">
      <c r="A265" s="5" t="s">
        <v>702</v>
      </c>
      <c r="B265" s="42">
        <f t="shared" si="12"/>
        <v>135.33913000000004</v>
      </c>
      <c r="C265" s="7" t="s">
        <v>379</v>
      </c>
      <c r="D265" s="7" t="s">
        <v>377</v>
      </c>
      <c r="E265" s="7" t="s">
        <v>829</v>
      </c>
      <c r="F265" s="8">
        <v>138.57786000000016</v>
      </c>
      <c r="G265" s="7" t="s">
        <v>441</v>
      </c>
      <c r="H265" s="7" t="s">
        <v>443</v>
      </c>
      <c r="I265" s="6">
        <v>510.8</v>
      </c>
      <c r="J265" s="6">
        <f t="shared" si="14"/>
        <v>135339.13000000003</v>
      </c>
      <c r="K265" s="6">
        <f t="shared" si="13"/>
        <v>121654.02000000015</v>
      </c>
    </row>
    <row r="266" spans="1:11" x14ac:dyDescent="0.25">
      <c r="A266" s="5" t="s">
        <v>702</v>
      </c>
      <c r="B266" s="42">
        <f t="shared" si="12"/>
        <v>135.84993000000003</v>
      </c>
      <c r="C266" s="7" t="s">
        <v>377</v>
      </c>
      <c r="D266" s="7" t="s">
        <v>375</v>
      </c>
      <c r="E266" s="7" t="s">
        <v>829</v>
      </c>
      <c r="F266" s="8">
        <v>139.27234000000018</v>
      </c>
      <c r="G266" s="7" t="s">
        <v>443</v>
      </c>
      <c r="H266" s="7" t="s">
        <v>445</v>
      </c>
      <c r="I266" s="6">
        <v>534.38</v>
      </c>
      <c r="J266" s="6">
        <f t="shared" si="14"/>
        <v>135849.93000000002</v>
      </c>
      <c r="K266" s="6">
        <f t="shared" si="13"/>
        <v>121143.22000000015</v>
      </c>
    </row>
    <row r="267" spans="1:11" x14ac:dyDescent="0.25">
      <c r="A267" s="5" t="s">
        <v>702</v>
      </c>
      <c r="B267" s="42">
        <f t="shared" si="12"/>
        <v>136.38431000000003</v>
      </c>
      <c r="C267" s="7" t="s">
        <v>375</v>
      </c>
      <c r="D267" s="7" t="s">
        <v>373</v>
      </c>
      <c r="E267" s="7" t="s">
        <v>829</v>
      </c>
      <c r="F267" s="8">
        <v>139.73441000000017</v>
      </c>
      <c r="G267" s="7" t="s">
        <v>445</v>
      </c>
      <c r="H267" s="7" t="s">
        <v>447</v>
      </c>
      <c r="I267" s="6">
        <v>663.41</v>
      </c>
      <c r="J267" s="6">
        <f t="shared" si="14"/>
        <v>136384.31000000003</v>
      </c>
      <c r="K267" s="6">
        <f t="shared" si="13"/>
        <v>120608.84000000014</v>
      </c>
    </row>
    <row r="268" spans="1:11" x14ac:dyDescent="0.25">
      <c r="A268" s="5" t="s">
        <v>702</v>
      </c>
      <c r="B268" s="42">
        <f t="shared" si="12"/>
        <v>137.04772000000003</v>
      </c>
      <c r="C268" s="7" t="s">
        <v>373</v>
      </c>
      <c r="D268" s="7" t="s">
        <v>371</v>
      </c>
      <c r="E268" s="7" t="s">
        <v>829</v>
      </c>
      <c r="F268" s="8">
        <v>140.50188000000017</v>
      </c>
      <c r="G268" s="7" t="s">
        <v>447</v>
      </c>
      <c r="H268" s="7" t="s">
        <v>449</v>
      </c>
      <c r="I268" s="6">
        <v>724.04</v>
      </c>
      <c r="J268" s="6">
        <f t="shared" si="14"/>
        <v>137047.72000000003</v>
      </c>
      <c r="K268" s="6">
        <f t="shared" si="13"/>
        <v>119945.43000000014</v>
      </c>
    </row>
    <row r="269" spans="1:11" x14ac:dyDescent="0.25">
      <c r="A269" s="5" t="s">
        <v>702</v>
      </c>
      <c r="B269" s="42">
        <f t="shared" si="12"/>
        <v>137.77176000000003</v>
      </c>
      <c r="C269" s="7" t="s">
        <v>371</v>
      </c>
      <c r="D269" s="7" t="s">
        <v>369</v>
      </c>
      <c r="E269" s="7" t="s">
        <v>829</v>
      </c>
      <c r="F269" s="8">
        <v>141.22050000000019</v>
      </c>
      <c r="G269" s="7" t="s">
        <v>449</v>
      </c>
      <c r="H269" s="7" t="s">
        <v>451</v>
      </c>
      <c r="I269" s="6">
        <v>461.45</v>
      </c>
      <c r="J269" s="6">
        <f t="shared" si="14"/>
        <v>137771.76000000004</v>
      </c>
      <c r="K269" s="6">
        <f t="shared" si="13"/>
        <v>119221.39000000014</v>
      </c>
    </row>
    <row r="270" spans="1:11" x14ac:dyDescent="0.25">
      <c r="A270" s="5" t="s">
        <v>702</v>
      </c>
      <c r="B270" s="42">
        <f t="shared" si="12"/>
        <v>138.23321000000004</v>
      </c>
      <c r="C270" s="7" t="s">
        <v>369</v>
      </c>
      <c r="D270" s="7" t="s">
        <v>367</v>
      </c>
      <c r="E270" s="7" t="s">
        <v>829</v>
      </c>
      <c r="F270" s="8">
        <v>141.74326000000019</v>
      </c>
      <c r="G270" s="7" t="s">
        <v>451</v>
      </c>
      <c r="H270" s="7" t="s">
        <v>453</v>
      </c>
      <c r="I270" s="6">
        <v>418.6</v>
      </c>
      <c r="J270" s="6">
        <f t="shared" si="14"/>
        <v>138233.21000000005</v>
      </c>
      <c r="K270" s="6">
        <f t="shared" si="13"/>
        <v>118759.94000000015</v>
      </c>
    </row>
    <row r="271" spans="1:11" x14ac:dyDescent="0.25">
      <c r="A271" s="5" t="s">
        <v>702</v>
      </c>
      <c r="B271" s="42">
        <f t="shared" si="12"/>
        <v>138.65181000000007</v>
      </c>
      <c r="C271" s="7" t="s">
        <v>367</v>
      </c>
      <c r="D271" s="7" t="s">
        <v>365</v>
      </c>
      <c r="E271" s="7" t="s">
        <v>829</v>
      </c>
      <c r="F271" s="8">
        <v>142.47092000000018</v>
      </c>
      <c r="G271" s="7" t="s">
        <v>453</v>
      </c>
      <c r="H271" s="7" t="s">
        <v>455</v>
      </c>
      <c r="I271" s="6">
        <v>466.7</v>
      </c>
      <c r="J271" s="6">
        <f t="shared" si="14"/>
        <v>138651.81000000006</v>
      </c>
      <c r="K271" s="6">
        <f t="shared" si="13"/>
        <v>118341.34000000014</v>
      </c>
    </row>
    <row r="272" spans="1:11" x14ac:dyDescent="0.25">
      <c r="A272" s="5" t="s">
        <v>702</v>
      </c>
      <c r="B272" s="42">
        <f t="shared" si="12"/>
        <v>139.11851000000007</v>
      </c>
      <c r="C272" s="7" t="s">
        <v>365</v>
      </c>
      <c r="D272" s="7" t="s">
        <v>363</v>
      </c>
      <c r="E272" s="7" t="s">
        <v>829</v>
      </c>
      <c r="F272" s="8">
        <v>143.07689000000019</v>
      </c>
      <c r="G272" s="7" t="s">
        <v>455</v>
      </c>
      <c r="H272" s="7" t="s">
        <v>457</v>
      </c>
      <c r="I272" s="6">
        <v>375.17</v>
      </c>
      <c r="J272" s="6">
        <f t="shared" si="14"/>
        <v>139118.51000000007</v>
      </c>
      <c r="K272" s="6">
        <f t="shared" si="13"/>
        <v>117874.64000000014</v>
      </c>
    </row>
    <row r="273" spans="1:11" x14ac:dyDescent="0.25">
      <c r="A273" s="5" t="s">
        <v>702</v>
      </c>
      <c r="B273" s="42">
        <f t="shared" si="12"/>
        <v>139.49368000000007</v>
      </c>
      <c r="C273" s="7" t="s">
        <v>363</v>
      </c>
      <c r="D273" s="7" t="s">
        <v>361</v>
      </c>
      <c r="E273" s="7" t="s">
        <v>829</v>
      </c>
      <c r="F273" s="8">
        <v>143.57553000000021</v>
      </c>
      <c r="G273" s="7" t="s">
        <v>457</v>
      </c>
      <c r="H273" s="7" t="s">
        <v>459</v>
      </c>
      <c r="I273" s="6">
        <v>565.13</v>
      </c>
      <c r="J273" s="6">
        <f t="shared" si="14"/>
        <v>139493.68000000008</v>
      </c>
      <c r="K273" s="6">
        <f t="shared" si="13"/>
        <v>117499.47000000015</v>
      </c>
    </row>
    <row r="274" spans="1:11" x14ac:dyDescent="0.25">
      <c r="A274" s="5" t="s">
        <v>702</v>
      </c>
      <c r="B274" s="42">
        <f t="shared" si="12"/>
        <v>140.05881000000008</v>
      </c>
      <c r="C274" s="7" t="s">
        <v>361</v>
      </c>
      <c r="D274" s="7" t="s">
        <v>359</v>
      </c>
      <c r="E274" s="7" t="s">
        <v>829</v>
      </c>
      <c r="F274" s="8">
        <v>143.9795000000002</v>
      </c>
      <c r="G274" s="7" t="s">
        <v>459</v>
      </c>
      <c r="H274" s="7" t="s">
        <v>461</v>
      </c>
      <c r="I274" s="6">
        <v>550.55999999999995</v>
      </c>
      <c r="J274" s="6">
        <f t="shared" si="14"/>
        <v>140058.81000000008</v>
      </c>
      <c r="K274" s="6">
        <f t="shared" si="13"/>
        <v>116934.34000000014</v>
      </c>
    </row>
    <row r="275" spans="1:11" x14ac:dyDescent="0.25">
      <c r="A275" s="5" t="s">
        <v>702</v>
      </c>
      <c r="B275" s="42">
        <f t="shared" si="12"/>
        <v>140.60937000000007</v>
      </c>
      <c r="C275" s="7" t="s">
        <v>359</v>
      </c>
      <c r="D275" s="7" t="s">
        <v>357</v>
      </c>
      <c r="E275" s="7" t="s">
        <v>829</v>
      </c>
      <c r="F275" s="8">
        <v>144.3359600000002</v>
      </c>
      <c r="G275" s="7" t="s">
        <v>461</v>
      </c>
      <c r="H275" s="7" t="s">
        <v>463</v>
      </c>
      <c r="I275" s="6">
        <v>614.78</v>
      </c>
      <c r="J275" s="6">
        <f t="shared" si="14"/>
        <v>140609.37000000008</v>
      </c>
      <c r="K275" s="6">
        <f t="shared" si="13"/>
        <v>116383.78000000014</v>
      </c>
    </row>
    <row r="276" spans="1:11" x14ac:dyDescent="0.25">
      <c r="A276" s="5" t="s">
        <v>702</v>
      </c>
      <c r="B276" s="42">
        <f t="shared" si="12"/>
        <v>141.22415000000009</v>
      </c>
      <c r="C276" s="7" t="s">
        <v>357</v>
      </c>
      <c r="D276" s="7" t="s">
        <v>355</v>
      </c>
      <c r="E276" s="7" t="s">
        <v>829</v>
      </c>
      <c r="F276" s="8">
        <v>144.7224200000002</v>
      </c>
      <c r="G276" s="7" t="s">
        <v>463</v>
      </c>
      <c r="H276" s="7" t="s">
        <v>465</v>
      </c>
      <c r="I276" s="6">
        <v>513.53</v>
      </c>
      <c r="J276" s="6">
        <f t="shared" si="14"/>
        <v>141224.15000000008</v>
      </c>
      <c r="K276" s="6">
        <f t="shared" si="13"/>
        <v>115769.00000000015</v>
      </c>
    </row>
    <row r="277" spans="1:11" x14ac:dyDescent="0.25">
      <c r="A277" s="5" t="s">
        <v>702</v>
      </c>
      <c r="B277" s="42">
        <f t="shared" si="12"/>
        <v>141.73768000000007</v>
      </c>
      <c r="C277" s="7" t="s">
        <v>355</v>
      </c>
      <c r="D277" s="7" t="s">
        <v>353</v>
      </c>
      <c r="E277" s="7" t="s">
        <v>829</v>
      </c>
      <c r="F277" s="8">
        <v>145.36104000000017</v>
      </c>
      <c r="G277" s="7" t="s">
        <v>465</v>
      </c>
      <c r="H277" s="7" t="s">
        <v>467</v>
      </c>
      <c r="I277" s="6">
        <v>446.9</v>
      </c>
      <c r="J277" s="6">
        <f t="shared" si="14"/>
        <v>141737.68000000008</v>
      </c>
      <c r="K277" s="6">
        <f t="shared" si="13"/>
        <v>115255.47000000015</v>
      </c>
    </row>
    <row r="278" spans="1:11" x14ac:dyDescent="0.25">
      <c r="A278" s="5" t="s">
        <v>702</v>
      </c>
      <c r="B278" s="42">
        <f t="shared" si="12"/>
        <v>142.18458000000007</v>
      </c>
      <c r="C278" s="7" t="s">
        <v>353</v>
      </c>
      <c r="D278" s="7" t="s">
        <v>351</v>
      </c>
      <c r="E278" s="7" t="s">
        <v>829</v>
      </c>
      <c r="F278" s="8">
        <v>145.84289000000018</v>
      </c>
      <c r="G278" s="7" t="s">
        <v>467</v>
      </c>
      <c r="H278" s="7" t="s">
        <v>469</v>
      </c>
      <c r="I278" s="6">
        <v>691.4</v>
      </c>
      <c r="J278" s="6">
        <f t="shared" si="14"/>
        <v>142184.58000000007</v>
      </c>
      <c r="K278" s="6">
        <f t="shared" si="13"/>
        <v>114808.57000000015</v>
      </c>
    </row>
    <row r="279" spans="1:11" x14ac:dyDescent="0.25">
      <c r="A279" s="5" t="s">
        <v>702</v>
      </c>
      <c r="B279" s="42">
        <f t="shared" si="12"/>
        <v>142.87598000000006</v>
      </c>
      <c r="C279" s="7" t="s">
        <v>351</v>
      </c>
      <c r="D279" s="7" t="s">
        <v>349</v>
      </c>
      <c r="E279" s="7" t="s">
        <v>829</v>
      </c>
      <c r="F279" s="8">
        <v>146.31871000000021</v>
      </c>
      <c r="G279" s="7" t="s">
        <v>469</v>
      </c>
      <c r="H279" s="7" t="s">
        <v>471</v>
      </c>
      <c r="I279" s="6">
        <v>429.38</v>
      </c>
      <c r="J279" s="6">
        <f t="shared" si="14"/>
        <v>142875.98000000007</v>
      </c>
      <c r="K279" s="6">
        <f t="shared" si="13"/>
        <v>114117.17000000016</v>
      </c>
    </row>
    <row r="280" spans="1:11" x14ac:dyDescent="0.25">
      <c r="A280" s="5" t="s">
        <v>702</v>
      </c>
      <c r="B280" s="42">
        <f t="shared" si="12"/>
        <v>143.30536000000006</v>
      </c>
      <c r="C280" s="7" t="s">
        <v>349</v>
      </c>
      <c r="D280" s="7" t="s">
        <v>347</v>
      </c>
      <c r="E280" s="7" t="s">
        <v>829</v>
      </c>
      <c r="F280" s="8">
        <v>146.9007800000002</v>
      </c>
      <c r="G280" s="7" t="s">
        <v>471</v>
      </c>
      <c r="H280" s="7" t="s">
        <v>473</v>
      </c>
      <c r="I280" s="6">
        <v>385.63</v>
      </c>
      <c r="J280" s="6">
        <f t="shared" si="14"/>
        <v>143305.36000000007</v>
      </c>
      <c r="K280" s="6">
        <f t="shared" si="13"/>
        <v>113687.79000000015</v>
      </c>
    </row>
    <row r="281" spans="1:11" x14ac:dyDescent="0.25">
      <c r="A281" s="5" t="s">
        <v>702</v>
      </c>
      <c r="B281" s="42">
        <f t="shared" si="12"/>
        <v>143.69099000000008</v>
      </c>
      <c r="C281" s="7" t="s">
        <v>347</v>
      </c>
      <c r="D281" s="7" t="s">
        <v>345</v>
      </c>
      <c r="E281" s="7" t="s">
        <v>829</v>
      </c>
      <c r="F281" s="8">
        <v>147.50714000000019</v>
      </c>
      <c r="G281" s="7" t="s">
        <v>473</v>
      </c>
      <c r="H281" s="7" t="s">
        <v>475</v>
      </c>
      <c r="I281" s="6">
        <v>432.33</v>
      </c>
      <c r="J281" s="6">
        <f t="shared" si="14"/>
        <v>143690.99000000008</v>
      </c>
      <c r="K281" s="6">
        <f t="shared" si="13"/>
        <v>113302.16000000015</v>
      </c>
    </row>
    <row r="282" spans="1:11" x14ac:dyDescent="0.25">
      <c r="A282" s="5" t="s">
        <v>702</v>
      </c>
      <c r="B282" s="42">
        <f t="shared" si="12"/>
        <v>144.12332000000006</v>
      </c>
      <c r="C282" s="7" t="s">
        <v>345</v>
      </c>
      <c r="D282" s="7" t="s">
        <v>343</v>
      </c>
      <c r="E282" s="7" t="s">
        <v>829</v>
      </c>
      <c r="F282" s="8">
        <v>147.99473000000017</v>
      </c>
      <c r="G282" s="7" t="s">
        <v>475</v>
      </c>
      <c r="H282" s="7" t="s">
        <v>477</v>
      </c>
      <c r="I282" s="6">
        <v>378.52</v>
      </c>
      <c r="J282" s="6">
        <f t="shared" si="14"/>
        <v>144123.32000000007</v>
      </c>
      <c r="K282" s="6">
        <f t="shared" si="13"/>
        <v>112869.83000000015</v>
      </c>
    </row>
    <row r="283" spans="1:11" x14ac:dyDescent="0.25">
      <c r="A283" s="5" t="s">
        <v>702</v>
      </c>
      <c r="B283" s="42">
        <f t="shared" si="12"/>
        <v>144.50184000000004</v>
      </c>
      <c r="C283" s="7" t="s">
        <v>343</v>
      </c>
      <c r="D283" s="7" t="s">
        <v>341</v>
      </c>
      <c r="E283" s="7" t="s">
        <v>829</v>
      </c>
      <c r="F283" s="8">
        <v>148.46234000000018</v>
      </c>
      <c r="G283" s="7" t="s">
        <v>477</v>
      </c>
      <c r="H283" s="7" t="s">
        <v>479</v>
      </c>
      <c r="I283" s="6">
        <v>313.61</v>
      </c>
      <c r="J283" s="6">
        <f t="shared" si="14"/>
        <v>144501.84000000005</v>
      </c>
      <c r="K283" s="6">
        <f t="shared" si="13"/>
        <v>112491.31000000014</v>
      </c>
    </row>
    <row r="284" spans="1:11" x14ac:dyDescent="0.25">
      <c r="A284" s="5" t="s">
        <v>702</v>
      </c>
      <c r="B284" s="42">
        <f t="shared" si="12"/>
        <v>144.81545000000003</v>
      </c>
      <c r="C284" s="7" t="s">
        <v>341</v>
      </c>
      <c r="D284" s="7" t="s">
        <v>339</v>
      </c>
      <c r="E284" s="7" t="s">
        <v>829</v>
      </c>
      <c r="F284" s="8">
        <v>149.02872000000016</v>
      </c>
      <c r="G284" s="7" t="s">
        <v>479</v>
      </c>
      <c r="H284" s="7" t="s">
        <v>481</v>
      </c>
      <c r="I284" s="6">
        <v>522.76</v>
      </c>
      <c r="J284" s="6">
        <f t="shared" si="14"/>
        <v>144815.45000000004</v>
      </c>
      <c r="K284" s="6">
        <f t="shared" si="13"/>
        <v>112177.70000000014</v>
      </c>
    </row>
    <row r="285" spans="1:11" x14ac:dyDescent="0.25">
      <c r="A285" s="5" t="s">
        <v>702</v>
      </c>
      <c r="B285" s="42">
        <f t="shared" si="12"/>
        <v>145.33821000000006</v>
      </c>
      <c r="C285" s="7" t="s">
        <v>339</v>
      </c>
      <c r="D285" s="7" t="s">
        <v>337</v>
      </c>
      <c r="E285" s="7" t="s">
        <v>829</v>
      </c>
      <c r="F285" s="8">
        <v>149.56744000000018</v>
      </c>
      <c r="G285" s="7" t="s">
        <v>481</v>
      </c>
      <c r="H285" s="7" t="s">
        <v>483</v>
      </c>
      <c r="I285" s="6">
        <v>468.99</v>
      </c>
      <c r="J285" s="6">
        <f t="shared" si="14"/>
        <v>145338.21000000005</v>
      </c>
      <c r="K285" s="6">
        <f t="shared" si="13"/>
        <v>111654.94000000015</v>
      </c>
    </row>
    <row r="286" spans="1:11" x14ac:dyDescent="0.25">
      <c r="A286" s="5" t="s">
        <v>702</v>
      </c>
      <c r="B286" s="42">
        <f t="shared" si="12"/>
        <v>145.80720000000005</v>
      </c>
      <c r="C286" s="7" t="s">
        <v>337</v>
      </c>
      <c r="D286" s="7" t="s">
        <v>335</v>
      </c>
      <c r="E286" s="7" t="s">
        <v>829</v>
      </c>
      <c r="F286" s="8">
        <v>150.1267000000002</v>
      </c>
      <c r="G286" s="7" t="s">
        <v>483</v>
      </c>
      <c r="H286" s="7" t="s">
        <v>485</v>
      </c>
      <c r="I286" s="6">
        <v>322.45</v>
      </c>
      <c r="J286" s="6">
        <f t="shared" si="14"/>
        <v>145807.20000000004</v>
      </c>
      <c r="K286" s="6">
        <f t="shared" si="13"/>
        <v>111185.95000000014</v>
      </c>
    </row>
    <row r="287" spans="1:11" x14ac:dyDescent="0.25">
      <c r="A287" s="5" t="s">
        <v>702</v>
      </c>
      <c r="B287" s="42">
        <f t="shared" si="12"/>
        <v>146.12965000000005</v>
      </c>
      <c r="C287" s="7" t="s">
        <v>335</v>
      </c>
      <c r="D287" s="7" t="s">
        <v>333</v>
      </c>
      <c r="E287" s="7" t="s">
        <v>829</v>
      </c>
      <c r="F287" s="8">
        <v>150.7372100000002</v>
      </c>
      <c r="G287" s="7" t="s">
        <v>485</v>
      </c>
      <c r="H287" s="7" t="s">
        <v>487</v>
      </c>
      <c r="I287" s="6">
        <v>445.07</v>
      </c>
      <c r="J287" s="6">
        <f t="shared" si="14"/>
        <v>146129.65000000005</v>
      </c>
      <c r="K287" s="6">
        <f t="shared" si="13"/>
        <v>110863.50000000015</v>
      </c>
    </row>
    <row r="288" spans="1:11" x14ac:dyDescent="0.25">
      <c r="A288" s="5" t="s">
        <v>702</v>
      </c>
      <c r="B288" s="42">
        <f t="shared" si="12"/>
        <v>146.57472000000007</v>
      </c>
      <c r="C288" s="7" t="s">
        <v>333</v>
      </c>
      <c r="D288" s="7" t="s">
        <v>331</v>
      </c>
      <c r="E288" s="7" t="s">
        <v>829</v>
      </c>
      <c r="F288" s="8">
        <v>151.3005900000002</v>
      </c>
      <c r="G288" s="7" t="s">
        <v>487</v>
      </c>
      <c r="H288" s="7" t="s">
        <v>489</v>
      </c>
      <c r="I288" s="6">
        <v>610.86</v>
      </c>
      <c r="J288" s="6">
        <f t="shared" si="14"/>
        <v>146574.72000000006</v>
      </c>
      <c r="K288" s="6">
        <f t="shared" si="13"/>
        <v>110418.43000000014</v>
      </c>
    </row>
    <row r="289" spans="1:11" x14ac:dyDescent="0.25">
      <c r="A289" s="5" t="s">
        <v>702</v>
      </c>
      <c r="B289" s="42">
        <f t="shared" si="12"/>
        <v>147.18558000000004</v>
      </c>
      <c r="C289" s="7" t="s">
        <v>331</v>
      </c>
      <c r="D289" s="7" t="s">
        <v>329</v>
      </c>
      <c r="E289" s="7" t="s">
        <v>829</v>
      </c>
      <c r="F289" s="8">
        <v>151.8705200000002</v>
      </c>
      <c r="G289" s="7" t="s">
        <v>489</v>
      </c>
      <c r="H289" s="7" t="s">
        <v>491</v>
      </c>
      <c r="I289" s="6">
        <v>540.94000000000005</v>
      </c>
      <c r="J289" s="6">
        <f t="shared" si="14"/>
        <v>147185.58000000005</v>
      </c>
      <c r="K289" s="6">
        <f t="shared" si="13"/>
        <v>109807.57000000014</v>
      </c>
    </row>
    <row r="290" spans="1:11" x14ac:dyDescent="0.25">
      <c r="A290" s="5" t="s">
        <v>702</v>
      </c>
      <c r="B290" s="42">
        <f t="shared" si="12"/>
        <v>147.72652000000005</v>
      </c>
      <c r="C290" s="7" t="s">
        <v>329</v>
      </c>
      <c r="D290" s="7" t="s">
        <v>327</v>
      </c>
      <c r="E290" s="7" t="s">
        <v>829</v>
      </c>
      <c r="F290" s="8">
        <v>152.28516000000022</v>
      </c>
      <c r="G290" s="7" t="s">
        <v>491</v>
      </c>
      <c r="H290" s="7" t="s">
        <v>493</v>
      </c>
      <c r="I290" s="6">
        <v>410.16</v>
      </c>
      <c r="J290" s="6">
        <f t="shared" si="14"/>
        <v>147726.52000000005</v>
      </c>
      <c r="K290" s="6">
        <f t="shared" si="13"/>
        <v>109266.63000000014</v>
      </c>
    </row>
    <row r="291" spans="1:11" x14ac:dyDescent="0.25">
      <c r="A291" s="5" t="s">
        <v>702</v>
      </c>
      <c r="B291" s="42">
        <f t="shared" si="12"/>
        <v>148.13668000000004</v>
      </c>
      <c r="C291" s="7" t="s">
        <v>327</v>
      </c>
      <c r="D291" s="7" t="s">
        <v>325</v>
      </c>
      <c r="E291" s="7" t="s">
        <v>829</v>
      </c>
      <c r="F291" s="8">
        <v>152.67735000000022</v>
      </c>
      <c r="G291" s="7" t="s">
        <v>493</v>
      </c>
      <c r="H291" s="7" t="s">
        <v>495</v>
      </c>
      <c r="I291" s="6">
        <v>335.21</v>
      </c>
      <c r="J291" s="6">
        <f t="shared" si="14"/>
        <v>148136.68000000005</v>
      </c>
      <c r="K291" s="6">
        <f t="shared" si="13"/>
        <v>108856.47000000013</v>
      </c>
    </row>
    <row r="292" spans="1:11" x14ac:dyDescent="0.25">
      <c r="A292" s="5" t="s">
        <v>702</v>
      </c>
      <c r="B292" s="42">
        <f t="shared" si="12"/>
        <v>148.47189000000003</v>
      </c>
      <c r="C292" s="7" t="s">
        <v>325</v>
      </c>
      <c r="D292" s="7" t="s">
        <v>323</v>
      </c>
      <c r="E292" s="7" t="s">
        <v>829</v>
      </c>
      <c r="F292" s="8">
        <v>153.2348800000002</v>
      </c>
      <c r="G292" s="7" t="s">
        <v>495</v>
      </c>
      <c r="H292" s="7" t="s">
        <v>497</v>
      </c>
      <c r="I292" s="6">
        <v>523.9</v>
      </c>
      <c r="J292" s="6">
        <f t="shared" si="14"/>
        <v>148471.89000000004</v>
      </c>
      <c r="K292" s="6">
        <f t="shared" si="13"/>
        <v>108521.26000000013</v>
      </c>
    </row>
    <row r="293" spans="1:11" x14ac:dyDescent="0.25">
      <c r="A293" s="5" t="s">
        <v>702</v>
      </c>
      <c r="B293" s="42">
        <f t="shared" si="12"/>
        <v>148.99579000000003</v>
      </c>
      <c r="C293" s="7" t="s">
        <v>323</v>
      </c>
      <c r="D293" s="7" t="s">
        <v>321</v>
      </c>
      <c r="E293" s="7" t="s">
        <v>829</v>
      </c>
      <c r="F293" s="8">
        <v>153.66703000000021</v>
      </c>
      <c r="G293" s="7" t="s">
        <v>497</v>
      </c>
      <c r="H293" s="7" t="s">
        <v>499</v>
      </c>
      <c r="I293" s="6">
        <v>616.79999999999995</v>
      </c>
      <c r="J293" s="6">
        <f t="shared" si="14"/>
        <v>148995.79000000004</v>
      </c>
      <c r="K293" s="6">
        <f t="shared" si="13"/>
        <v>107997.36000000013</v>
      </c>
    </row>
    <row r="294" spans="1:11" x14ac:dyDescent="0.25">
      <c r="A294" s="5" t="s">
        <v>702</v>
      </c>
      <c r="B294" s="42">
        <f t="shared" si="12"/>
        <v>149.61259000000001</v>
      </c>
      <c r="C294" s="7" t="s">
        <v>321</v>
      </c>
      <c r="D294" s="7" t="s">
        <v>319</v>
      </c>
      <c r="E294" s="7" t="s">
        <v>829</v>
      </c>
      <c r="F294" s="8">
        <v>154.2090000000002</v>
      </c>
      <c r="G294" s="7" t="s">
        <v>499</v>
      </c>
      <c r="H294" s="7" t="s">
        <v>501</v>
      </c>
      <c r="I294" s="6">
        <v>324.89</v>
      </c>
      <c r="J294" s="6">
        <f t="shared" si="14"/>
        <v>149612.59000000003</v>
      </c>
      <c r="K294" s="6">
        <f t="shared" si="13"/>
        <v>107380.56000000013</v>
      </c>
    </row>
    <row r="295" spans="1:11" x14ac:dyDescent="0.25">
      <c r="A295" s="5" t="s">
        <v>702</v>
      </c>
      <c r="B295" s="42">
        <f t="shared" si="12"/>
        <v>149.93748000000005</v>
      </c>
      <c r="C295" s="7" t="s">
        <v>319</v>
      </c>
      <c r="D295" s="7" t="s">
        <v>317</v>
      </c>
      <c r="E295" s="7" t="s">
        <v>829</v>
      </c>
      <c r="F295" s="8">
        <v>154.78517000000022</v>
      </c>
      <c r="G295" s="7" t="s">
        <v>501</v>
      </c>
      <c r="H295" s="7" t="s">
        <v>503</v>
      </c>
      <c r="I295" s="6">
        <v>482.92</v>
      </c>
      <c r="J295" s="6">
        <f t="shared" si="14"/>
        <v>149937.48000000004</v>
      </c>
      <c r="K295" s="6">
        <f t="shared" si="13"/>
        <v>107055.67000000013</v>
      </c>
    </row>
    <row r="296" spans="1:11" x14ac:dyDescent="0.25">
      <c r="A296" s="5" t="s">
        <v>702</v>
      </c>
      <c r="B296" s="42">
        <f t="shared" si="12"/>
        <v>150.42040000000006</v>
      </c>
      <c r="C296" s="7" t="s">
        <v>317</v>
      </c>
      <c r="D296" s="7" t="s">
        <v>315</v>
      </c>
      <c r="E296" s="7" t="s">
        <v>829</v>
      </c>
      <c r="F296" s="8">
        <v>155.3809100000002</v>
      </c>
      <c r="G296" s="7" t="s">
        <v>503</v>
      </c>
      <c r="H296" s="7" t="s">
        <v>502</v>
      </c>
      <c r="I296" s="6">
        <v>570.14</v>
      </c>
      <c r="J296" s="6">
        <f t="shared" si="14"/>
        <v>150420.40000000005</v>
      </c>
      <c r="K296" s="6">
        <f t="shared" si="13"/>
        <v>106572.75000000013</v>
      </c>
    </row>
    <row r="297" spans="1:11" x14ac:dyDescent="0.25">
      <c r="A297" s="5" t="s">
        <v>702</v>
      </c>
      <c r="B297" s="42">
        <f t="shared" si="12"/>
        <v>150.99054000000007</v>
      </c>
      <c r="C297" s="7" t="s">
        <v>315</v>
      </c>
      <c r="D297" s="7" t="s">
        <v>313</v>
      </c>
      <c r="E297" s="7" t="s">
        <v>829</v>
      </c>
      <c r="F297" s="8">
        <v>155.80801000000022</v>
      </c>
      <c r="G297" s="7" t="s">
        <v>502</v>
      </c>
      <c r="H297" s="7" t="s">
        <v>500</v>
      </c>
      <c r="I297" s="6">
        <v>581.22</v>
      </c>
      <c r="J297" s="6">
        <f t="shared" si="14"/>
        <v>150990.54000000007</v>
      </c>
      <c r="K297" s="6">
        <f t="shared" si="13"/>
        <v>106002.61000000013</v>
      </c>
    </row>
    <row r="298" spans="1:11" x14ac:dyDescent="0.25">
      <c r="A298" s="5" t="s">
        <v>702</v>
      </c>
      <c r="B298" s="42">
        <f t="shared" si="12"/>
        <v>151.57176000000007</v>
      </c>
      <c r="C298" s="7" t="s">
        <v>313</v>
      </c>
      <c r="D298" s="7" t="s">
        <v>311</v>
      </c>
      <c r="E298" s="7" t="s">
        <v>829</v>
      </c>
      <c r="F298" s="8">
        <v>156.2083800000002</v>
      </c>
      <c r="G298" s="7" t="s">
        <v>500</v>
      </c>
      <c r="H298" s="7" t="s">
        <v>498</v>
      </c>
      <c r="I298" s="6">
        <v>590.82000000000005</v>
      </c>
      <c r="J298" s="6">
        <f t="shared" si="14"/>
        <v>151571.76000000007</v>
      </c>
      <c r="K298" s="6">
        <f t="shared" si="13"/>
        <v>105421.39000000013</v>
      </c>
    </row>
    <row r="299" spans="1:11" x14ac:dyDescent="0.25">
      <c r="A299" s="5" t="s">
        <v>702</v>
      </c>
      <c r="B299" s="42">
        <f t="shared" si="12"/>
        <v>152.16258000000008</v>
      </c>
      <c r="C299" s="7" t="s">
        <v>311</v>
      </c>
      <c r="D299" s="7" t="s">
        <v>309</v>
      </c>
      <c r="E299" s="7" t="s">
        <v>829</v>
      </c>
      <c r="F299" s="8">
        <v>156.6669900000002</v>
      </c>
      <c r="G299" s="7" t="s">
        <v>498</v>
      </c>
      <c r="H299" s="7" t="s">
        <v>496</v>
      </c>
      <c r="I299" s="6">
        <v>541.36</v>
      </c>
      <c r="J299" s="6">
        <f t="shared" si="14"/>
        <v>152162.58000000007</v>
      </c>
      <c r="K299" s="6">
        <f t="shared" si="13"/>
        <v>104830.57000000012</v>
      </c>
    </row>
    <row r="300" spans="1:11" x14ac:dyDescent="0.25">
      <c r="A300" s="5" t="s">
        <v>702</v>
      </c>
      <c r="B300" s="42">
        <f t="shared" si="12"/>
        <v>152.70394000000007</v>
      </c>
      <c r="C300" s="7" t="s">
        <v>309</v>
      </c>
      <c r="D300" s="7" t="s">
        <v>307</v>
      </c>
      <c r="E300" s="7" t="s">
        <v>829</v>
      </c>
      <c r="F300" s="8">
        <v>157.20062000000019</v>
      </c>
      <c r="G300" s="7" t="s">
        <v>496</v>
      </c>
      <c r="H300" s="7" t="s">
        <v>494</v>
      </c>
      <c r="I300" s="6">
        <v>430.24</v>
      </c>
      <c r="J300" s="6">
        <f t="shared" si="14"/>
        <v>152703.94000000006</v>
      </c>
      <c r="K300" s="6">
        <f t="shared" si="13"/>
        <v>104289.21000000012</v>
      </c>
    </row>
    <row r="301" spans="1:11" x14ac:dyDescent="0.25">
      <c r="A301" s="5" t="s">
        <v>702</v>
      </c>
      <c r="B301" s="42">
        <f t="shared" si="12"/>
        <v>153.13418000000004</v>
      </c>
      <c r="C301" s="7" t="s">
        <v>307</v>
      </c>
      <c r="D301" s="7" t="s">
        <v>305</v>
      </c>
      <c r="E301" s="7" t="s">
        <v>829</v>
      </c>
      <c r="F301" s="8">
        <v>157.58604000000022</v>
      </c>
      <c r="G301" s="7" t="s">
        <v>494</v>
      </c>
      <c r="H301" s="7" t="s">
        <v>492</v>
      </c>
      <c r="I301" s="6">
        <v>425</v>
      </c>
      <c r="J301" s="6">
        <f t="shared" si="14"/>
        <v>153134.18000000005</v>
      </c>
      <c r="K301" s="6">
        <f t="shared" si="13"/>
        <v>103858.97000000012</v>
      </c>
    </row>
    <row r="302" spans="1:11" x14ac:dyDescent="0.25">
      <c r="A302" s="5" t="s">
        <v>702</v>
      </c>
      <c r="B302" s="42">
        <f t="shared" si="12"/>
        <v>153.55918000000005</v>
      </c>
      <c r="C302" s="7" t="s">
        <v>305</v>
      </c>
      <c r="D302" s="7" t="s">
        <v>303</v>
      </c>
      <c r="E302" s="7" t="s">
        <v>829</v>
      </c>
      <c r="F302" s="8">
        <v>158.1436200000002</v>
      </c>
      <c r="G302" s="7" t="s">
        <v>492</v>
      </c>
      <c r="H302" s="7" t="s">
        <v>490</v>
      </c>
      <c r="I302" s="6">
        <v>530.34</v>
      </c>
      <c r="J302" s="6">
        <f t="shared" si="14"/>
        <v>153559.18000000005</v>
      </c>
      <c r="K302" s="6">
        <f t="shared" si="13"/>
        <v>103433.97000000012</v>
      </c>
    </row>
    <row r="303" spans="1:11" x14ac:dyDescent="0.25">
      <c r="A303" s="5" t="s">
        <v>702</v>
      </c>
      <c r="B303" s="42">
        <f t="shared" si="12"/>
        <v>154.08952000000005</v>
      </c>
      <c r="C303" s="7" t="s">
        <v>303</v>
      </c>
      <c r="D303" s="7" t="s">
        <v>301</v>
      </c>
      <c r="E303" s="7" t="s">
        <v>829</v>
      </c>
      <c r="F303" s="8">
        <v>158.76767000000018</v>
      </c>
      <c r="G303" s="7" t="s">
        <v>490</v>
      </c>
      <c r="H303" s="7" t="s">
        <v>488</v>
      </c>
      <c r="I303" s="6">
        <v>464.59</v>
      </c>
      <c r="J303" s="6">
        <f t="shared" si="14"/>
        <v>154089.52000000005</v>
      </c>
      <c r="K303" s="6">
        <f t="shared" si="13"/>
        <v>102903.63000000012</v>
      </c>
    </row>
    <row r="304" spans="1:11" x14ac:dyDescent="0.25">
      <c r="A304" s="5" t="s">
        <v>702</v>
      </c>
      <c r="B304" s="42">
        <f t="shared" si="12"/>
        <v>154.55411000000004</v>
      </c>
      <c r="C304" s="7" t="s">
        <v>301</v>
      </c>
      <c r="D304" s="7" t="s">
        <v>299</v>
      </c>
      <c r="E304" s="7" t="s">
        <v>829</v>
      </c>
      <c r="F304" s="8">
        <v>159.28870000000018</v>
      </c>
      <c r="G304" s="7" t="s">
        <v>488</v>
      </c>
      <c r="H304" s="7" t="s">
        <v>486</v>
      </c>
      <c r="I304" s="6">
        <v>576</v>
      </c>
      <c r="J304" s="6">
        <f t="shared" si="14"/>
        <v>154554.11000000004</v>
      </c>
      <c r="K304" s="6">
        <f t="shared" si="13"/>
        <v>102439.04000000012</v>
      </c>
    </row>
    <row r="305" spans="1:11" x14ac:dyDescent="0.25">
      <c r="A305" s="5" t="s">
        <v>702</v>
      </c>
      <c r="B305" s="42">
        <f t="shared" si="12"/>
        <v>155.13011000000003</v>
      </c>
      <c r="C305" s="7" t="s">
        <v>299</v>
      </c>
      <c r="D305" s="7" t="s">
        <v>297</v>
      </c>
      <c r="E305" s="7" t="s">
        <v>829</v>
      </c>
      <c r="F305" s="8">
        <v>160.1095200000002</v>
      </c>
      <c r="G305" s="7" t="s">
        <v>486</v>
      </c>
      <c r="H305" s="7" t="s">
        <v>484</v>
      </c>
      <c r="I305" s="6">
        <v>593</v>
      </c>
      <c r="J305" s="6">
        <f t="shared" si="14"/>
        <v>155130.11000000004</v>
      </c>
      <c r="K305" s="6">
        <f t="shared" si="13"/>
        <v>101863.04000000012</v>
      </c>
    </row>
    <row r="306" spans="1:11" x14ac:dyDescent="0.25">
      <c r="A306" s="5" t="s">
        <v>702</v>
      </c>
      <c r="B306" s="42">
        <f t="shared" si="12"/>
        <v>155.72311000000005</v>
      </c>
      <c r="C306" s="7" t="s">
        <v>297</v>
      </c>
      <c r="D306" s="7" t="s">
        <v>295</v>
      </c>
      <c r="E306" s="7" t="s">
        <v>829</v>
      </c>
      <c r="F306" s="8">
        <v>160.6552700000002</v>
      </c>
      <c r="G306" s="7" t="s">
        <v>484</v>
      </c>
      <c r="H306" s="7" t="s">
        <v>482</v>
      </c>
      <c r="I306" s="6">
        <v>459.31</v>
      </c>
      <c r="J306" s="6">
        <f t="shared" si="14"/>
        <v>155723.11000000004</v>
      </c>
      <c r="K306" s="6">
        <f t="shared" si="13"/>
        <v>101270.04000000012</v>
      </c>
    </row>
    <row r="307" spans="1:11" x14ac:dyDescent="0.25">
      <c r="A307" s="5" t="s">
        <v>702</v>
      </c>
      <c r="B307" s="42">
        <f t="shared" si="12"/>
        <v>156.18242000000004</v>
      </c>
      <c r="C307" s="7" t="s">
        <v>295</v>
      </c>
      <c r="D307" s="7" t="s">
        <v>293</v>
      </c>
      <c r="E307" s="7" t="s">
        <v>829</v>
      </c>
      <c r="F307" s="8">
        <v>161.08385000000018</v>
      </c>
      <c r="G307" s="7" t="s">
        <v>482</v>
      </c>
      <c r="H307" s="7" t="s">
        <v>480</v>
      </c>
      <c r="I307" s="6">
        <v>537.35</v>
      </c>
      <c r="J307" s="6">
        <f t="shared" si="14"/>
        <v>156182.42000000004</v>
      </c>
      <c r="K307" s="6">
        <f t="shared" si="13"/>
        <v>100810.73000000013</v>
      </c>
    </row>
    <row r="308" spans="1:11" x14ac:dyDescent="0.25">
      <c r="A308" s="5" t="s">
        <v>702</v>
      </c>
      <c r="B308" s="42">
        <f t="shared" si="12"/>
        <v>156.71977000000004</v>
      </c>
      <c r="C308" s="7" t="s">
        <v>293</v>
      </c>
      <c r="D308" s="7" t="s">
        <v>291</v>
      </c>
      <c r="E308" s="7" t="s">
        <v>829</v>
      </c>
      <c r="F308" s="8">
        <v>161.58482000000018</v>
      </c>
      <c r="G308" s="7" t="s">
        <v>480</v>
      </c>
      <c r="H308" s="7" t="s">
        <v>478</v>
      </c>
      <c r="I308" s="6">
        <v>534.65</v>
      </c>
      <c r="J308" s="6">
        <f t="shared" si="14"/>
        <v>156719.77000000005</v>
      </c>
      <c r="K308" s="6">
        <f t="shared" si="13"/>
        <v>100273.38000000012</v>
      </c>
    </row>
    <row r="309" spans="1:11" x14ac:dyDescent="0.25">
      <c r="A309" s="5" t="s">
        <v>702</v>
      </c>
      <c r="B309" s="42">
        <f t="shared" si="12"/>
        <v>157.25442000000004</v>
      </c>
      <c r="C309" s="7" t="s">
        <v>291</v>
      </c>
      <c r="D309" s="7" t="s">
        <v>289</v>
      </c>
      <c r="E309" s="7" t="s">
        <v>829</v>
      </c>
      <c r="F309" s="8">
        <v>162.22971000000018</v>
      </c>
      <c r="G309" s="7" t="s">
        <v>478</v>
      </c>
      <c r="H309" s="7" t="s">
        <v>476</v>
      </c>
      <c r="I309" s="6">
        <v>558.70000000000005</v>
      </c>
      <c r="J309" s="6">
        <f t="shared" si="14"/>
        <v>157254.42000000004</v>
      </c>
      <c r="K309" s="6">
        <f t="shared" si="13"/>
        <v>99738.730000000127</v>
      </c>
    </row>
    <row r="310" spans="1:11" x14ac:dyDescent="0.25">
      <c r="A310" s="5" t="s">
        <v>702</v>
      </c>
      <c r="B310" s="42">
        <f t="shared" si="12"/>
        <v>157.81312000000005</v>
      </c>
      <c r="C310" s="7" t="s">
        <v>289</v>
      </c>
      <c r="D310" s="7" t="s">
        <v>287</v>
      </c>
      <c r="E310" s="7" t="s">
        <v>829</v>
      </c>
      <c r="F310" s="8">
        <v>162.71190000000018</v>
      </c>
      <c r="G310" s="7" t="s">
        <v>476</v>
      </c>
      <c r="H310" s="7" t="s">
        <v>474</v>
      </c>
      <c r="I310" s="6">
        <v>607.97</v>
      </c>
      <c r="J310" s="6">
        <f t="shared" si="14"/>
        <v>157813.12000000005</v>
      </c>
      <c r="K310" s="6">
        <f t="shared" si="13"/>
        <v>99180.03000000013</v>
      </c>
    </row>
    <row r="311" spans="1:11" x14ac:dyDescent="0.25">
      <c r="A311" s="5" t="s">
        <v>702</v>
      </c>
      <c r="B311" s="42">
        <f t="shared" si="12"/>
        <v>158.42109000000005</v>
      </c>
      <c r="C311" s="7" t="s">
        <v>287</v>
      </c>
      <c r="D311" s="7" t="s">
        <v>285</v>
      </c>
      <c r="E311" s="7" t="s">
        <v>829</v>
      </c>
      <c r="F311" s="8">
        <v>163.15986000000018</v>
      </c>
      <c r="G311" s="7" t="s">
        <v>474</v>
      </c>
      <c r="H311" s="7" t="s">
        <v>472</v>
      </c>
      <c r="I311" s="6">
        <v>554.70000000000005</v>
      </c>
      <c r="J311" s="6">
        <f t="shared" si="14"/>
        <v>158421.09000000005</v>
      </c>
      <c r="K311" s="6">
        <f t="shared" si="13"/>
        <v>98572.060000000129</v>
      </c>
    </row>
    <row r="312" spans="1:11" x14ac:dyDescent="0.25">
      <c r="A312" s="5" t="s">
        <v>702</v>
      </c>
      <c r="B312" s="42">
        <f t="shared" si="12"/>
        <v>158.97579000000007</v>
      </c>
      <c r="C312" s="7" t="s">
        <v>285</v>
      </c>
      <c r="D312" s="7" t="s">
        <v>283</v>
      </c>
      <c r="E312" s="7" t="s">
        <v>829</v>
      </c>
      <c r="F312" s="8">
        <v>163.61368000000019</v>
      </c>
      <c r="G312" s="7" t="s">
        <v>472</v>
      </c>
      <c r="H312" s="7" t="s">
        <v>470</v>
      </c>
      <c r="I312" s="6">
        <v>512.66999999999996</v>
      </c>
      <c r="J312" s="6">
        <f t="shared" si="14"/>
        <v>158975.79000000007</v>
      </c>
      <c r="K312" s="6">
        <f t="shared" si="13"/>
        <v>98017.360000000132</v>
      </c>
    </row>
    <row r="313" spans="1:11" x14ac:dyDescent="0.25">
      <c r="A313" s="5" t="s">
        <v>702</v>
      </c>
      <c r="B313" s="42">
        <f t="shared" si="12"/>
        <v>159.48846000000009</v>
      </c>
      <c r="C313" s="7" t="s">
        <v>283</v>
      </c>
      <c r="D313" s="7" t="s">
        <v>281</v>
      </c>
      <c r="E313" s="7" t="s">
        <v>829</v>
      </c>
      <c r="F313" s="8">
        <v>164.21584000000021</v>
      </c>
      <c r="G313" s="7" t="s">
        <v>470</v>
      </c>
      <c r="H313" s="7" t="s">
        <v>468</v>
      </c>
      <c r="I313" s="6">
        <v>453.69</v>
      </c>
      <c r="J313" s="6">
        <f t="shared" si="14"/>
        <v>159488.46000000008</v>
      </c>
      <c r="K313" s="6">
        <f t="shared" si="13"/>
        <v>97504.690000000133</v>
      </c>
    </row>
    <row r="314" spans="1:11" x14ac:dyDescent="0.25">
      <c r="A314" s="5" t="s">
        <v>702</v>
      </c>
      <c r="B314" s="42">
        <f t="shared" si="12"/>
        <v>159.94215000000008</v>
      </c>
      <c r="C314" s="7" t="s">
        <v>281</v>
      </c>
      <c r="D314" s="7" t="s">
        <v>279</v>
      </c>
      <c r="E314" s="7" t="s">
        <v>829</v>
      </c>
      <c r="F314" s="8">
        <v>164.71843000000018</v>
      </c>
      <c r="G314" s="7" t="s">
        <v>468</v>
      </c>
      <c r="H314" s="7" t="s">
        <v>466</v>
      </c>
      <c r="I314" s="6">
        <v>509.9</v>
      </c>
      <c r="J314" s="6">
        <f t="shared" si="14"/>
        <v>159942.15000000008</v>
      </c>
      <c r="K314" s="6">
        <f t="shared" si="13"/>
        <v>97051.000000000131</v>
      </c>
    </row>
    <row r="315" spans="1:11" x14ac:dyDescent="0.25">
      <c r="A315" s="5" t="s">
        <v>702</v>
      </c>
      <c r="B315" s="42">
        <f t="shared" si="12"/>
        <v>160.45205000000007</v>
      </c>
      <c r="C315" s="7" t="s">
        <v>279</v>
      </c>
      <c r="D315" s="7" t="s">
        <v>277</v>
      </c>
      <c r="E315" s="7" t="s">
        <v>829</v>
      </c>
      <c r="F315" s="8">
        <v>165.05054000000018</v>
      </c>
      <c r="G315" s="7" t="s">
        <v>466</v>
      </c>
      <c r="H315" s="7" t="s">
        <v>464</v>
      </c>
      <c r="I315" s="6">
        <v>535.03</v>
      </c>
      <c r="J315" s="6">
        <f t="shared" si="14"/>
        <v>160452.05000000008</v>
      </c>
      <c r="K315" s="6">
        <f t="shared" si="13"/>
        <v>96541.100000000137</v>
      </c>
    </row>
    <row r="316" spans="1:11" x14ac:dyDescent="0.25">
      <c r="A316" s="5" t="s">
        <v>702</v>
      </c>
      <c r="B316" s="42">
        <f t="shared" si="12"/>
        <v>160.98708000000008</v>
      </c>
      <c r="C316" s="7" t="s">
        <v>277</v>
      </c>
      <c r="D316" s="7" t="s">
        <v>275</v>
      </c>
      <c r="E316" s="7" t="s">
        <v>829</v>
      </c>
      <c r="F316" s="8">
        <v>165.49263000000019</v>
      </c>
      <c r="G316" s="7" t="s">
        <v>464</v>
      </c>
      <c r="H316" s="7" t="s">
        <v>462</v>
      </c>
      <c r="I316" s="6">
        <v>585.87</v>
      </c>
      <c r="J316" s="6">
        <f t="shared" si="14"/>
        <v>160987.08000000007</v>
      </c>
      <c r="K316" s="6">
        <f t="shared" si="13"/>
        <v>96006.070000000138</v>
      </c>
    </row>
    <row r="317" spans="1:11" x14ac:dyDescent="0.25">
      <c r="A317" s="5" t="s">
        <v>702</v>
      </c>
      <c r="B317" s="42">
        <f t="shared" si="12"/>
        <v>161.57295000000008</v>
      </c>
      <c r="C317" s="7" t="s">
        <v>275</v>
      </c>
      <c r="D317" s="7" t="s">
        <v>273</v>
      </c>
      <c r="E317" s="7" t="s">
        <v>829</v>
      </c>
      <c r="F317" s="8">
        <v>165.87096000000017</v>
      </c>
      <c r="G317" s="7" t="s">
        <v>462</v>
      </c>
      <c r="H317" s="7" t="s">
        <v>460</v>
      </c>
      <c r="I317" s="6">
        <v>688.63</v>
      </c>
      <c r="J317" s="6">
        <f t="shared" si="14"/>
        <v>161572.95000000007</v>
      </c>
      <c r="K317" s="6">
        <f t="shared" si="13"/>
        <v>95420.200000000143</v>
      </c>
    </row>
    <row r="318" spans="1:11" x14ac:dyDescent="0.25">
      <c r="A318" s="5" t="s">
        <v>702</v>
      </c>
      <c r="B318" s="42">
        <f t="shared" si="12"/>
        <v>162.26158000000007</v>
      </c>
      <c r="C318" s="7" t="s">
        <v>273</v>
      </c>
      <c r="D318" s="7" t="s">
        <v>271</v>
      </c>
      <c r="E318" s="7" t="s">
        <v>829</v>
      </c>
      <c r="F318" s="8">
        <v>166.29139000000015</v>
      </c>
      <c r="G318" s="7" t="s">
        <v>460</v>
      </c>
      <c r="H318" s="7" t="s">
        <v>458</v>
      </c>
      <c r="I318" s="6">
        <v>510.61</v>
      </c>
      <c r="J318" s="6">
        <f t="shared" si="14"/>
        <v>162261.58000000007</v>
      </c>
      <c r="K318" s="6">
        <f t="shared" si="13"/>
        <v>94731.570000000138</v>
      </c>
    </row>
    <row r="319" spans="1:11" x14ac:dyDescent="0.25">
      <c r="A319" s="5" t="s">
        <v>702</v>
      </c>
      <c r="B319" s="42">
        <f t="shared" si="12"/>
        <v>162.77219000000005</v>
      </c>
      <c r="C319" s="7" t="s">
        <v>271</v>
      </c>
      <c r="D319" s="7" t="s">
        <v>270</v>
      </c>
      <c r="E319" s="7" t="s">
        <v>829</v>
      </c>
      <c r="F319" s="8">
        <v>166.79388000000014</v>
      </c>
      <c r="G319" s="7" t="s">
        <v>458</v>
      </c>
      <c r="H319" s="7" t="s">
        <v>456</v>
      </c>
      <c r="I319" s="6">
        <v>408.39</v>
      </c>
      <c r="J319" s="6">
        <f t="shared" si="14"/>
        <v>162772.19000000006</v>
      </c>
      <c r="K319" s="6">
        <f t="shared" si="13"/>
        <v>94220.960000000137</v>
      </c>
    </row>
    <row r="320" spans="1:11" x14ac:dyDescent="0.25">
      <c r="A320" s="5" t="s">
        <v>702</v>
      </c>
      <c r="B320" s="42">
        <f t="shared" si="12"/>
        <v>163.18058000000008</v>
      </c>
      <c r="C320" s="7" t="s">
        <v>270</v>
      </c>
      <c r="D320" s="7" t="s">
        <v>269</v>
      </c>
      <c r="E320" s="7" t="s">
        <v>829</v>
      </c>
      <c r="F320" s="8">
        <v>167.32246000000015</v>
      </c>
      <c r="G320" s="7" t="s">
        <v>456</v>
      </c>
      <c r="H320" s="7" t="s">
        <v>454</v>
      </c>
      <c r="I320" s="6">
        <v>660.01</v>
      </c>
      <c r="J320" s="6">
        <f t="shared" si="14"/>
        <v>163180.58000000007</v>
      </c>
      <c r="K320" s="6">
        <f t="shared" si="13"/>
        <v>93812.570000000138</v>
      </c>
    </row>
    <row r="321" spans="1:11" x14ac:dyDescent="0.25">
      <c r="A321" s="5" t="s">
        <v>702</v>
      </c>
      <c r="B321" s="42">
        <f t="shared" si="12"/>
        <v>163.84059000000008</v>
      </c>
      <c r="C321" s="7" t="s">
        <v>269</v>
      </c>
      <c r="D321" s="7" t="s">
        <v>268</v>
      </c>
      <c r="E321" s="7" t="s">
        <v>829</v>
      </c>
      <c r="F321" s="8">
        <v>168.09282000000013</v>
      </c>
      <c r="G321" s="7" t="s">
        <v>454</v>
      </c>
      <c r="H321" s="7" t="s">
        <v>452</v>
      </c>
      <c r="I321" s="6">
        <v>539.97</v>
      </c>
      <c r="J321" s="6">
        <f t="shared" si="14"/>
        <v>163840.59000000008</v>
      </c>
      <c r="K321" s="6">
        <f t="shared" si="13"/>
        <v>93152.560000000143</v>
      </c>
    </row>
    <row r="322" spans="1:11" x14ac:dyDescent="0.25">
      <c r="A322" s="5" t="s">
        <v>702</v>
      </c>
      <c r="B322" s="42">
        <f t="shared" si="12"/>
        <v>164.38056000000009</v>
      </c>
      <c r="C322" s="7" t="s">
        <v>268</v>
      </c>
      <c r="D322" s="7" t="s">
        <v>267</v>
      </c>
      <c r="E322" s="7" t="s">
        <v>829</v>
      </c>
      <c r="F322" s="8">
        <v>168.53249000000014</v>
      </c>
      <c r="G322" s="7" t="s">
        <v>452</v>
      </c>
      <c r="H322" s="7" t="s">
        <v>450</v>
      </c>
      <c r="I322" s="6">
        <v>450</v>
      </c>
      <c r="J322" s="6">
        <f t="shared" si="14"/>
        <v>164380.56000000008</v>
      </c>
      <c r="K322" s="6">
        <f t="shared" si="13"/>
        <v>92612.590000000142</v>
      </c>
    </row>
    <row r="323" spans="1:11" x14ac:dyDescent="0.25">
      <c r="A323" s="5" t="s">
        <v>702</v>
      </c>
      <c r="B323" s="42">
        <f t="shared" ref="B323:B386" si="15">J323/1000</f>
        <v>164.83056000000008</v>
      </c>
      <c r="C323" s="7" t="s">
        <v>267</v>
      </c>
      <c r="D323" s="7" t="s">
        <v>266</v>
      </c>
      <c r="E323" s="7" t="s">
        <v>829</v>
      </c>
      <c r="F323" s="8">
        <v>168.93862000000013</v>
      </c>
      <c r="G323" s="7" t="s">
        <v>450</v>
      </c>
      <c r="H323" s="7" t="s">
        <v>448</v>
      </c>
      <c r="I323" s="6">
        <v>495.08</v>
      </c>
      <c r="J323" s="6">
        <f t="shared" si="14"/>
        <v>164830.56000000008</v>
      </c>
      <c r="K323" s="6">
        <f t="shared" si="13"/>
        <v>92162.590000000142</v>
      </c>
    </row>
    <row r="324" spans="1:11" x14ac:dyDescent="0.25">
      <c r="A324" s="5" t="s">
        <v>702</v>
      </c>
      <c r="B324" s="42">
        <f t="shared" si="15"/>
        <v>165.32564000000008</v>
      </c>
      <c r="C324" s="7" t="s">
        <v>266</v>
      </c>
      <c r="D324" s="7" t="s">
        <v>265</v>
      </c>
      <c r="E324" s="7" t="s">
        <v>829</v>
      </c>
      <c r="F324" s="8">
        <v>169.38746000000015</v>
      </c>
      <c r="G324" s="7" t="s">
        <v>448</v>
      </c>
      <c r="H324" s="7" t="s">
        <v>446</v>
      </c>
      <c r="I324" s="6">
        <v>520.24</v>
      </c>
      <c r="J324" s="6">
        <f t="shared" si="14"/>
        <v>165325.64000000007</v>
      </c>
      <c r="K324" s="6">
        <f t="shared" ref="K324:K387" si="16">K323-I323</f>
        <v>91667.51000000014</v>
      </c>
    </row>
    <row r="325" spans="1:11" x14ac:dyDescent="0.25">
      <c r="A325" s="5" t="s">
        <v>702</v>
      </c>
      <c r="B325" s="42">
        <f t="shared" si="15"/>
        <v>165.84588000000005</v>
      </c>
      <c r="C325" s="7" t="s">
        <v>265</v>
      </c>
      <c r="D325" s="7" t="s">
        <v>264</v>
      </c>
      <c r="E325" s="7" t="s">
        <v>829</v>
      </c>
      <c r="F325" s="8">
        <v>169.87706000000014</v>
      </c>
      <c r="G325" s="7" t="s">
        <v>446</v>
      </c>
      <c r="H325" s="7" t="s">
        <v>444</v>
      </c>
      <c r="I325" s="6">
        <v>576.37</v>
      </c>
      <c r="J325" s="6">
        <f t="shared" ref="J325:J388" si="17">J324+I324</f>
        <v>165845.88000000006</v>
      </c>
      <c r="K325" s="6">
        <f t="shared" si="16"/>
        <v>91147.270000000135</v>
      </c>
    </row>
    <row r="326" spans="1:11" x14ac:dyDescent="0.25">
      <c r="A326" s="5" t="s">
        <v>702</v>
      </c>
      <c r="B326" s="42">
        <f t="shared" si="15"/>
        <v>166.42225000000005</v>
      </c>
      <c r="C326" s="7" t="s">
        <v>264</v>
      </c>
      <c r="D326" s="7" t="s">
        <v>263</v>
      </c>
      <c r="E326" s="7" t="s">
        <v>829</v>
      </c>
      <c r="F326" s="8">
        <v>170.44598000000016</v>
      </c>
      <c r="G326" s="7" t="s">
        <v>444</v>
      </c>
      <c r="H326" s="7" t="s">
        <v>442</v>
      </c>
      <c r="I326" s="6">
        <v>492.27</v>
      </c>
      <c r="J326" s="6">
        <f t="shared" si="17"/>
        <v>166422.25000000006</v>
      </c>
      <c r="K326" s="6">
        <f t="shared" si="16"/>
        <v>90570.90000000014</v>
      </c>
    </row>
    <row r="327" spans="1:11" x14ac:dyDescent="0.25">
      <c r="A327" s="5" t="s">
        <v>702</v>
      </c>
      <c r="B327" s="42">
        <f t="shared" si="15"/>
        <v>166.91452000000004</v>
      </c>
      <c r="C327" s="7" t="s">
        <v>263</v>
      </c>
      <c r="D327" s="7" t="s">
        <v>262</v>
      </c>
      <c r="E327" s="7" t="s">
        <v>829</v>
      </c>
      <c r="F327" s="8">
        <v>170.91574000000017</v>
      </c>
      <c r="G327" s="7" t="s">
        <v>442</v>
      </c>
      <c r="H327" s="7" t="s">
        <v>440</v>
      </c>
      <c r="I327" s="6">
        <v>503.57</v>
      </c>
      <c r="J327" s="6">
        <f t="shared" si="17"/>
        <v>166914.52000000005</v>
      </c>
      <c r="K327" s="6">
        <f t="shared" si="16"/>
        <v>90078.630000000136</v>
      </c>
    </row>
    <row r="328" spans="1:11" x14ac:dyDescent="0.25">
      <c r="A328" s="5" t="s">
        <v>702</v>
      </c>
      <c r="B328" s="42">
        <f t="shared" si="15"/>
        <v>167.41809000000006</v>
      </c>
      <c r="C328" s="7" t="s">
        <v>262</v>
      </c>
      <c r="D328" s="7" t="s">
        <v>261</v>
      </c>
      <c r="E328" s="7" t="s">
        <v>829</v>
      </c>
      <c r="F328" s="8">
        <v>171.40522000000018</v>
      </c>
      <c r="G328" s="7" t="s">
        <v>440</v>
      </c>
      <c r="H328" s="7" t="s">
        <v>438</v>
      </c>
      <c r="I328" s="6">
        <v>635.6</v>
      </c>
      <c r="J328" s="6">
        <f t="shared" si="17"/>
        <v>167418.09000000005</v>
      </c>
      <c r="K328" s="6">
        <f t="shared" si="16"/>
        <v>89575.060000000129</v>
      </c>
    </row>
    <row r="329" spans="1:11" x14ac:dyDescent="0.25">
      <c r="A329" s="5" t="s">
        <v>702</v>
      </c>
      <c r="B329" s="42">
        <f t="shared" si="15"/>
        <v>168.05369000000007</v>
      </c>
      <c r="C329" s="7" t="s">
        <v>261</v>
      </c>
      <c r="D329" s="7" t="s">
        <v>260</v>
      </c>
      <c r="E329" s="7" t="s">
        <v>829</v>
      </c>
      <c r="F329" s="8">
        <v>171.95248000000018</v>
      </c>
      <c r="G329" s="7" t="s">
        <v>438</v>
      </c>
      <c r="H329" s="7" t="s">
        <v>436</v>
      </c>
      <c r="I329" s="6">
        <v>532.16</v>
      </c>
      <c r="J329" s="6">
        <f t="shared" si="17"/>
        <v>168053.69000000006</v>
      </c>
      <c r="K329" s="6">
        <f t="shared" si="16"/>
        <v>88939.460000000123</v>
      </c>
    </row>
    <row r="330" spans="1:11" x14ac:dyDescent="0.25">
      <c r="A330" s="5" t="s">
        <v>702</v>
      </c>
      <c r="B330" s="42">
        <f t="shared" si="15"/>
        <v>168.58585000000005</v>
      </c>
      <c r="C330" s="7" t="s">
        <v>260</v>
      </c>
      <c r="D330" s="7" t="s">
        <v>259</v>
      </c>
      <c r="E330" s="7" t="s">
        <v>829</v>
      </c>
      <c r="F330" s="8">
        <v>172.32204000000019</v>
      </c>
      <c r="G330" s="7" t="s">
        <v>436</v>
      </c>
      <c r="H330" s="7" t="s">
        <v>434</v>
      </c>
      <c r="I330" s="6">
        <v>539.83000000000004</v>
      </c>
      <c r="J330" s="6">
        <f t="shared" si="17"/>
        <v>168585.85000000006</v>
      </c>
      <c r="K330" s="6">
        <f t="shared" si="16"/>
        <v>88407.300000000119</v>
      </c>
    </row>
    <row r="331" spans="1:11" x14ac:dyDescent="0.25">
      <c r="A331" s="5" t="s">
        <v>702</v>
      </c>
      <c r="B331" s="42">
        <f t="shared" si="15"/>
        <v>169.12568000000005</v>
      </c>
      <c r="C331" s="7" t="s">
        <v>259</v>
      </c>
      <c r="D331" s="7" t="s">
        <v>258</v>
      </c>
      <c r="E331" s="7" t="s">
        <v>829</v>
      </c>
      <c r="F331" s="8">
        <v>172.72581000000017</v>
      </c>
      <c r="G331" s="7" t="s">
        <v>434</v>
      </c>
      <c r="H331" s="7" t="s">
        <v>432</v>
      </c>
      <c r="I331" s="6">
        <v>604.63</v>
      </c>
      <c r="J331" s="6">
        <f t="shared" si="17"/>
        <v>169125.68000000005</v>
      </c>
      <c r="K331" s="6">
        <f t="shared" si="16"/>
        <v>87867.470000000118</v>
      </c>
    </row>
    <row r="332" spans="1:11" x14ac:dyDescent="0.25">
      <c r="A332" s="5" t="s">
        <v>702</v>
      </c>
      <c r="B332" s="42">
        <f t="shared" si="15"/>
        <v>169.73031000000006</v>
      </c>
      <c r="C332" s="7" t="s">
        <v>258</v>
      </c>
      <c r="D332" s="7" t="s">
        <v>257</v>
      </c>
      <c r="E332" s="7" t="s">
        <v>829</v>
      </c>
      <c r="F332" s="8">
        <v>173.14608000000015</v>
      </c>
      <c r="G332" s="7" t="s">
        <v>432</v>
      </c>
      <c r="H332" s="7" t="s">
        <v>430</v>
      </c>
      <c r="I332" s="6">
        <v>432.72</v>
      </c>
      <c r="J332" s="6">
        <f t="shared" si="17"/>
        <v>169730.31000000006</v>
      </c>
      <c r="K332" s="6">
        <f t="shared" si="16"/>
        <v>87262.840000000113</v>
      </c>
    </row>
    <row r="333" spans="1:11" x14ac:dyDescent="0.25">
      <c r="A333" s="5" t="s">
        <v>702</v>
      </c>
      <c r="B333" s="42">
        <f t="shared" si="15"/>
        <v>170.16303000000005</v>
      </c>
      <c r="C333" s="7" t="s">
        <v>257</v>
      </c>
      <c r="D333" s="7" t="s">
        <v>256</v>
      </c>
      <c r="E333" s="7" t="s">
        <v>829</v>
      </c>
      <c r="F333" s="8">
        <v>173.81166000000016</v>
      </c>
      <c r="G333" s="7" t="s">
        <v>430</v>
      </c>
      <c r="H333" s="7" t="s">
        <v>428</v>
      </c>
      <c r="I333" s="6">
        <v>576.97</v>
      </c>
      <c r="J333" s="6">
        <f t="shared" si="17"/>
        <v>170163.03000000006</v>
      </c>
      <c r="K333" s="6">
        <f t="shared" si="16"/>
        <v>86830.120000000112</v>
      </c>
    </row>
    <row r="334" spans="1:11" x14ac:dyDescent="0.25">
      <c r="A334" s="5" t="s">
        <v>702</v>
      </c>
      <c r="B334" s="42">
        <f t="shared" si="15"/>
        <v>170.74000000000007</v>
      </c>
      <c r="C334" s="7" t="s">
        <v>256</v>
      </c>
      <c r="D334" s="7" t="s">
        <v>255</v>
      </c>
      <c r="E334" s="7" t="s">
        <v>829</v>
      </c>
      <c r="F334" s="8">
        <v>174.36562000000015</v>
      </c>
      <c r="G334" s="7" t="s">
        <v>428</v>
      </c>
      <c r="H334" s="7" t="s">
        <v>426</v>
      </c>
      <c r="I334" s="6">
        <v>554.47</v>
      </c>
      <c r="J334" s="6">
        <f t="shared" si="17"/>
        <v>170740.00000000006</v>
      </c>
      <c r="K334" s="6">
        <f t="shared" si="16"/>
        <v>86253.150000000111</v>
      </c>
    </row>
    <row r="335" spans="1:11" x14ac:dyDescent="0.25">
      <c r="A335" s="5" t="s">
        <v>702</v>
      </c>
      <c r="B335" s="42">
        <f t="shared" si="15"/>
        <v>171.29447000000005</v>
      </c>
      <c r="C335" s="7" t="s">
        <v>255</v>
      </c>
      <c r="D335" s="7" t="s">
        <v>254</v>
      </c>
      <c r="E335" s="7" t="s">
        <v>829</v>
      </c>
      <c r="F335" s="8">
        <v>174.91084000000015</v>
      </c>
      <c r="G335" s="7" t="s">
        <v>426</v>
      </c>
      <c r="H335" s="7" t="s">
        <v>424</v>
      </c>
      <c r="I335" s="6">
        <v>529.86</v>
      </c>
      <c r="J335" s="6">
        <f t="shared" si="17"/>
        <v>171294.47000000006</v>
      </c>
      <c r="K335" s="6">
        <f t="shared" si="16"/>
        <v>85698.680000000109</v>
      </c>
    </row>
    <row r="336" spans="1:11" x14ac:dyDescent="0.25">
      <c r="A336" s="5" t="s">
        <v>702</v>
      </c>
      <c r="B336" s="42">
        <f t="shared" si="15"/>
        <v>171.82433000000003</v>
      </c>
      <c r="C336" s="7" t="s">
        <v>254</v>
      </c>
      <c r="D336" s="7" t="s">
        <v>253</v>
      </c>
      <c r="E336" s="7" t="s">
        <v>829</v>
      </c>
      <c r="F336" s="8">
        <v>175.33419000000015</v>
      </c>
      <c r="G336" s="7" t="s">
        <v>424</v>
      </c>
      <c r="H336" s="7" t="s">
        <v>422</v>
      </c>
      <c r="I336" s="6">
        <v>603.22</v>
      </c>
      <c r="J336" s="6">
        <f t="shared" si="17"/>
        <v>171824.33000000005</v>
      </c>
      <c r="K336" s="6">
        <f t="shared" si="16"/>
        <v>85168.820000000109</v>
      </c>
    </row>
    <row r="337" spans="1:11" x14ac:dyDescent="0.25">
      <c r="A337" s="5" t="s">
        <v>702</v>
      </c>
      <c r="B337" s="42">
        <f t="shared" si="15"/>
        <v>172.42755000000005</v>
      </c>
      <c r="C337" s="7" t="s">
        <v>253</v>
      </c>
      <c r="D337" s="7" t="s">
        <v>252</v>
      </c>
      <c r="E337" s="7" t="s">
        <v>829</v>
      </c>
      <c r="F337" s="8">
        <v>175.78675000000015</v>
      </c>
      <c r="G337" s="7" t="s">
        <v>422</v>
      </c>
      <c r="H337" s="7" t="s">
        <v>420</v>
      </c>
      <c r="I337" s="6">
        <v>536.59</v>
      </c>
      <c r="J337" s="6">
        <f t="shared" si="17"/>
        <v>172427.55000000005</v>
      </c>
      <c r="K337" s="6">
        <f t="shared" si="16"/>
        <v>84565.600000000108</v>
      </c>
    </row>
    <row r="338" spans="1:11" x14ac:dyDescent="0.25">
      <c r="A338" s="5" t="s">
        <v>702</v>
      </c>
      <c r="B338" s="42">
        <f t="shared" si="15"/>
        <v>172.96414000000004</v>
      </c>
      <c r="C338" s="7" t="s">
        <v>252</v>
      </c>
      <c r="D338" s="7" t="s">
        <v>251</v>
      </c>
      <c r="E338" s="7" t="s">
        <v>829</v>
      </c>
      <c r="F338" s="8">
        <v>176.26136000000014</v>
      </c>
      <c r="G338" s="7" t="s">
        <v>420</v>
      </c>
      <c r="H338" s="7" t="s">
        <v>418</v>
      </c>
      <c r="I338" s="6">
        <v>598.46</v>
      </c>
      <c r="J338" s="6">
        <f t="shared" si="17"/>
        <v>172964.14000000004</v>
      </c>
      <c r="K338" s="6">
        <f t="shared" si="16"/>
        <v>84029.010000000111</v>
      </c>
    </row>
    <row r="339" spans="1:11" x14ac:dyDescent="0.25">
      <c r="A339" s="5" t="s">
        <v>702</v>
      </c>
      <c r="B339" s="42">
        <f t="shared" si="15"/>
        <v>173.56260000000003</v>
      </c>
      <c r="C339" s="7" t="s">
        <v>251</v>
      </c>
      <c r="D339" s="7" t="s">
        <v>250</v>
      </c>
      <c r="E339" s="7" t="s">
        <v>829</v>
      </c>
      <c r="F339" s="8">
        <v>176.71555000000012</v>
      </c>
      <c r="G339" s="7" t="s">
        <v>418</v>
      </c>
      <c r="H339" s="7" t="s">
        <v>416</v>
      </c>
      <c r="I339" s="6">
        <v>501.96</v>
      </c>
      <c r="J339" s="6">
        <f t="shared" si="17"/>
        <v>173562.60000000003</v>
      </c>
      <c r="K339" s="6">
        <f t="shared" si="16"/>
        <v>83430.550000000105</v>
      </c>
    </row>
    <row r="340" spans="1:11" x14ac:dyDescent="0.25">
      <c r="A340" s="5" t="s">
        <v>702</v>
      </c>
      <c r="B340" s="42">
        <f t="shared" si="15"/>
        <v>174.06456000000003</v>
      </c>
      <c r="C340" s="7" t="s">
        <v>250</v>
      </c>
      <c r="D340" s="7" t="s">
        <v>249</v>
      </c>
      <c r="E340" s="7" t="s">
        <v>829</v>
      </c>
      <c r="F340" s="8">
        <v>177.09644000000014</v>
      </c>
      <c r="G340" s="7" t="s">
        <v>416</v>
      </c>
      <c r="H340" s="7" t="s">
        <v>414</v>
      </c>
      <c r="I340" s="6">
        <v>668.89</v>
      </c>
      <c r="J340" s="6">
        <f t="shared" si="17"/>
        <v>174064.56000000003</v>
      </c>
      <c r="K340" s="6">
        <f t="shared" si="16"/>
        <v>82928.590000000098</v>
      </c>
    </row>
    <row r="341" spans="1:11" x14ac:dyDescent="0.25">
      <c r="A341" s="5" t="s">
        <v>702</v>
      </c>
      <c r="B341" s="42">
        <f t="shared" si="15"/>
        <v>174.73345000000003</v>
      </c>
      <c r="C341" s="7" t="s">
        <v>249</v>
      </c>
      <c r="D341" s="7" t="s">
        <v>248</v>
      </c>
      <c r="E341" s="7" t="s">
        <v>829</v>
      </c>
      <c r="F341" s="8">
        <v>177.69930000000014</v>
      </c>
      <c r="G341" s="7" t="s">
        <v>414</v>
      </c>
      <c r="H341" s="7" t="s">
        <v>412</v>
      </c>
      <c r="I341" s="6">
        <v>514.02</v>
      </c>
      <c r="J341" s="6">
        <f t="shared" si="17"/>
        <v>174733.45000000004</v>
      </c>
      <c r="K341" s="6">
        <f t="shared" si="16"/>
        <v>82259.700000000099</v>
      </c>
    </row>
    <row r="342" spans="1:11" x14ac:dyDescent="0.25">
      <c r="A342" s="5" t="s">
        <v>702</v>
      </c>
      <c r="B342" s="42">
        <f t="shared" si="15"/>
        <v>175.24747000000002</v>
      </c>
      <c r="C342" s="7" t="s">
        <v>248</v>
      </c>
      <c r="D342" s="7" t="s">
        <v>247</v>
      </c>
      <c r="E342" s="7" t="s">
        <v>829</v>
      </c>
      <c r="F342" s="8">
        <v>178.25213000000011</v>
      </c>
      <c r="G342" s="7" t="s">
        <v>412</v>
      </c>
      <c r="H342" s="7" t="s">
        <v>410</v>
      </c>
      <c r="I342" s="6">
        <v>461.71</v>
      </c>
      <c r="J342" s="6">
        <f t="shared" si="17"/>
        <v>175247.47000000003</v>
      </c>
      <c r="K342" s="6">
        <f t="shared" si="16"/>
        <v>81745.680000000095</v>
      </c>
    </row>
    <row r="343" spans="1:11" x14ac:dyDescent="0.25">
      <c r="A343" s="5" t="s">
        <v>702</v>
      </c>
      <c r="B343" s="42">
        <f t="shared" si="15"/>
        <v>175.70918000000003</v>
      </c>
      <c r="C343" s="7" t="s">
        <v>247</v>
      </c>
      <c r="D343" s="7" t="s">
        <v>246</v>
      </c>
      <c r="E343" s="7" t="s">
        <v>829</v>
      </c>
      <c r="F343" s="8">
        <v>178.74562000000012</v>
      </c>
      <c r="G343" s="7" t="s">
        <v>410</v>
      </c>
      <c r="H343" s="7" t="s">
        <v>408</v>
      </c>
      <c r="I343" s="6">
        <v>532.89</v>
      </c>
      <c r="J343" s="6">
        <f t="shared" si="17"/>
        <v>175709.18000000002</v>
      </c>
      <c r="K343" s="6">
        <f t="shared" si="16"/>
        <v>81283.970000000088</v>
      </c>
    </row>
    <row r="344" spans="1:11" x14ac:dyDescent="0.25">
      <c r="A344" s="5" t="s">
        <v>702</v>
      </c>
      <c r="B344" s="42">
        <f t="shared" si="15"/>
        <v>176.24207000000004</v>
      </c>
      <c r="C344" s="7" t="s">
        <v>246</v>
      </c>
      <c r="D344" s="7" t="s">
        <v>245</v>
      </c>
      <c r="E344" s="7" t="s">
        <v>829</v>
      </c>
      <c r="F344" s="8">
        <v>179.34563000000011</v>
      </c>
      <c r="G344" s="7" t="s">
        <v>408</v>
      </c>
      <c r="H344" s="7" t="s">
        <v>406</v>
      </c>
      <c r="I344" s="6">
        <v>397.91</v>
      </c>
      <c r="J344" s="6">
        <f t="shared" si="17"/>
        <v>176242.07000000004</v>
      </c>
      <c r="K344" s="6">
        <f t="shared" si="16"/>
        <v>80751.080000000089</v>
      </c>
    </row>
    <row r="345" spans="1:11" x14ac:dyDescent="0.25">
      <c r="A345" s="5" t="s">
        <v>702</v>
      </c>
      <c r="B345" s="42">
        <f t="shared" si="15"/>
        <v>176.63998000000004</v>
      </c>
      <c r="C345" s="7" t="s">
        <v>245</v>
      </c>
      <c r="D345" s="7" t="s">
        <v>244</v>
      </c>
      <c r="E345" s="7" t="s">
        <v>829</v>
      </c>
      <c r="F345" s="8">
        <v>179.69433000000012</v>
      </c>
      <c r="G345" s="7" t="s">
        <v>406</v>
      </c>
      <c r="H345" s="7" t="s">
        <v>404</v>
      </c>
      <c r="I345" s="6">
        <v>666.82</v>
      </c>
      <c r="J345" s="6">
        <f t="shared" si="17"/>
        <v>176639.98000000004</v>
      </c>
      <c r="K345" s="6">
        <f t="shared" si="16"/>
        <v>80353.170000000086</v>
      </c>
    </row>
    <row r="346" spans="1:11" x14ac:dyDescent="0.25">
      <c r="A346" s="5" t="s">
        <v>702</v>
      </c>
      <c r="B346" s="42">
        <f t="shared" si="15"/>
        <v>177.30680000000004</v>
      </c>
      <c r="C346" s="7" t="s">
        <v>244</v>
      </c>
      <c r="D346" s="7" t="s">
        <v>243</v>
      </c>
      <c r="E346" s="7" t="s">
        <v>829</v>
      </c>
      <c r="F346" s="8">
        <v>180.31268000000014</v>
      </c>
      <c r="G346" s="7" t="s">
        <v>404</v>
      </c>
      <c r="H346" s="7" t="s">
        <v>402</v>
      </c>
      <c r="I346" s="6">
        <v>482.74</v>
      </c>
      <c r="J346" s="6">
        <f t="shared" si="17"/>
        <v>177306.80000000005</v>
      </c>
      <c r="K346" s="6">
        <f t="shared" si="16"/>
        <v>79686.350000000079</v>
      </c>
    </row>
    <row r="347" spans="1:11" x14ac:dyDescent="0.25">
      <c r="A347" s="5" t="s">
        <v>702</v>
      </c>
      <c r="B347" s="42">
        <f t="shared" si="15"/>
        <v>177.78954000000004</v>
      </c>
      <c r="C347" s="7" t="s">
        <v>243</v>
      </c>
      <c r="D347" s="7" t="s">
        <v>242</v>
      </c>
      <c r="E347" s="7" t="s">
        <v>829</v>
      </c>
      <c r="F347" s="8">
        <v>180.85174000000015</v>
      </c>
      <c r="G347" s="7" t="s">
        <v>402</v>
      </c>
      <c r="H347" s="7" t="s">
        <v>400</v>
      </c>
      <c r="I347" s="6">
        <v>482</v>
      </c>
      <c r="J347" s="6">
        <f t="shared" si="17"/>
        <v>177789.54000000004</v>
      </c>
      <c r="K347" s="6">
        <f t="shared" si="16"/>
        <v>79203.610000000073</v>
      </c>
    </row>
    <row r="348" spans="1:11" x14ac:dyDescent="0.25">
      <c r="A348" s="5" t="s">
        <v>702</v>
      </c>
      <c r="B348" s="42">
        <f t="shared" si="15"/>
        <v>178.27154000000004</v>
      </c>
      <c r="C348" s="7" t="s">
        <v>242</v>
      </c>
      <c r="D348" s="7" t="s">
        <v>241</v>
      </c>
      <c r="E348" s="7" t="s">
        <v>829</v>
      </c>
      <c r="F348" s="8">
        <v>181.44307000000012</v>
      </c>
      <c r="G348" s="7" t="s">
        <v>400</v>
      </c>
      <c r="H348" s="7" t="s">
        <v>398</v>
      </c>
      <c r="I348" s="6">
        <v>341.32</v>
      </c>
      <c r="J348" s="6">
        <f t="shared" si="17"/>
        <v>178271.54000000004</v>
      </c>
      <c r="K348" s="6">
        <f t="shared" si="16"/>
        <v>78721.610000000073</v>
      </c>
    </row>
    <row r="349" spans="1:11" x14ac:dyDescent="0.25">
      <c r="A349" s="5" t="s">
        <v>702</v>
      </c>
      <c r="B349" s="42">
        <f t="shared" si="15"/>
        <v>178.61286000000004</v>
      </c>
      <c r="C349" s="7" t="s">
        <v>241</v>
      </c>
      <c r="D349" s="7" t="s">
        <v>240</v>
      </c>
      <c r="E349" s="7" t="s">
        <v>829</v>
      </c>
      <c r="F349" s="8">
        <v>181.94813000000013</v>
      </c>
      <c r="G349" s="7" t="s">
        <v>398</v>
      </c>
      <c r="H349" s="7" t="s">
        <v>396</v>
      </c>
      <c r="I349" s="6">
        <v>568.11</v>
      </c>
      <c r="J349" s="6">
        <f t="shared" si="17"/>
        <v>178612.86000000004</v>
      </c>
      <c r="K349" s="6">
        <f t="shared" si="16"/>
        <v>78380.290000000066</v>
      </c>
    </row>
    <row r="350" spans="1:11" x14ac:dyDescent="0.25">
      <c r="A350" s="5" t="s">
        <v>702</v>
      </c>
      <c r="B350" s="42">
        <f t="shared" si="15"/>
        <v>179.18097000000003</v>
      </c>
      <c r="C350" s="7" t="s">
        <v>240</v>
      </c>
      <c r="D350" s="7" t="s">
        <v>239</v>
      </c>
      <c r="E350" s="7" t="s">
        <v>829</v>
      </c>
      <c r="F350" s="8">
        <v>182.37109000000012</v>
      </c>
      <c r="G350" s="7" t="s">
        <v>396</v>
      </c>
      <c r="H350" s="7" t="s">
        <v>394</v>
      </c>
      <c r="I350" s="6">
        <v>533.94000000000005</v>
      </c>
      <c r="J350" s="6">
        <f t="shared" si="17"/>
        <v>179180.97000000003</v>
      </c>
      <c r="K350" s="6">
        <f t="shared" si="16"/>
        <v>77812.180000000066</v>
      </c>
    </row>
    <row r="351" spans="1:11" x14ac:dyDescent="0.25">
      <c r="A351" s="5" t="s">
        <v>702</v>
      </c>
      <c r="B351" s="42">
        <f t="shared" si="15"/>
        <v>179.71491000000003</v>
      </c>
      <c r="C351" s="7" t="s">
        <v>239</v>
      </c>
      <c r="D351" s="7" t="s">
        <v>238</v>
      </c>
      <c r="E351" s="7" t="s">
        <v>829</v>
      </c>
      <c r="F351" s="8">
        <v>182.78127000000012</v>
      </c>
      <c r="G351" s="7" t="s">
        <v>394</v>
      </c>
      <c r="H351" s="7" t="s">
        <v>392</v>
      </c>
      <c r="I351" s="6">
        <v>638.01</v>
      </c>
      <c r="J351" s="6">
        <f t="shared" si="17"/>
        <v>179714.91000000003</v>
      </c>
      <c r="K351" s="6">
        <f t="shared" si="16"/>
        <v>77278.240000000063</v>
      </c>
    </row>
    <row r="352" spans="1:11" x14ac:dyDescent="0.25">
      <c r="A352" s="5" t="s">
        <v>702</v>
      </c>
      <c r="B352" s="42">
        <f t="shared" si="15"/>
        <v>180.35292000000004</v>
      </c>
      <c r="C352" s="7" t="s">
        <v>238</v>
      </c>
      <c r="D352" s="7" t="s">
        <v>237</v>
      </c>
      <c r="E352" s="7" t="s">
        <v>829</v>
      </c>
      <c r="F352" s="8">
        <v>183.34340000000012</v>
      </c>
      <c r="G352" s="7" t="s">
        <v>392</v>
      </c>
      <c r="H352" s="7" t="s">
        <v>390</v>
      </c>
      <c r="I352" s="6">
        <v>348.13</v>
      </c>
      <c r="J352" s="6">
        <f t="shared" si="17"/>
        <v>180352.92000000004</v>
      </c>
      <c r="K352" s="6">
        <f t="shared" si="16"/>
        <v>76640.230000000069</v>
      </c>
    </row>
    <row r="353" spans="1:11" x14ac:dyDescent="0.25">
      <c r="A353" s="5" t="s">
        <v>702</v>
      </c>
      <c r="B353" s="42">
        <f t="shared" si="15"/>
        <v>180.70105000000004</v>
      </c>
      <c r="C353" s="7" t="s">
        <v>237</v>
      </c>
      <c r="D353" s="7" t="s">
        <v>236</v>
      </c>
      <c r="E353" s="7" t="s">
        <v>829</v>
      </c>
      <c r="F353" s="8">
        <v>183.80773000000011</v>
      </c>
      <c r="G353" s="7" t="s">
        <v>390</v>
      </c>
      <c r="H353" s="7" t="s">
        <v>388</v>
      </c>
      <c r="I353" s="6">
        <v>471.51</v>
      </c>
      <c r="J353" s="6">
        <f t="shared" si="17"/>
        <v>180701.05000000005</v>
      </c>
      <c r="K353" s="6">
        <f t="shared" si="16"/>
        <v>76292.100000000064</v>
      </c>
    </row>
    <row r="354" spans="1:11" x14ac:dyDescent="0.25">
      <c r="A354" s="5" t="s">
        <v>702</v>
      </c>
      <c r="B354" s="42">
        <f t="shared" si="15"/>
        <v>181.17256000000006</v>
      </c>
      <c r="C354" s="7" t="s">
        <v>236</v>
      </c>
      <c r="D354" s="7" t="s">
        <v>235</v>
      </c>
      <c r="E354" s="7" t="s">
        <v>829</v>
      </c>
      <c r="F354" s="8">
        <v>184.29827000000012</v>
      </c>
      <c r="G354" s="7" t="s">
        <v>388</v>
      </c>
      <c r="H354" s="7" t="s">
        <v>386</v>
      </c>
      <c r="I354" s="6">
        <v>359.74</v>
      </c>
      <c r="J354" s="6">
        <f t="shared" si="17"/>
        <v>181172.56000000006</v>
      </c>
      <c r="K354" s="6">
        <f t="shared" si="16"/>
        <v>75820.590000000069</v>
      </c>
    </row>
    <row r="355" spans="1:11" x14ac:dyDescent="0.25">
      <c r="A355" s="5" t="s">
        <v>702</v>
      </c>
      <c r="B355" s="42">
        <f t="shared" si="15"/>
        <v>181.53230000000005</v>
      </c>
      <c r="C355" s="7" t="s">
        <v>235</v>
      </c>
      <c r="D355" s="7" t="s">
        <v>234</v>
      </c>
      <c r="E355" s="7" t="s">
        <v>829</v>
      </c>
      <c r="F355" s="8">
        <v>184.75289000000009</v>
      </c>
      <c r="G355" s="7" t="s">
        <v>386</v>
      </c>
      <c r="H355" s="7" t="s">
        <v>384</v>
      </c>
      <c r="I355" s="6">
        <v>577.14</v>
      </c>
      <c r="J355" s="6">
        <f t="shared" si="17"/>
        <v>181532.30000000005</v>
      </c>
      <c r="K355" s="6">
        <f t="shared" si="16"/>
        <v>75460.850000000064</v>
      </c>
    </row>
    <row r="356" spans="1:11" x14ac:dyDescent="0.25">
      <c r="A356" s="5" t="s">
        <v>702</v>
      </c>
      <c r="B356" s="42">
        <f t="shared" si="15"/>
        <v>182.10944000000006</v>
      </c>
      <c r="C356" s="7" t="s">
        <v>234</v>
      </c>
      <c r="D356" s="7" t="s">
        <v>233</v>
      </c>
      <c r="E356" s="7" t="s">
        <v>829</v>
      </c>
      <c r="F356" s="8">
        <v>185.2000700000001</v>
      </c>
      <c r="G356" s="7" t="s">
        <v>384</v>
      </c>
      <c r="H356" s="7" t="s">
        <v>382</v>
      </c>
      <c r="I356" s="6">
        <v>495</v>
      </c>
      <c r="J356" s="6">
        <f t="shared" si="17"/>
        <v>182109.44000000006</v>
      </c>
      <c r="K356" s="6">
        <f t="shared" si="16"/>
        <v>74883.710000000065</v>
      </c>
    </row>
    <row r="357" spans="1:11" x14ac:dyDescent="0.25">
      <c r="A357" s="5" t="s">
        <v>702</v>
      </c>
      <c r="B357" s="42">
        <f t="shared" si="15"/>
        <v>182.60444000000007</v>
      </c>
      <c r="C357" s="7" t="s">
        <v>233</v>
      </c>
      <c r="D357" s="7" t="s">
        <v>232</v>
      </c>
      <c r="E357" s="7" t="s">
        <v>829</v>
      </c>
      <c r="F357" s="8">
        <v>185.66824000000011</v>
      </c>
      <c r="G357" s="7" t="s">
        <v>382</v>
      </c>
      <c r="H357" s="7" t="s">
        <v>380</v>
      </c>
      <c r="I357" s="6">
        <v>359.56</v>
      </c>
      <c r="J357" s="6">
        <f t="shared" si="17"/>
        <v>182604.44000000006</v>
      </c>
      <c r="K357" s="6">
        <f t="shared" si="16"/>
        <v>74388.710000000065</v>
      </c>
    </row>
    <row r="358" spans="1:11" x14ac:dyDescent="0.25">
      <c r="A358" s="5" t="s">
        <v>702</v>
      </c>
      <c r="B358" s="42">
        <f t="shared" si="15"/>
        <v>182.96400000000006</v>
      </c>
      <c r="C358" s="7" t="s">
        <v>232</v>
      </c>
      <c r="D358" s="7" t="s">
        <v>231</v>
      </c>
      <c r="E358" s="7" t="s">
        <v>829</v>
      </c>
      <c r="F358" s="8">
        <v>186.0644200000001</v>
      </c>
      <c r="G358" s="7" t="s">
        <v>380</v>
      </c>
      <c r="H358" s="7" t="s">
        <v>378</v>
      </c>
      <c r="I358" s="6">
        <v>760.56</v>
      </c>
      <c r="J358" s="6">
        <f t="shared" si="17"/>
        <v>182964.00000000006</v>
      </c>
      <c r="K358" s="6">
        <f t="shared" si="16"/>
        <v>74029.150000000067</v>
      </c>
    </row>
    <row r="359" spans="1:11" x14ac:dyDescent="0.25">
      <c r="A359" s="5" t="s">
        <v>702</v>
      </c>
      <c r="B359" s="42">
        <f t="shared" si="15"/>
        <v>183.72456000000005</v>
      </c>
      <c r="C359" s="7" t="s">
        <v>231</v>
      </c>
      <c r="D359" s="7" t="s">
        <v>230</v>
      </c>
      <c r="E359" s="7" t="s">
        <v>829</v>
      </c>
      <c r="F359" s="8">
        <v>186.5039000000001</v>
      </c>
      <c r="G359" s="7" t="s">
        <v>378</v>
      </c>
      <c r="H359" s="7" t="s">
        <v>376</v>
      </c>
      <c r="I359" s="6">
        <v>436.89</v>
      </c>
      <c r="J359" s="6">
        <f t="shared" si="17"/>
        <v>183724.56000000006</v>
      </c>
      <c r="K359" s="6">
        <f t="shared" si="16"/>
        <v>73268.590000000069</v>
      </c>
    </row>
    <row r="360" spans="1:11" x14ac:dyDescent="0.25">
      <c r="A360" s="5" t="s">
        <v>702</v>
      </c>
      <c r="B360" s="42">
        <f t="shared" si="15"/>
        <v>184.16145000000006</v>
      </c>
      <c r="C360" s="7" t="s">
        <v>230</v>
      </c>
      <c r="D360" s="7" t="s">
        <v>229</v>
      </c>
      <c r="E360" s="7" t="s">
        <v>829</v>
      </c>
      <c r="F360" s="8">
        <v>186.91059000000013</v>
      </c>
      <c r="G360" s="7" t="s">
        <v>376</v>
      </c>
      <c r="H360" s="7" t="s">
        <v>374</v>
      </c>
      <c r="I360" s="6">
        <v>412.1</v>
      </c>
      <c r="J360" s="6">
        <f t="shared" si="17"/>
        <v>184161.45000000007</v>
      </c>
      <c r="K360" s="6">
        <f t="shared" si="16"/>
        <v>72831.70000000007</v>
      </c>
    </row>
    <row r="361" spans="1:11" x14ac:dyDescent="0.25">
      <c r="A361" s="5" t="s">
        <v>702</v>
      </c>
      <c r="B361" s="42">
        <f t="shared" si="15"/>
        <v>184.57355000000007</v>
      </c>
      <c r="C361" s="7" t="s">
        <v>229</v>
      </c>
      <c r="D361" s="7" t="s">
        <v>228</v>
      </c>
      <c r="E361" s="7" t="s">
        <v>829</v>
      </c>
      <c r="F361" s="8">
        <v>187.32539000000011</v>
      </c>
      <c r="G361" s="7" t="s">
        <v>374</v>
      </c>
      <c r="H361" s="7" t="s">
        <v>372</v>
      </c>
      <c r="I361" s="6">
        <v>441.03</v>
      </c>
      <c r="J361" s="6">
        <f t="shared" si="17"/>
        <v>184573.55000000008</v>
      </c>
      <c r="K361" s="6">
        <f t="shared" si="16"/>
        <v>72419.600000000064</v>
      </c>
    </row>
    <row r="362" spans="1:11" x14ac:dyDescent="0.25">
      <c r="A362" s="5" t="s">
        <v>702</v>
      </c>
      <c r="B362" s="42">
        <f t="shared" si="15"/>
        <v>185.01458000000008</v>
      </c>
      <c r="C362" s="7" t="s">
        <v>228</v>
      </c>
      <c r="D362" s="7" t="s">
        <v>227</v>
      </c>
      <c r="E362" s="7" t="s">
        <v>829</v>
      </c>
      <c r="F362" s="8">
        <v>187.8129100000001</v>
      </c>
      <c r="G362" s="7" t="s">
        <v>372</v>
      </c>
      <c r="H362" s="7" t="s">
        <v>370</v>
      </c>
      <c r="I362" s="6">
        <v>541.79999999999995</v>
      </c>
      <c r="J362" s="6">
        <f t="shared" si="17"/>
        <v>185014.58000000007</v>
      </c>
      <c r="K362" s="6">
        <f t="shared" si="16"/>
        <v>71978.570000000065</v>
      </c>
    </row>
    <row r="363" spans="1:11" x14ac:dyDescent="0.25">
      <c r="A363" s="5" t="s">
        <v>702</v>
      </c>
      <c r="B363" s="42">
        <f t="shared" si="15"/>
        <v>185.55638000000008</v>
      </c>
      <c r="C363" s="7" t="s">
        <v>227</v>
      </c>
      <c r="D363" s="7" t="s">
        <v>226</v>
      </c>
      <c r="E363" s="7" t="s">
        <v>829</v>
      </c>
      <c r="F363" s="8">
        <v>188.35260000000008</v>
      </c>
      <c r="G363" s="7" t="s">
        <v>370</v>
      </c>
      <c r="H363" s="7" t="s">
        <v>368</v>
      </c>
      <c r="I363" s="6">
        <v>579.28</v>
      </c>
      <c r="J363" s="6">
        <f t="shared" si="17"/>
        <v>185556.38000000006</v>
      </c>
      <c r="K363" s="6">
        <f t="shared" si="16"/>
        <v>71436.770000000062</v>
      </c>
    </row>
    <row r="364" spans="1:11" x14ac:dyDescent="0.25">
      <c r="A364" s="5" t="s">
        <v>702</v>
      </c>
      <c r="B364" s="42">
        <f t="shared" si="15"/>
        <v>186.13566000000006</v>
      </c>
      <c r="C364" s="7" t="s">
        <v>226</v>
      </c>
      <c r="D364" s="7" t="s">
        <v>225</v>
      </c>
      <c r="E364" s="7" t="s">
        <v>829</v>
      </c>
      <c r="F364" s="8">
        <v>188.8554400000001</v>
      </c>
      <c r="G364" s="7" t="s">
        <v>368</v>
      </c>
      <c r="H364" s="7" t="s">
        <v>366</v>
      </c>
      <c r="I364" s="6">
        <v>563.70000000000005</v>
      </c>
      <c r="J364" s="6">
        <f t="shared" si="17"/>
        <v>186135.66000000006</v>
      </c>
      <c r="K364" s="6">
        <f t="shared" si="16"/>
        <v>70857.490000000063</v>
      </c>
    </row>
    <row r="365" spans="1:11" x14ac:dyDescent="0.25">
      <c r="A365" s="5" t="s">
        <v>702</v>
      </c>
      <c r="B365" s="42">
        <f t="shared" si="15"/>
        <v>186.69936000000007</v>
      </c>
      <c r="C365" s="7" t="s">
        <v>225</v>
      </c>
      <c r="D365" s="7" t="s">
        <v>224</v>
      </c>
      <c r="E365" s="7" t="s">
        <v>829</v>
      </c>
      <c r="F365" s="8">
        <v>189.38440000000008</v>
      </c>
      <c r="G365" s="7" t="s">
        <v>366</v>
      </c>
      <c r="H365" s="7" t="s">
        <v>364</v>
      </c>
      <c r="I365" s="6">
        <v>527.16999999999996</v>
      </c>
      <c r="J365" s="6">
        <f t="shared" si="17"/>
        <v>186699.36000000007</v>
      </c>
      <c r="K365" s="6">
        <f t="shared" si="16"/>
        <v>70293.790000000066</v>
      </c>
    </row>
    <row r="366" spans="1:11" x14ac:dyDescent="0.25">
      <c r="A366" s="5" t="s">
        <v>702</v>
      </c>
      <c r="B366" s="42">
        <f t="shared" si="15"/>
        <v>187.22653000000008</v>
      </c>
      <c r="C366" s="7" t="s">
        <v>224</v>
      </c>
      <c r="D366" s="7" t="s">
        <v>223</v>
      </c>
      <c r="E366" s="7" t="s">
        <v>829</v>
      </c>
      <c r="F366" s="8">
        <v>189.8180900000001</v>
      </c>
      <c r="G366" s="7" t="s">
        <v>364</v>
      </c>
      <c r="H366" s="7" t="s">
        <v>362</v>
      </c>
      <c r="I366" s="6">
        <v>582.96</v>
      </c>
      <c r="J366" s="6">
        <f t="shared" si="17"/>
        <v>187226.53000000009</v>
      </c>
      <c r="K366" s="6">
        <f t="shared" si="16"/>
        <v>69766.620000000068</v>
      </c>
    </row>
    <row r="367" spans="1:11" x14ac:dyDescent="0.25">
      <c r="A367" s="5" t="s">
        <v>702</v>
      </c>
      <c r="B367" s="42">
        <f t="shared" si="15"/>
        <v>187.80949000000007</v>
      </c>
      <c r="C367" s="7" t="s">
        <v>223</v>
      </c>
      <c r="D367" s="7" t="s">
        <v>222</v>
      </c>
      <c r="E367" s="7" t="s">
        <v>829</v>
      </c>
      <c r="F367" s="8">
        <v>190.32846000000009</v>
      </c>
      <c r="G367" s="7" t="s">
        <v>362</v>
      </c>
      <c r="H367" s="7" t="s">
        <v>360</v>
      </c>
      <c r="I367" s="6">
        <v>572.01</v>
      </c>
      <c r="J367" s="6">
        <f t="shared" si="17"/>
        <v>187809.49000000008</v>
      </c>
      <c r="K367" s="6">
        <f t="shared" si="16"/>
        <v>69183.660000000062</v>
      </c>
    </row>
    <row r="368" spans="1:11" x14ac:dyDescent="0.25">
      <c r="A368" s="5" t="s">
        <v>702</v>
      </c>
      <c r="B368" s="42">
        <f t="shared" si="15"/>
        <v>188.38150000000007</v>
      </c>
      <c r="C368" s="7" t="s">
        <v>222</v>
      </c>
      <c r="D368" s="7" t="s">
        <v>221</v>
      </c>
      <c r="E368" s="7" t="s">
        <v>829</v>
      </c>
      <c r="F368" s="8">
        <v>190.8344700000001</v>
      </c>
      <c r="G368" s="7" t="s">
        <v>360</v>
      </c>
      <c r="H368" s="7" t="s">
        <v>358</v>
      </c>
      <c r="I368" s="6">
        <v>556.20000000000005</v>
      </c>
      <c r="J368" s="6">
        <f t="shared" si="17"/>
        <v>188381.50000000009</v>
      </c>
      <c r="K368" s="6">
        <f t="shared" si="16"/>
        <v>68611.650000000067</v>
      </c>
    </row>
    <row r="369" spans="1:11" x14ac:dyDescent="0.25">
      <c r="A369" s="5" t="s">
        <v>702</v>
      </c>
      <c r="B369" s="42">
        <f t="shared" si="15"/>
        <v>188.93770000000009</v>
      </c>
      <c r="C369" s="7" t="s">
        <v>221</v>
      </c>
      <c r="D369" s="7" t="s">
        <v>220</v>
      </c>
      <c r="E369" s="7" t="s">
        <v>829</v>
      </c>
      <c r="F369" s="8">
        <v>191.38418000000007</v>
      </c>
      <c r="G369" s="7" t="s">
        <v>358</v>
      </c>
      <c r="H369" s="7" t="s">
        <v>356</v>
      </c>
      <c r="I369" s="6">
        <v>567</v>
      </c>
      <c r="J369" s="6">
        <f t="shared" si="17"/>
        <v>188937.7000000001</v>
      </c>
      <c r="K369" s="6">
        <f t="shared" si="16"/>
        <v>68055.45000000007</v>
      </c>
    </row>
    <row r="370" spans="1:11" x14ac:dyDescent="0.25">
      <c r="A370" s="5" t="s">
        <v>702</v>
      </c>
      <c r="B370" s="42">
        <f t="shared" si="15"/>
        <v>189.5047000000001</v>
      </c>
      <c r="C370" s="7" t="s">
        <v>220</v>
      </c>
      <c r="D370" s="7" t="s">
        <v>219</v>
      </c>
      <c r="E370" s="7" t="s">
        <v>829</v>
      </c>
      <c r="F370" s="8">
        <v>191.95930000000007</v>
      </c>
      <c r="G370" s="7" t="s">
        <v>356</v>
      </c>
      <c r="H370" s="7" t="s">
        <v>354</v>
      </c>
      <c r="I370" s="6">
        <v>526.79</v>
      </c>
      <c r="J370" s="6">
        <f t="shared" si="17"/>
        <v>189504.7000000001</v>
      </c>
      <c r="K370" s="6">
        <f t="shared" si="16"/>
        <v>67488.45000000007</v>
      </c>
    </row>
    <row r="371" spans="1:11" x14ac:dyDescent="0.25">
      <c r="A371" s="5" t="s">
        <v>702</v>
      </c>
      <c r="B371" s="42">
        <f t="shared" si="15"/>
        <v>190.0314900000001</v>
      </c>
      <c r="C371" s="7" t="s">
        <v>219</v>
      </c>
      <c r="D371" s="7" t="s">
        <v>218</v>
      </c>
      <c r="E371" s="7" t="s">
        <v>829</v>
      </c>
      <c r="F371" s="8">
        <v>192.51040000000009</v>
      </c>
      <c r="G371" s="7" t="s">
        <v>354</v>
      </c>
      <c r="H371" s="7" t="s">
        <v>352</v>
      </c>
      <c r="I371" s="6">
        <v>623.11</v>
      </c>
      <c r="J371" s="6">
        <f t="shared" si="17"/>
        <v>190031.49000000011</v>
      </c>
      <c r="K371" s="6">
        <f t="shared" si="16"/>
        <v>66961.660000000076</v>
      </c>
    </row>
    <row r="372" spans="1:11" x14ac:dyDescent="0.25">
      <c r="A372" s="5" t="s">
        <v>702</v>
      </c>
      <c r="B372" s="42">
        <f t="shared" si="15"/>
        <v>190.6546000000001</v>
      </c>
      <c r="C372" s="7" t="s">
        <v>218</v>
      </c>
      <c r="D372" s="7" t="s">
        <v>217</v>
      </c>
      <c r="E372" s="7" t="s">
        <v>829</v>
      </c>
      <c r="F372" s="8">
        <v>193.15364000000008</v>
      </c>
      <c r="G372" s="7" t="s">
        <v>352</v>
      </c>
      <c r="H372" s="7" t="s">
        <v>350</v>
      </c>
      <c r="I372" s="6">
        <v>535.66999999999996</v>
      </c>
      <c r="J372" s="6">
        <f t="shared" si="17"/>
        <v>190654.60000000009</v>
      </c>
      <c r="K372" s="6">
        <f t="shared" si="16"/>
        <v>66338.550000000076</v>
      </c>
    </row>
    <row r="373" spans="1:11" x14ac:dyDescent="0.25">
      <c r="A373" s="5" t="s">
        <v>702</v>
      </c>
      <c r="B373" s="42">
        <f t="shared" si="15"/>
        <v>191.19027000000011</v>
      </c>
      <c r="C373" s="7" t="s">
        <v>217</v>
      </c>
      <c r="D373" s="7" t="s">
        <v>216</v>
      </c>
      <c r="E373" s="7" t="s">
        <v>829</v>
      </c>
      <c r="F373" s="8">
        <v>193.66211000000007</v>
      </c>
      <c r="G373" s="7" t="s">
        <v>350</v>
      </c>
      <c r="H373" s="7" t="s">
        <v>348</v>
      </c>
      <c r="I373" s="6">
        <v>559.28</v>
      </c>
      <c r="J373" s="6">
        <f t="shared" si="17"/>
        <v>191190.27000000011</v>
      </c>
      <c r="K373" s="6">
        <f t="shared" si="16"/>
        <v>65802.880000000077</v>
      </c>
    </row>
    <row r="374" spans="1:11" x14ac:dyDescent="0.25">
      <c r="A374" s="5" t="s">
        <v>702</v>
      </c>
      <c r="B374" s="42">
        <f t="shared" si="15"/>
        <v>191.74955000000011</v>
      </c>
      <c r="C374" s="7" t="s">
        <v>216</v>
      </c>
      <c r="D374" s="7" t="s">
        <v>215</v>
      </c>
      <c r="E374" s="7" t="s">
        <v>829</v>
      </c>
      <c r="F374" s="8">
        <v>194.17552000000006</v>
      </c>
      <c r="G374" s="7" t="s">
        <v>348</v>
      </c>
      <c r="H374" s="7" t="s">
        <v>346</v>
      </c>
      <c r="I374" s="6">
        <v>634.20000000000005</v>
      </c>
      <c r="J374" s="6">
        <f t="shared" si="17"/>
        <v>191749.5500000001</v>
      </c>
      <c r="K374" s="6">
        <f t="shared" si="16"/>
        <v>65243.600000000079</v>
      </c>
    </row>
    <row r="375" spans="1:11" x14ac:dyDescent="0.25">
      <c r="A375" s="5" t="s">
        <v>702</v>
      </c>
      <c r="B375" s="42">
        <f t="shared" si="15"/>
        <v>192.38375000000011</v>
      </c>
      <c r="C375" s="7" t="s">
        <v>215</v>
      </c>
      <c r="D375" s="7" t="s">
        <v>214</v>
      </c>
      <c r="E375" s="7" t="s">
        <v>829</v>
      </c>
      <c r="F375" s="8">
        <v>194.64215000000007</v>
      </c>
      <c r="G375" s="7" t="s">
        <v>346</v>
      </c>
      <c r="H375" s="7" t="s">
        <v>344</v>
      </c>
      <c r="I375" s="6">
        <v>624.51</v>
      </c>
      <c r="J375" s="6">
        <f t="shared" si="17"/>
        <v>192383.75000000012</v>
      </c>
      <c r="K375" s="6">
        <f t="shared" si="16"/>
        <v>64609.400000000081</v>
      </c>
    </row>
    <row r="376" spans="1:11" x14ac:dyDescent="0.25">
      <c r="A376" s="5" t="s">
        <v>702</v>
      </c>
      <c r="B376" s="42">
        <f t="shared" si="15"/>
        <v>193.00826000000012</v>
      </c>
      <c r="C376" s="7" t="s">
        <v>214</v>
      </c>
      <c r="D376" s="7" t="s">
        <v>213</v>
      </c>
      <c r="E376" s="7" t="s">
        <v>829</v>
      </c>
      <c r="F376" s="8">
        <v>195.07576000000006</v>
      </c>
      <c r="G376" s="7" t="s">
        <v>344</v>
      </c>
      <c r="H376" s="7" t="s">
        <v>342</v>
      </c>
      <c r="I376" s="6">
        <v>657.27</v>
      </c>
      <c r="J376" s="6">
        <f t="shared" si="17"/>
        <v>193008.26000000013</v>
      </c>
      <c r="K376" s="6">
        <f t="shared" si="16"/>
        <v>63984.890000000079</v>
      </c>
    </row>
    <row r="377" spans="1:11" x14ac:dyDescent="0.25">
      <c r="A377" s="5" t="s">
        <v>702</v>
      </c>
      <c r="B377" s="42">
        <f t="shared" si="15"/>
        <v>193.6655300000001</v>
      </c>
      <c r="C377" s="7" t="s">
        <v>213</v>
      </c>
      <c r="D377" s="7" t="s">
        <v>212</v>
      </c>
      <c r="E377" s="7" t="s">
        <v>829</v>
      </c>
      <c r="F377" s="8">
        <v>195.60466000000005</v>
      </c>
      <c r="G377" s="7" t="s">
        <v>342</v>
      </c>
      <c r="H377" s="7" t="s">
        <v>340</v>
      </c>
      <c r="I377" s="6">
        <v>527.1</v>
      </c>
      <c r="J377" s="6">
        <f t="shared" si="17"/>
        <v>193665.53000000012</v>
      </c>
      <c r="K377" s="6">
        <f t="shared" si="16"/>
        <v>63327.620000000083</v>
      </c>
    </row>
    <row r="378" spans="1:11" x14ac:dyDescent="0.25">
      <c r="A378" s="5" t="s">
        <v>702</v>
      </c>
      <c r="B378" s="42">
        <f t="shared" si="15"/>
        <v>194.19263000000012</v>
      </c>
      <c r="C378" s="7" t="s">
        <v>212</v>
      </c>
      <c r="D378" s="7" t="s">
        <v>211</v>
      </c>
      <c r="E378" s="7" t="s">
        <v>829</v>
      </c>
      <c r="F378" s="8">
        <v>196.17904000000007</v>
      </c>
      <c r="G378" s="7" t="s">
        <v>340</v>
      </c>
      <c r="H378" s="7" t="s">
        <v>338</v>
      </c>
      <c r="I378" s="6">
        <v>535.70000000000005</v>
      </c>
      <c r="J378" s="6">
        <f t="shared" si="17"/>
        <v>194192.63000000012</v>
      </c>
      <c r="K378" s="6">
        <f t="shared" si="16"/>
        <v>62800.520000000084</v>
      </c>
    </row>
    <row r="379" spans="1:11" x14ac:dyDescent="0.25">
      <c r="A379" s="5" t="s">
        <v>702</v>
      </c>
      <c r="B379" s="42">
        <f t="shared" si="15"/>
        <v>194.72833000000014</v>
      </c>
      <c r="C379" s="7" t="s">
        <v>211</v>
      </c>
      <c r="D379" s="7" t="s">
        <v>210</v>
      </c>
      <c r="E379" s="7" t="s">
        <v>829</v>
      </c>
      <c r="F379" s="8">
        <v>196.66489000000007</v>
      </c>
      <c r="G379" s="7" t="s">
        <v>338</v>
      </c>
      <c r="H379" s="7" t="s">
        <v>336</v>
      </c>
      <c r="I379" s="6">
        <v>524.66999999999996</v>
      </c>
      <c r="J379" s="6">
        <f t="shared" si="17"/>
        <v>194728.33000000013</v>
      </c>
      <c r="K379" s="6">
        <f t="shared" si="16"/>
        <v>62264.820000000087</v>
      </c>
    </row>
    <row r="380" spans="1:11" x14ac:dyDescent="0.25">
      <c r="A380" s="5" t="s">
        <v>702</v>
      </c>
      <c r="B380" s="42">
        <f t="shared" si="15"/>
        <v>195.25300000000016</v>
      </c>
      <c r="C380" s="7" t="s">
        <v>210</v>
      </c>
      <c r="D380" s="7" t="s">
        <v>209</v>
      </c>
      <c r="E380" s="7" t="s">
        <v>829</v>
      </c>
      <c r="F380" s="8">
        <v>197.10197000000005</v>
      </c>
      <c r="G380" s="7" t="s">
        <v>336</v>
      </c>
      <c r="H380" s="7" t="s">
        <v>334</v>
      </c>
      <c r="I380" s="6">
        <v>577.44000000000005</v>
      </c>
      <c r="J380" s="6">
        <f t="shared" si="17"/>
        <v>195253.00000000015</v>
      </c>
      <c r="K380" s="6">
        <f t="shared" si="16"/>
        <v>61740.150000000089</v>
      </c>
    </row>
    <row r="381" spans="1:11" x14ac:dyDescent="0.25">
      <c r="A381" s="5" t="s">
        <v>702</v>
      </c>
      <c r="B381" s="42">
        <f t="shared" si="15"/>
        <v>195.83044000000015</v>
      </c>
      <c r="C381" s="7" t="s">
        <v>209</v>
      </c>
      <c r="D381" s="7" t="s">
        <v>208</v>
      </c>
      <c r="E381" s="7" t="s">
        <v>829</v>
      </c>
      <c r="F381" s="8">
        <v>197.69989000000007</v>
      </c>
      <c r="G381" s="7" t="s">
        <v>334</v>
      </c>
      <c r="H381" s="7" t="s">
        <v>332</v>
      </c>
      <c r="I381" s="6">
        <v>594.04999999999995</v>
      </c>
      <c r="J381" s="6">
        <f t="shared" si="17"/>
        <v>195830.44000000015</v>
      </c>
      <c r="K381" s="6">
        <f t="shared" si="16"/>
        <v>61162.710000000086</v>
      </c>
    </row>
    <row r="382" spans="1:11" x14ac:dyDescent="0.25">
      <c r="A382" s="5" t="s">
        <v>702</v>
      </c>
      <c r="B382" s="42">
        <f t="shared" si="15"/>
        <v>196.42449000000013</v>
      </c>
      <c r="C382" s="7" t="s">
        <v>208</v>
      </c>
      <c r="D382" s="7" t="s">
        <v>207</v>
      </c>
      <c r="E382" s="7" t="s">
        <v>829</v>
      </c>
      <c r="F382" s="8">
        <v>198.06879000000006</v>
      </c>
      <c r="G382" s="7" t="s">
        <v>332</v>
      </c>
      <c r="H382" s="7" t="s">
        <v>330</v>
      </c>
      <c r="I382" s="6">
        <v>574.16999999999996</v>
      </c>
      <c r="J382" s="6">
        <f t="shared" si="17"/>
        <v>196424.49000000014</v>
      </c>
      <c r="K382" s="6">
        <f t="shared" si="16"/>
        <v>60568.660000000084</v>
      </c>
    </row>
    <row r="383" spans="1:11" x14ac:dyDescent="0.25">
      <c r="A383" s="5" t="s">
        <v>702</v>
      </c>
      <c r="B383" s="42">
        <f t="shared" si="15"/>
        <v>196.99866000000014</v>
      </c>
      <c r="C383" s="7" t="s">
        <v>207</v>
      </c>
      <c r="D383" s="7" t="s">
        <v>206</v>
      </c>
      <c r="E383" s="7" t="s">
        <v>829</v>
      </c>
      <c r="F383" s="8">
        <v>198.64556000000005</v>
      </c>
      <c r="G383" s="7" t="s">
        <v>330</v>
      </c>
      <c r="H383" s="7" t="s">
        <v>328</v>
      </c>
      <c r="I383" s="6">
        <v>550.84</v>
      </c>
      <c r="J383" s="6">
        <f t="shared" si="17"/>
        <v>196998.66000000015</v>
      </c>
      <c r="K383" s="6">
        <f t="shared" si="16"/>
        <v>59994.490000000085</v>
      </c>
    </row>
    <row r="384" spans="1:11" x14ac:dyDescent="0.25">
      <c r="A384" s="5" t="s">
        <v>702</v>
      </c>
      <c r="B384" s="42">
        <f t="shared" si="15"/>
        <v>197.54950000000014</v>
      </c>
      <c r="C384" s="7" t="s">
        <v>206</v>
      </c>
      <c r="D384" s="7" t="s">
        <v>205</v>
      </c>
      <c r="E384" s="7" t="s">
        <v>829</v>
      </c>
      <c r="F384" s="8">
        <v>198.93392000000003</v>
      </c>
      <c r="G384" s="7" t="s">
        <v>328</v>
      </c>
      <c r="H384" s="7" t="s">
        <v>326</v>
      </c>
      <c r="I384" s="6">
        <v>478.89</v>
      </c>
      <c r="J384" s="6">
        <f t="shared" si="17"/>
        <v>197549.50000000015</v>
      </c>
      <c r="K384" s="6">
        <f t="shared" si="16"/>
        <v>59443.650000000089</v>
      </c>
    </row>
    <row r="385" spans="1:11" x14ac:dyDescent="0.25">
      <c r="A385" s="5" t="s">
        <v>702</v>
      </c>
      <c r="B385" s="42">
        <f t="shared" si="15"/>
        <v>198.02839000000017</v>
      </c>
      <c r="C385" s="7" t="s">
        <v>205</v>
      </c>
      <c r="D385" s="7" t="s">
        <v>204</v>
      </c>
      <c r="E385" s="7" t="s">
        <v>829</v>
      </c>
      <c r="F385" s="8">
        <v>199.53137000000007</v>
      </c>
      <c r="G385" s="7" t="s">
        <v>326</v>
      </c>
      <c r="H385" s="7" t="s">
        <v>324</v>
      </c>
      <c r="I385" s="6">
        <v>497.16</v>
      </c>
      <c r="J385" s="6">
        <f t="shared" si="17"/>
        <v>198028.39000000016</v>
      </c>
      <c r="K385" s="6">
        <f t="shared" si="16"/>
        <v>58964.760000000089</v>
      </c>
    </row>
    <row r="386" spans="1:11" x14ac:dyDescent="0.25">
      <c r="A386" s="5" t="s">
        <v>702</v>
      </c>
      <c r="B386" s="42">
        <f t="shared" si="15"/>
        <v>198.52555000000015</v>
      </c>
      <c r="C386" s="7" t="s">
        <v>204</v>
      </c>
      <c r="D386" s="7" t="s">
        <v>203</v>
      </c>
      <c r="E386" s="7" t="s">
        <v>829</v>
      </c>
      <c r="F386" s="8">
        <v>199.97312000000005</v>
      </c>
      <c r="G386" s="7" t="s">
        <v>324</v>
      </c>
      <c r="H386" s="7" t="s">
        <v>322</v>
      </c>
      <c r="I386" s="6">
        <v>634.05999999999995</v>
      </c>
      <c r="J386" s="6">
        <f t="shared" si="17"/>
        <v>198525.55000000016</v>
      </c>
      <c r="K386" s="6">
        <f t="shared" si="16"/>
        <v>58467.600000000086</v>
      </c>
    </row>
    <row r="387" spans="1:11" x14ac:dyDescent="0.25">
      <c r="A387" s="5" t="s">
        <v>702</v>
      </c>
      <c r="B387" s="42">
        <f t="shared" ref="B387:B450" si="18">J387/1000</f>
        <v>199.15961000000016</v>
      </c>
      <c r="C387" s="7" t="s">
        <v>203</v>
      </c>
      <c r="D387" s="7" t="s">
        <v>202</v>
      </c>
      <c r="E387" s="7" t="s">
        <v>829</v>
      </c>
      <c r="F387" s="8">
        <v>200.32409000000004</v>
      </c>
      <c r="G387" s="7" t="s">
        <v>322</v>
      </c>
      <c r="H387" s="7" t="s">
        <v>320</v>
      </c>
      <c r="I387" s="6">
        <v>502.11</v>
      </c>
      <c r="J387" s="6">
        <f t="shared" si="17"/>
        <v>199159.61000000016</v>
      </c>
      <c r="K387" s="6">
        <f t="shared" si="16"/>
        <v>57833.540000000088</v>
      </c>
    </row>
    <row r="388" spans="1:11" x14ac:dyDescent="0.25">
      <c r="A388" s="5" t="s">
        <v>702</v>
      </c>
      <c r="B388" s="42">
        <f t="shared" si="18"/>
        <v>199.66172000000014</v>
      </c>
      <c r="C388" s="7" t="s">
        <v>202</v>
      </c>
      <c r="D388" s="7" t="s">
        <v>201</v>
      </c>
      <c r="E388" s="7" t="s">
        <v>829</v>
      </c>
      <c r="F388" s="8">
        <v>200.75736000000003</v>
      </c>
      <c r="G388" s="7" t="s">
        <v>320</v>
      </c>
      <c r="H388" s="7" t="s">
        <v>318</v>
      </c>
      <c r="I388" s="6">
        <v>588.52</v>
      </c>
      <c r="J388" s="6">
        <f t="shared" si="17"/>
        <v>199661.72000000015</v>
      </c>
      <c r="K388" s="6">
        <f t="shared" ref="K388:K451" si="19">K387-I387</f>
        <v>57331.430000000088</v>
      </c>
    </row>
    <row r="389" spans="1:11" x14ac:dyDescent="0.25">
      <c r="A389" s="5" t="s">
        <v>702</v>
      </c>
      <c r="B389" s="42">
        <f t="shared" si="18"/>
        <v>200.25024000000013</v>
      </c>
      <c r="C389" s="7" t="s">
        <v>201</v>
      </c>
      <c r="D389" s="7" t="s">
        <v>200</v>
      </c>
      <c r="E389" s="7" t="s">
        <v>829</v>
      </c>
      <c r="F389" s="8">
        <v>201.26780000000005</v>
      </c>
      <c r="G389" s="7" t="s">
        <v>318</v>
      </c>
      <c r="H389" s="7" t="s">
        <v>316</v>
      </c>
      <c r="I389" s="6">
        <v>573.46</v>
      </c>
      <c r="J389" s="6">
        <f t="shared" ref="J389:J452" si="20">J388+I388</f>
        <v>200250.24000000014</v>
      </c>
      <c r="K389" s="6">
        <f t="shared" si="19"/>
        <v>56742.910000000091</v>
      </c>
    </row>
    <row r="390" spans="1:11" x14ac:dyDescent="0.25">
      <c r="A390" s="5" t="s">
        <v>702</v>
      </c>
      <c r="B390" s="42">
        <f t="shared" si="18"/>
        <v>200.82370000000012</v>
      </c>
      <c r="C390" s="7" t="s">
        <v>200</v>
      </c>
      <c r="D390" s="7" t="s">
        <v>199</v>
      </c>
      <c r="E390" s="7" t="s">
        <v>829</v>
      </c>
      <c r="F390" s="8">
        <v>201.92286000000004</v>
      </c>
      <c r="G390" s="7" t="s">
        <v>316</v>
      </c>
      <c r="H390" s="7" t="s">
        <v>314</v>
      </c>
      <c r="I390" s="6">
        <v>589.29999999999995</v>
      </c>
      <c r="J390" s="6">
        <f t="shared" si="20"/>
        <v>200823.70000000013</v>
      </c>
      <c r="K390" s="6">
        <f t="shared" si="19"/>
        <v>56169.450000000092</v>
      </c>
    </row>
    <row r="391" spans="1:11" x14ac:dyDescent="0.25">
      <c r="A391" s="5" t="s">
        <v>702</v>
      </c>
      <c r="B391" s="42">
        <f t="shared" si="18"/>
        <v>201.41300000000012</v>
      </c>
      <c r="C391" s="7" t="s">
        <v>199</v>
      </c>
      <c r="D391" s="7" t="s">
        <v>198</v>
      </c>
      <c r="E391" s="7" t="s">
        <v>829</v>
      </c>
      <c r="F391" s="8">
        <v>202.47148000000004</v>
      </c>
      <c r="G391" s="7" t="s">
        <v>314</v>
      </c>
      <c r="H391" s="7" t="s">
        <v>312</v>
      </c>
      <c r="I391" s="6">
        <v>581.85</v>
      </c>
      <c r="J391" s="6">
        <f t="shared" si="20"/>
        <v>201413.00000000012</v>
      </c>
      <c r="K391" s="6">
        <f t="shared" si="19"/>
        <v>55580.150000000089</v>
      </c>
    </row>
    <row r="392" spans="1:11" x14ac:dyDescent="0.25">
      <c r="A392" s="5" t="s">
        <v>702</v>
      </c>
      <c r="B392" s="42">
        <f t="shared" si="18"/>
        <v>201.99485000000013</v>
      </c>
      <c r="C392" s="7" t="s">
        <v>198</v>
      </c>
      <c r="D392" s="7" t="s">
        <v>197</v>
      </c>
      <c r="E392" s="7" t="s">
        <v>829</v>
      </c>
      <c r="F392" s="8">
        <v>202.87400000000002</v>
      </c>
      <c r="G392" s="7" t="s">
        <v>312</v>
      </c>
      <c r="H392" s="7" t="s">
        <v>310</v>
      </c>
      <c r="I392" s="6">
        <v>503.75</v>
      </c>
      <c r="J392" s="6">
        <f t="shared" si="20"/>
        <v>201994.85000000012</v>
      </c>
      <c r="K392" s="6">
        <f t="shared" si="19"/>
        <v>54998.30000000009</v>
      </c>
    </row>
    <row r="393" spans="1:11" x14ac:dyDescent="0.25">
      <c r="A393" s="5" t="s">
        <v>702</v>
      </c>
      <c r="B393" s="42">
        <f t="shared" si="18"/>
        <v>202.49860000000012</v>
      </c>
      <c r="C393" s="7" t="s">
        <v>197</v>
      </c>
      <c r="D393" s="7" t="s">
        <v>196</v>
      </c>
      <c r="E393" s="7" t="s">
        <v>829</v>
      </c>
      <c r="F393" s="8">
        <v>203.24342000000004</v>
      </c>
      <c r="G393" s="7" t="s">
        <v>310</v>
      </c>
      <c r="H393" s="7" t="s">
        <v>308</v>
      </c>
      <c r="I393" s="6">
        <v>489.73</v>
      </c>
      <c r="J393" s="6">
        <f t="shared" si="20"/>
        <v>202498.60000000012</v>
      </c>
      <c r="K393" s="6">
        <f t="shared" si="19"/>
        <v>54494.55000000009</v>
      </c>
    </row>
    <row r="394" spans="1:11" x14ac:dyDescent="0.25">
      <c r="A394" s="5" t="s">
        <v>702</v>
      </c>
      <c r="B394" s="42">
        <f t="shared" si="18"/>
        <v>202.98833000000013</v>
      </c>
      <c r="C394" s="7" t="s">
        <v>196</v>
      </c>
      <c r="D394" s="7" t="s">
        <v>195</v>
      </c>
      <c r="E394" s="7" t="s">
        <v>829</v>
      </c>
      <c r="F394" s="8">
        <v>203.72719000000004</v>
      </c>
      <c r="G394" s="7" t="s">
        <v>308</v>
      </c>
      <c r="H394" s="7" t="s">
        <v>306</v>
      </c>
      <c r="I394" s="6">
        <v>590.25</v>
      </c>
      <c r="J394" s="6">
        <f t="shared" si="20"/>
        <v>202988.33000000013</v>
      </c>
      <c r="K394" s="6">
        <f t="shared" si="19"/>
        <v>54004.820000000087</v>
      </c>
    </row>
    <row r="395" spans="1:11" x14ac:dyDescent="0.25">
      <c r="A395" s="5" t="s">
        <v>702</v>
      </c>
      <c r="B395" s="42">
        <f t="shared" si="18"/>
        <v>203.57858000000013</v>
      </c>
      <c r="C395" s="7" t="s">
        <v>195</v>
      </c>
      <c r="D395" s="7" t="s">
        <v>194</v>
      </c>
      <c r="E395" s="7" t="s">
        <v>829</v>
      </c>
      <c r="F395" s="8">
        <v>204.14971000000003</v>
      </c>
      <c r="G395" s="7" t="s">
        <v>306</v>
      </c>
      <c r="H395" s="7" t="s">
        <v>304</v>
      </c>
      <c r="I395" s="6">
        <v>539.86</v>
      </c>
      <c r="J395" s="6">
        <f t="shared" si="20"/>
        <v>203578.58000000013</v>
      </c>
      <c r="K395" s="6">
        <f t="shared" si="19"/>
        <v>53414.570000000087</v>
      </c>
    </row>
    <row r="396" spans="1:11" x14ac:dyDescent="0.25">
      <c r="A396" s="5" t="s">
        <v>702</v>
      </c>
      <c r="B396" s="42">
        <f t="shared" si="18"/>
        <v>204.11844000000011</v>
      </c>
      <c r="C396" s="7" t="s">
        <v>194</v>
      </c>
      <c r="D396" s="7" t="s">
        <v>193</v>
      </c>
      <c r="E396" s="7" t="s">
        <v>829</v>
      </c>
      <c r="F396" s="8">
        <v>204.51235000000003</v>
      </c>
      <c r="G396" s="7" t="s">
        <v>304</v>
      </c>
      <c r="H396" s="7" t="s">
        <v>302</v>
      </c>
      <c r="I396" s="6">
        <v>660.28</v>
      </c>
      <c r="J396" s="6">
        <f t="shared" si="20"/>
        <v>204118.44000000012</v>
      </c>
      <c r="K396" s="6">
        <f t="shared" si="19"/>
        <v>52874.710000000086</v>
      </c>
    </row>
    <row r="397" spans="1:11" x14ac:dyDescent="0.25">
      <c r="A397" s="5" t="s">
        <v>702</v>
      </c>
      <c r="B397" s="42">
        <f t="shared" si="18"/>
        <v>204.77872000000011</v>
      </c>
      <c r="C397" s="7" t="s">
        <v>193</v>
      </c>
      <c r="D397" s="7" t="s">
        <v>192</v>
      </c>
      <c r="E397" s="7" t="s">
        <v>829</v>
      </c>
      <c r="F397" s="8">
        <v>205.00774000000004</v>
      </c>
      <c r="G397" s="7" t="s">
        <v>302</v>
      </c>
      <c r="H397" s="7" t="s">
        <v>300</v>
      </c>
      <c r="I397" s="6">
        <v>480.98</v>
      </c>
      <c r="J397" s="6">
        <f t="shared" si="20"/>
        <v>204778.72000000012</v>
      </c>
      <c r="K397" s="6">
        <f t="shared" si="19"/>
        <v>52214.430000000088</v>
      </c>
    </row>
    <row r="398" spans="1:11" x14ac:dyDescent="0.25">
      <c r="A398" s="5" t="s">
        <v>702</v>
      </c>
      <c r="B398" s="42">
        <f t="shared" si="18"/>
        <v>205.25970000000012</v>
      </c>
      <c r="C398" s="7" t="s">
        <v>192</v>
      </c>
      <c r="D398" s="7" t="s">
        <v>191</v>
      </c>
      <c r="E398" s="7" t="s">
        <v>829</v>
      </c>
      <c r="F398" s="8">
        <v>205.62160000000003</v>
      </c>
      <c r="G398" s="7" t="s">
        <v>300</v>
      </c>
      <c r="H398" s="7" t="s">
        <v>298</v>
      </c>
      <c r="I398" s="6">
        <v>387.69</v>
      </c>
      <c r="J398" s="6">
        <f t="shared" si="20"/>
        <v>205259.70000000013</v>
      </c>
      <c r="K398" s="6">
        <f t="shared" si="19"/>
        <v>51733.450000000084</v>
      </c>
    </row>
    <row r="399" spans="1:11" x14ac:dyDescent="0.25">
      <c r="A399" s="5" t="s">
        <v>702</v>
      </c>
      <c r="B399" s="42">
        <f t="shared" si="18"/>
        <v>205.64739000000014</v>
      </c>
      <c r="C399" s="7" t="s">
        <v>191</v>
      </c>
      <c r="D399" s="7" t="s">
        <v>190</v>
      </c>
      <c r="E399" s="7" t="s">
        <v>829</v>
      </c>
      <c r="F399" s="8">
        <v>206.00467000000003</v>
      </c>
      <c r="G399" s="7" t="s">
        <v>298</v>
      </c>
      <c r="H399" s="7" t="s">
        <v>296</v>
      </c>
      <c r="I399" s="6">
        <v>480.52</v>
      </c>
      <c r="J399" s="6">
        <f t="shared" si="20"/>
        <v>205647.39000000013</v>
      </c>
      <c r="K399" s="6">
        <f t="shared" si="19"/>
        <v>51345.760000000082</v>
      </c>
    </row>
    <row r="400" spans="1:11" x14ac:dyDescent="0.25">
      <c r="A400" s="5" t="s">
        <v>702</v>
      </c>
      <c r="B400" s="42">
        <f t="shared" si="18"/>
        <v>206.12791000000013</v>
      </c>
      <c r="C400" s="7" t="s">
        <v>190</v>
      </c>
      <c r="D400" s="7" t="s">
        <v>189</v>
      </c>
      <c r="E400" s="7" t="s">
        <v>829</v>
      </c>
      <c r="F400" s="8">
        <v>206.56837000000004</v>
      </c>
      <c r="G400" s="7" t="s">
        <v>296</v>
      </c>
      <c r="H400" s="7" t="s">
        <v>294</v>
      </c>
      <c r="I400" s="6">
        <v>527.27</v>
      </c>
      <c r="J400" s="6">
        <f t="shared" si="20"/>
        <v>206127.91000000012</v>
      </c>
      <c r="K400" s="6">
        <f t="shared" si="19"/>
        <v>50865.240000000085</v>
      </c>
    </row>
    <row r="401" spans="1:11" x14ac:dyDescent="0.25">
      <c r="A401" s="5" t="s">
        <v>702</v>
      </c>
      <c r="B401" s="42">
        <f t="shared" si="18"/>
        <v>206.65518000000012</v>
      </c>
      <c r="C401" s="7" t="s">
        <v>189</v>
      </c>
      <c r="D401" s="7" t="s">
        <v>188</v>
      </c>
      <c r="E401" s="7" t="s">
        <v>829</v>
      </c>
      <c r="F401" s="8">
        <v>206.87764000000004</v>
      </c>
      <c r="G401" s="7" t="s">
        <v>294</v>
      </c>
      <c r="H401" s="7" t="s">
        <v>292</v>
      </c>
      <c r="I401" s="6">
        <v>500.91</v>
      </c>
      <c r="J401" s="6">
        <f t="shared" si="20"/>
        <v>206655.18000000011</v>
      </c>
      <c r="K401" s="6">
        <f t="shared" si="19"/>
        <v>50337.970000000088</v>
      </c>
    </row>
    <row r="402" spans="1:11" x14ac:dyDescent="0.25">
      <c r="A402" s="5" t="s">
        <v>702</v>
      </c>
      <c r="B402" s="42">
        <f t="shared" si="18"/>
        <v>207.15609000000012</v>
      </c>
      <c r="C402" s="7" t="s">
        <v>188</v>
      </c>
      <c r="D402" s="7" t="s">
        <v>696</v>
      </c>
      <c r="E402" s="7" t="s">
        <v>829</v>
      </c>
      <c r="F402" s="8">
        <v>207.66367000000005</v>
      </c>
      <c r="G402" s="7" t="s">
        <v>292</v>
      </c>
      <c r="H402" s="7" t="s">
        <v>290</v>
      </c>
      <c r="I402" s="6">
        <v>459.71</v>
      </c>
      <c r="J402" s="6">
        <f t="shared" si="20"/>
        <v>207156.09000000011</v>
      </c>
      <c r="K402" s="6">
        <f t="shared" si="19"/>
        <v>49837.060000000085</v>
      </c>
    </row>
    <row r="403" spans="1:11" x14ac:dyDescent="0.25">
      <c r="A403" s="5" t="s">
        <v>702</v>
      </c>
      <c r="B403" s="42">
        <f t="shared" si="18"/>
        <v>207.61580000000009</v>
      </c>
      <c r="C403" s="7" t="s">
        <v>696</v>
      </c>
      <c r="D403" s="7" t="s">
        <v>695</v>
      </c>
      <c r="E403" s="7" t="s">
        <v>829</v>
      </c>
      <c r="F403" s="8">
        <v>208.03967000000003</v>
      </c>
      <c r="G403" s="7" t="s">
        <v>290</v>
      </c>
      <c r="H403" s="7" t="s">
        <v>288</v>
      </c>
      <c r="I403" s="6">
        <v>399.55</v>
      </c>
      <c r="J403" s="6">
        <f t="shared" si="20"/>
        <v>207615.8000000001</v>
      </c>
      <c r="K403" s="6">
        <f t="shared" si="19"/>
        <v>49377.350000000086</v>
      </c>
    </row>
    <row r="404" spans="1:11" x14ac:dyDescent="0.25">
      <c r="A404" s="5" t="s">
        <v>702</v>
      </c>
      <c r="B404" s="42">
        <f t="shared" si="18"/>
        <v>208.0153500000001</v>
      </c>
      <c r="C404" s="7" t="s">
        <v>695</v>
      </c>
      <c r="D404" s="7" t="s">
        <v>694</v>
      </c>
      <c r="E404" s="7" t="s">
        <v>829</v>
      </c>
      <c r="F404" s="8">
        <v>208.68360000000004</v>
      </c>
      <c r="G404" s="7" t="s">
        <v>288</v>
      </c>
      <c r="H404" s="7" t="s">
        <v>286</v>
      </c>
      <c r="I404" s="6">
        <v>404.71</v>
      </c>
      <c r="J404" s="6">
        <f t="shared" si="20"/>
        <v>208015.35000000009</v>
      </c>
      <c r="K404" s="6">
        <f t="shared" si="19"/>
        <v>48977.800000000083</v>
      </c>
    </row>
    <row r="405" spans="1:11" x14ac:dyDescent="0.25">
      <c r="A405" s="5" t="s">
        <v>702</v>
      </c>
      <c r="B405" s="42">
        <f t="shared" si="18"/>
        <v>208.42006000000009</v>
      </c>
      <c r="C405" s="7" t="s">
        <v>694</v>
      </c>
      <c r="D405" s="7" t="s">
        <v>693</v>
      </c>
      <c r="E405" s="7" t="s">
        <v>829</v>
      </c>
      <c r="F405" s="8">
        <v>209.08639000000005</v>
      </c>
      <c r="G405" s="7" t="s">
        <v>286</v>
      </c>
      <c r="H405" s="7" t="s">
        <v>284</v>
      </c>
      <c r="I405" s="6">
        <v>752.47</v>
      </c>
      <c r="J405" s="6">
        <f t="shared" si="20"/>
        <v>208420.06000000008</v>
      </c>
      <c r="K405" s="6">
        <f t="shared" si="19"/>
        <v>48573.090000000084</v>
      </c>
    </row>
    <row r="406" spans="1:11" x14ac:dyDescent="0.25">
      <c r="A406" s="5" t="s">
        <v>702</v>
      </c>
      <c r="B406" s="42">
        <f t="shared" si="18"/>
        <v>209.17253000000008</v>
      </c>
      <c r="C406" s="7" t="s">
        <v>693</v>
      </c>
      <c r="D406" s="7" t="s">
        <v>692</v>
      </c>
      <c r="E406" s="7" t="s">
        <v>829</v>
      </c>
      <c r="F406" s="8">
        <v>209.77085000000002</v>
      </c>
      <c r="G406" s="7" t="s">
        <v>284</v>
      </c>
      <c r="H406" s="7" t="s">
        <v>282</v>
      </c>
      <c r="I406" s="6">
        <v>419.89</v>
      </c>
      <c r="J406" s="6">
        <f t="shared" si="20"/>
        <v>209172.53000000009</v>
      </c>
      <c r="K406" s="6">
        <f t="shared" si="19"/>
        <v>47820.620000000083</v>
      </c>
    </row>
    <row r="407" spans="1:11" x14ac:dyDescent="0.25">
      <c r="A407" s="5" t="s">
        <v>702</v>
      </c>
      <c r="B407" s="42">
        <f t="shared" si="18"/>
        <v>209.59242000000009</v>
      </c>
      <c r="C407" s="7" t="s">
        <v>692</v>
      </c>
      <c r="D407" s="7" t="s">
        <v>691</v>
      </c>
      <c r="E407" s="7" t="s">
        <v>829</v>
      </c>
      <c r="F407" s="8">
        <v>210.25258000000005</v>
      </c>
      <c r="G407" s="7" t="s">
        <v>282</v>
      </c>
      <c r="H407" s="7" t="s">
        <v>280</v>
      </c>
      <c r="I407" s="6">
        <v>367.31</v>
      </c>
      <c r="J407" s="6">
        <f t="shared" si="20"/>
        <v>209592.4200000001</v>
      </c>
      <c r="K407" s="6">
        <f t="shared" si="19"/>
        <v>47400.730000000083</v>
      </c>
    </row>
    <row r="408" spans="1:11" x14ac:dyDescent="0.25">
      <c r="A408" s="5" t="s">
        <v>702</v>
      </c>
      <c r="B408" s="42">
        <f t="shared" si="18"/>
        <v>209.95973000000009</v>
      </c>
      <c r="C408" s="7" t="s">
        <v>691</v>
      </c>
      <c r="D408" s="7" t="s">
        <v>690</v>
      </c>
      <c r="E408" s="7" t="s">
        <v>829</v>
      </c>
      <c r="F408" s="8">
        <v>210.73252000000005</v>
      </c>
      <c r="G408" s="7" t="s">
        <v>280</v>
      </c>
      <c r="H408" s="7" t="s">
        <v>278</v>
      </c>
      <c r="I408" s="6">
        <v>681.44</v>
      </c>
      <c r="J408" s="6">
        <f t="shared" si="20"/>
        <v>209959.7300000001</v>
      </c>
      <c r="K408" s="6">
        <f t="shared" si="19"/>
        <v>47033.420000000086</v>
      </c>
    </row>
    <row r="409" spans="1:11" x14ac:dyDescent="0.25">
      <c r="A409" s="5" t="s">
        <v>702</v>
      </c>
      <c r="B409" s="42">
        <f t="shared" si="18"/>
        <v>210.6411700000001</v>
      </c>
      <c r="C409" s="7" t="s">
        <v>690</v>
      </c>
      <c r="D409" s="7" t="s">
        <v>689</v>
      </c>
      <c r="E409" s="7" t="s">
        <v>829</v>
      </c>
      <c r="F409" s="8">
        <v>211.31487000000004</v>
      </c>
      <c r="G409" s="7" t="s">
        <v>278</v>
      </c>
      <c r="H409" s="7" t="s">
        <v>276</v>
      </c>
      <c r="I409" s="6">
        <v>470.38</v>
      </c>
      <c r="J409" s="6">
        <f t="shared" si="20"/>
        <v>210641.1700000001</v>
      </c>
      <c r="K409" s="6">
        <f t="shared" si="19"/>
        <v>46351.980000000083</v>
      </c>
    </row>
    <row r="410" spans="1:11" x14ac:dyDescent="0.25">
      <c r="A410" s="5" t="s">
        <v>702</v>
      </c>
      <c r="B410" s="42">
        <f t="shared" si="18"/>
        <v>211.11155000000011</v>
      </c>
      <c r="C410" s="7" t="s">
        <v>689</v>
      </c>
      <c r="D410" s="7" t="s">
        <v>688</v>
      </c>
      <c r="E410" s="7" t="s">
        <v>829</v>
      </c>
      <c r="F410" s="8">
        <v>211.81279000000006</v>
      </c>
      <c r="G410" s="7" t="s">
        <v>276</v>
      </c>
      <c r="H410" s="7" t="s">
        <v>274</v>
      </c>
      <c r="I410" s="6">
        <v>503.64</v>
      </c>
      <c r="J410" s="6">
        <f t="shared" si="20"/>
        <v>211111.5500000001</v>
      </c>
      <c r="K410" s="6">
        <f t="shared" si="19"/>
        <v>45881.600000000086</v>
      </c>
    </row>
    <row r="411" spans="1:11" x14ac:dyDescent="0.25">
      <c r="A411" s="5" t="s">
        <v>702</v>
      </c>
      <c r="B411" s="42">
        <f t="shared" si="18"/>
        <v>211.61519000000013</v>
      </c>
      <c r="C411" s="7" t="s">
        <v>688</v>
      </c>
      <c r="D411" s="7" t="s">
        <v>687</v>
      </c>
      <c r="E411" s="7" t="s">
        <v>829</v>
      </c>
      <c r="F411" s="8">
        <v>212.40830000000008</v>
      </c>
      <c r="G411" s="7" t="s">
        <v>274</v>
      </c>
      <c r="H411" s="7" t="s">
        <v>272</v>
      </c>
      <c r="I411" s="6">
        <v>477.18</v>
      </c>
      <c r="J411" s="6">
        <f t="shared" si="20"/>
        <v>211615.19000000012</v>
      </c>
      <c r="K411" s="6">
        <f t="shared" si="19"/>
        <v>45377.960000000086</v>
      </c>
    </row>
    <row r="412" spans="1:11" x14ac:dyDescent="0.25">
      <c r="A412" s="5" t="s">
        <v>702</v>
      </c>
      <c r="B412" s="42">
        <f t="shared" si="18"/>
        <v>212.0923700000001</v>
      </c>
      <c r="C412" s="7" t="s">
        <v>687</v>
      </c>
      <c r="D412" s="7" t="s">
        <v>686</v>
      </c>
      <c r="E412" s="7" t="s">
        <v>829</v>
      </c>
      <c r="F412" s="8">
        <v>212.76002000000008</v>
      </c>
      <c r="G412" s="7" t="s">
        <v>272</v>
      </c>
      <c r="H412" s="7" t="s">
        <v>183</v>
      </c>
      <c r="I412" s="6">
        <v>518.76</v>
      </c>
      <c r="J412" s="6">
        <f t="shared" si="20"/>
        <v>212092.37000000011</v>
      </c>
      <c r="K412" s="6">
        <f t="shared" si="19"/>
        <v>44900.780000000086</v>
      </c>
    </row>
    <row r="413" spans="1:11" x14ac:dyDescent="0.25">
      <c r="A413" s="5" t="s">
        <v>702</v>
      </c>
      <c r="B413" s="42">
        <f t="shared" si="18"/>
        <v>212.61113000000012</v>
      </c>
      <c r="C413" s="7" t="s">
        <v>686</v>
      </c>
      <c r="D413" s="7" t="s">
        <v>685</v>
      </c>
      <c r="E413" s="7" t="s">
        <v>829</v>
      </c>
      <c r="F413" s="8">
        <v>213.27279000000007</v>
      </c>
      <c r="G413" s="7" t="s">
        <v>183</v>
      </c>
      <c r="H413" s="7" t="s">
        <v>181</v>
      </c>
      <c r="I413" s="6">
        <v>655.44</v>
      </c>
      <c r="J413" s="6">
        <f t="shared" si="20"/>
        <v>212611.13000000012</v>
      </c>
      <c r="K413" s="6">
        <f t="shared" si="19"/>
        <v>44382.020000000084</v>
      </c>
    </row>
    <row r="414" spans="1:11" x14ac:dyDescent="0.25">
      <c r="A414" s="5" t="s">
        <v>702</v>
      </c>
      <c r="B414" s="42">
        <f t="shared" si="18"/>
        <v>213.26657000000012</v>
      </c>
      <c r="C414" s="7" t="s">
        <v>685</v>
      </c>
      <c r="D414" s="7" t="s">
        <v>684</v>
      </c>
      <c r="E414" s="7" t="s">
        <v>830</v>
      </c>
      <c r="F414" s="8">
        <v>213.85989000000006</v>
      </c>
      <c r="G414" s="7" t="s">
        <v>181</v>
      </c>
      <c r="H414" s="7" t="s">
        <v>179</v>
      </c>
      <c r="I414" s="6">
        <v>490.69</v>
      </c>
      <c r="J414" s="6">
        <f t="shared" si="20"/>
        <v>213266.57000000012</v>
      </c>
      <c r="K414" s="6">
        <f t="shared" si="19"/>
        <v>43726.580000000082</v>
      </c>
    </row>
    <row r="415" spans="1:11" x14ac:dyDescent="0.25">
      <c r="A415" s="5" t="s">
        <v>702</v>
      </c>
      <c r="B415" s="42">
        <f t="shared" si="18"/>
        <v>213.75726000000012</v>
      </c>
      <c r="C415" s="7" t="s">
        <v>684</v>
      </c>
      <c r="D415" s="7" t="s">
        <v>683</v>
      </c>
      <c r="E415" s="7" t="s">
        <v>826</v>
      </c>
      <c r="F415" s="8">
        <v>214.40891000000005</v>
      </c>
      <c r="G415" s="7" t="s">
        <v>179</v>
      </c>
      <c r="H415" s="7" t="s">
        <v>177</v>
      </c>
      <c r="I415" s="6">
        <v>877.21</v>
      </c>
      <c r="J415" s="6">
        <f t="shared" si="20"/>
        <v>213757.26000000013</v>
      </c>
      <c r="K415" s="6">
        <f t="shared" si="19"/>
        <v>43235.890000000079</v>
      </c>
    </row>
    <row r="416" spans="1:11" x14ac:dyDescent="0.25">
      <c r="A416" s="5" t="s">
        <v>702</v>
      </c>
      <c r="B416" s="42">
        <f t="shared" si="18"/>
        <v>214.63447000000011</v>
      </c>
      <c r="C416" s="7" t="s">
        <v>683</v>
      </c>
      <c r="D416" s="7" t="s">
        <v>682</v>
      </c>
      <c r="E416" s="7" t="s">
        <v>826</v>
      </c>
      <c r="F416" s="8">
        <v>214.89146000000005</v>
      </c>
      <c r="G416" s="7" t="s">
        <v>177</v>
      </c>
      <c r="H416" s="7" t="s">
        <v>175</v>
      </c>
      <c r="I416" s="6">
        <v>626.05999999999995</v>
      </c>
      <c r="J416" s="6">
        <f t="shared" si="20"/>
        <v>214634.47000000012</v>
      </c>
      <c r="K416" s="6">
        <f t="shared" si="19"/>
        <v>42358.68000000008</v>
      </c>
    </row>
    <row r="417" spans="1:11" x14ac:dyDescent="0.25">
      <c r="A417" s="5" t="s">
        <v>702</v>
      </c>
      <c r="B417" s="42">
        <f t="shared" si="18"/>
        <v>215.2605300000001</v>
      </c>
      <c r="C417" s="7" t="s">
        <v>682</v>
      </c>
      <c r="D417" s="7" t="s">
        <v>681</v>
      </c>
      <c r="E417" s="7" t="s">
        <v>826</v>
      </c>
      <c r="F417" s="8">
        <v>215.43146000000004</v>
      </c>
      <c r="G417" s="7" t="s">
        <v>175</v>
      </c>
      <c r="H417" s="7" t="s">
        <v>173</v>
      </c>
      <c r="I417" s="6">
        <v>602.16</v>
      </c>
      <c r="J417" s="6">
        <f t="shared" si="20"/>
        <v>215260.53000000012</v>
      </c>
      <c r="K417" s="6">
        <f t="shared" si="19"/>
        <v>41732.620000000083</v>
      </c>
    </row>
    <row r="418" spans="1:11" x14ac:dyDescent="0.25">
      <c r="A418" s="5" t="s">
        <v>702</v>
      </c>
      <c r="B418" s="42">
        <f t="shared" si="18"/>
        <v>215.86269000000013</v>
      </c>
      <c r="C418" s="7" t="s">
        <v>681</v>
      </c>
      <c r="D418" s="7" t="s">
        <v>680</v>
      </c>
      <c r="E418" s="7" t="s">
        <v>826</v>
      </c>
      <c r="F418" s="8">
        <v>216.04055000000005</v>
      </c>
      <c r="G418" s="7" t="s">
        <v>173</v>
      </c>
      <c r="H418" s="7" t="s">
        <v>171</v>
      </c>
      <c r="I418" s="6">
        <v>578.59</v>
      </c>
      <c r="J418" s="6">
        <f t="shared" si="20"/>
        <v>215862.69000000012</v>
      </c>
      <c r="K418" s="6">
        <f t="shared" si="19"/>
        <v>41130.460000000079</v>
      </c>
    </row>
    <row r="419" spans="1:11" x14ac:dyDescent="0.25">
      <c r="A419" s="5" t="s">
        <v>702</v>
      </c>
      <c r="B419" s="42">
        <f t="shared" si="18"/>
        <v>216.44128000000012</v>
      </c>
      <c r="C419" s="7" t="s">
        <v>680</v>
      </c>
      <c r="D419" s="7" t="s">
        <v>679</v>
      </c>
      <c r="E419" s="7" t="s">
        <v>826</v>
      </c>
      <c r="F419" s="8">
        <v>216.75448000000003</v>
      </c>
      <c r="G419" s="7" t="s">
        <v>171</v>
      </c>
      <c r="H419" s="7" t="s">
        <v>169</v>
      </c>
      <c r="I419" s="6">
        <v>521.98</v>
      </c>
      <c r="J419" s="6">
        <f t="shared" si="20"/>
        <v>216441.28000000012</v>
      </c>
      <c r="K419" s="6">
        <f t="shared" si="19"/>
        <v>40551.870000000083</v>
      </c>
    </row>
    <row r="420" spans="1:11" x14ac:dyDescent="0.25">
      <c r="A420" s="5" t="s">
        <v>702</v>
      </c>
      <c r="B420" s="42">
        <f t="shared" si="18"/>
        <v>216.96326000000013</v>
      </c>
      <c r="C420" s="7" t="s">
        <v>679</v>
      </c>
      <c r="D420" s="7" t="s">
        <v>678</v>
      </c>
      <c r="E420" s="7" t="s">
        <v>826</v>
      </c>
      <c r="F420" s="8">
        <v>217.26177000000004</v>
      </c>
      <c r="G420" s="7" t="s">
        <v>169</v>
      </c>
      <c r="H420" s="7" t="s">
        <v>167</v>
      </c>
      <c r="I420" s="6">
        <v>495.21</v>
      </c>
      <c r="J420" s="6">
        <f t="shared" si="20"/>
        <v>216963.26000000013</v>
      </c>
      <c r="K420" s="6">
        <f t="shared" si="19"/>
        <v>40029.890000000079</v>
      </c>
    </row>
    <row r="421" spans="1:11" x14ac:dyDescent="0.25">
      <c r="A421" s="5" t="s">
        <v>702</v>
      </c>
      <c r="B421" s="42">
        <f t="shared" si="18"/>
        <v>217.45847000000012</v>
      </c>
      <c r="C421" s="7" t="s">
        <v>678</v>
      </c>
      <c r="D421" s="7" t="s">
        <v>677</v>
      </c>
      <c r="E421" s="7" t="s">
        <v>826</v>
      </c>
      <c r="F421" s="8">
        <v>218.06234000000006</v>
      </c>
      <c r="G421" s="7" t="s">
        <v>167</v>
      </c>
      <c r="H421" s="7" t="s">
        <v>165</v>
      </c>
      <c r="I421" s="6">
        <v>571.59</v>
      </c>
      <c r="J421" s="6">
        <f t="shared" si="20"/>
        <v>217458.47000000012</v>
      </c>
      <c r="K421" s="6">
        <f t="shared" si="19"/>
        <v>39534.68000000008</v>
      </c>
    </row>
    <row r="422" spans="1:11" x14ac:dyDescent="0.25">
      <c r="A422" s="5" t="s">
        <v>702</v>
      </c>
      <c r="B422" s="42">
        <f t="shared" si="18"/>
        <v>218.03006000000011</v>
      </c>
      <c r="C422" s="7" t="s">
        <v>677</v>
      </c>
      <c r="D422" s="7" t="s">
        <v>676</v>
      </c>
      <c r="E422" s="7" t="s">
        <v>826</v>
      </c>
      <c r="F422" s="8">
        <v>218.46130000000005</v>
      </c>
      <c r="G422" s="7" t="s">
        <v>165</v>
      </c>
      <c r="H422" s="7" t="s">
        <v>163</v>
      </c>
      <c r="I422" s="6">
        <v>588.67999999999995</v>
      </c>
      <c r="J422" s="6">
        <f t="shared" si="20"/>
        <v>218030.06000000011</v>
      </c>
      <c r="K422" s="6">
        <f t="shared" si="19"/>
        <v>38963.090000000084</v>
      </c>
    </row>
    <row r="423" spans="1:11" x14ac:dyDescent="0.25">
      <c r="A423" s="5" t="s">
        <v>702</v>
      </c>
      <c r="B423" s="42">
        <f t="shared" si="18"/>
        <v>218.61874000000012</v>
      </c>
      <c r="C423" s="7" t="s">
        <v>676</v>
      </c>
      <c r="D423" s="7" t="s">
        <v>675</v>
      </c>
      <c r="E423" s="7" t="s">
        <v>826</v>
      </c>
      <c r="F423" s="8">
        <v>218.92238000000003</v>
      </c>
      <c r="G423" s="7" t="s">
        <v>163</v>
      </c>
      <c r="H423" s="7" t="s">
        <v>161</v>
      </c>
      <c r="I423" s="6">
        <v>531.44000000000005</v>
      </c>
      <c r="J423" s="6">
        <f t="shared" si="20"/>
        <v>218618.74000000011</v>
      </c>
      <c r="K423" s="6">
        <f t="shared" si="19"/>
        <v>38374.410000000084</v>
      </c>
    </row>
    <row r="424" spans="1:11" x14ac:dyDescent="0.25">
      <c r="A424" s="5" t="s">
        <v>702</v>
      </c>
      <c r="B424" s="42">
        <f t="shared" si="18"/>
        <v>219.15018000000012</v>
      </c>
      <c r="C424" s="7" t="s">
        <v>675</v>
      </c>
      <c r="D424" s="7" t="s">
        <v>674</v>
      </c>
      <c r="E424" s="7" t="s">
        <v>826</v>
      </c>
      <c r="F424" s="8">
        <v>219.57007000000004</v>
      </c>
      <c r="G424" s="7" t="s">
        <v>161</v>
      </c>
      <c r="H424" s="7" t="s">
        <v>159</v>
      </c>
      <c r="I424" s="6">
        <v>614.46</v>
      </c>
      <c r="J424" s="6">
        <f t="shared" si="20"/>
        <v>219150.18000000011</v>
      </c>
      <c r="K424" s="6">
        <f t="shared" si="19"/>
        <v>37842.970000000081</v>
      </c>
    </row>
    <row r="425" spans="1:11" x14ac:dyDescent="0.25">
      <c r="A425" s="5" t="s">
        <v>702</v>
      </c>
      <c r="B425" s="42">
        <f t="shared" si="18"/>
        <v>219.7646400000001</v>
      </c>
      <c r="C425" s="7" t="s">
        <v>674</v>
      </c>
      <c r="D425" s="7" t="s">
        <v>673</v>
      </c>
      <c r="E425" s="7" t="s">
        <v>826</v>
      </c>
      <c r="F425" s="8">
        <v>219.94550000000004</v>
      </c>
      <c r="G425" s="7" t="s">
        <v>159</v>
      </c>
      <c r="H425" s="7" t="s">
        <v>157</v>
      </c>
      <c r="I425" s="6">
        <v>554.5</v>
      </c>
      <c r="J425" s="6">
        <f t="shared" si="20"/>
        <v>219764.6400000001</v>
      </c>
      <c r="K425" s="6">
        <f t="shared" si="19"/>
        <v>37228.510000000082</v>
      </c>
    </row>
    <row r="426" spans="1:11" x14ac:dyDescent="0.25">
      <c r="A426" s="5" t="s">
        <v>702</v>
      </c>
      <c r="B426" s="42">
        <f t="shared" si="18"/>
        <v>220.31914000000009</v>
      </c>
      <c r="C426" s="7" t="s">
        <v>673</v>
      </c>
      <c r="D426" s="7" t="s">
        <v>672</v>
      </c>
      <c r="E426" s="7" t="s">
        <v>826</v>
      </c>
      <c r="F426" s="8">
        <v>220.47570000000005</v>
      </c>
      <c r="G426" s="7" t="s">
        <v>157</v>
      </c>
      <c r="H426" s="7" t="s">
        <v>155</v>
      </c>
      <c r="I426" s="6">
        <v>611.82000000000005</v>
      </c>
      <c r="J426" s="6">
        <f t="shared" si="20"/>
        <v>220319.1400000001</v>
      </c>
      <c r="K426" s="6">
        <f t="shared" si="19"/>
        <v>36674.010000000082</v>
      </c>
    </row>
    <row r="427" spans="1:11" x14ac:dyDescent="0.25">
      <c r="A427" s="5" t="s">
        <v>702</v>
      </c>
      <c r="B427" s="42">
        <f t="shared" si="18"/>
        <v>220.93096000000011</v>
      </c>
      <c r="C427" s="7" t="s">
        <v>672</v>
      </c>
      <c r="D427" s="7" t="s">
        <v>671</v>
      </c>
      <c r="E427" s="7" t="s">
        <v>826</v>
      </c>
      <c r="F427" s="8">
        <v>221.01840000000004</v>
      </c>
      <c r="G427" s="7" t="s">
        <v>155</v>
      </c>
      <c r="H427" s="7" t="s">
        <v>153</v>
      </c>
      <c r="I427" s="6">
        <v>533.57000000000005</v>
      </c>
      <c r="J427" s="6">
        <f t="shared" si="20"/>
        <v>220930.96000000011</v>
      </c>
      <c r="K427" s="6">
        <f t="shared" si="19"/>
        <v>36062.190000000082</v>
      </c>
    </row>
    <row r="428" spans="1:11" x14ac:dyDescent="0.25">
      <c r="A428" s="5" t="s">
        <v>702</v>
      </c>
      <c r="B428" s="42">
        <f t="shared" si="18"/>
        <v>221.46453000000011</v>
      </c>
      <c r="C428" s="7" t="s">
        <v>671</v>
      </c>
      <c r="D428" s="7" t="s">
        <v>670</v>
      </c>
      <c r="E428" s="7" t="s">
        <v>826</v>
      </c>
      <c r="F428" s="8">
        <v>221.45498000000003</v>
      </c>
      <c r="G428" s="7" t="s">
        <v>153</v>
      </c>
      <c r="H428" s="7" t="s">
        <v>151</v>
      </c>
      <c r="I428" s="6">
        <v>638.5</v>
      </c>
      <c r="J428" s="6">
        <f t="shared" si="20"/>
        <v>221464.53000000012</v>
      </c>
      <c r="K428" s="6">
        <f t="shared" si="19"/>
        <v>35528.620000000083</v>
      </c>
    </row>
    <row r="429" spans="1:11" x14ac:dyDescent="0.25">
      <c r="A429" s="5" t="s">
        <v>702</v>
      </c>
      <c r="B429" s="42">
        <f t="shared" si="18"/>
        <v>222.1030300000001</v>
      </c>
      <c r="C429" s="7" t="s">
        <v>670</v>
      </c>
      <c r="D429" s="7" t="s">
        <v>669</v>
      </c>
      <c r="E429" s="7" t="s">
        <v>826</v>
      </c>
      <c r="F429" s="8">
        <v>221.96651000000003</v>
      </c>
      <c r="G429" s="7" t="s">
        <v>151</v>
      </c>
      <c r="H429" s="7" t="s">
        <v>149</v>
      </c>
      <c r="I429" s="6">
        <v>529.55999999999995</v>
      </c>
      <c r="J429" s="6">
        <f t="shared" si="20"/>
        <v>222103.03000000012</v>
      </c>
      <c r="K429" s="6">
        <f t="shared" si="19"/>
        <v>34890.120000000083</v>
      </c>
    </row>
    <row r="430" spans="1:11" x14ac:dyDescent="0.25">
      <c r="A430" s="5" t="s">
        <v>702</v>
      </c>
      <c r="B430" s="42">
        <f t="shared" si="18"/>
        <v>222.63259000000011</v>
      </c>
      <c r="C430" s="7" t="s">
        <v>669</v>
      </c>
      <c r="D430" s="7" t="s">
        <v>668</v>
      </c>
      <c r="E430" s="7" t="s">
        <v>826</v>
      </c>
      <c r="F430" s="8">
        <v>222.41818000000006</v>
      </c>
      <c r="G430" s="7" t="s">
        <v>149</v>
      </c>
      <c r="H430" s="7" t="s">
        <v>147</v>
      </c>
      <c r="I430" s="6">
        <v>498.7</v>
      </c>
      <c r="J430" s="6">
        <f t="shared" si="20"/>
        <v>222632.59000000011</v>
      </c>
      <c r="K430" s="6">
        <f t="shared" si="19"/>
        <v>34360.560000000085</v>
      </c>
    </row>
    <row r="431" spans="1:11" x14ac:dyDescent="0.25">
      <c r="A431" s="5" t="s">
        <v>702</v>
      </c>
      <c r="B431" s="42">
        <f t="shared" si="18"/>
        <v>223.13129000000012</v>
      </c>
      <c r="C431" s="7" t="s">
        <v>668</v>
      </c>
      <c r="D431" s="7" t="s">
        <v>667</v>
      </c>
      <c r="E431" s="7" t="s">
        <v>826</v>
      </c>
      <c r="F431" s="8">
        <v>222.90898000000004</v>
      </c>
      <c r="G431" s="7" t="s">
        <v>147</v>
      </c>
      <c r="H431" s="7" t="s">
        <v>145</v>
      </c>
      <c r="I431" s="6">
        <v>545.4</v>
      </c>
      <c r="J431" s="6">
        <f t="shared" si="20"/>
        <v>223131.29000000012</v>
      </c>
      <c r="K431" s="6">
        <f t="shared" si="19"/>
        <v>33861.860000000088</v>
      </c>
    </row>
    <row r="432" spans="1:11" x14ac:dyDescent="0.25">
      <c r="A432" s="5" t="s">
        <v>702</v>
      </c>
      <c r="B432" s="42">
        <f t="shared" si="18"/>
        <v>223.67669000000012</v>
      </c>
      <c r="C432" s="7" t="s">
        <v>667</v>
      </c>
      <c r="D432" s="7" t="s">
        <v>666</v>
      </c>
      <c r="E432" s="7" t="s">
        <v>826</v>
      </c>
      <c r="F432" s="8">
        <v>223.54321000000004</v>
      </c>
      <c r="G432" s="7" t="s">
        <v>145</v>
      </c>
      <c r="H432" s="7" t="s">
        <v>143</v>
      </c>
      <c r="I432" s="6">
        <v>512.29999999999995</v>
      </c>
      <c r="J432" s="6">
        <f t="shared" si="20"/>
        <v>223676.69000000012</v>
      </c>
      <c r="K432" s="6">
        <f t="shared" si="19"/>
        <v>33316.460000000086</v>
      </c>
    </row>
    <row r="433" spans="1:11" x14ac:dyDescent="0.25">
      <c r="A433" s="5" t="s">
        <v>702</v>
      </c>
      <c r="B433" s="42">
        <f t="shared" si="18"/>
        <v>224.1889900000001</v>
      </c>
      <c r="C433" s="7" t="s">
        <v>666</v>
      </c>
      <c r="D433" s="7" t="s">
        <v>665</v>
      </c>
      <c r="E433" s="7" t="s">
        <v>826</v>
      </c>
      <c r="F433" s="8">
        <v>223.99712000000005</v>
      </c>
      <c r="G433" s="7" t="s">
        <v>143</v>
      </c>
      <c r="H433" s="7" t="s">
        <v>141</v>
      </c>
      <c r="I433" s="6">
        <v>577.42999999999995</v>
      </c>
      <c r="J433" s="6">
        <f t="shared" si="20"/>
        <v>224188.99000000011</v>
      </c>
      <c r="K433" s="6">
        <f t="shared" si="19"/>
        <v>32804.160000000084</v>
      </c>
    </row>
    <row r="434" spans="1:11" x14ac:dyDescent="0.25">
      <c r="A434" s="5" t="s">
        <v>702</v>
      </c>
      <c r="B434" s="42">
        <f t="shared" si="18"/>
        <v>224.7664200000001</v>
      </c>
      <c r="C434" s="7" t="s">
        <v>665</v>
      </c>
      <c r="D434" s="7" t="s">
        <v>664</v>
      </c>
      <c r="E434" s="7" t="s">
        <v>826</v>
      </c>
      <c r="F434" s="8">
        <v>224.43973000000003</v>
      </c>
      <c r="G434" s="7" t="s">
        <v>141</v>
      </c>
      <c r="H434" s="7" t="s">
        <v>139</v>
      </c>
      <c r="I434" s="6">
        <v>521.89</v>
      </c>
      <c r="J434" s="6">
        <f t="shared" si="20"/>
        <v>224766.4200000001</v>
      </c>
      <c r="K434" s="6">
        <f t="shared" si="19"/>
        <v>32226.730000000083</v>
      </c>
    </row>
    <row r="435" spans="1:11" x14ac:dyDescent="0.25">
      <c r="A435" s="5" t="s">
        <v>702</v>
      </c>
      <c r="B435" s="42">
        <f t="shared" si="18"/>
        <v>225.28831000000011</v>
      </c>
      <c r="C435" s="7" t="s">
        <v>664</v>
      </c>
      <c r="D435" s="7" t="s">
        <v>663</v>
      </c>
      <c r="E435" s="7" t="s">
        <v>826</v>
      </c>
      <c r="F435" s="8">
        <v>224.93735000000004</v>
      </c>
      <c r="G435" s="7" t="s">
        <v>139</v>
      </c>
      <c r="H435" s="7" t="s">
        <v>137</v>
      </c>
      <c r="I435" s="6">
        <v>592.5</v>
      </c>
      <c r="J435" s="6">
        <f t="shared" si="20"/>
        <v>225288.31000000011</v>
      </c>
      <c r="K435" s="6">
        <f t="shared" si="19"/>
        <v>31704.840000000084</v>
      </c>
    </row>
    <row r="436" spans="1:11" x14ac:dyDescent="0.25">
      <c r="A436" s="5" t="s">
        <v>702</v>
      </c>
      <c r="B436" s="42">
        <f t="shared" si="18"/>
        <v>225.88081000000011</v>
      </c>
      <c r="C436" s="7" t="s">
        <v>663</v>
      </c>
      <c r="D436" s="7" t="s">
        <v>662</v>
      </c>
      <c r="E436" s="7" t="s">
        <v>826</v>
      </c>
      <c r="F436" s="8">
        <v>225.50500000000002</v>
      </c>
      <c r="G436" s="7" t="s">
        <v>137</v>
      </c>
      <c r="H436" s="7" t="s">
        <v>135</v>
      </c>
      <c r="I436" s="6">
        <v>575.46</v>
      </c>
      <c r="J436" s="6">
        <f t="shared" si="20"/>
        <v>225880.81000000011</v>
      </c>
      <c r="K436" s="6">
        <f t="shared" si="19"/>
        <v>31112.340000000084</v>
      </c>
    </row>
    <row r="437" spans="1:11" x14ac:dyDescent="0.25">
      <c r="A437" s="5" t="s">
        <v>702</v>
      </c>
      <c r="B437" s="42">
        <f t="shared" si="18"/>
        <v>226.4562700000001</v>
      </c>
      <c r="C437" s="7" t="s">
        <v>662</v>
      </c>
      <c r="D437" s="7" t="s">
        <v>661</v>
      </c>
      <c r="E437" s="7" t="s">
        <v>826</v>
      </c>
      <c r="F437" s="8">
        <v>225.87537000000003</v>
      </c>
      <c r="G437" s="7" t="s">
        <v>135</v>
      </c>
      <c r="H437" s="7" t="s">
        <v>133</v>
      </c>
      <c r="I437" s="6">
        <v>508.8</v>
      </c>
      <c r="J437" s="6">
        <f t="shared" si="20"/>
        <v>226456.27000000011</v>
      </c>
      <c r="K437" s="6">
        <f t="shared" si="19"/>
        <v>30536.880000000085</v>
      </c>
    </row>
    <row r="438" spans="1:11" x14ac:dyDescent="0.25">
      <c r="A438" s="5" t="s">
        <v>702</v>
      </c>
      <c r="B438" s="42">
        <f t="shared" si="18"/>
        <v>226.96507000000008</v>
      </c>
      <c r="C438" s="7" t="s">
        <v>661</v>
      </c>
      <c r="D438" s="7" t="s">
        <v>660</v>
      </c>
      <c r="E438" s="7" t="s">
        <v>826</v>
      </c>
      <c r="F438" s="8">
        <v>226.36853000000002</v>
      </c>
      <c r="G438" s="7" t="s">
        <v>133</v>
      </c>
      <c r="H438" s="7" t="s">
        <v>131</v>
      </c>
      <c r="I438" s="6">
        <v>517.73</v>
      </c>
      <c r="J438" s="6">
        <f t="shared" si="20"/>
        <v>226965.07000000009</v>
      </c>
      <c r="K438" s="6">
        <f t="shared" si="19"/>
        <v>30028.080000000085</v>
      </c>
    </row>
    <row r="439" spans="1:11" x14ac:dyDescent="0.25">
      <c r="A439" s="5" t="s">
        <v>702</v>
      </c>
      <c r="B439" s="42">
        <f t="shared" si="18"/>
        <v>227.48280000000011</v>
      </c>
      <c r="C439" s="7" t="s">
        <v>660</v>
      </c>
      <c r="D439" s="7" t="s">
        <v>659</v>
      </c>
      <c r="E439" s="7" t="s">
        <v>826</v>
      </c>
      <c r="F439" s="8">
        <v>226.76591000000002</v>
      </c>
      <c r="G439" s="7" t="s">
        <v>131</v>
      </c>
      <c r="H439" s="7" t="s">
        <v>129</v>
      </c>
      <c r="I439" s="6">
        <v>626.61</v>
      </c>
      <c r="J439" s="6">
        <f t="shared" si="20"/>
        <v>227482.8000000001</v>
      </c>
      <c r="K439" s="6">
        <f t="shared" si="19"/>
        <v>29510.350000000086</v>
      </c>
    </row>
    <row r="440" spans="1:11" x14ac:dyDescent="0.25">
      <c r="A440" s="5" t="s">
        <v>702</v>
      </c>
      <c r="B440" s="42">
        <f t="shared" si="18"/>
        <v>228.10941000000008</v>
      </c>
      <c r="C440" s="7" t="s">
        <v>659</v>
      </c>
      <c r="D440" s="7" t="s">
        <v>658</v>
      </c>
      <c r="E440" s="7" t="s">
        <v>826</v>
      </c>
      <c r="F440" s="8">
        <v>227.18590000000003</v>
      </c>
      <c r="G440" s="7" t="s">
        <v>129</v>
      </c>
      <c r="H440" s="7" t="s">
        <v>127</v>
      </c>
      <c r="I440" s="6">
        <v>548.98</v>
      </c>
      <c r="J440" s="6">
        <f t="shared" si="20"/>
        <v>228109.41000000009</v>
      </c>
      <c r="K440" s="6">
        <f t="shared" si="19"/>
        <v>28883.740000000085</v>
      </c>
    </row>
    <row r="441" spans="1:11" x14ac:dyDescent="0.25">
      <c r="A441" s="5" t="s">
        <v>702</v>
      </c>
      <c r="B441" s="42">
        <f t="shared" si="18"/>
        <v>228.65839000000011</v>
      </c>
      <c r="C441" s="7" t="s">
        <v>658</v>
      </c>
      <c r="D441" s="7" t="s">
        <v>657</v>
      </c>
      <c r="E441" s="7" t="s">
        <v>826</v>
      </c>
      <c r="F441" s="8">
        <v>227.55013000000002</v>
      </c>
      <c r="G441" s="7" t="s">
        <v>127</v>
      </c>
      <c r="H441" s="7" t="s">
        <v>125</v>
      </c>
      <c r="I441" s="6">
        <v>568.88</v>
      </c>
      <c r="J441" s="6">
        <f t="shared" si="20"/>
        <v>228658.3900000001</v>
      </c>
      <c r="K441" s="6">
        <f t="shared" si="19"/>
        <v>28334.760000000086</v>
      </c>
    </row>
    <row r="442" spans="1:11" x14ac:dyDescent="0.25">
      <c r="A442" s="5" t="s">
        <v>702</v>
      </c>
      <c r="B442" s="42">
        <f t="shared" si="18"/>
        <v>229.22727000000012</v>
      </c>
      <c r="C442" s="7" t="s">
        <v>657</v>
      </c>
      <c r="D442" s="7" t="s">
        <v>656</v>
      </c>
      <c r="E442" s="7" t="s">
        <v>826</v>
      </c>
      <c r="F442" s="8">
        <v>228.21161000000004</v>
      </c>
      <c r="G442" s="7" t="s">
        <v>125</v>
      </c>
      <c r="H442" s="7" t="s">
        <v>123</v>
      </c>
      <c r="I442" s="6">
        <v>639.89</v>
      </c>
      <c r="J442" s="6">
        <f t="shared" si="20"/>
        <v>229227.27000000011</v>
      </c>
      <c r="K442" s="6">
        <f t="shared" si="19"/>
        <v>27765.880000000085</v>
      </c>
    </row>
    <row r="443" spans="1:11" x14ac:dyDescent="0.25">
      <c r="A443" s="5" t="s">
        <v>702</v>
      </c>
      <c r="B443" s="42">
        <f t="shared" si="18"/>
        <v>229.86716000000013</v>
      </c>
      <c r="C443" s="7" t="s">
        <v>656</v>
      </c>
      <c r="D443" s="7" t="s">
        <v>655</v>
      </c>
      <c r="E443" s="7" t="s">
        <v>826</v>
      </c>
      <c r="F443" s="8">
        <v>228.69837000000004</v>
      </c>
      <c r="G443" s="7" t="s">
        <v>123</v>
      </c>
      <c r="H443" s="7" t="s">
        <v>121</v>
      </c>
      <c r="I443" s="6">
        <v>560.30999999999995</v>
      </c>
      <c r="J443" s="6">
        <f t="shared" si="20"/>
        <v>229867.16000000012</v>
      </c>
      <c r="K443" s="6">
        <f t="shared" si="19"/>
        <v>27125.990000000085</v>
      </c>
    </row>
    <row r="444" spans="1:11" x14ac:dyDescent="0.25">
      <c r="A444" s="5" t="s">
        <v>702</v>
      </c>
      <c r="B444" s="42">
        <f t="shared" si="18"/>
        <v>230.42747000000011</v>
      </c>
      <c r="C444" s="7" t="s">
        <v>655</v>
      </c>
      <c r="D444" s="7" t="s">
        <v>654</v>
      </c>
      <c r="E444" s="7" t="s">
        <v>826</v>
      </c>
      <c r="F444" s="8">
        <v>229.09392000000005</v>
      </c>
      <c r="G444" s="7" t="s">
        <v>121</v>
      </c>
      <c r="H444" s="7" t="s">
        <v>119</v>
      </c>
      <c r="I444" s="6">
        <v>384.97</v>
      </c>
      <c r="J444" s="6">
        <f t="shared" si="20"/>
        <v>230427.47000000012</v>
      </c>
      <c r="K444" s="6">
        <f t="shared" si="19"/>
        <v>26565.680000000084</v>
      </c>
    </row>
    <row r="445" spans="1:11" x14ac:dyDescent="0.25">
      <c r="A445" s="5" t="s">
        <v>702</v>
      </c>
      <c r="B445" s="42">
        <f t="shared" si="18"/>
        <v>230.81244000000012</v>
      </c>
      <c r="C445" s="7" t="s">
        <v>654</v>
      </c>
      <c r="D445" s="7" t="s">
        <v>653</v>
      </c>
      <c r="E445" s="7" t="s">
        <v>826</v>
      </c>
      <c r="F445" s="8">
        <v>229.52103000000002</v>
      </c>
      <c r="G445" s="7" t="s">
        <v>119</v>
      </c>
      <c r="H445" s="7" t="s">
        <v>19</v>
      </c>
      <c r="I445" s="6">
        <v>534.22</v>
      </c>
      <c r="J445" s="6">
        <f t="shared" si="20"/>
        <v>230812.44000000012</v>
      </c>
      <c r="K445" s="6">
        <f t="shared" si="19"/>
        <v>26180.710000000083</v>
      </c>
    </row>
    <row r="446" spans="1:11" x14ac:dyDescent="0.25">
      <c r="A446" s="5" t="s">
        <v>702</v>
      </c>
      <c r="B446" s="42">
        <f t="shared" si="18"/>
        <v>231.34666000000013</v>
      </c>
      <c r="C446" s="7" t="s">
        <v>653</v>
      </c>
      <c r="D446" s="7" t="s">
        <v>652</v>
      </c>
      <c r="E446" s="7" t="s">
        <v>826</v>
      </c>
      <c r="F446" s="8">
        <v>230.17771000000002</v>
      </c>
      <c r="G446" s="7" t="s">
        <v>19</v>
      </c>
      <c r="H446" s="7" t="s">
        <v>18</v>
      </c>
      <c r="I446" s="6">
        <v>615.07000000000005</v>
      </c>
      <c r="J446" s="6">
        <f t="shared" si="20"/>
        <v>231346.66000000012</v>
      </c>
      <c r="K446" s="6">
        <f t="shared" si="19"/>
        <v>25646.490000000082</v>
      </c>
    </row>
    <row r="447" spans="1:11" x14ac:dyDescent="0.25">
      <c r="A447" s="5" t="s">
        <v>702</v>
      </c>
      <c r="B447" s="42">
        <f t="shared" si="18"/>
        <v>231.96173000000013</v>
      </c>
      <c r="C447" s="7" t="s">
        <v>652</v>
      </c>
      <c r="D447" s="7" t="s">
        <v>651</v>
      </c>
      <c r="E447" s="7" t="s">
        <v>826</v>
      </c>
      <c r="F447" s="8">
        <v>230.60309000000004</v>
      </c>
      <c r="G447" s="7" t="s">
        <v>18</v>
      </c>
      <c r="H447" s="7" t="s">
        <v>115</v>
      </c>
      <c r="I447" s="6">
        <v>437.81</v>
      </c>
      <c r="J447" s="6">
        <f t="shared" si="20"/>
        <v>231961.73000000013</v>
      </c>
      <c r="K447" s="6">
        <f t="shared" si="19"/>
        <v>25031.420000000082</v>
      </c>
    </row>
    <row r="448" spans="1:11" x14ac:dyDescent="0.25">
      <c r="A448" s="5" t="s">
        <v>702</v>
      </c>
      <c r="B448" s="42">
        <f t="shared" si="18"/>
        <v>232.39954000000012</v>
      </c>
      <c r="C448" s="7" t="s">
        <v>651</v>
      </c>
      <c r="D448" s="7" t="s">
        <v>650</v>
      </c>
      <c r="E448" s="7" t="s">
        <v>826</v>
      </c>
      <c r="F448" s="8">
        <v>231.22223000000005</v>
      </c>
      <c r="G448" s="7" t="s">
        <v>115</v>
      </c>
      <c r="H448" s="7" t="s">
        <v>113</v>
      </c>
      <c r="I448" s="6">
        <v>561.83000000000004</v>
      </c>
      <c r="J448" s="6">
        <f t="shared" si="20"/>
        <v>232399.54000000012</v>
      </c>
      <c r="K448" s="6">
        <f t="shared" si="19"/>
        <v>24593.610000000081</v>
      </c>
    </row>
    <row r="449" spans="1:11" x14ac:dyDescent="0.25">
      <c r="A449" s="5" t="s">
        <v>702</v>
      </c>
      <c r="B449" s="42">
        <f t="shared" si="18"/>
        <v>232.9613700000001</v>
      </c>
      <c r="C449" s="7" t="s">
        <v>650</v>
      </c>
      <c r="D449" s="7" t="s">
        <v>649</v>
      </c>
      <c r="E449" s="7" t="s">
        <v>826</v>
      </c>
      <c r="F449" s="8">
        <v>231.74347000000003</v>
      </c>
      <c r="G449" s="7" t="s">
        <v>113</v>
      </c>
      <c r="H449" s="7" t="s">
        <v>111</v>
      </c>
      <c r="I449" s="6">
        <v>586.54</v>
      </c>
      <c r="J449" s="6">
        <f t="shared" si="20"/>
        <v>232961.37000000011</v>
      </c>
      <c r="K449" s="6">
        <f t="shared" si="19"/>
        <v>24031.780000000079</v>
      </c>
    </row>
    <row r="450" spans="1:11" x14ac:dyDescent="0.25">
      <c r="A450" s="5" t="s">
        <v>702</v>
      </c>
      <c r="B450" s="42">
        <f t="shared" si="18"/>
        <v>233.54791000000012</v>
      </c>
      <c r="C450" s="7" t="s">
        <v>649</v>
      </c>
      <c r="D450" s="7" t="s">
        <v>648</v>
      </c>
      <c r="E450" s="7" t="s">
        <v>826</v>
      </c>
      <c r="F450" s="8">
        <v>232.18357000000003</v>
      </c>
      <c r="G450" s="7" t="s">
        <v>111</v>
      </c>
      <c r="H450" s="7" t="s">
        <v>109</v>
      </c>
      <c r="I450" s="6">
        <v>401.58</v>
      </c>
      <c r="J450" s="6">
        <f t="shared" si="20"/>
        <v>233547.91000000012</v>
      </c>
      <c r="K450" s="6">
        <f t="shared" si="19"/>
        <v>23445.240000000078</v>
      </c>
    </row>
    <row r="451" spans="1:11" x14ac:dyDescent="0.25">
      <c r="A451" s="5" t="s">
        <v>702</v>
      </c>
      <c r="B451" s="42">
        <f t="shared" ref="B451:B497" si="21">J451/1000</f>
        <v>233.94949000000011</v>
      </c>
      <c r="C451" s="7" t="s">
        <v>648</v>
      </c>
      <c r="D451" s="7" t="s">
        <v>647</v>
      </c>
      <c r="E451" s="7" t="s">
        <v>826</v>
      </c>
      <c r="F451" s="8">
        <v>232.72311000000005</v>
      </c>
      <c r="G451" s="7" t="s">
        <v>109</v>
      </c>
      <c r="H451" s="7" t="s">
        <v>107</v>
      </c>
      <c r="I451" s="6">
        <v>405.92</v>
      </c>
      <c r="J451" s="6">
        <f t="shared" si="20"/>
        <v>233949.49000000011</v>
      </c>
      <c r="K451" s="6">
        <f t="shared" si="19"/>
        <v>23043.660000000076</v>
      </c>
    </row>
    <row r="452" spans="1:11" x14ac:dyDescent="0.25">
      <c r="A452" s="5" t="s">
        <v>702</v>
      </c>
      <c r="B452" s="42">
        <f t="shared" si="21"/>
        <v>234.35541000000012</v>
      </c>
      <c r="C452" s="7" t="s">
        <v>647</v>
      </c>
      <c r="D452" s="7" t="s">
        <v>646</v>
      </c>
      <c r="E452" s="7" t="s">
        <v>826</v>
      </c>
      <c r="F452" s="8">
        <v>233.05520000000004</v>
      </c>
      <c r="G452" s="7" t="s">
        <v>107</v>
      </c>
      <c r="H452" s="7" t="s">
        <v>105</v>
      </c>
      <c r="I452" s="6">
        <v>329.31</v>
      </c>
      <c r="J452" s="6">
        <f t="shared" si="20"/>
        <v>234355.41000000012</v>
      </c>
      <c r="K452" s="6">
        <f t="shared" ref="K452:K497" si="22">K451-I451</f>
        <v>22637.740000000078</v>
      </c>
    </row>
    <row r="453" spans="1:11" x14ac:dyDescent="0.25">
      <c r="A453" s="5" t="s">
        <v>702</v>
      </c>
      <c r="B453" s="42">
        <f t="shared" si="21"/>
        <v>234.68472000000011</v>
      </c>
      <c r="C453" s="7" t="s">
        <v>646</v>
      </c>
      <c r="D453" s="7" t="s">
        <v>645</v>
      </c>
      <c r="E453" s="7" t="s">
        <v>826</v>
      </c>
      <c r="F453" s="8">
        <v>233.52812000000006</v>
      </c>
      <c r="G453" s="7" t="s">
        <v>105</v>
      </c>
      <c r="H453" s="7" t="s">
        <v>103</v>
      </c>
      <c r="I453" s="6">
        <v>342.83</v>
      </c>
      <c r="J453" s="6">
        <f t="shared" ref="J453:J497" si="23">J452+I452</f>
        <v>234684.72000000012</v>
      </c>
      <c r="K453" s="6">
        <f t="shared" si="22"/>
        <v>22308.430000000077</v>
      </c>
    </row>
    <row r="454" spans="1:11" x14ac:dyDescent="0.25">
      <c r="A454" s="5" t="s">
        <v>702</v>
      </c>
      <c r="B454" s="42">
        <f t="shared" si="21"/>
        <v>235.0275500000001</v>
      </c>
      <c r="C454" s="7" t="s">
        <v>645</v>
      </c>
      <c r="D454" s="7" t="s">
        <v>644</v>
      </c>
      <c r="E454" s="7" t="s">
        <v>826</v>
      </c>
      <c r="F454" s="8">
        <v>234.15570000000005</v>
      </c>
      <c r="G454" s="7" t="s">
        <v>103</v>
      </c>
      <c r="H454" s="7" t="s">
        <v>101</v>
      </c>
      <c r="I454" s="6">
        <v>437.52</v>
      </c>
      <c r="J454" s="6">
        <f t="shared" si="23"/>
        <v>235027.5500000001</v>
      </c>
      <c r="K454" s="6">
        <f t="shared" si="22"/>
        <v>21965.600000000075</v>
      </c>
    </row>
    <row r="455" spans="1:11" x14ac:dyDescent="0.25">
      <c r="A455" s="5" t="s">
        <v>702</v>
      </c>
      <c r="B455" s="42">
        <f t="shared" si="21"/>
        <v>235.46507000000008</v>
      </c>
      <c r="C455" s="7" t="s">
        <v>644</v>
      </c>
      <c r="D455" s="7" t="s">
        <v>643</v>
      </c>
      <c r="E455" s="7" t="s">
        <v>826</v>
      </c>
      <c r="F455" s="8">
        <v>234.93615000000005</v>
      </c>
      <c r="G455" s="7" t="s">
        <v>101</v>
      </c>
      <c r="H455" s="7" t="s">
        <v>99</v>
      </c>
      <c r="I455" s="6">
        <v>543.72</v>
      </c>
      <c r="J455" s="6">
        <f t="shared" si="23"/>
        <v>235465.07000000009</v>
      </c>
      <c r="K455" s="6">
        <f t="shared" si="22"/>
        <v>21528.080000000075</v>
      </c>
    </row>
    <row r="456" spans="1:11" x14ac:dyDescent="0.25">
      <c r="A456" s="5" t="s">
        <v>702</v>
      </c>
      <c r="B456" s="42">
        <f t="shared" si="21"/>
        <v>236.00879000000009</v>
      </c>
      <c r="C456" s="7" t="s">
        <v>643</v>
      </c>
      <c r="D456" s="7" t="s">
        <v>642</v>
      </c>
      <c r="E456" s="7" t="s">
        <v>826</v>
      </c>
      <c r="F456" s="8">
        <v>235.44989000000004</v>
      </c>
      <c r="G456" s="7" t="s">
        <v>99</v>
      </c>
      <c r="H456" s="7" t="s">
        <v>97</v>
      </c>
      <c r="I456" s="6">
        <v>486.66</v>
      </c>
      <c r="J456" s="6">
        <f t="shared" si="23"/>
        <v>236008.7900000001</v>
      </c>
      <c r="K456" s="6">
        <f t="shared" si="22"/>
        <v>20984.360000000073</v>
      </c>
    </row>
    <row r="457" spans="1:11" x14ac:dyDescent="0.25">
      <c r="A457" s="5" t="s">
        <v>702</v>
      </c>
      <c r="B457" s="42">
        <f t="shared" si="21"/>
        <v>236.49545000000009</v>
      </c>
      <c r="C457" s="7" t="s">
        <v>642</v>
      </c>
      <c r="D457" s="7" t="s">
        <v>641</v>
      </c>
      <c r="E457" s="7" t="s">
        <v>826</v>
      </c>
      <c r="F457" s="8">
        <v>236.17115000000004</v>
      </c>
      <c r="G457" s="7" t="s">
        <v>97</v>
      </c>
      <c r="H457" s="7" t="s">
        <v>95</v>
      </c>
      <c r="I457" s="6">
        <v>472.91</v>
      </c>
      <c r="J457" s="6">
        <f t="shared" si="23"/>
        <v>236495.4500000001</v>
      </c>
      <c r="K457" s="6">
        <f t="shared" si="22"/>
        <v>20497.700000000073</v>
      </c>
    </row>
    <row r="458" spans="1:11" x14ac:dyDescent="0.25">
      <c r="A458" s="5" t="s">
        <v>702</v>
      </c>
      <c r="B458" s="42">
        <f t="shared" si="21"/>
        <v>236.9683600000001</v>
      </c>
      <c r="C458" s="7" t="s">
        <v>641</v>
      </c>
      <c r="D458" s="7" t="s">
        <v>640</v>
      </c>
      <c r="E458" s="7" t="s">
        <v>826</v>
      </c>
      <c r="F458" s="8">
        <v>236.77830000000006</v>
      </c>
      <c r="G458" s="7" t="s">
        <v>95</v>
      </c>
      <c r="H458" s="7" t="s">
        <v>93</v>
      </c>
      <c r="I458" s="6">
        <v>543.58000000000004</v>
      </c>
      <c r="J458" s="6">
        <f t="shared" si="23"/>
        <v>236968.3600000001</v>
      </c>
      <c r="K458" s="6">
        <f t="shared" si="22"/>
        <v>20024.790000000074</v>
      </c>
    </row>
    <row r="459" spans="1:11" x14ac:dyDescent="0.25">
      <c r="A459" s="5" t="s">
        <v>702</v>
      </c>
      <c r="B459" s="42">
        <f t="shared" si="21"/>
        <v>237.5119400000001</v>
      </c>
      <c r="C459" s="7" t="s">
        <v>640</v>
      </c>
      <c r="D459" s="7" t="s">
        <v>639</v>
      </c>
      <c r="E459" s="7" t="s">
        <v>826</v>
      </c>
      <c r="F459" s="8">
        <v>237.26871000000006</v>
      </c>
      <c r="G459" s="7" t="s">
        <v>93</v>
      </c>
      <c r="H459" s="7" t="s">
        <v>91</v>
      </c>
      <c r="I459" s="6">
        <v>560.20000000000005</v>
      </c>
      <c r="J459" s="6">
        <f t="shared" si="23"/>
        <v>237511.94000000009</v>
      </c>
      <c r="K459" s="6">
        <f t="shared" si="22"/>
        <v>19481.210000000072</v>
      </c>
    </row>
    <row r="460" spans="1:11" x14ac:dyDescent="0.25">
      <c r="A460" s="5" t="s">
        <v>702</v>
      </c>
      <c r="B460" s="42">
        <f t="shared" si="21"/>
        <v>238.0721400000001</v>
      </c>
      <c r="C460" s="7" t="s">
        <v>639</v>
      </c>
      <c r="D460" s="7" t="s">
        <v>638</v>
      </c>
      <c r="E460" s="7" t="s">
        <v>826</v>
      </c>
      <c r="F460" s="8">
        <v>237.65542000000005</v>
      </c>
      <c r="G460" s="7" t="s">
        <v>91</v>
      </c>
      <c r="H460" s="7" t="s">
        <v>89</v>
      </c>
      <c r="I460" s="6">
        <v>495.55</v>
      </c>
      <c r="J460" s="6">
        <f t="shared" si="23"/>
        <v>238072.1400000001</v>
      </c>
      <c r="K460" s="6">
        <f t="shared" si="22"/>
        <v>18921.010000000071</v>
      </c>
    </row>
    <row r="461" spans="1:11" x14ac:dyDescent="0.25">
      <c r="A461" s="5" t="s">
        <v>702</v>
      </c>
      <c r="B461" s="42">
        <f t="shared" si="21"/>
        <v>238.56769000000008</v>
      </c>
      <c r="C461" s="7" t="s">
        <v>638</v>
      </c>
      <c r="D461" s="7" t="s">
        <v>637</v>
      </c>
      <c r="E461" s="7" t="s">
        <v>826</v>
      </c>
      <c r="F461" s="8">
        <v>238.33344000000002</v>
      </c>
      <c r="G461" s="7" t="s">
        <v>89</v>
      </c>
      <c r="H461" s="7" t="s">
        <v>87</v>
      </c>
      <c r="I461" s="6">
        <v>410.75</v>
      </c>
      <c r="J461" s="6">
        <f t="shared" si="23"/>
        <v>238567.69000000009</v>
      </c>
      <c r="K461" s="6">
        <f t="shared" si="22"/>
        <v>18425.460000000072</v>
      </c>
    </row>
    <row r="462" spans="1:11" x14ac:dyDescent="0.25">
      <c r="A462" s="5" t="s">
        <v>702</v>
      </c>
      <c r="B462" s="42">
        <f t="shared" si="21"/>
        <v>238.97844000000009</v>
      </c>
      <c r="C462" s="7" t="s">
        <v>637</v>
      </c>
      <c r="D462" s="7" t="s">
        <v>636</v>
      </c>
      <c r="E462" s="7" t="s">
        <v>826</v>
      </c>
      <c r="F462" s="8">
        <v>238.77994000000004</v>
      </c>
      <c r="G462" s="7" t="s">
        <v>87</v>
      </c>
      <c r="H462" s="7" t="s">
        <v>85</v>
      </c>
      <c r="I462" s="6">
        <v>462.04</v>
      </c>
      <c r="J462" s="6">
        <f t="shared" si="23"/>
        <v>238978.44000000009</v>
      </c>
      <c r="K462" s="6">
        <f t="shared" si="22"/>
        <v>18014.710000000072</v>
      </c>
    </row>
    <row r="463" spans="1:11" x14ac:dyDescent="0.25">
      <c r="A463" s="5" t="s">
        <v>702</v>
      </c>
      <c r="B463" s="42">
        <f t="shared" si="21"/>
        <v>239.44048000000009</v>
      </c>
      <c r="C463" s="7" t="s">
        <v>636</v>
      </c>
      <c r="D463" s="7" t="s">
        <v>635</v>
      </c>
      <c r="E463" s="7" t="s">
        <v>826</v>
      </c>
      <c r="F463" s="8">
        <v>239.27404000000004</v>
      </c>
      <c r="G463" s="7" t="s">
        <v>85</v>
      </c>
      <c r="H463" s="7" t="s">
        <v>83</v>
      </c>
      <c r="I463" s="6">
        <v>482.83</v>
      </c>
      <c r="J463" s="6">
        <f t="shared" si="23"/>
        <v>239440.4800000001</v>
      </c>
      <c r="K463" s="6">
        <f t="shared" si="22"/>
        <v>17552.670000000071</v>
      </c>
    </row>
    <row r="464" spans="1:11" x14ac:dyDescent="0.25">
      <c r="A464" s="5" t="s">
        <v>702</v>
      </c>
      <c r="B464" s="42">
        <f t="shared" si="21"/>
        <v>239.92331000000007</v>
      </c>
      <c r="C464" s="7" t="s">
        <v>635</v>
      </c>
      <c r="D464" s="7" t="s">
        <v>634</v>
      </c>
      <c r="E464" s="7" t="s">
        <v>826</v>
      </c>
      <c r="F464" s="8">
        <v>239.63789000000006</v>
      </c>
      <c r="G464" s="7" t="s">
        <v>83</v>
      </c>
      <c r="H464" s="7" t="s">
        <v>81</v>
      </c>
      <c r="I464" s="6">
        <v>544.07000000000005</v>
      </c>
      <c r="J464" s="6">
        <f t="shared" si="23"/>
        <v>239923.31000000008</v>
      </c>
      <c r="K464" s="6">
        <f t="shared" si="22"/>
        <v>17069.840000000069</v>
      </c>
    </row>
    <row r="465" spans="1:11" x14ac:dyDescent="0.25">
      <c r="A465" s="5" t="s">
        <v>702</v>
      </c>
      <c r="B465" s="42">
        <f t="shared" si="21"/>
        <v>240.46738000000011</v>
      </c>
      <c r="C465" s="7" t="s">
        <v>634</v>
      </c>
      <c r="D465" s="7" t="s">
        <v>633</v>
      </c>
      <c r="E465" s="7" t="s">
        <v>826</v>
      </c>
      <c r="F465" s="8">
        <v>240.13068000000004</v>
      </c>
      <c r="G465" s="7" t="s">
        <v>81</v>
      </c>
      <c r="H465" s="7" t="s">
        <v>79</v>
      </c>
      <c r="I465" s="6">
        <v>568.67999999999995</v>
      </c>
      <c r="J465" s="6">
        <f t="shared" si="23"/>
        <v>240467.38000000009</v>
      </c>
      <c r="K465" s="6">
        <f t="shared" si="22"/>
        <v>16525.77000000007</v>
      </c>
    </row>
    <row r="466" spans="1:11" x14ac:dyDescent="0.25">
      <c r="A466" s="5" t="s">
        <v>702</v>
      </c>
      <c r="B466" s="42">
        <f t="shared" si="21"/>
        <v>241.03606000000008</v>
      </c>
      <c r="C466" s="7" t="s">
        <v>633</v>
      </c>
      <c r="D466" s="7" t="s">
        <v>632</v>
      </c>
      <c r="E466" s="7" t="s">
        <v>826</v>
      </c>
      <c r="F466" s="8">
        <v>240.63759000000005</v>
      </c>
      <c r="G466" s="7" t="s">
        <v>79</v>
      </c>
      <c r="H466" s="7" t="s">
        <v>77</v>
      </c>
      <c r="I466" s="6">
        <v>469.22</v>
      </c>
      <c r="J466" s="6">
        <f t="shared" si="23"/>
        <v>241036.06000000008</v>
      </c>
      <c r="K466" s="6">
        <f t="shared" si="22"/>
        <v>15957.090000000069</v>
      </c>
    </row>
    <row r="467" spans="1:11" x14ac:dyDescent="0.25">
      <c r="A467" s="5" t="s">
        <v>702</v>
      </c>
      <c r="B467" s="42">
        <f t="shared" si="21"/>
        <v>241.50528000000008</v>
      </c>
      <c r="C467" s="7" t="s">
        <v>632</v>
      </c>
      <c r="D467" s="7" t="s">
        <v>631</v>
      </c>
      <c r="E467" s="7" t="s">
        <v>826</v>
      </c>
      <c r="F467" s="8">
        <v>241.09518000000006</v>
      </c>
      <c r="G467" s="7" t="s">
        <v>77</v>
      </c>
      <c r="H467" s="7" t="s">
        <v>75</v>
      </c>
      <c r="I467" s="6">
        <v>489.93</v>
      </c>
      <c r="J467" s="6">
        <f t="shared" si="23"/>
        <v>241505.28000000009</v>
      </c>
      <c r="K467" s="6">
        <f t="shared" si="22"/>
        <v>15487.87000000007</v>
      </c>
    </row>
    <row r="468" spans="1:11" x14ac:dyDescent="0.25">
      <c r="A468" s="5" t="s">
        <v>702</v>
      </c>
      <c r="B468" s="42">
        <f t="shared" si="21"/>
        <v>241.99521000000007</v>
      </c>
      <c r="C468" s="7" t="s">
        <v>631</v>
      </c>
      <c r="D468" s="7" t="s">
        <v>630</v>
      </c>
      <c r="E468" s="7" t="s">
        <v>826</v>
      </c>
      <c r="F468" s="8">
        <v>241.73576000000003</v>
      </c>
      <c r="G468" s="7" t="s">
        <v>75</v>
      </c>
      <c r="H468" s="7" t="s">
        <v>73</v>
      </c>
      <c r="I468" s="6">
        <v>601.34</v>
      </c>
      <c r="J468" s="6">
        <f t="shared" si="23"/>
        <v>241995.21000000008</v>
      </c>
      <c r="K468" s="6">
        <f t="shared" si="22"/>
        <v>14997.94000000007</v>
      </c>
    </row>
    <row r="469" spans="1:11" x14ac:dyDescent="0.25">
      <c r="A469" s="5" t="s">
        <v>702</v>
      </c>
      <c r="B469" s="42">
        <f t="shared" si="21"/>
        <v>242.59655000000006</v>
      </c>
      <c r="C469" s="7" t="s">
        <v>630</v>
      </c>
      <c r="D469" s="7" t="s">
        <v>629</v>
      </c>
      <c r="E469" s="7" t="s">
        <v>826</v>
      </c>
      <c r="F469" s="8">
        <v>242.20461000000003</v>
      </c>
      <c r="G469" s="7" t="s">
        <v>73</v>
      </c>
      <c r="H469" s="7" t="s">
        <v>71</v>
      </c>
      <c r="I469" s="6">
        <v>570.36</v>
      </c>
      <c r="J469" s="6">
        <f t="shared" si="23"/>
        <v>242596.55000000008</v>
      </c>
      <c r="K469" s="6">
        <f t="shared" si="22"/>
        <v>14396.600000000069</v>
      </c>
    </row>
    <row r="470" spans="1:11" x14ac:dyDescent="0.25">
      <c r="A470" s="5" t="s">
        <v>702</v>
      </c>
      <c r="B470" s="42">
        <f t="shared" si="21"/>
        <v>243.16691000000006</v>
      </c>
      <c r="C470" s="7" t="s">
        <v>629</v>
      </c>
      <c r="D470" s="7" t="s">
        <v>628</v>
      </c>
      <c r="E470" s="7" t="s">
        <v>826</v>
      </c>
      <c r="F470" s="8">
        <v>242.73484000000005</v>
      </c>
      <c r="G470" s="7" t="s">
        <v>71</v>
      </c>
      <c r="H470" s="7" t="s">
        <v>69</v>
      </c>
      <c r="I470" s="6">
        <v>517.58000000000004</v>
      </c>
      <c r="J470" s="6">
        <f t="shared" si="23"/>
        <v>243166.91000000006</v>
      </c>
      <c r="K470" s="6">
        <f t="shared" si="22"/>
        <v>13826.240000000069</v>
      </c>
    </row>
    <row r="471" spans="1:11" x14ac:dyDescent="0.25">
      <c r="A471" s="5" t="s">
        <v>702</v>
      </c>
      <c r="B471" s="42">
        <f t="shared" si="21"/>
        <v>243.68449000000004</v>
      </c>
      <c r="C471" s="7" t="s">
        <v>628</v>
      </c>
      <c r="D471" s="7" t="s">
        <v>627</v>
      </c>
      <c r="E471" s="7" t="s">
        <v>826</v>
      </c>
      <c r="F471" s="8">
        <v>243.03734000000006</v>
      </c>
      <c r="G471" s="7" t="s">
        <v>69</v>
      </c>
      <c r="H471" s="7" t="s">
        <v>67</v>
      </c>
      <c r="I471" s="6">
        <v>637.64</v>
      </c>
      <c r="J471" s="6">
        <f t="shared" si="23"/>
        <v>243684.49000000005</v>
      </c>
      <c r="K471" s="6">
        <f t="shared" si="22"/>
        <v>13308.660000000069</v>
      </c>
    </row>
    <row r="472" spans="1:11" x14ac:dyDescent="0.25">
      <c r="A472" s="5" t="s">
        <v>702</v>
      </c>
      <c r="B472" s="42">
        <f t="shared" si="21"/>
        <v>244.32213000000007</v>
      </c>
      <c r="C472" s="7" t="s">
        <v>627</v>
      </c>
      <c r="D472" s="7" t="s">
        <v>626</v>
      </c>
      <c r="E472" s="7" t="s">
        <v>826</v>
      </c>
      <c r="F472" s="8">
        <v>243.52880000000005</v>
      </c>
      <c r="G472" s="7" t="s">
        <v>67</v>
      </c>
      <c r="H472" s="7" t="s">
        <v>65</v>
      </c>
      <c r="I472" s="6">
        <v>499.39</v>
      </c>
      <c r="J472" s="6">
        <f t="shared" si="23"/>
        <v>244322.13000000006</v>
      </c>
      <c r="K472" s="6">
        <f t="shared" si="22"/>
        <v>12671.02000000007</v>
      </c>
    </row>
    <row r="473" spans="1:11" x14ac:dyDescent="0.25">
      <c r="A473" s="5" t="s">
        <v>702</v>
      </c>
      <c r="B473" s="42">
        <f t="shared" si="21"/>
        <v>244.82152000000008</v>
      </c>
      <c r="C473" s="7" t="s">
        <v>626</v>
      </c>
      <c r="D473" s="7" t="s">
        <v>625</v>
      </c>
      <c r="E473" s="7" t="s">
        <v>826</v>
      </c>
      <c r="F473" s="8">
        <v>244.02884000000006</v>
      </c>
      <c r="G473" s="7" t="s">
        <v>65</v>
      </c>
      <c r="H473" s="7" t="s">
        <v>63</v>
      </c>
      <c r="I473" s="6">
        <v>443.48</v>
      </c>
      <c r="J473" s="6">
        <f t="shared" si="23"/>
        <v>244821.52000000008</v>
      </c>
      <c r="K473" s="6">
        <f t="shared" si="22"/>
        <v>12171.63000000007</v>
      </c>
    </row>
    <row r="474" spans="1:11" x14ac:dyDescent="0.25">
      <c r="A474" s="5" t="s">
        <v>702</v>
      </c>
      <c r="B474" s="42">
        <f t="shared" si="21"/>
        <v>245.2650000000001</v>
      </c>
      <c r="C474" s="7" t="s">
        <v>625</v>
      </c>
      <c r="D474" s="7" t="s">
        <v>624</v>
      </c>
      <c r="E474" s="7" t="s">
        <v>826</v>
      </c>
      <c r="F474" s="8">
        <v>244.86851000000007</v>
      </c>
      <c r="G474" s="7" t="s">
        <v>63</v>
      </c>
      <c r="H474" s="7" t="s">
        <v>61</v>
      </c>
      <c r="I474" s="6">
        <v>582.66</v>
      </c>
      <c r="J474" s="6">
        <f t="shared" si="23"/>
        <v>245265.00000000009</v>
      </c>
      <c r="K474" s="6">
        <f t="shared" si="22"/>
        <v>11728.150000000071</v>
      </c>
    </row>
    <row r="475" spans="1:11" x14ac:dyDescent="0.25">
      <c r="A475" s="5" t="s">
        <v>702</v>
      </c>
      <c r="B475" s="42">
        <f t="shared" si="21"/>
        <v>245.8476600000001</v>
      </c>
      <c r="C475" s="7" t="s">
        <v>624</v>
      </c>
      <c r="D475" s="7" t="s">
        <v>623</v>
      </c>
      <c r="E475" s="7" t="s">
        <v>826</v>
      </c>
      <c r="F475" s="8">
        <v>245.31662000000006</v>
      </c>
      <c r="G475" s="7" t="s">
        <v>61</v>
      </c>
      <c r="H475" s="7" t="s">
        <v>59</v>
      </c>
      <c r="I475" s="6">
        <v>719.45</v>
      </c>
      <c r="J475" s="6">
        <f t="shared" si="23"/>
        <v>245847.66000000009</v>
      </c>
      <c r="K475" s="6">
        <f t="shared" si="22"/>
        <v>11145.490000000071</v>
      </c>
    </row>
    <row r="476" spans="1:11" x14ac:dyDescent="0.25">
      <c r="A476" s="5" t="s">
        <v>702</v>
      </c>
      <c r="B476" s="42">
        <f t="shared" si="21"/>
        <v>246.5671100000001</v>
      </c>
      <c r="C476" s="7" t="s">
        <v>623</v>
      </c>
      <c r="D476" s="7" t="s">
        <v>622</v>
      </c>
      <c r="E476" s="7" t="s">
        <v>826</v>
      </c>
      <c r="F476" s="8">
        <v>245.90676000000008</v>
      </c>
      <c r="G476" s="7" t="s">
        <v>59</v>
      </c>
      <c r="H476" s="7" t="s">
        <v>57</v>
      </c>
      <c r="I476" s="6">
        <v>416.54</v>
      </c>
      <c r="J476" s="6">
        <f t="shared" si="23"/>
        <v>246567.1100000001</v>
      </c>
      <c r="K476" s="6">
        <f t="shared" si="22"/>
        <v>10426.04000000007</v>
      </c>
    </row>
    <row r="477" spans="1:11" x14ac:dyDescent="0.25">
      <c r="A477" s="5" t="s">
        <v>702</v>
      </c>
      <c r="B477" s="42">
        <f t="shared" si="21"/>
        <v>246.9836500000001</v>
      </c>
      <c r="C477" s="7" t="s">
        <v>622</v>
      </c>
      <c r="D477" s="7" t="s">
        <v>621</v>
      </c>
      <c r="E477" s="7" t="s">
        <v>826</v>
      </c>
      <c r="F477" s="8">
        <v>246.27546000000007</v>
      </c>
      <c r="G477" s="7" t="s">
        <v>57</v>
      </c>
      <c r="H477" s="7" t="s">
        <v>55</v>
      </c>
      <c r="I477" s="6">
        <v>608.41</v>
      </c>
      <c r="J477" s="6">
        <f t="shared" si="23"/>
        <v>246983.65000000011</v>
      </c>
      <c r="K477" s="6">
        <f t="shared" si="22"/>
        <v>10009.500000000069</v>
      </c>
    </row>
    <row r="478" spans="1:11" x14ac:dyDescent="0.25">
      <c r="A478" s="5" t="s">
        <v>702</v>
      </c>
      <c r="B478" s="42">
        <f t="shared" si="21"/>
        <v>247.59206000000012</v>
      </c>
      <c r="C478" s="7" t="s">
        <v>621</v>
      </c>
      <c r="D478" s="7" t="s">
        <v>620</v>
      </c>
      <c r="E478" s="7" t="s">
        <v>826</v>
      </c>
      <c r="F478" s="8">
        <v>246.86732000000006</v>
      </c>
      <c r="G478" s="7" t="s">
        <v>55</v>
      </c>
      <c r="H478" s="7" t="s">
        <v>53</v>
      </c>
      <c r="I478" s="6">
        <v>648.42999999999995</v>
      </c>
      <c r="J478" s="6">
        <f t="shared" si="23"/>
        <v>247592.06000000011</v>
      </c>
      <c r="K478" s="6">
        <f t="shared" si="22"/>
        <v>9401.0900000000693</v>
      </c>
    </row>
    <row r="479" spans="1:11" x14ac:dyDescent="0.25">
      <c r="A479" s="5" t="s">
        <v>702</v>
      </c>
      <c r="B479" s="42">
        <f t="shared" si="21"/>
        <v>248.24049000000011</v>
      </c>
      <c r="C479" s="7" t="s">
        <v>620</v>
      </c>
      <c r="D479" s="7" t="s">
        <v>619</v>
      </c>
      <c r="E479" s="7" t="s">
        <v>826</v>
      </c>
      <c r="F479" s="8">
        <v>247.37414000000007</v>
      </c>
      <c r="G479" s="7" t="s">
        <v>53</v>
      </c>
      <c r="H479" s="7" t="s">
        <v>51</v>
      </c>
      <c r="I479" s="6">
        <v>636.67999999999995</v>
      </c>
      <c r="J479" s="6">
        <f t="shared" si="23"/>
        <v>248240.49000000011</v>
      </c>
      <c r="K479" s="6">
        <f t="shared" si="22"/>
        <v>8752.660000000069</v>
      </c>
    </row>
    <row r="480" spans="1:11" x14ac:dyDescent="0.25">
      <c r="A480" s="5" t="s">
        <v>702</v>
      </c>
      <c r="B480" s="42">
        <f t="shared" si="21"/>
        <v>248.87717000000009</v>
      </c>
      <c r="C480" s="7" t="s">
        <v>619</v>
      </c>
      <c r="D480" s="7" t="s">
        <v>618</v>
      </c>
      <c r="E480" s="7" t="s">
        <v>826</v>
      </c>
      <c r="F480" s="8">
        <v>247.94708000000008</v>
      </c>
      <c r="G480" s="7" t="s">
        <v>51</v>
      </c>
      <c r="H480" s="7" t="s">
        <v>49</v>
      </c>
      <c r="I480" s="6">
        <v>531.5</v>
      </c>
      <c r="J480" s="6">
        <f t="shared" si="23"/>
        <v>248877.1700000001</v>
      </c>
      <c r="K480" s="6">
        <f t="shared" si="22"/>
        <v>8115.9800000000687</v>
      </c>
    </row>
    <row r="481" spans="1:11" x14ac:dyDescent="0.25">
      <c r="A481" s="5" t="s">
        <v>702</v>
      </c>
      <c r="B481" s="42">
        <f t="shared" si="21"/>
        <v>249.40867000000009</v>
      </c>
      <c r="C481" s="7" t="s">
        <v>618</v>
      </c>
      <c r="D481" s="7" t="s">
        <v>617</v>
      </c>
      <c r="E481" s="7" t="s">
        <v>826</v>
      </c>
      <c r="F481" s="8">
        <v>248.42611000000008</v>
      </c>
      <c r="G481" s="7" t="s">
        <v>49</v>
      </c>
      <c r="H481" s="7" t="s">
        <v>47</v>
      </c>
      <c r="I481" s="6">
        <v>537.39</v>
      </c>
      <c r="J481" s="6">
        <f t="shared" si="23"/>
        <v>249408.6700000001</v>
      </c>
      <c r="K481" s="6">
        <f t="shared" si="22"/>
        <v>7584.4800000000687</v>
      </c>
    </row>
    <row r="482" spans="1:11" x14ac:dyDescent="0.25">
      <c r="A482" s="5" t="s">
        <v>702</v>
      </c>
      <c r="B482" s="42">
        <f t="shared" si="21"/>
        <v>249.9460600000001</v>
      </c>
      <c r="C482" s="7" t="s">
        <v>617</v>
      </c>
      <c r="D482" s="7" t="s">
        <v>616</v>
      </c>
      <c r="E482" s="7" t="s">
        <v>826</v>
      </c>
      <c r="F482" s="8">
        <v>249.02589000000006</v>
      </c>
      <c r="G482" s="7" t="s">
        <v>47</v>
      </c>
      <c r="H482" s="7" t="s">
        <v>45</v>
      </c>
      <c r="I482" s="6">
        <v>705.55</v>
      </c>
      <c r="J482" s="6">
        <f t="shared" si="23"/>
        <v>249946.06000000011</v>
      </c>
      <c r="K482" s="6">
        <f t="shared" si="22"/>
        <v>7047.0900000000684</v>
      </c>
    </row>
    <row r="483" spans="1:11" x14ac:dyDescent="0.25">
      <c r="A483" s="5" t="s">
        <v>702</v>
      </c>
      <c r="B483" s="42">
        <f t="shared" si="21"/>
        <v>250.65161000000009</v>
      </c>
      <c r="C483" s="7" t="s">
        <v>616</v>
      </c>
      <c r="D483" s="7" t="s">
        <v>615</v>
      </c>
      <c r="E483" s="7" t="s">
        <v>826</v>
      </c>
      <c r="F483" s="8">
        <v>249.58911000000006</v>
      </c>
      <c r="G483" s="7" t="s">
        <v>45</v>
      </c>
      <c r="H483" s="7" t="s">
        <v>43</v>
      </c>
      <c r="I483" s="6">
        <v>429.47</v>
      </c>
      <c r="J483" s="6">
        <f t="shared" si="23"/>
        <v>250651.6100000001</v>
      </c>
      <c r="K483" s="6">
        <f t="shared" si="22"/>
        <v>6341.5400000000682</v>
      </c>
    </row>
    <row r="484" spans="1:11" x14ac:dyDescent="0.25">
      <c r="A484" s="5" t="s">
        <v>702</v>
      </c>
      <c r="B484" s="42">
        <f t="shared" si="21"/>
        <v>251.0810800000001</v>
      </c>
      <c r="C484" s="7" t="s">
        <v>615</v>
      </c>
      <c r="D484" s="7" t="s">
        <v>614</v>
      </c>
      <c r="E484" s="7" t="s">
        <v>826</v>
      </c>
      <c r="F484" s="8">
        <v>249.93624000000008</v>
      </c>
      <c r="G484" s="7" t="s">
        <v>43</v>
      </c>
      <c r="H484" s="7" t="s">
        <v>41</v>
      </c>
      <c r="I484" s="6">
        <v>361.68</v>
      </c>
      <c r="J484" s="6">
        <f t="shared" si="23"/>
        <v>251081.0800000001</v>
      </c>
      <c r="K484" s="6">
        <f t="shared" si="22"/>
        <v>5912.0700000000679</v>
      </c>
    </row>
    <row r="485" spans="1:11" x14ac:dyDescent="0.25">
      <c r="A485" s="5" t="s">
        <v>702</v>
      </c>
      <c r="B485" s="42">
        <f t="shared" si="21"/>
        <v>251.44276000000011</v>
      </c>
      <c r="C485" s="7" t="s">
        <v>614</v>
      </c>
      <c r="D485" s="7" t="s">
        <v>613</v>
      </c>
      <c r="E485" s="7" t="s">
        <v>826</v>
      </c>
      <c r="F485" s="8">
        <v>250.61130000000009</v>
      </c>
      <c r="G485" s="7" t="s">
        <v>41</v>
      </c>
      <c r="H485" s="7" t="s">
        <v>39</v>
      </c>
      <c r="I485" s="6">
        <v>582.45000000000005</v>
      </c>
      <c r="J485" s="6">
        <f t="shared" si="23"/>
        <v>251442.7600000001</v>
      </c>
      <c r="K485" s="6">
        <f t="shared" si="22"/>
        <v>5550.3900000000676</v>
      </c>
    </row>
    <row r="486" spans="1:11" x14ac:dyDescent="0.25">
      <c r="A486" s="5" t="s">
        <v>702</v>
      </c>
      <c r="B486" s="42">
        <f t="shared" si="21"/>
        <v>252.0252100000001</v>
      </c>
      <c r="C486" s="7" t="s">
        <v>613</v>
      </c>
      <c r="D486" s="7" t="s">
        <v>612</v>
      </c>
      <c r="E486" s="7" t="s">
        <v>826</v>
      </c>
      <c r="F486" s="8">
        <v>251.08595000000008</v>
      </c>
      <c r="G486" s="7" t="s">
        <v>39</v>
      </c>
      <c r="H486" s="7" t="s">
        <v>37</v>
      </c>
      <c r="I486" s="6">
        <v>442.59</v>
      </c>
      <c r="J486" s="6">
        <f t="shared" si="23"/>
        <v>252025.21000000011</v>
      </c>
      <c r="K486" s="6">
        <f t="shared" si="22"/>
        <v>4967.9400000000678</v>
      </c>
    </row>
    <row r="487" spans="1:11" x14ac:dyDescent="0.25">
      <c r="A487" s="5" t="s">
        <v>702</v>
      </c>
      <c r="B487" s="42">
        <f t="shared" si="21"/>
        <v>252.4678000000001</v>
      </c>
      <c r="C487" s="7" t="s">
        <v>612</v>
      </c>
      <c r="D487" s="7" t="s">
        <v>611</v>
      </c>
      <c r="E487" s="7" t="s">
        <v>826</v>
      </c>
      <c r="F487" s="8">
        <v>251.58353000000005</v>
      </c>
      <c r="G487" s="7" t="s">
        <v>37</v>
      </c>
      <c r="H487" s="7" t="s">
        <v>35</v>
      </c>
      <c r="I487" s="6">
        <v>532.99</v>
      </c>
      <c r="J487" s="6">
        <f t="shared" si="23"/>
        <v>252467.8000000001</v>
      </c>
      <c r="K487" s="6">
        <f t="shared" si="22"/>
        <v>4525.3500000000677</v>
      </c>
    </row>
    <row r="488" spans="1:11" x14ac:dyDescent="0.25">
      <c r="A488" s="5" t="s">
        <v>702</v>
      </c>
      <c r="B488" s="42">
        <f t="shared" si="21"/>
        <v>253.00079000000011</v>
      </c>
      <c r="C488" s="7" t="s">
        <v>611</v>
      </c>
      <c r="D488" s="7" t="s">
        <v>610</v>
      </c>
      <c r="E488" s="7" t="s">
        <v>826</v>
      </c>
      <c r="F488" s="8">
        <v>252.04744000000005</v>
      </c>
      <c r="G488" s="7" t="s">
        <v>35</v>
      </c>
      <c r="H488" s="7" t="s">
        <v>33</v>
      </c>
      <c r="I488" s="6">
        <v>492.1</v>
      </c>
      <c r="J488" s="6">
        <f t="shared" si="23"/>
        <v>253000.7900000001</v>
      </c>
      <c r="K488" s="6">
        <f t="shared" si="22"/>
        <v>3992.3600000000679</v>
      </c>
    </row>
    <row r="489" spans="1:11" x14ac:dyDescent="0.25">
      <c r="A489" s="5" t="s">
        <v>702</v>
      </c>
      <c r="B489" s="42">
        <f t="shared" si="21"/>
        <v>253.4928900000001</v>
      </c>
      <c r="C489" s="7" t="s">
        <v>610</v>
      </c>
      <c r="D489" s="7" t="s">
        <v>609</v>
      </c>
      <c r="E489" s="7" t="s">
        <v>826</v>
      </c>
      <c r="F489" s="8">
        <v>252.78140000000005</v>
      </c>
      <c r="G489" s="7" t="s">
        <v>33</v>
      </c>
      <c r="H489" s="7" t="s">
        <v>31</v>
      </c>
      <c r="I489" s="6">
        <v>602.08000000000004</v>
      </c>
      <c r="J489" s="6">
        <f t="shared" si="23"/>
        <v>253492.8900000001</v>
      </c>
      <c r="K489" s="6">
        <f t="shared" si="22"/>
        <v>3500.260000000068</v>
      </c>
    </row>
    <row r="490" spans="1:11" x14ac:dyDescent="0.25">
      <c r="A490" s="5" t="s">
        <v>702</v>
      </c>
      <c r="B490" s="42">
        <f t="shared" si="21"/>
        <v>254.09497000000007</v>
      </c>
      <c r="C490" s="7" t="s">
        <v>609</v>
      </c>
      <c r="D490" s="7" t="s">
        <v>608</v>
      </c>
      <c r="E490" s="7" t="s">
        <v>826</v>
      </c>
      <c r="F490" s="8">
        <v>253.30143000000004</v>
      </c>
      <c r="G490" s="7" t="s">
        <v>31</v>
      </c>
      <c r="H490" s="7" t="s">
        <v>29</v>
      </c>
      <c r="I490" s="6">
        <v>536.49</v>
      </c>
      <c r="J490" s="6">
        <f t="shared" si="23"/>
        <v>254094.97000000009</v>
      </c>
      <c r="K490" s="6">
        <f t="shared" si="22"/>
        <v>2898.180000000068</v>
      </c>
    </row>
    <row r="491" spans="1:11" x14ac:dyDescent="0.25">
      <c r="A491" s="5" t="s">
        <v>702</v>
      </c>
      <c r="B491" s="42">
        <f t="shared" si="21"/>
        <v>254.63146000000009</v>
      </c>
      <c r="C491" s="7" t="s">
        <v>608</v>
      </c>
      <c r="D491" s="7" t="s">
        <v>607</v>
      </c>
      <c r="E491" s="7" t="s">
        <v>826</v>
      </c>
      <c r="F491" s="8">
        <v>253.97236000000004</v>
      </c>
      <c r="G491" s="7" t="s">
        <v>29</v>
      </c>
      <c r="H491" s="7" t="s">
        <v>27</v>
      </c>
      <c r="I491" s="6">
        <v>428.54</v>
      </c>
      <c r="J491" s="6">
        <f t="shared" si="23"/>
        <v>254631.46000000008</v>
      </c>
      <c r="K491" s="6">
        <f t="shared" si="22"/>
        <v>2361.6900000000678</v>
      </c>
    </row>
    <row r="492" spans="1:11" x14ac:dyDescent="0.25">
      <c r="A492" s="5" t="s">
        <v>702</v>
      </c>
      <c r="B492" s="42">
        <f t="shared" si="21"/>
        <v>255.06000000000009</v>
      </c>
      <c r="C492" s="7" t="s">
        <v>607</v>
      </c>
      <c r="D492" s="7" t="s">
        <v>606</v>
      </c>
      <c r="E492" s="7" t="s">
        <v>826</v>
      </c>
      <c r="F492" s="8">
        <v>254.65911000000006</v>
      </c>
      <c r="G492" s="7" t="s">
        <v>27</v>
      </c>
      <c r="H492" s="7" t="s">
        <v>25</v>
      </c>
      <c r="I492" s="6">
        <v>567.09</v>
      </c>
      <c r="J492" s="6">
        <f t="shared" si="23"/>
        <v>255060.00000000009</v>
      </c>
      <c r="K492" s="6">
        <f t="shared" si="22"/>
        <v>1933.1500000000678</v>
      </c>
    </row>
    <row r="493" spans="1:11" x14ac:dyDescent="0.25">
      <c r="A493" s="5" t="s">
        <v>702</v>
      </c>
      <c r="B493" s="42">
        <f t="shared" si="21"/>
        <v>255.62709000000009</v>
      </c>
      <c r="C493" s="7" t="s">
        <v>606</v>
      </c>
      <c r="D493" s="7" t="s">
        <v>605</v>
      </c>
      <c r="E493" s="7" t="s">
        <v>826</v>
      </c>
      <c r="F493" s="8">
        <v>255.19546000000005</v>
      </c>
      <c r="G493" s="7" t="s">
        <v>25</v>
      </c>
      <c r="H493" s="7" t="s">
        <v>23</v>
      </c>
      <c r="I493" s="6">
        <v>532.16</v>
      </c>
      <c r="J493" s="6">
        <f t="shared" si="23"/>
        <v>255627.09000000008</v>
      </c>
      <c r="K493" s="6">
        <f t="shared" si="22"/>
        <v>1366.0600000000677</v>
      </c>
    </row>
    <row r="494" spans="1:11" x14ac:dyDescent="0.25">
      <c r="A494" s="5" t="s">
        <v>702</v>
      </c>
      <c r="B494" s="42">
        <f t="shared" si="21"/>
        <v>256.1592500000001</v>
      </c>
      <c r="C494" s="7" t="s">
        <v>605</v>
      </c>
      <c r="D494" s="7" t="s">
        <v>604</v>
      </c>
      <c r="E494" s="7" t="s">
        <v>826</v>
      </c>
      <c r="F494" s="8">
        <v>255.98791000000006</v>
      </c>
      <c r="G494" s="7" t="s">
        <v>23</v>
      </c>
      <c r="H494" s="7" t="s">
        <v>20</v>
      </c>
      <c r="I494" s="6">
        <v>499.78</v>
      </c>
      <c r="J494" s="6">
        <f t="shared" si="23"/>
        <v>256159.25000000009</v>
      </c>
      <c r="K494" s="6">
        <f t="shared" si="22"/>
        <v>833.90000000006773</v>
      </c>
    </row>
    <row r="495" spans="1:11" x14ac:dyDescent="0.25">
      <c r="A495" s="5" t="s">
        <v>702</v>
      </c>
      <c r="B495" s="42">
        <f t="shared" si="21"/>
        <v>256.65903000000009</v>
      </c>
      <c r="C495" s="7" t="s">
        <v>604</v>
      </c>
      <c r="D495" s="7" t="s">
        <v>603</v>
      </c>
      <c r="E495" s="7" t="s">
        <v>826</v>
      </c>
      <c r="F495" s="8">
        <v>256.50850000000008</v>
      </c>
      <c r="G495" s="7" t="s">
        <v>20</v>
      </c>
      <c r="H495" s="7" t="s">
        <v>15</v>
      </c>
      <c r="I495" s="6">
        <v>264.12</v>
      </c>
      <c r="J495" s="6">
        <f t="shared" si="23"/>
        <v>256659.03000000009</v>
      </c>
      <c r="K495" s="6">
        <f t="shared" si="22"/>
        <v>334.12000000006776</v>
      </c>
    </row>
    <row r="496" spans="1:11" x14ac:dyDescent="0.25">
      <c r="A496" s="5" t="s">
        <v>702</v>
      </c>
      <c r="B496" s="42">
        <f t="shared" si="21"/>
        <v>256.92315000000008</v>
      </c>
      <c r="C496" s="7" t="s">
        <v>603</v>
      </c>
      <c r="D496" s="7" t="s">
        <v>703</v>
      </c>
      <c r="E496" s="7" t="s">
        <v>826</v>
      </c>
      <c r="F496" s="8">
        <v>256.92314000000005</v>
      </c>
      <c r="G496" s="7" t="s">
        <v>15</v>
      </c>
      <c r="H496" s="7" t="s">
        <v>701</v>
      </c>
      <c r="I496" s="6">
        <v>70</v>
      </c>
      <c r="J496" s="6">
        <f t="shared" si="23"/>
        <v>256923.15000000008</v>
      </c>
      <c r="K496" s="6">
        <f t="shared" si="22"/>
        <v>70.000000000067757</v>
      </c>
    </row>
    <row r="497" spans="1:11" x14ac:dyDescent="0.25">
      <c r="A497" s="5" t="s">
        <v>702</v>
      </c>
      <c r="B497" s="42">
        <f t="shared" si="21"/>
        <v>256.99315000000007</v>
      </c>
      <c r="C497" s="7" t="s">
        <v>838</v>
      </c>
      <c r="D497" s="7" t="s">
        <v>22</v>
      </c>
      <c r="E497" s="7" t="s">
        <v>826</v>
      </c>
      <c r="F497" s="8">
        <v>256.99315000000007</v>
      </c>
      <c r="G497" s="7" t="s">
        <v>701</v>
      </c>
      <c r="H497" s="7" t="s">
        <v>22</v>
      </c>
      <c r="I497" s="6"/>
      <c r="J497" s="6">
        <f t="shared" si="23"/>
        <v>256993.15000000008</v>
      </c>
      <c r="K497" s="6">
        <f t="shared" si="22"/>
        <v>6.7757355282083154E-11</v>
      </c>
    </row>
    <row r="498" spans="1:11" x14ac:dyDescent="0.25">
      <c r="A498" s="13"/>
      <c r="B498" s="13"/>
      <c r="C498" s="14"/>
      <c r="D498" s="14"/>
      <c r="E498" s="14"/>
      <c r="F498" s="14"/>
      <c r="G498" s="14"/>
      <c r="H498" s="14"/>
      <c r="I498" s="15"/>
      <c r="J498" s="13"/>
      <c r="K498" s="13"/>
    </row>
    <row r="499" spans="1:11" x14ac:dyDescent="0.25">
      <c r="I499" s="16">
        <f>SUM(I2:I496)/1000</f>
        <v>256.99315000000007</v>
      </c>
      <c r="J499" s="5">
        <v>494</v>
      </c>
    </row>
  </sheetData>
  <dataValidations count="3"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700-000000000000}">
      <formula1>0</formula1>
      <formula2>50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700-000001000000}">
      <formula1>0</formula1>
      <formula2>60</formula2>
    </dataValidation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700-000002000000}">
      <formula1>0</formula1>
      <formula2>30</formula2>
    </dataValidation>
  </dataValidation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/>
  <dimension ref="A1:O205"/>
  <sheetViews>
    <sheetView workbookViewId="0">
      <selection activeCell="A2" sqref="A2"/>
    </sheetView>
  </sheetViews>
  <sheetFormatPr defaultRowHeight="15" x14ac:dyDescent="0.25"/>
  <cols>
    <col min="1" max="1" width="22.140625" style="5" bestFit="1" customWidth="1"/>
    <col min="2" max="2" width="10.5703125" style="5" bestFit="1" customWidth="1"/>
    <col min="3" max="3" width="21.85546875" style="7" bestFit="1" customWidth="1"/>
    <col min="4" max="4" width="21.85546875" style="7" hidden="1" customWidth="1"/>
    <col min="5" max="5" width="7.140625" style="7" bestFit="1" customWidth="1"/>
    <col min="6" max="6" width="13.140625" style="7" hidden="1" customWidth="1"/>
    <col min="7" max="8" width="21.85546875" style="7" hidden="1" customWidth="1"/>
    <col min="9" max="9" width="30.28515625" style="12" hidden="1" customWidth="1"/>
    <col min="10" max="10" width="26.28515625" style="5" hidden="1" customWidth="1"/>
    <col min="11" max="11" width="24.5703125" style="5" hidden="1" customWidth="1"/>
    <col min="12" max="12" width="5" bestFit="1" customWidth="1"/>
    <col min="13" max="13" width="11.5703125" bestFit="1" customWidth="1"/>
    <col min="14" max="14" width="14.5703125" bestFit="1" customWidth="1"/>
    <col min="257" max="257" width="37.140625" bestFit="1" customWidth="1"/>
    <col min="258" max="258" width="37.140625" customWidth="1"/>
    <col min="259" max="260" width="30.5703125" bestFit="1" customWidth="1"/>
    <col min="261" max="261" width="30.5703125" customWidth="1"/>
    <col min="262" max="263" width="30.5703125" bestFit="1" customWidth="1"/>
    <col min="264" max="264" width="37.28515625" bestFit="1" customWidth="1"/>
    <col min="265" max="265" width="32" bestFit="1" customWidth="1"/>
    <col min="266" max="266" width="30" bestFit="1" customWidth="1"/>
    <col min="268" max="268" width="21.140625" bestFit="1" customWidth="1"/>
    <col min="269" max="269" width="19" bestFit="1" customWidth="1"/>
    <col min="270" max="270" width="4.5703125" bestFit="1" customWidth="1"/>
    <col min="513" max="513" width="37.140625" bestFit="1" customWidth="1"/>
    <col min="514" max="514" width="37.140625" customWidth="1"/>
    <col min="515" max="516" width="30.5703125" bestFit="1" customWidth="1"/>
    <col min="517" max="517" width="30.5703125" customWidth="1"/>
    <col min="518" max="519" width="30.5703125" bestFit="1" customWidth="1"/>
    <col min="520" max="520" width="37.28515625" bestFit="1" customWidth="1"/>
    <col min="521" max="521" width="32" bestFit="1" customWidth="1"/>
    <col min="522" max="522" width="30" bestFit="1" customWidth="1"/>
    <col min="524" max="524" width="21.140625" bestFit="1" customWidth="1"/>
    <col min="525" max="525" width="19" bestFit="1" customWidth="1"/>
    <col min="526" max="526" width="4.5703125" bestFit="1" customWidth="1"/>
    <col min="769" max="769" width="37.140625" bestFit="1" customWidth="1"/>
    <col min="770" max="770" width="37.140625" customWidth="1"/>
    <col min="771" max="772" width="30.5703125" bestFit="1" customWidth="1"/>
    <col min="773" max="773" width="30.5703125" customWidth="1"/>
    <col min="774" max="775" width="30.5703125" bestFit="1" customWidth="1"/>
    <col min="776" max="776" width="37.28515625" bestFit="1" customWidth="1"/>
    <col min="777" max="777" width="32" bestFit="1" customWidth="1"/>
    <col min="778" max="778" width="30" bestFit="1" customWidth="1"/>
    <col min="780" max="780" width="21.140625" bestFit="1" customWidth="1"/>
    <col min="781" max="781" width="19" bestFit="1" customWidth="1"/>
    <col min="782" max="782" width="4.5703125" bestFit="1" customWidth="1"/>
    <col min="1025" max="1025" width="37.140625" bestFit="1" customWidth="1"/>
    <col min="1026" max="1026" width="37.140625" customWidth="1"/>
    <col min="1027" max="1028" width="30.5703125" bestFit="1" customWidth="1"/>
    <col min="1029" max="1029" width="30.5703125" customWidth="1"/>
    <col min="1030" max="1031" width="30.5703125" bestFit="1" customWidth="1"/>
    <col min="1032" max="1032" width="37.28515625" bestFit="1" customWidth="1"/>
    <col min="1033" max="1033" width="32" bestFit="1" customWidth="1"/>
    <col min="1034" max="1034" width="30" bestFit="1" customWidth="1"/>
    <col min="1036" max="1036" width="21.140625" bestFit="1" customWidth="1"/>
    <col min="1037" max="1037" width="19" bestFit="1" customWidth="1"/>
    <col min="1038" max="1038" width="4.5703125" bestFit="1" customWidth="1"/>
    <col min="1281" max="1281" width="37.140625" bestFit="1" customWidth="1"/>
    <col min="1282" max="1282" width="37.140625" customWidth="1"/>
    <col min="1283" max="1284" width="30.5703125" bestFit="1" customWidth="1"/>
    <col min="1285" max="1285" width="30.5703125" customWidth="1"/>
    <col min="1286" max="1287" width="30.5703125" bestFit="1" customWidth="1"/>
    <col min="1288" max="1288" width="37.28515625" bestFit="1" customWidth="1"/>
    <col min="1289" max="1289" width="32" bestFit="1" customWidth="1"/>
    <col min="1290" max="1290" width="30" bestFit="1" customWidth="1"/>
    <col min="1292" max="1292" width="21.140625" bestFit="1" customWidth="1"/>
    <col min="1293" max="1293" width="19" bestFit="1" customWidth="1"/>
    <col min="1294" max="1294" width="4.5703125" bestFit="1" customWidth="1"/>
    <col min="1537" max="1537" width="37.140625" bestFit="1" customWidth="1"/>
    <col min="1538" max="1538" width="37.140625" customWidth="1"/>
    <col min="1539" max="1540" width="30.5703125" bestFit="1" customWidth="1"/>
    <col min="1541" max="1541" width="30.5703125" customWidth="1"/>
    <col min="1542" max="1543" width="30.5703125" bestFit="1" customWidth="1"/>
    <col min="1544" max="1544" width="37.28515625" bestFit="1" customWidth="1"/>
    <col min="1545" max="1545" width="32" bestFit="1" customWidth="1"/>
    <col min="1546" max="1546" width="30" bestFit="1" customWidth="1"/>
    <col min="1548" max="1548" width="21.140625" bestFit="1" customWidth="1"/>
    <col min="1549" max="1549" width="19" bestFit="1" customWidth="1"/>
    <col min="1550" max="1550" width="4.5703125" bestFit="1" customWidth="1"/>
    <col min="1793" max="1793" width="37.140625" bestFit="1" customWidth="1"/>
    <col min="1794" max="1794" width="37.140625" customWidth="1"/>
    <col min="1795" max="1796" width="30.5703125" bestFit="1" customWidth="1"/>
    <col min="1797" max="1797" width="30.5703125" customWidth="1"/>
    <col min="1798" max="1799" width="30.5703125" bestFit="1" customWidth="1"/>
    <col min="1800" max="1800" width="37.28515625" bestFit="1" customWidth="1"/>
    <col min="1801" max="1801" width="32" bestFit="1" customWidth="1"/>
    <col min="1802" max="1802" width="30" bestFit="1" customWidth="1"/>
    <col min="1804" max="1804" width="21.140625" bestFit="1" customWidth="1"/>
    <col min="1805" max="1805" width="19" bestFit="1" customWidth="1"/>
    <col min="1806" max="1806" width="4.5703125" bestFit="1" customWidth="1"/>
    <col min="2049" max="2049" width="37.140625" bestFit="1" customWidth="1"/>
    <col min="2050" max="2050" width="37.140625" customWidth="1"/>
    <col min="2051" max="2052" width="30.5703125" bestFit="1" customWidth="1"/>
    <col min="2053" max="2053" width="30.5703125" customWidth="1"/>
    <col min="2054" max="2055" width="30.5703125" bestFit="1" customWidth="1"/>
    <col min="2056" max="2056" width="37.28515625" bestFit="1" customWidth="1"/>
    <col min="2057" max="2057" width="32" bestFit="1" customWidth="1"/>
    <col min="2058" max="2058" width="30" bestFit="1" customWidth="1"/>
    <col min="2060" max="2060" width="21.140625" bestFit="1" customWidth="1"/>
    <col min="2061" max="2061" width="19" bestFit="1" customWidth="1"/>
    <col min="2062" max="2062" width="4.5703125" bestFit="1" customWidth="1"/>
    <col min="2305" max="2305" width="37.140625" bestFit="1" customWidth="1"/>
    <col min="2306" max="2306" width="37.140625" customWidth="1"/>
    <col min="2307" max="2308" width="30.5703125" bestFit="1" customWidth="1"/>
    <col min="2309" max="2309" width="30.5703125" customWidth="1"/>
    <col min="2310" max="2311" width="30.5703125" bestFit="1" customWidth="1"/>
    <col min="2312" max="2312" width="37.28515625" bestFit="1" customWidth="1"/>
    <col min="2313" max="2313" width="32" bestFit="1" customWidth="1"/>
    <col min="2314" max="2314" width="30" bestFit="1" customWidth="1"/>
    <col min="2316" max="2316" width="21.140625" bestFit="1" customWidth="1"/>
    <col min="2317" max="2317" width="19" bestFit="1" customWidth="1"/>
    <col min="2318" max="2318" width="4.5703125" bestFit="1" customWidth="1"/>
    <col min="2561" max="2561" width="37.140625" bestFit="1" customWidth="1"/>
    <col min="2562" max="2562" width="37.140625" customWidth="1"/>
    <col min="2563" max="2564" width="30.5703125" bestFit="1" customWidth="1"/>
    <col min="2565" max="2565" width="30.5703125" customWidth="1"/>
    <col min="2566" max="2567" width="30.5703125" bestFit="1" customWidth="1"/>
    <col min="2568" max="2568" width="37.28515625" bestFit="1" customWidth="1"/>
    <col min="2569" max="2569" width="32" bestFit="1" customWidth="1"/>
    <col min="2570" max="2570" width="30" bestFit="1" customWidth="1"/>
    <col min="2572" max="2572" width="21.140625" bestFit="1" customWidth="1"/>
    <col min="2573" max="2573" width="19" bestFit="1" customWidth="1"/>
    <col min="2574" max="2574" width="4.5703125" bestFit="1" customWidth="1"/>
    <col min="2817" max="2817" width="37.140625" bestFit="1" customWidth="1"/>
    <col min="2818" max="2818" width="37.140625" customWidth="1"/>
    <col min="2819" max="2820" width="30.5703125" bestFit="1" customWidth="1"/>
    <col min="2821" max="2821" width="30.5703125" customWidth="1"/>
    <col min="2822" max="2823" width="30.5703125" bestFit="1" customWidth="1"/>
    <col min="2824" max="2824" width="37.28515625" bestFit="1" customWidth="1"/>
    <col min="2825" max="2825" width="32" bestFit="1" customWidth="1"/>
    <col min="2826" max="2826" width="30" bestFit="1" customWidth="1"/>
    <col min="2828" max="2828" width="21.140625" bestFit="1" customWidth="1"/>
    <col min="2829" max="2829" width="19" bestFit="1" customWidth="1"/>
    <col min="2830" max="2830" width="4.5703125" bestFit="1" customWidth="1"/>
    <col min="3073" max="3073" width="37.140625" bestFit="1" customWidth="1"/>
    <col min="3074" max="3074" width="37.140625" customWidth="1"/>
    <col min="3075" max="3076" width="30.5703125" bestFit="1" customWidth="1"/>
    <col min="3077" max="3077" width="30.5703125" customWidth="1"/>
    <col min="3078" max="3079" width="30.5703125" bestFit="1" customWidth="1"/>
    <col min="3080" max="3080" width="37.28515625" bestFit="1" customWidth="1"/>
    <col min="3081" max="3081" width="32" bestFit="1" customWidth="1"/>
    <col min="3082" max="3082" width="30" bestFit="1" customWidth="1"/>
    <col min="3084" max="3084" width="21.140625" bestFit="1" customWidth="1"/>
    <col min="3085" max="3085" width="19" bestFit="1" customWidth="1"/>
    <col min="3086" max="3086" width="4.5703125" bestFit="1" customWidth="1"/>
    <col min="3329" max="3329" width="37.140625" bestFit="1" customWidth="1"/>
    <col min="3330" max="3330" width="37.140625" customWidth="1"/>
    <col min="3331" max="3332" width="30.5703125" bestFit="1" customWidth="1"/>
    <col min="3333" max="3333" width="30.5703125" customWidth="1"/>
    <col min="3334" max="3335" width="30.5703125" bestFit="1" customWidth="1"/>
    <col min="3336" max="3336" width="37.28515625" bestFit="1" customWidth="1"/>
    <col min="3337" max="3337" width="32" bestFit="1" customWidth="1"/>
    <col min="3338" max="3338" width="30" bestFit="1" customWidth="1"/>
    <col min="3340" max="3340" width="21.140625" bestFit="1" customWidth="1"/>
    <col min="3341" max="3341" width="19" bestFit="1" customWidth="1"/>
    <col min="3342" max="3342" width="4.5703125" bestFit="1" customWidth="1"/>
    <col min="3585" max="3585" width="37.140625" bestFit="1" customWidth="1"/>
    <col min="3586" max="3586" width="37.140625" customWidth="1"/>
    <col min="3587" max="3588" width="30.5703125" bestFit="1" customWidth="1"/>
    <col min="3589" max="3589" width="30.5703125" customWidth="1"/>
    <col min="3590" max="3591" width="30.5703125" bestFit="1" customWidth="1"/>
    <col min="3592" max="3592" width="37.28515625" bestFit="1" customWidth="1"/>
    <col min="3593" max="3593" width="32" bestFit="1" customWidth="1"/>
    <col min="3594" max="3594" width="30" bestFit="1" customWidth="1"/>
    <col min="3596" max="3596" width="21.140625" bestFit="1" customWidth="1"/>
    <col min="3597" max="3597" width="19" bestFit="1" customWidth="1"/>
    <col min="3598" max="3598" width="4.5703125" bestFit="1" customWidth="1"/>
    <col min="3841" max="3841" width="37.140625" bestFit="1" customWidth="1"/>
    <col min="3842" max="3842" width="37.140625" customWidth="1"/>
    <col min="3843" max="3844" width="30.5703125" bestFit="1" customWidth="1"/>
    <col min="3845" max="3845" width="30.5703125" customWidth="1"/>
    <col min="3846" max="3847" width="30.5703125" bestFit="1" customWidth="1"/>
    <col min="3848" max="3848" width="37.28515625" bestFit="1" customWidth="1"/>
    <col min="3849" max="3849" width="32" bestFit="1" customWidth="1"/>
    <col min="3850" max="3850" width="30" bestFit="1" customWidth="1"/>
    <col min="3852" max="3852" width="21.140625" bestFit="1" customWidth="1"/>
    <col min="3853" max="3853" width="19" bestFit="1" customWidth="1"/>
    <col min="3854" max="3854" width="4.5703125" bestFit="1" customWidth="1"/>
    <col min="4097" max="4097" width="37.140625" bestFit="1" customWidth="1"/>
    <col min="4098" max="4098" width="37.140625" customWidth="1"/>
    <col min="4099" max="4100" width="30.5703125" bestFit="1" customWidth="1"/>
    <col min="4101" max="4101" width="30.5703125" customWidth="1"/>
    <col min="4102" max="4103" width="30.5703125" bestFit="1" customWidth="1"/>
    <col min="4104" max="4104" width="37.28515625" bestFit="1" customWidth="1"/>
    <col min="4105" max="4105" width="32" bestFit="1" customWidth="1"/>
    <col min="4106" max="4106" width="30" bestFit="1" customWidth="1"/>
    <col min="4108" max="4108" width="21.140625" bestFit="1" customWidth="1"/>
    <col min="4109" max="4109" width="19" bestFit="1" customWidth="1"/>
    <col min="4110" max="4110" width="4.5703125" bestFit="1" customWidth="1"/>
    <col min="4353" max="4353" width="37.140625" bestFit="1" customWidth="1"/>
    <col min="4354" max="4354" width="37.140625" customWidth="1"/>
    <col min="4355" max="4356" width="30.5703125" bestFit="1" customWidth="1"/>
    <col min="4357" max="4357" width="30.5703125" customWidth="1"/>
    <col min="4358" max="4359" width="30.5703125" bestFit="1" customWidth="1"/>
    <col min="4360" max="4360" width="37.28515625" bestFit="1" customWidth="1"/>
    <col min="4361" max="4361" width="32" bestFit="1" customWidth="1"/>
    <col min="4362" max="4362" width="30" bestFit="1" customWidth="1"/>
    <col min="4364" max="4364" width="21.140625" bestFit="1" customWidth="1"/>
    <col min="4365" max="4365" width="19" bestFit="1" customWidth="1"/>
    <col min="4366" max="4366" width="4.5703125" bestFit="1" customWidth="1"/>
    <col min="4609" max="4609" width="37.140625" bestFit="1" customWidth="1"/>
    <col min="4610" max="4610" width="37.140625" customWidth="1"/>
    <col min="4611" max="4612" width="30.5703125" bestFit="1" customWidth="1"/>
    <col min="4613" max="4613" width="30.5703125" customWidth="1"/>
    <col min="4614" max="4615" width="30.5703125" bestFit="1" customWidth="1"/>
    <col min="4616" max="4616" width="37.28515625" bestFit="1" customWidth="1"/>
    <col min="4617" max="4617" width="32" bestFit="1" customWidth="1"/>
    <col min="4618" max="4618" width="30" bestFit="1" customWidth="1"/>
    <col min="4620" max="4620" width="21.140625" bestFit="1" customWidth="1"/>
    <col min="4621" max="4621" width="19" bestFit="1" customWidth="1"/>
    <col min="4622" max="4622" width="4.5703125" bestFit="1" customWidth="1"/>
    <col min="4865" max="4865" width="37.140625" bestFit="1" customWidth="1"/>
    <col min="4866" max="4866" width="37.140625" customWidth="1"/>
    <col min="4867" max="4868" width="30.5703125" bestFit="1" customWidth="1"/>
    <col min="4869" max="4869" width="30.5703125" customWidth="1"/>
    <col min="4870" max="4871" width="30.5703125" bestFit="1" customWidth="1"/>
    <col min="4872" max="4872" width="37.28515625" bestFit="1" customWidth="1"/>
    <col min="4873" max="4873" width="32" bestFit="1" customWidth="1"/>
    <col min="4874" max="4874" width="30" bestFit="1" customWidth="1"/>
    <col min="4876" max="4876" width="21.140625" bestFit="1" customWidth="1"/>
    <col min="4877" max="4877" width="19" bestFit="1" customWidth="1"/>
    <col min="4878" max="4878" width="4.5703125" bestFit="1" customWidth="1"/>
    <col min="5121" max="5121" width="37.140625" bestFit="1" customWidth="1"/>
    <col min="5122" max="5122" width="37.140625" customWidth="1"/>
    <col min="5123" max="5124" width="30.5703125" bestFit="1" customWidth="1"/>
    <col min="5125" max="5125" width="30.5703125" customWidth="1"/>
    <col min="5126" max="5127" width="30.5703125" bestFit="1" customWidth="1"/>
    <col min="5128" max="5128" width="37.28515625" bestFit="1" customWidth="1"/>
    <col min="5129" max="5129" width="32" bestFit="1" customWidth="1"/>
    <col min="5130" max="5130" width="30" bestFit="1" customWidth="1"/>
    <col min="5132" max="5132" width="21.140625" bestFit="1" customWidth="1"/>
    <col min="5133" max="5133" width="19" bestFit="1" customWidth="1"/>
    <col min="5134" max="5134" width="4.5703125" bestFit="1" customWidth="1"/>
    <col min="5377" max="5377" width="37.140625" bestFit="1" customWidth="1"/>
    <col min="5378" max="5378" width="37.140625" customWidth="1"/>
    <col min="5379" max="5380" width="30.5703125" bestFit="1" customWidth="1"/>
    <col min="5381" max="5381" width="30.5703125" customWidth="1"/>
    <col min="5382" max="5383" width="30.5703125" bestFit="1" customWidth="1"/>
    <col min="5384" max="5384" width="37.28515625" bestFit="1" customWidth="1"/>
    <col min="5385" max="5385" width="32" bestFit="1" customWidth="1"/>
    <col min="5386" max="5386" width="30" bestFit="1" customWidth="1"/>
    <col min="5388" max="5388" width="21.140625" bestFit="1" customWidth="1"/>
    <col min="5389" max="5389" width="19" bestFit="1" customWidth="1"/>
    <col min="5390" max="5390" width="4.5703125" bestFit="1" customWidth="1"/>
    <col min="5633" max="5633" width="37.140625" bestFit="1" customWidth="1"/>
    <col min="5634" max="5634" width="37.140625" customWidth="1"/>
    <col min="5635" max="5636" width="30.5703125" bestFit="1" customWidth="1"/>
    <col min="5637" max="5637" width="30.5703125" customWidth="1"/>
    <col min="5638" max="5639" width="30.5703125" bestFit="1" customWidth="1"/>
    <col min="5640" max="5640" width="37.28515625" bestFit="1" customWidth="1"/>
    <col min="5641" max="5641" width="32" bestFit="1" customWidth="1"/>
    <col min="5642" max="5642" width="30" bestFit="1" customWidth="1"/>
    <col min="5644" max="5644" width="21.140625" bestFit="1" customWidth="1"/>
    <col min="5645" max="5645" width="19" bestFit="1" customWidth="1"/>
    <col min="5646" max="5646" width="4.5703125" bestFit="1" customWidth="1"/>
    <col min="5889" max="5889" width="37.140625" bestFit="1" customWidth="1"/>
    <col min="5890" max="5890" width="37.140625" customWidth="1"/>
    <col min="5891" max="5892" width="30.5703125" bestFit="1" customWidth="1"/>
    <col min="5893" max="5893" width="30.5703125" customWidth="1"/>
    <col min="5894" max="5895" width="30.5703125" bestFit="1" customWidth="1"/>
    <col min="5896" max="5896" width="37.28515625" bestFit="1" customWidth="1"/>
    <col min="5897" max="5897" width="32" bestFit="1" customWidth="1"/>
    <col min="5898" max="5898" width="30" bestFit="1" customWidth="1"/>
    <col min="5900" max="5900" width="21.140625" bestFit="1" customWidth="1"/>
    <col min="5901" max="5901" width="19" bestFit="1" customWidth="1"/>
    <col min="5902" max="5902" width="4.5703125" bestFit="1" customWidth="1"/>
    <col min="6145" max="6145" width="37.140625" bestFit="1" customWidth="1"/>
    <col min="6146" max="6146" width="37.140625" customWidth="1"/>
    <col min="6147" max="6148" width="30.5703125" bestFit="1" customWidth="1"/>
    <col min="6149" max="6149" width="30.5703125" customWidth="1"/>
    <col min="6150" max="6151" width="30.5703125" bestFit="1" customWidth="1"/>
    <col min="6152" max="6152" width="37.28515625" bestFit="1" customWidth="1"/>
    <col min="6153" max="6153" width="32" bestFit="1" customWidth="1"/>
    <col min="6154" max="6154" width="30" bestFit="1" customWidth="1"/>
    <col min="6156" max="6156" width="21.140625" bestFit="1" customWidth="1"/>
    <col min="6157" max="6157" width="19" bestFit="1" customWidth="1"/>
    <col min="6158" max="6158" width="4.5703125" bestFit="1" customWidth="1"/>
    <col min="6401" max="6401" width="37.140625" bestFit="1" customWidth="1"/>
    <col min="6402" max="6402" width="37.140625" customWidth="1"/>
    <col min="6403" max="6404" width="30.5703125" bestFit="1" customWidth="1"/>
    <col min="6405" max="6405" width="30.5703125" customWidth="1"/>
    <col min="6406" max="6407" width="30.5703125" bestFit="1" customWidth="1"/>
    <col min="6408" max="6408" width="37.28515625" bestFit="1" customWidth="1"/>
    <col min="6409" max="6409" width="32" bestFit="1" customWidth="1"/>
    <col min="6410" max="6410" width="30" bestFit="1" customWidth="1"/>
    <col min="6412" max="6412" width="21.140625" bestFit="1" customWidth="1"/>
    <col min="6413" max="6413" width="19" bestFit="1" customWidth="1"/>
    <col min="6414" max="6414" width="4.5703125" bestFit="1" customWidth="1"/>
    <col min="6657" max="6657" width="37.140625" bestFit="1" customWidth="1"/>
    <col min="6658" max="6658" width="37.140625" customWidth="1"/>
    <col min="6659" max="6660" width="30.5703125" bestFit="1" customWidth="1"/>
    <col min="6661" max="6661" width="30.5703125" customWidth="1"/>
    <col min="6662" max="6663" width="30.5703125" bestFit="1" customWidth="1"/>
    <col min="6664" max="6664" width="37.28515625" bestFit="1" customWidth="1"/>
    <col min="6665" max="6665" width="32" bestFit="1" customWidth="1"/>
    <col min="6666" max="6666" width="30" bestFit="1" customWidth="1"/>
    <col min="6668" max="6668" width="21.140625" bestFit="1" customWidth="1"/>
    <col min="6669" max="6669" width="19" bestFit="1" customWidth="1"/>
    <col min="6670" max="6670" width="4.5703125" bestFit="1" customWidth="1"/>
    <col min="6913" max="6913" width="37.140625" bestFit="1" customWidth="1"/>
    <col min="6914" max="6914" width="37.140625" customWidth="1"/>
    <col min="6915" max="6916" width="30.5703125" bestFit="1" customWidth="1"/>
    <col min="6917" max="6917" width="30.5703125" customWidth="1"/>
    <col min="6918" max="6919" width="30.5703125" bestFit="1" customWidth="1"/>
    <col min="6920" max="6920" width="37.28515625" bestFit="1" customWidth="1"/>
    <col min="6921" max="6921" width="32" bestFit="1" customWidth="1"/>
    <col min="6922" max="6922" width="30" bestFit="1" customWidth="1"/>
    <col min="6924" max="6924" width="21.140625" bestFit="1" customWidth="1"/>
    <col min="6925" max="6925" width="19" bestFit="1" customWidth="1"/>
    <col min="6926" max="6926" width="4.5703125" bestFit="1" customWidth="1"/>
    <col min="7169" max="7169" width="37.140625" bestFit="1" customWidth="1"/>
    <col min="7170" max="7170" width="37.140625" customWidth="1"/>
    <col min="7171" max="7172" width="30.5703125" bestFit="1" customWidth="1"/>
    <col min="7173" max="7173" width="30.5703125" customWidth="1"/>
    <col min="7174" max="7175" width="30.5703125" bestFit="1" customWidth="1"/>
    <col min="7176" max="7176" width="37.28515625" bestFit="1" customWidth="1"/>
    <col min="7177" max="7177" width="32" bestFit="1" customWidth="1"/>
    <col min="7178" max="7178" width="30" bestFit="1" customWidth="1"/>
    <col min="7180" max="7180" width="21.140625" bestFit="1" customWidth="1"/>
    <col min="7181" max="7181" width="19" bestFit="1" customWidth="1"/>
    <col min="7182" max="7182" width="4.5703125" bestFit="1" customWidth="1"/>
    <col min="7425" max="7425" width="37.140625" bestFit="1" customWidth="1"/>
    <col min="7426" max="7426" width="37.140625" customWidth="1"/>
    <col min="7427" max="7428" width="30.5703125" bestFit="1" customWidth="1"/>
    <col min="7429" max="7429" width="30.5703125" customWidth="1"/>
    <col min="7430" max="7431" width="30.5703125" bestFit="1" customWidth="1"/>
    <col min="7432" max="7432" width="37.28515625" bestFit="1" customWidth="1"/>
    <col min="7433" max="7433" width="32" bestFit="1" customWidth="1"/>
    <col min="7434" max="7434" width="30" bestFit="1" customWidth="1"/>
    <col min="7436" max="7436" width="21.140625" bestFit="1" customWidth="1"/>
    <col min="7437" max="7437" width="19" bestFit="1" customWidth="1"/>
    <col min="7438" max="7438" width="4.5703125" bestFit="1" customWidth="1"/>
    <col min="7681" max="7681" width="37.140625" bestFit="1" customWidth="1"/>
    <col min="7682" max="7682" width="37.140625" customWidth="1"/>
    <col min="7683" max="7684" width="30.5703125" bestFit="1" customWidth="1"/>
    <col min="7685" max="7685" width="30.5703125" customWidth="1"/>
    <col min="7686" max="7687" width="30.5703125" bestFit="1" customWidth="1"/>
    <col min="7688" max="7688" width="37.28515625" bestFit="1" customWidth="1"/>
    <col min="7689" max="7689" width="32" bestFit="1" customWidth="1"/>
    <col min="7690" max="7690" width="30" bestFit="1" customWidth="1"/>
    <col min="7692" max="7692" width="21.140625" bestFit="1" customWidth="1"/>
    <col min="7693" max="7693" width="19" bestFit="1" customWidth="1"/>
    <col min="7694" max="7694" width="4.5703125" bestFit="1" customWidth="1"/>
    <col min="7937" max="7937" width="37.140625" bestFit="1" customWidth="1"/>
    <col min="7938" max="7938" width="37.140625" customWidth="1"/>
    <col min="7939" max="7940" width="30.5703125" bestFit="1" customWidth="1"/>
    <col min="7941" max="7941" width="30.5703125" customWidth="1"/>
    <col min="7942" max="7943" width="30.5703125" bestFit="1" customWidth="1"/>
    <col min="7944" max="7944" width="37.28515625" bestFit="1" customWidth="1"/>
    <col min="7945" max="7945" width="32" bestFit="1" customWidth="1"/>
    <col min="7946" max="7946" width="30" bestFit="1" customWidth="1"/>
    <col min="7948" max="7948" width="21.140625" bestFit="1" customWidth="1"/>
    <col min="7949" max="7949" width="19" bestFit="1" customWidth="1"/>
    <col min="7950" max="7950" width="4.5703125" bestFit="1" customWidth="1"/>
    <col min="8193" max="8193" width="37.140625" bestFit="1" customWidth="1"/>
    <col min="8194" max="8194" width="37.140625" customWidth="1"/>
    <col min="8195" max="8196" width="30.5703125" bestFit="1" customWidth="1"/>
    <col min="8197" max="8197" width="30.5703125" customWidth="1"/>
    <col min="8198" max="8199" width="30.5703125" bestFit="1" customWidth="1"/>
    <col min="8200" max="8200" width="37.28515625" bestFit="1" customWidth="1"/>
    <col min="8201" max="8201" width="32" bestFit="1" customWidth="1"/>
    <col min="8202" max="8202" width="30" bestFit="1" customWidth="1"/>
    <col min="8204" max="8204" width="21.140625" bestFit="1" customWidth="1"/>
    <col min="8205" max="8205" width="19" bestFit="1" customWidth="1"/>
    <col min="8206" max="8206" width="4.5703125" bestFit="1" customWidth="1"/>
    <col min="8449" max="8449" width="37.140625" bestFit="1" customWidth="1"/>
    <col min="8450" max="8450" width="37.140625" customWidth="1"/>
    <col min="8451" max="8452" width="30.5703125" bestFit="1" customWidth="1"/>
    <col min="8453" max="8453" width="30.5703125" customWidth="1"/>
    <col min="8454" max="8455" width="30.5703125" bestFit="1" customWidth="1"/>
    <col min="8456" max="8456" width="37.28515625" bestFit="1" customWidth="1"/>
    <col min="8457" max="8457" width="32" bestFit="1" customWidth="1"/>
    <col min="8458" max="8458" width="30" bestFit="1" customWidth="1"/>
    <col min="8460" max="8460" width="21.140625" bestFit="1" customWidth="1"/>
    <col min="8461" max="8461" width="19" bestFit="1" customWidth="1"/>
    <col min="8462" max="8462" width="4.5703125" bestFit="1" customWidth="1"/>
    <col min="8705" max="8705" width="37.140625" bestFit="1" customWidth="1"/>
    <col min="8706" max="8706" width="37.140625" customWidth="1"/>
    <col min="8707" max="8708" width="30.5703125" bestFit="1" customWidth="1"/>
    <col min="8709" max="8709" width="30.5703125" customWidth="1"/>
    <col min="8710" max="8711" width="30.5703125" bestFit="1" customWidth="1"/>
    <col min="8712" max="8712" width="37.28515625" bestFit="1" customWidth="1"/>
    <col min="8713" max="8713" width="32" bestFit="1" customWidth="1"/>
    <col min="8714" max="8714" width="30" bestFit="1" customWidth="1"/>
    <col min="8716" max="8716" width="21.140625" bestFit="1" customWidth="1"/>
    <col min="8717" max="8717" width="19" bestFit="1" customWidth="1"/>
    <col min="8718" max="8718" width="4.5703125" bestFit="1" customWidth="1"/>
    <col min="8961" max="8961" width="37.140625" bestFit="1" customWidth="1"/>
    <col min="8962" max="8962" width="37.140625" customWidth="1"/>
    <col min="8963" max="8964" width="30.5703125" bestFit="1" customWidth="1"/>
    <col min="8965" max="8965" width="30.5703125" customWidth="1"/>
    <col min="8966" max="8967" width="30.5703125" bestFit="1" customWidth="1"/>
    <col min="8968" max="8968" width="37.28515625" bestFit="1" customWidth="1"/>
    <col min="8969" max="8969" width="32" bestFit="1" customWidth="1"/>
    <col min="8970" max="8970" width="30" bestFit="1" customWidth="1"/>
    <col min="8972" max="8972" width="21.140625" bestFit="1" customWidth="1"/>
    <col min="8973" max="8973" width="19" bestFit="1" customWidth="1"/>
    <col min="8974" max="8974" width="4.5703125" bestFit="1" customWidth="1"/>
    <col min="9217" max="9217" width="37.140625" bestFit="1" customWidth="1"/>
    <col min="9218" max="9218" width="37.140625" customWidth="1"/>
    <col min="9219" max="9220" width="30.5703125" bestFit="1" customWidth="1"/>
    <col min="9221" max="9221" width="30.5703125" customWidth="1"/>
    <col min="9222" max="9223" width="30.5703125" bestFit="1" customWidth="1"/>
    <col min="9224" max="9224" width="37.28515625" bestFit="1" customWidth="1"/>
    <col min="9225" max="9225" width="32" bestFit="1" customWidth="1"/>
    <col min="9226" max="9226" width="30" bestFit="1" customWidth="1"/>
    <col min="9228" max="9228" width="21.140625" bestFit="1" customWidth="1"/>
    <col min="9229" max="9229" width="19" bestFit="1" customWidth="1"/>
    <col min="9230" max="9230" width="4.5703125" bestFit="1" customWidth="1"/>
    <col min="9473" max="9473" width="37.140625" bestFit="1" customWidth="1"/>
    <col min="9474" max="9474" width="37.140625" customWidth="1"/>
    <col min="9475" max="9476" width="30.5703125" bestFit="1" customWidth="1"/>
    <col min="9477" max="9477" width="30.5703125" customWidth="1"/>
    <col min="9478" max="9479" width="30.5703125" bestFit="1" customWidth="1"/>
    <col min="9480" max="9480" width="37.28515625" bestFit="1" customWidth="1"/>
    <col min="9481" max="9481" width="32" bestFit="1" customWidth="1"/>
    <col min="9482" max="9482" width="30" bestFit="1" customWidth="1"/>
    <col min="9484" max="9484" width="21.140625" bestFit="1" customWidth="1"/>
    <col min="9485" max="9485" width="19" bestFit="1" customWidth="1"/>
    <col min="9486" max="9486" width="4.5703125" bestFit="1" customWidth="1"/>
    <col min="9729" max="9729" width="37.140625" bestFit="1" customWidth="1"/>
    <col min="9730" max="9730" width="37.140625" customWidth="1"/>
    <col min="9731" max="9732" width="30.5703125" bestFit="1" customWidth="1"/>
    <col min="9733" max="9733" width="30.5703125" customWidth="1"/>
    <col min="9734" max="9735" width="30.5703125" bestFit="1" customWidth="1"/>
    <col min="9736" max="9736" width="37.28515625" bestFit="1" customWidth="1"/>
    <col min="9737" max="9737" width="32" bestFit="1" customWidth="1"/>
    <col min="9738" max="9738" width="30" bestFit="1" customWidth="1"/>
    <col min="9740" max="9740" width="21.140625" bestFit="1" customWidth="1"/>
    <col min="9741" max="9741" width="19" bestFit="1" customWidth="1"/>
    <col min="9742" max="9742" width="4.5703125" bestFit="1" customWidth="1"/>
    <col min="9985" max="9985" width="37.140625" bestFit="1" customWidth="1"/>
    <col min="9986" max="9986" width="37.140625" customWidth="1"/>
    <col min="9987" max="9988" width="30.5703125" bestFit="1" customWidth="1"/>
    <col min="9989" max="9989" width="30.5703125" customWidth="1"/>
    <col min="9990" max="9991" width="30.5703125" bestFit="1" customWidth="1"/>
    <col min="9992" max="9992" width="37.28515625" bestFit="1" customWidth="1"/>
    <col min="9993" max="9993" width="32" bestFit="1" customWidth="1"/>
    <col min="9994" max="9994" width="30" bestFit="1" customWidth="1"/>
    <col min="9996" max="9996" width="21.140625" bestFit="1" customWidth="1"/>
    <col min="9997" max="9997" width="19" bestFit="1" customWidth="1"/>
    <col min="9998" max="9998" width="4.5703125" bestFit="1" customWidth="1"/>
    <col min="10241" max="10241" width="37.140625" bestFit="1" customWidth="1"/>
    <col min="10242" max="10242" width="37.140625" customWidth="1"/>
    <col min="10243" max="10244" width="30.5703125" bestFit="1" customWidth="1"/>
    <col min="10245" max="10245" width="30.5703125" customWidth="1"/>
    <col min="10246" max="10247" width="30.5703125" bestFit="1" customWidth="1"/>
    <col min="10248" max="10248" width="37.28515625" bestFit="1" customWidth="1"/>
    <col min="10249" max="10249" width="32" bestFit="1" customWidth="1"/>
    <col min="10250" max="10250" width="30" bestFit="1" customWidth="1"/>
    <col min="10252" max="10252" width="21.140625" bestFit="1" customWidth="1"/>
    <col min="10253" max="10253" width="19" bestFit="1" customWidth="1"/>
    <col min="10254" max="10254" width="4.5703125" bestFit="1" customWidth="1"/>
    <col min="10497" max="10497" width="37.140625" bestFit="1" customWidth="1"/>
    <col min="10498" max="10498" width="37.140625" customWidth="1"/>
    <col min="10499" max="10500" width="30.5703125" bestFit="1" customWidth="1"/>
    <col min="10501" max="10501" width="30.5703125" customWidth="1"/>
    <col min="10502" max="10503" width="30.5703125" bestFit="1" customWidth="1"/>
    <col min="10504" max="10504" width="37.28515625" bestFit="1" customWidth="1"/>
    <col min="10505" max="10505" width="32" bestFit="1" customWidth="1"/>
    <col min="10506" max="10506" width="30" bestFit="1" customWidth="1"/>
    <col min="10508" max="10508" width="21.140625" bestFit="1" customWidth="1"/>
    <col min="10509" max="10509" width="19" bestFit="1" customWidth="1"/>
    <col min="10510" max="10510" width="4.5703125" bestFit="1" customWidth="1"/>
    <col min="10753" max="10753" width="37.140625" bestFit="1" customWidth="1"/>
    <col min="10754" max="10754" width="37.140625" customWidth="1"/>
    <col min="10755" max="10756" width="30.5703125" bestFit="1" customWidth="1"/>
    <col min="10757" max="10757" width="30.5703125" customWidth="1"/>
    <col min="10758" max="10759" width="30.5703125" bestFit="1" customWidth="1"/>
    <col min="10760" max="10760" width="37.28515625" bestFit="1" customWidth="1"/>
    <col min="10761" max="10761" width="32" bestFit="1" customWidth="1"/>
    <col min="10762" max="10762" width="30" bestFit="1" customWidth="1"/>
    <col min="10764" max="10764" width="21.140625" bestFit="1" customWidth="1"/>
    <col min="10765" max="10765" width="19" bestFit="1" customWidth="1"/>
    <col min="10766" max="10766" width="4.5703125" bestFit="1" customWidth="1"/>
    <col min="11009" max="11009" width="37.140625" bestFit="1" customWidth="1"/>
    <col min="11010" max="11010" width="37.140625" customWidth="1"/>
    <col min="11011" max="11012" width="30.5703125" bestFit="1" customWidth="1"/>
    <col min="11013" max="11013" width="30.5703125" customWidth="1"/>
    <col min="11014" max="11015" width="30.5703125" bestFit="1" customWidth="1"/>
    <col min="11016" max="11016" width="37.28515625" bestFit="1" customWidth="1"/>
    <col min="11017" max="11017" width="32" bestFit="1" customWidth="1"/>
    <col min="11018" max="11018" width="30" bestFit="1" customWidth="1"/>
    <col min="11020" max="11020" width="21.140625" bestFit="1" customWidth="1"/>
    <col min="11021" max="11021" width="19" bestFit="1" customWidth="1"/>
    <col min="11022" max="11022" width="4.5703125" bestFit="1" customWidth="1"/>
    <col min="11265" max="11265" width="37.140625" bestFit="1" customWidth="1"/>
    <col min="11266" max="11266" width="37.140625" customWidth="1"/>
    <col min="11267" max="11268" width="30.5703125" bestFit="1" customWidth="1"/>
    <col min="11269" max="11269" width="30.5703125" customWidth="1"/>
    <col min="11270" max="11271" width="30.5703125" bestFit="1" customWidth="1"/>
    <col min="11272" max="11272" width="37.28515625" bestFit="1" customWidth="1"/>
    <col min="11273" max="11273" width="32" bestFit="1" customWidth="1"/>
    <col min="11274" max="11274" width="30" bestFit="1" customWidth="1"/>
    <col min="11276" max="11276" width="21.140625" bestFit="1" customWidth="1"/>
    <col min="11277" max="11277" width="19" bestFit="1" customWidth="1"/>
    <col min="11278" max="11278" width="4.5703125" bestFit="1" customWidth="1"/>
    <col min="11521" max="11521" width="37.140625" bestFit="1" customWidth="1"/>
    <col min="11522" max="11522" width="37.140625" customWidth="1"/>
    <col min="11523" max="11524" width="30.5703125" bestFit="1" customWidth="1"/>
    <col min="11525" max="11525" width="30.5703125" customWidth="1"/>
    <col min="11526" max="11527" width="30.5703125" bestFit="1" customWidth="1"/>
    <col min="11528" max="11528" width="37.28515625" bestFit="1" customWidth="1"/>
    <col min="11529" max="11529" width="32" bestFit="1" customWidth="1"/>
    <col min="11530" max="11530" width="30" bestFit="1" customWidth="1"/>
    <col min="11532" max="11532" width="21.140625" bestFit="1" customWidth="1"/>
    <col min="11533" max="11533" width="19" bestFit="1" customWidth="1"/>
    <col min="11534" max="11534" width="4.5703125" bestFit="1" customWidth="1"/>
    <col min="11777" max="11777" width="37.140625" bestFit="1" customWidth="1"/>
    <col min="11778" max="11778" width="37.140625" customWidth="1"/>
    <col min="11779" max="11780" width="30.5703125" bestFit="1" customWidth="1"/>
    <col min="11781" max="11781" width="30.5703125" customWidth="1"/>
    <col min="11782" max="11783" width="30.5703125" bestFit="1" customWidth="1"/>
    <col min="11784" max="11784" width="37.28515625" bestFit="1" customWidth="1"/>
    <col min="11785" max="11785" width="32" bestFit="1" customWidth="1"/>
    <col min="11786" max="11786" width="30" bestFit="1" customWidth="1"/>
    <col min="11788" max="11788" width="21.140625" bestFit="1" customWidth="1"/>
    <col min="11789" max="11789" width="19" bestFit="1" customWidth="1"/>
    <col min="11790" max="11790" width="4.5703125" bestFit="1" customWidth="1"/>
    <col min="12033" max="12033" width="37.140625" bestFit="1" customWidth="1"/>
    <col min="12034" max="12034" width="37.140625" customWidth="1"/>
    <col min="12035" max="12036" width="30.5703125" bestFit="1" customWidth="1"/>
    <col min="12037" max="12037" width="30.5703125" customWidth="1"/>
    <col min="12038" max="12039" width="30.5703125" bestFit="1" customWidth="1"/>
    <col min="12040" max="12040" width="37.28515625" bestFit="1" customWidth="1"/>
    <col min="12041" max="12041" width="32" bestFit="1" customWidth="1"/>
    <col min="12042" max="12042" width="30" bestFit="1" customWidth="1"/>
    <col min="12044" max="12044" width="21.140625" bestFit="1" customWidth="1"/>
    <col min="12045" max="12045" width="19" bestFit="1" customWidth="1"/>
    <col min="12046" max="12046" width="4.5703125" bestFit="1" customWidth="1"/>
    <col min="12289" max="12289" width="37.140625" bestFit="1" customWidth="1"/>
    <col min="12290" max="12290" width="37.140625" customWidth="1"/>
    <col min="12291" max="12292" width="30.5703125" bestFit="1" customWidth="1"/>
    <col min="12293" max="12293" width="30.5703125" customWidth="1"/>
    <col min="12294" max="12295" width="30.5703125" bestFit="1" customWidth="1"/>
    <col min="12296" max="12296" width="37.28515625" bestFit="1" customWidth="1"/>
    <col min="12297" max="12297" width="32" bestFit="1" customWidth="1"/>
    <col min="12298" max="12298" width="30" bestFit="1" customWidth="1"/>
    <col min="12300" max="12300" width="21.140625" bestFit="1" customWidth="1"/>
    <col min="12301" max="12301" width="19" bestFit="1" customWidth="1"/>
    <col min="12302" max="12302" width="4.5703125" bestFit="1" customWidth="1"/>
    <col min="12545" max="12545" width="37.140625" bestFit="1" customWidth="1"/>
    <col min="12546" max="12546" width="37.140625" customWidth="1"/>
    <col min="12547" max="12548" width="30.5703125" bestFit="1" customWidth="1"/>
    <col min="12549" max="12549" width="30.5703125" customWidth="1"/>
    <col min="12550" max="12551" width="30.5703125" bestFit="1" customWidth="1"/>
    <col min="12552" max="12552" width="37.28515625" bestFit="1" customWidth="1"/>
    <col min="12553" max="12553" width="32" bestFit="1" customWidth="1"/>
    <col min="12554" max="12554" width="30" bestFit="1" customWidth="1"/>
    <col min="12556" max="12556" width="21.140625" bestFit="1" customWidth="1"/>
    <col min="12557" max="12557" width="19" bestFit="1" customWidth="1"/>
    <col min="12558" max="12558" width="4.5703125" bestFit="1" customWidth="1"/>
    <col min="12801" max="12801" width="37.140625" bestFit="1" customWidth="1"/>
    <col min="12802" max="12802" width="37.140625" customWidth="1"/>
    <col min="12803" max="12804" width="30.5703125" bestFit="1" customWidth="1"/>
    <col min="12805" max="12805" width="30.5703125" customWidth="1"/>
    <col min="12806" max="12807" width="30.5703125" bestFit="1" customWidth="1"/>
    <col min="12808" max="12808" width="37.28515625" bestFit="1" customWidth="1"/>
    <col min="12809" max="12809" width="32" bestFit="1" customWidth="1"/>
    <col min="12810" max="12810" width="30" bestFit="1" customWidth="1"/>
    <col min="12812" max="12812" width="21.140625" bestFit="1" customWidth="1"/>
    <col min="12813" max="12813" width="19" bestFit="1" customWidth="1"/>
    <col min="12814" max="12814" width="4.5703125" bestFit="1" customWidth="1"/>
    <col min="13057" max="13057" width="37.140625" bestFit="1" customWidth="1"/>
    <col min="13058" max="13058" width="37.140625" customWidth="1"/>
    <col min="13059" max="13060" width="30.5703125" bestFit="1" customWidth="1"/>
    <col min="13061" max="13061" width="30.5703125" customWidth="1"/>
    <col min="13062" max="13063" width="30.5703125" bestFit="1" customWidth="1"/>
    <col min="13064" max="13064" width="37.28515625" bestFit="1" customWidth="1"/>
    <col min="13065" max="13065" width="32" bestFit="1" customWidth="1"/>
    <col min="13066" max="13066" width="30" bestFit="1" customWidth="1"/>
    <col min="13068" max="13068" width="21.140625" bestFit="1" customWidth="1"/>
    <col min="13069" max="13069" width="19" bestFit="1" customWidth="1"/>
    <col min="13070" max="13070" width="4.5703125" bestFit="1" customWidth="1"/>
    <col min="13313" max="13313" width="37.140625" bestFit="1" customWidth="1"/>
    <col min="13314" max="13314" width="37.140625" customWidth="1"/>
    <col min="13315" max="13316" width="30.5703125" bestFit="1" customWidth="1"/>
    <col min="13317" max="13317" width="30.5703125" customWidth="1"/>
    <col min="13318" max="13319" width="30.5703125" bestFit="1" customWidth="1"/>
    <col min="13320" max="13320" width="37.28515625" bestFit="1" customWidth="1"/>
    <col min="13321" max="13321" width="32" bestFit="1" customWidth="1"/>
    <col min="13322" max="13322" width="30" bestFit="1" customWidth="1"/>
    <col min="13324" max="13324" width="21.140625" bestFit="1" customWidth="1"/>
    <col min="13325" max="13325" width="19" bestFit="1" customWidth="1"/>
    <col min="13326" max="13326" width="4.5703125" bestFit="1" customWidth="1"/>
    <col min="13569" max="13569" width="37.140625" bestFit="1" customWidth="1"/>
    <col min="13570" max="13570" width="37.140625" customWidth="1"/>
    <col min="13571" max="13572" width="30.5703125" bestFit="1" customWidth="1"/>
    <col min="13573" max="13573" width="30.5703125" customWidth="1"/>
    <col min="13574" max="13575" width="30.5703125" bestFit="1" customWidth="1"/>
    <col min="13576" max="13576" width="37.28515625" bestFit="1" customWidth="1"/>
    <col min="13577" max="13577" width="32" bestFit="1" customWidth="1"/>
    <col min="13578" max="13578" width="30" bestFit="1" customWidth="1"/>
    <col min="13580" max="13580" width="21.140625" bestFit="1" customWidth="1"/>
    <col min="13581" max="13581" width="19" bestFit="1" customWidth="1"/>
    <col min="13582" max="13582" width="4.5703125" bestFit="1" customWidth="1"/>
    <col min="13825" max="13825" width="37.140625" bestFit="1" customWidth="1"/>
    <col min="13826" max="13826" width="37.140625" customWidth="1"/>
    <col min="13827" max="13828" width="30.5703125" bestFit="1" customWidth="1"/>
    <col min="13829" max="13829" width="30.5703125" customWidth="1"/>
    <col min="13830" max="13831" width="30.5703125" bestFit="1" customWidth="1"/>
    <col min="13832" max="13832" width="37.28515625" bestFit="1" customWidth="1"/>
    <col min="13833" max="13833" width="32" bestFit="1" customWidth="1"/>
    <col min="13834" max="13834" width="30" bestFit="1" customWidth="1"/>
    <col min="13836" max="13836" width="21.140625" bestFit="1" customWidth="1"/>
    <col min="13837" max="13837" width="19" bestFit="1" customWidth="1"/>
    <col min="13838" max="13838" width="4.5703125" bestFit="1" customWidth="1"/>
    <col min="14081" max="14081" width="37.140625" bestFit="1" customWidth="1"/>
    <col min="14082" max="14082" width="37.140625" customWidth="1"/>
    <col min="14083" max="14084" width="30.5703125" bestFit="1" customWidth="1"/>
    <col min="14085" max="14085" width="30.5703125" customWidth="1"/>
    <col min="14086" max="14087" width="30.5703125" bestFit="1" customWidth="1"/>
    <col min="14088" max="14088" width="37.28515625" bestFit="1" customWidth="1"/>
    <col min="14089" max="14089" width="32" bestFit="1" customWidth="1"/>
    <col min="14090" max="14090" width="30" bestFit="1" customWidth="1"/>
    <col min="14092" max="14092" width="21.140625" bestFit="1" customWidth="1"/>
    <col min="14093" max="14093" width="19" bestFit="1" customWidth="1"/>
    <col min="14094" max="14094" width="4.5703125" bestFit="1" customWidth="1"/>
    <col min="14337" max="14337" width="37.140625" bestFit="1" customWidth="1"/>
    <col min="14338" max="14338" width="37.140625" customWidth="1"/>
    <col min="14339" max="14340" width="30.5703125" bestFit="1" customWidth="1"/>
    <col min="14341" max="14341" width="30.5703125" customWidth="1"/>
    <col min="14342" max="14343" width="30.5703125" bestFit="1" customWidth="1"/>
    <col min="14344" max="14344" width="37.28515625" bestFit="1" customWidth="1"/>
    <col min="14345" max="14345" width="32" bestFit="1" customWidth="1"/>
    <col min="14346" max="14346" width="30" bestFit="1" customWidth="1"/>
    <col min="14348" max="14348" width="21.140625" bestFit="1" customWidth="1"/>
    <col min="14349" max="14349" width="19" bestFit="1" customWidth="1"/>
    <col min="14350" max="14350" width="4.5703125" bestFit="1" customWidth="1"/>
    <col min="14593" max="14593" width="37.140625" bestFit="1" customWidth="1"/>
    <col min="14594" max="14594" width="37.140625" customWidth="1"/>
    <col min="14595" max="14596" width="30.5703125" bestFit="1" customWidth="1"/>
    <col min="14597" max="14597" width="30.5703125" customWidth="1"/>
    <col min="14598" max="14599" width="30.5703125" bestFit="1" customWidth="1"/>
    <col min="14600" max="14600" width="37.28515625" bestFit="1" customWidth="1"/>
    <col min="14601" max="14601" width="32" bestFit="1" customWidth="1"/>
    <col min="14602" max="14602" width="30" bestFit="1" customWidth="1"/>
    <col min="14604" max="14604" width="21.140625" bestFit="1" customWidth="1"/>
    <col min="14605" max="14605" width="19" bestFit="1" customWidth="1"/>
    <col min="14606" max="14606" width="4.5703125" bestFit="1" customWidth="1"/>
    <col min="14849" max="14849" width="37.140625" bestFit="1" customWidth="1"/>
    <col min="14850" max="14850" width="37.140625" customWidth="1"/>
    <col min="14851" max="14852" width="30.5703125" bestFit="1" customWidth="1"/>
    <col min="14853" max="14853" width="30.5703125" customWidth="1"/>
    <col min="14854" max="14855" width="30.5703125" bestFit="1" customWidth="1"/>
    <col min="14856" max="14856" width="37.28515625" bestFit="1" customWidth="1"/>
    <col min="14857" max="14857" width="32" bestFit="1" customWidth="1"/>
    <col min="14858" max="14858" width="30" bestFit="1" customWidth="1"/>
    <col min="14860" max="14860" width="21.140625" bestFit="1" customWidth="1"/>
    <col min="14861" max="14861" width="19" bestFit="1" customWidth="1"/>
    <col min="14862" max="14862" width="4.5703125" bestFit="1" customWidth="1"/>
    <col min="15105" max="15105" width="37.140625" bestFit="1" customWidth="1"/>
    <col min="15106" max="15106" width="37.140625" customWidth="1"/>
    <col min="15107" max="15108" width="30.5703125" bestFit="1" customWidth="1"/>
    <col min="15109" max="15109" width="30.5703125" customWidth="1"/>
    <col min="15110" max="15111" width="30.5703125" bestFit="1" customWidth="1"/>
    <col min="15112" max="15112" width="37.28515625" bestFit="1" customWidth="1"/>
    <col min="15113" max="15113" width="32" bestFit="1" customWidth="1"/>
    <col min="15114" max="15114" width="30" bestFit="1" customWidth="1"/>
    <col min="15116" max="15116" width="21.140625" bestFit="1" customWidth="1"/>
    <col min="15117" max="15117" width="19" bestFit="1" customWidth="1"/>
    <col min="15118" max="15118" width="4.5703125" bestFit="1" customWidth="1"/>
    <col min="15361" max="15361" width="37.140625" bestFit="1" customWidth="1"/>
    <col min="15362" max="15362" width="37.140625" customWidth="1"/>
    <col min="15363" max="15364" width="30.5703125" bestFit="1" customWidth="1"/>
    <col min="15365" max="15365" width="30.5703125" customWidth="1"/>
    <col min="15366" max="15367" width="30.5703125" bestFit="1" customWidth="1"/>
    <col min="15368" max="15368" width="37.28515625" bestFit="1" customWidth="1"/>
    <col min="15369" max="15369" width="32" bestFit="1" customWidth="1"/>
    <col min="15370" max="15370" width="30" bestFit="1" customWidth="1"/>
    <col min="15372" max="15372" width="21.140625" bestFit="1" customWidth="1"/>
    <col min="15373" max="15373" width="19" bestFit="1" customWidth="1"/>
    <col min="15374" max="15374" width="4.5703125" bestFit="1" customWidth="1"/>
    <col min="15617" max="15617" width="37.140625" bestFit="1" customWidth="1"/>
    <col min="15618" max="15618" width="37.140625" customWidth="1"/>
    <col min="15619" max="15620" width="30.5703125" bestFit="1" customWidth="1"/>
    <col min="15621" max="15621" width="30.5703125" customWidth="1"/>
    <col min="15622" max="15623" width="30.5703125" bestFit="1" customWidth="1"/>
    <col min="15624" max="15624" width="37.28515625" bestFit="1" customWidth="1"/>
    <col min="15625" max="15625" width="32" bestFit="1" customWidth="1"/>
    <col min="15626" max="15626" width="30" bestFit="1" customWidth="1"/>
    <col min="15628" max="15628" width="21.140625" bestFit="1" customWidth="1"/>
    <col min="15629" max="15629" width="19" bestFit="1" customWidth="1"/>
    <col min="15630" max="15630" width="4.5703125" bestFit="1" customWidth="1"/>
    <col min="15873" max="15873" width="37.140625" bestFit="1" customWidth="1"/>
    <col min="15874" max="15874" width="37.140625" customWidth="1"/>
    <col min="15875" max="15876" width="30.5703125" bestFit="1" customWidth="1"/>
    <col min="15877" max="15877" width="30.5703125" customWidth="1"/>
    <col min="15878" max="15879" width="30.5703125" bestFit="1" customWidth="1"/>
    <col min="15880" max="15880" width="37.28515625" bestFit="1" customWidth="1"/>
    <col min="15881" max="15881" width="32" bestFit="1" customWidth="1"/>
    <col min="15882" max="15882" width="30" bestFit="1" customWidth="1"/>
    <col min="15884" max="15884" width="21.140625" bestFit="1" customWidth="1"/>
    <col min="15885" max="15885" width="19" bestFit="1" customWidth="1"/>
    <col min="15886" max="15886" width="4.5703125" bestFit="1" customWidth="1"/>
    <col min="16129" max="16129" width="37.140625" bestFit="1" customWidth="1"/>
    <col min="16130" max="16130" width="37.140625" customWidth="1"/>
    <col min="16131" max="16132" width="30.5703125" bestFit="1" customWidth="1"/>
    <col min="16133" max="16133" width="30.5703125" customWidth="1"/>
    <col min="16134" max="16135" width="30.5703125" bestFit="1" customWidth="1"/>
    <col min="16136" max="16136" width="37.28515625" bestFit="1" customWidth="1"/>
    <col min="16137" max="16137" width="32" bestFit="1" customWidth="1"/>
    <col min="16138" max="16138" width="30" bestFit="1" customWidth="1"/>
    <col min="16140" max="16140" width="21.140625" bestFit="1" customWidth="1"/>
    <col min="16141" max="16141" width="19" bestFit="1" customWidth="1"/>
    <col min="16142" max="16142" width="4.5703125" bestFit="1" customWidth="1"/>
  </cols>
  <sheetData>
    <row r="1" spans="1:15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20</v>
      </c>
      <c r="N1" s="3"/>
      <c r="O1" s="41" t="s">
        <v>185</v>
      </c>
    </row>
    <row r="2" spans="1:15" x14ac:dyDescent="0.25">
      <c r="A2" s="5" t="s">
        <v>704</v>
      </c>
      <c r="B2" s="42">
        <f>J2/1000</f>
        <v>0</v>
      </c>
      <c r="C2" s="7" t="s">
        <v>837</v>
      </c>
      <c r="D2" s="7" t="s">
        <v>15</v>
      </c>
      <c r="F2" s="8">
        <v>0</v>
      </c>
      <c r="G2" s="7" t="s">
        <v>703</v>
      </c>
      <c r="H2" s="7" t="s">
        <v>502</v>
      </c>
      <c r="I2" s="6">
        <v>187.37</v>
      </c>
      <c r="J2" s="6">
        <v>0</v>
      </c>
      <c r="K2" s="35">
        <f>J203</f>
        <v>104492.10000000002</v>
      </c>
      <c r="L2" s="38"/>
      <c r="M2" s="37" t="str">
        <f>VLOOKUP($M1,B2:D203,2)</f>
        <v>TORRE 040</v>
      </c>
      <c r="N2" s="37" t="str">
        <f>VLOOKUP($M1,B2:D203,3)</f>
        <v>TORRE 041</v>
      </c>
      <c r="O2" s="37">
        <f>VLOOKUP($M1,$B2:$E203,4)</f>
        <v>0</v>
      </c>
    </row>
    <row r="3" spans="1:15" x14ac:dyDescent="0.25">
      <c r="A3" s="5" t="s">
        <v>704</v>
      </c>
      <c r="B3" s="42">
        <f t="shared" ref="B3:B66" si="0">J3/1000</f>
        <v>0.18737000000000001</v>
      </c>
      <c r="C3" s="7" t="s">
        <v>15</v>
      </c>
      <c r="D3" s="7" t="s">
        <v>20</v>
      </c>
      <c r="F3" s="8">
        <v>0.10727000000000418</v>
      </c>
      <c r="G3" s="7" t="s">
        <v>502</v>
      </c>
      <c r="H3" s="7" t="s">
        <v>500</v>
      </c>
      <c r="I3" s="6">
        <v>349.84</v>
      </c>
      <c r="J3" s="6">
        <f>J2+I2</f>
        <v>187.37</v>
      </c>
      <c r="K3" s="6">
        <f>K2-I2</f>
        <v>104304.73000000003</v>
      </c>
      <c r="L3" s="37"/>
      <c r="M3" s="11" t="s">
        <v>864</v>
      </c>
      <c r="N3" s="11" t="s">
        <v>869</v>
      </c>
    </row>
    <row r="4" spans="1:15" x14ac:dyDescent="0.25">
      <c r="A4" s="5" t="s">
        <v>704</v>
      </c>
      <c r="B4" s="42">
        <f t="shared" si="0"/>
        <v>0.53721000000000008</v>
      </c>
      <c r="C4" s="7" t="s">
        <v>20</v>
      </c>
      <c r="D4" s="7" t="s">
        <v>23</v>
      </c>
      <c r="F4" s="8">
        <v>0.45551000000000419</v>
      </c>
      <c r="G4" s="7" t="s">
        <v>500</v>
      </c>
      <c r="H4" s="7" t="s">
        <v>498</v>
      </c>
      <c r="I4" s="6">
        <v>283.79000000000002</v>
      </c>
      <c r="J4" s="6">
        <f t="shared" ref="J4:J67" si="1">J3+I3</f>
        <v>537.21</v>
      </c>
      <c r="K4" s="6">
        <f t="shared" ref="K4:K67" si="2">K3-I3</f>
        <v>103954.89000000003</v>
      </c>
      <c r="M4" s="37" t="s">
        <v>864</v>
      </c>
    </row>
    <row r="5" spans="1:15" x14ac:dyDescent="0.25">
      <c r="A5" s="5" t="s">
        <v>704</v>
      </c>
      <c r="B5" s="42">
        <f t="shared" si="0"/>
        <v>0.82099999999999995</v>
      </c>
      <c r="C5" s="7" t="s">
        <v>23</v>
      </c>
      <c r="D5" s="7" t="s">
        <v>25</v>
      </c>
      <c r="F5" s="8">
        <v>0.94686000000000425</v>
      </c>
      <c r="G5" s="7" t="s">
        <v>498</v>
      </c>
      <c r="H5" s="7" t="s">
        <v>496</v>
      </c>
      <c r="I5" s="6">
        <v>485.19</v>
      </c>
      <c r="J5" s="6">
        <f t="shared" si="1"/>
        <v>821</v>
      </c>
      <c r="K5" s="6">
        <f t="shared" si="2"/>
        <v>103671.10000000003</v>
      </c>
    </row>
    <row r="6" spans="1:15" x14ac:dyDescent="0.25">
      <c r="A6" s="5" t="s">
        <v>704</v>
      </c>
      <c r="B6" s="42">
        <f t="shared" si="0"/>
        <v>1.30619</v>
      </c>
      <c r="C6" s="7" t="s">
        <v>25</v>
      </c>
      <c r="D6" s="7" t="s">
        <v>27</v>
      </c>
      <c r="F6" s="8">
        <v>1.4648800000000042</v>
      </c>
      <c r="G6" s="7" t="s">
        <v>496</v>
      </c>
      <c r="H6" s="7" t="s">
        <v>494</v>
      </c>
      <c r="I6" s="6">
        <v>475.81</v>
      </c>
      <c r="J6" s="6">
        <f t="shared" si="1"/>
        <v>1306.19</v>
      </c>
      <c r="K6" s="6">
        <f t="shared" si="2"/>
        <v>103185.91000000003</v>
      </c>
    </row>
    <row r="7" spans="1:15" x14ac:dyDescent="0.25">
      <c r="A7" s="5" t="s">
        <v>704</v>
      </c>
      <c r="B7" s="42">
        <f t="shared" si="0"/>
        <v>1.782</v>
      </c>
      <c r="C7" s="7" t="s">
        <v>27</v>
      </c>
      <c r="D7" s="7" t="s">
        <v>29</v>
      </c>
      <c r="F7" s="8">
        <v>1.8838600000000043</v>
      </c>
      <c r="G7" s="7" t="s">
        <v>494</v>
      </c>
      <c r="H7" s="7" t="s">
        <v>492</v>
      </c>
      <c r="I7" s="6">
        <v>750</v>
      </c>
      <c r="J7" s="6">
        <f t="shared" si="1"/>
        <v>1782</v>
      </c>
      <c r="K7" s="6">
        <f t="shared" si="2"/>
        <v>102710.10000000003</v>
      </c>
    </row>
    <row r="8" spans="1:15" x14ac:dyDescent="0.25">
      <c r="A8" s="5" t="s">
        <v>704</v>
      </c>
      <c r="B8" s="42">
        <f t="shared" si="0"/>
        <v>2.532</v>
      </c>
      <c r="C8" s="7" t="s">
        <v>29</v>
      </c>
      <c r="D8" s="7" t="s">
        <v>31</v>
      </c>
      <c r="F8" s="8">
        <v>2.0238600000000044</v>
      </c>
      <c r="G8" s="7" t="s">
        <v>492</v>
      </c>
      <c r="H8" s="7" t="s">
        <v>490</v>
      </c>
      <c r="I8" s="6">
        <v>475.69</v>
      </c>
      <c r="J8" s="6">
        <f t="shared" si="1"/>
        <v>2532</v>
      </c>
      <c r="K8" s="6">
        <f t="shared" si="2"/>
        <v>101960.10000000003</v>
      </c>
    </row>
    <row r="9" spans="1:15" x14ac:dyDescent="0.25">
      <c r="A9" s="5" t="s">
        <v>704</v>
      </c>
      <c r="B9" s="42">
        <f t="shared" si="0"/>
        <v>3.0076900000000002</v>
      </c>
      <c r="C9" s="7" t="s">
        <v>31</v>
      </c>
      <c r="D9" s="7" t="s">
        <v>33</v>
      </c>
      <c r="F9" s="8">
        <v>2.5338600000000042</v>
      </c>
      <c r="G9" s="7" t="s">
        <v>490</v>
      </c>
      <c r="H9" s="7" t="s">
        <v>488</v>
      </c>
      <c r="I9" s="6">
        <v>435.58</v>
      </c>
      <c r="J9" s="6">
        <f t="shared" si="1"/>
        <v>3007.69</v>
      </c>
      <c r="K9" s="6">
        <f t="shared" si="2"/>
        <v>101484.41000000003</v>
      </c>
    </row>
    <row r="10" spans="1:15" x14ac:dyDescent="0.25">
      <c r="A10" s="5" t="s">
        <v>704</v>
      </c>
      <c r="B10" s="42">
        <f t="shared" si="0"/>
        <v>3.4432700000000001</v>
      </c>
      <c r="C10" s="7" t="s">
        <v>33</v>
      </c>
      <c r="D10" s="7" t="s">
        <v>35</v>
      </c>
      <c r="F10" s="8">
        <v>3.1330900000000041</v>
      </c>
      <c r="G10" s="7" t="s">
        <v>488</v>
      </c>
      <c r="H10" s="7" t="s">
        <v>486</v>
      </c>
      <c r="I10" s="6">
        <v>766.32</v>
      </c>
      <c r="J10" s="6">
        <f t="shared" si="1"/>
        <v>3443.27</v>
      </c>
      <c r="K10" s="6">
        <f t="shared" si="2"/>
        <v>101048.83000000003</v>
      </c>
    </row>
    <row r="11" spans="1:15" x14ac:dyDescent="0.25">
      <c r="A11" s="5" t="s">
        <v>704</v>
      </c>
      <c r="B11" s="42">
        <f t="shared" si="0"/>
        <v>4.2095900000000004</v>
      </c>
      <c r="C11" s="7" t="s">
        <v>35</v>
      </c>
      <c r="D11" s="7" t="s">
        <v>37</v>
      </c>
      <c r="F11" s="8">
        <v>3.7254400000000043</v>
      </c>
      <c r="G11" s="7" t="s">
        <v>486</v>
      </c>
      <c r="H11" s="7" t="s">
        <v>484</v>
      </c>
      <c r="I11" s="6">
        <v>499.41</v>
      </c>
      <c r="J11" s="6">
        <f t="shared" si="1"/>
        <v>4209.59</v>
      </c>
      <c r="K11" s="6">
        <f t="shared" si="2"/>
        <v>100282.51000000002</v>
      </c>
    </row>
    <row r="12" spans="1:15" x14ac:dyDescent="0.25">
      <c r="A12" s="5" t="s">
        <v>704</v>
      </c>
      <c r="B12" s="42">
        <f t="shared" si="0"/>
        <v>4.7089999999999996</v>
      </c>
      <c r="C12" s="7" t="s">
        <v>37</v>
      </c>
      <c r="D12" s="7" t="s">
        <v>39</v>
      </c>
      <c r="F12" s="8">
        <v>4.2318600000000046</v>
      </c>
      <c r="G12" s="7" t="s">
        <v>484</v>
      </c>
      <c r="H12" s="7" t="s">
        <v>482</v>
      </c>
      <c r="I12" s="6">
        <v>507</v>
      </c>
      <c r="J12" s="6">
        <f t="shared" si="1"/>
        <v>4709</v>
      </c>
      <c r="K12" s="6">
        <f t="shared" si="2"/>
        <v>99783.10000000002</v>
      </c>
    </row>
    <row r="13" spans="1:15" x14ac:dyDescent="0.25">
      <c r="A13" s="5" t="s">
        <v>704</v>
      </c>
      <c r="B13" s="42">
        <f t="shared" si="0"/>
        <v>5.2160000000000002</v>
      </c>
      <c r="C13" s="7" t="s">
        <v>39</v>
      </c>
      <c r="D13" s="7" t="s">
        <v>41</v>
      </c>
      <c r="F13" s="8">
        <v>4.8520100000000035</v>
      </c>
      <c r="G13" s="7" t="s">
        <v>482</v>
      </c>
      <c r="H13" s="7" t="s">
        <v>480</v>
      </c>
      <c r="I13" s="6">
        <v>401</v>
      </c>
      <c r="J13" s="6">
        <f t="shared" si="1"/>
        <v>5216</v>
      </c>
      <c r="K13" s="6">
        <f t="shared" si="2"/>
        <v>99276.10000000002</v>
      </c>
    </row>
    <row r="14" spans="1:15" x14ac:dyDescent="0.25">
      <c r="A14" s="5" t="s">
        <v>704</v>
      </c>
      <c r="B14" s="42">
        <f t="shared" si="0"/>
        <v>5.617</v>
      </c>
      <c r="C14" s="7" t="s">
        <v>41</v>
      </c>
      <c r="D14" s="7" t="s">
        <v>43</v>
      </c>
      <c r="F14" s="8">
        <v>5.3038600000000038</v>
      </c>
      <c r="G14" s="7" t="s">
        <v>480</v>
      </c>
      <c r="H14" s="7" t="s">
        <v>478</v>
      </c>
      <c r="I14" s="6">
        <v>584.39</v>
      </c>
      <c r="J14" s="6">
        <f t="shared" si="1"/>
        <v>5617</v>
      </c>
      <c r="K14" s="6">
        <f t="shared" si="2"/>
        <v>98875.10000000002</v>
      </c>
    </row>
    <row r="15" spans="1:15" x14ac:dyDescent="0.25">
      <c r="A15" s="5" t="s">
        <v>704</v>
      </c>
      <c r="B15" s="42">
        <f t="shared" si="0"/>
        <v>6.20139</v>
      </c>
      <c r="C15" s="7" t="s">
        <v>43</v>
      </c>
      <c r="D15" s="7" t="s">
        <v>45</v>
      </c>
      <c r="F15" s="8">
        <v>5.8898600000000041</v>
      </c>
      <c r="G15" s="7" t="s">
        <v>478</v>
      </c>
      <c r="H15" s="7" t="s">
        <v>476</v>
      </c>
      <c r="I15" s="6">
        <v>372.61</v>
      </c>
      <c r="J15" s="6">
        <f t="shared" si="1"/>
        <v>6201.39</v>
      </c>
      <c r="K15" s="6">
        <f t="shared" si="2"/>
        <v>98290.710000000021</v>
      </c>
    </row>
    <row r="16" spans="1:15" x14ac:dyDescent="0.25">
      <c r="A16" s="5" t="s">
        <v>704</v>
      </c>
      <c r="B16" s="42">
        <f t="shared" si="0"/>
        <v>6.5739999999999998</v>
      </c>
      <c r="C16" s="7" t="s">
        <v>45</v>
      </c>
      <c r="D16" s="7" t="s">
        <v>47</v>
      </c>
      <c r="F16" s="8">
        <v>6.487860000000004</v>
      </c>
      <c r="G16" s="7" t="s">
        <v>476</v>
      </c>
      <c r="H16" s="7" t="s">
        <v>474</v>
      </c>
      <c r="I16" s="6">
        <v>371</v>
      </c>
      <c r="J16" s="6">
        <f t="shared" si="1"/>
        <v>6574</v>
      </c>
      <c r="K16" s="6">
        <f t="shared" si="2"/>
        <v>97918.10000000002</v>
      </c>
    </row>
    <row r="17" spans="1:11" x14ac:dyDescent="0.25">
      <c r="A17" s="5" t="s">
        <v>704</v>
      </c>
      <c r="B17" s="42">
        <f t="shared" si="0"/>
        <v>6.9450000000000003</v>
      </c>
      <c r="C17" s="7" t="s">
        <v>47</v>
      </c>
      <c r="D17" s="7" t="s">
        <v>49</v>
      </c>
      <c r="F17" s="8">
        <v>7.0043900000000043</v>
      </c>
      <c r="G17" s="7" t="s">
        <v>474</v>
      </c>
      <c r="H17" s="7" t="s">
        <v>472</v>
      </c>
      <c r="I17" s="6">
        <v>552</v>
      </c>
      <c r="J17" s="6">
        <f t="shared" si="1"/>
        <v>6945</v>
      </c>
      <c r="K17" s="6">
        <f t="shared" si="2"/>
        <v>97547.10000000002</v>
      </c>
    </row>
    <row r="18" spans="1:11" x14ac:dyDescent="0.25">
      <c r="A18" s="5" t="s">
        <v>704</v>
      </c>
      <c r="B18" s="42">
        <f t="shared" si="0"/>
        <v>7.4969999999999999</v>
      </c>
      <c r="C18" s="7" t="s">
        <v>49</v>
      </c>
      <c r="D18" s="7" t="s">
        <v>51</v>
      </c>
      <c r="F18" s="8">
        <v>7.4478600000000039</v>
      </c>
      <c r="G18" s="7" t="s">
        <v>472</v>
      </c>
      <c r="H18" s="7" t="s">
        <v>470</v>
      </c>
      <c r="I18" s="6">
        <v>697</v>
      </c>
      <c r="J18" s="6">
        <f t="shared" si="1"/>
        <v>7497</v>
      </c>
      <c r="K18" s="6">
        <f t="shared" si="2"/>
        <v>96995.10000000002</v>
      </c>
    </row>
    <row r="19" spans="1:11" x14ac:dyDescent="0.25">
      <c r="A19" s="5" t="s">
        <v>704</v>
      </c>
      <c r="B19" s="42">
        <f t="shared" si="0"/>
        <v>8.1940000000000008</v>
      </c>
      <c r="C19" s="7" t="s">
        <v>51</v>
      </c>
      <c r="D19" s="7" t="s">
        <v>53</v>
      </c>
      <c r="F19" s="8">
        <v>7.7841800000000037</v>
      </c>
      <c r="G19" s="7" t="s">
        <v>470</v>
      </c>
      <c r="H19" s="7" t="s">
        <v>468</v>
      </c>
      <c r="I19" s="6">
        <v>203</v>
      </c>
      <c r="J19" s="6">
        <f t="shared" si="1"/>
        <v>8194</v>
      </c>
      <c r="K19" s="6">
        <f t="shared" si="2"/>
        <v>96298.10000000002</v>
      </c>
    </row>
    <row r="20" spans="1:11" x14ac:dyDescent="0.25">
      <c r="A20" s="5" t="s">
        <v>704</v>
      </c>
      <c r="B20" s="42">
        <f t="shared" si="0"/>
        <v>8.3970000000000002</v>
      </c>
      <c r="C20" s="7" t="s">
        <v>53</v>
      </c>
      <c r="D20" s="7" t="s">
        <v>55</v>
      </c>
      <c r="F20" s="8">
        <v>8.4218600000000041</v>
      </c>
      <c r="G20" s="7" t="s">
        <v>468</v>
      </c>
      <c r="H20" s="7" t="s">
        <v>466</v>
      </c>
      <c r="I20" s="6">
        <v>545.88</v>
      </c>
      <c r="J20" s="6">
        <f t="shared" si="1"/>
        <v>8397</v>
      </c>
      <c r="K20" s="6">
        <f t="shared" si="2"/>
        <v>96095.10000000002</v>
      </c>
    </row>
    <row r="21" spans="1:11" x14ac:dyDescent="0.25">
      <c r="A21" s="5" t="s">
        <v>704</v>
      </c>
      <c r="B21" s="42">
        <f t="shared" si="0"/>
        <v>8.9428799999999988</v>
      </c>
      <c r="C21" s="7" t="s">
        <v>55</v>
      </c>
      <c r="D21" s="7" t="s">
        <v>57</v>
      </c>
      <c r="F21" s="8">
        <v>9.0288600000000034</v>
      </c>
      <c r="G21" s="7" t="s">
        <v>466</v>
      </c>
      <c r="H21" s="7" t="s">
        <v>464</v>
      </c>
      <c r="I21" s="6">
        <v>746.5</v>
      </c>
      <c r="J21" s="6">
        <f t="shared" si="1"/>
        <v>8942.8799999999992</v>
      </c>
      <c r="K21" s="6">
        <f t="shared" si="2"/>
        <v>95549.220000000016</v>
      </c>
    </row>
    <row r="22" spans="1:11" x14ac:dyDescent="0.25">
      <c r="A22" s="5" t="s">
        <v>704</v>
      </c>
      <c r="B22" s="42">
        <f t="shared" si="0"/>
        <v>9.6893799999999999</v>
      </c>
      <c r="C22" s="7" t="s">
        <v>57</v>
      </c>
      <c r="D22" s="7" t="s">
        <v>59</v>
      </c>
      <c r="F22" s="8">
        <v>9.4568600000000043</v>
      </c>
      <c r="G22" s="7" t="s">
        <v>464</v>
      </c>
      <c r="H22" s="7" t="s">
        <v>462</v>
      </c>
      <c r="I22" s="6">
        <v>476.62</v>
      </c>
      <c r="J22" s="6">
        <f t="shared" si="1"/>
        <v>9689.3799999999992</v>
      </c>
      <c r="K22" s="6">
        <f t="shared" si="2"/>
        <v>94802.720000000016</v>
      </c>
    </row>
    <row r="23" spans="1:11" x14ac:dyDescent="0.25">
      <c r="A23" s="5" t="s">
        <v>704</v>
      </c>
      <c r="B23" s="42">
        <f t="shared" si="0"/>
        <v>10.166</v>
      </c>
      <c r="C23" s="7" t="s">
        <v>59</v>
      </c>
      <c r="D23" s="7" t="s">
        <v>61</v>
      </c>
      <c r="F23" s="8">
        <v>9.9209000000000049</v>
      </c>
      <c r="G23" s="7" t="s">
        <v>462</v>
      </c>
      <c r="H23" s="7" t="s">
        <v>460</v>
      </c>
      <c r="I23" s="6">
        <v>446</v>
      </c>
      <c r="J23" s="6">
        <f t="shared" si="1"/>
        <v>10166</v>
      </c>
      <c r="K23" s="6">
        <f t="shared" si="2"/>
        <v>94326.10000000002</v>
      </c>
    </row>
    <row r="24" spans="1:11" x14ac:dyDescent="0.25">
      <c r="A24" s="5" t="s">
        <v>704</v>
      </c>
      <c r="B24" s="42">
        <f t="shared" si="0"/>
        <v>10.612</v>
      </c>
      <c r="C24" s="7" t="s">
        <v>61</v>
      </c>
      <c r="D24" s="7" t="s">
        <v>63</v>
      </c>
      <c r="F24" s="8">
        <v>10.484360000000004</v>
      </c>
      <c r="G24" s="7" t="s">
        <v>460</v>
      </c>
      <c r="H24" s="7" t="s">
        <v>458</v>
      </c>
      <c r="I24" s="6">
        <v>756</v>
      </c>
      <c r="J24" s="6">
        <f t="shared" si="1"/>
        <v>10612</v>
      </c>
      <c r="K24" s="6">
        <f t="shared" si="2"/>
        <v>93880.10000000002</v>
      </c>
    </row>
    <row r="25" spans="1:11" x14ac:dyDescent="0.25">
      <c r="A25" s="5" t="s">
        <v>704</v>
      </c>
      <c r="B25" s="42">
        <f t="shared" si="0"/>
        <v>11.368</v>
      </c>
      <c r="C25" s="7" t="s">
        <v>63</v>
      </c>
      <c r="D25" s="7" t="s">
        <v>65</v>
      </c>
      <c r="F25" s="8">
        <v>11.025990000000004</v>
      </c>
      <c r="G25" s="7" t="s">
        <v>458</v>
      </c>
      <c r="H25" s="7" t="s">
        <v>456</v>
      </c>
      <c r="I25" s="6">
        <v>395</v>
      </c>
      <c r="J25" s="6">
        <f t="shared" si="1"/>
        <v>11368</v>
      </c>
      <c r="K25" s="6">
        <f t="shared" si="2"/>
        <v>93124.10000000002</v>
      </c>
    </row>
    <row r="26" spans="1:11" x14ac:dyDescent="0.25">
      <c r="A26" s="5" t="s">
        <v>704</v>
      </c>
      <c r="B26" s="42">
        <f t="shared" si="0"/>
        <v>11.763</v>
      </c>
      <c r="C26" s="7" t="s">
        <v>65</v>
      </c>
      <c r="D26" s="7" t="s">
        <v>67</v>
      </c>
      <c r="F26" s="8">
        <v>11.639860000000004</v>
      </c>
      <c r="G26" s="7" t="s">
        <v>456</v>
      </c>
      <c r="H26" s="7" t="s">
        <v>454</v>
      </c>
      <c r="I26" s="6">
        <v>381.4</v>
      </c>
      <c r="J26" s="6">
        <f t="shared" si="1"/>
        <v>11763</v>
      </c>
      <c r="K26" s="6">
        <f t="shared" si="2"/>
        <v>92729.10000000002</v>
      </c>
    </row>
    <row r="27" spans="1:11" x14ac:dyDescent="0.25">
      <c r="A27" s="5" t="s">
        <v>704</v>
      </c>
      <c r="B27" s="42">
        <f t="shared" si="0"/>
        <v>12.144399999999999</v>
      </c>
      <c r="C27" s="7" t="s">
        <v>67</v>
      </c>
      <c r="D27" s="7" t="s">
        <v>69</v>
      </c>
      <c r="F27" s="8">
        <v>12.058860000000005</v>
      </c>
      <c r="G27" s="7" t="s">
        <v>454</v>
      </c>
      <c r="H27" s="7" t="s">
        <v>452</v>
      </c>
      <c r="I27" s="6">
        <v>110.01</v>
      </c>
      <c r="J27" s="6">
        <f t="shared" si="1"/>
        <v>12144.4</v>
      </c>
      <c r="K27" s="6">
        <f t="shared" si="2"/>
        <v>92347.700000000026</v>
      </c>
    </row>
    <row r="28" spans="1:11" x14ac:dyDescent="0.25">
      <c r="A28" s="5" t="s">
        <v>704</v>
      </c>
      <c r="B28" s="42">
        <f t="shared" si="0"/>
        <v>12.25441</v>
      </c>
      <c r="C28" s="7" t="s">
        <v>69</v>
      </c>
      <c r="D28" s="7" t="s">
        <v>71</v>
      </c>
      <c r="F28" s="8">
        <v>12.764860000000004</v>
      </c>
      <c r="G28" s="7" t="s">
        <v>452</v>
      </c>
      <c r="H28" s="7" t="s">
        <v>450</v>
      </c>
      <c r="I28" s="6">
        <v>607.59</v>
      </c>
      <c r="J28" s="6">
        <f t="shared" si="1"/>
        <v>12254.41</v>
      </c>
      <c r="K28" s="6">
        <f t="shared" si="2"/>
        <v>92237.690000000031</v>
      </c>
    </row>
    <row r="29" spans="1:11" x14ac:dyDescent="0.25">
      <c r="A29" s="5" t="s">
        <v>704</v>
      </c>
      <c r="B29" s="42">
        <f t="shared" si="0"/>
        <v>12.862</v>
      </c>
      <c r="C29" s="7" t="s">
        <v>71</v>
      </c>
      <c r="D29" s="7" t="s">
        <v>73</v>
      </c>
      <c r="F29" s="8">
        <v>13.026860000000005</v>
      </c>
      <c r="G29" s="7" t="s">
        <v>450</v>
      </c>
      <c r="H29" s="7" t="s">
        <v>448</v>
      </c>
      <c r="I29" s="6">
        <v>552</v>
      </c>
      <c r="J29" s="6">
        <f t="shared" si="1"/>
        <v>12862</v>
      </c>
      <c r="K29" s="6">
        <f t="shared" si="2"/>
        <v>91630.100000000035</v>
      </c>
    </row>
    <row r="30" spans="1:11" x14ac:dyDescent="0.25">
      <c r="A30" s="5" t="s">
        <v>704</v>
      </c>
      <c r="B30" s="42">
        <f t="shared" si="0"/>
        <v>13.414</v>
      </c>
      <c r="C30" s="7" t="s">
        <v>73</v>
      </c>
      <c r="D30" s="7" t="s">
        <v>75</v>
      </c>
      <c r="F30" s="8">
        <v>13.656860000000004</v>
      </c>
      <c r="G30" s="7" t="s">
        <v>448</v>
      </c>
      <c r="H30" s="7" t="s">
        <v>446</v>
      </c>
      <c r="I30" s="6">
        <v>456</v>
      </c>
      <c r="J30" s="6">
        <f t="shared" si="1"/>
        <v>13414</v>
      </c>
      <c r="K30" s="6">
        <f t="shared" si="2"/>
        <v>91078.100000000035</v>
      </c>
    </row>
    <row r="31" spans="1:11" x14ac:dyDescent="0.25">
      <c r="A31" s="5" t="s">
        <v>704</v>
      </c>
      <c r="B31" s="42">
        <f t="shared" si="0"/>
        <v>13.87</v>
      </c>
      <c r="C31" s="7" t="s">
        <v>75</v>
      </c>
      <c r="D31" s="7" t="s">
        <v>77</v>
      </c>
      <c r="F31" s="8">
        <v>14.317900000000003</v>
      </c>
      <c r="G31" s="7" t="s">
        <v>446</v>
      </c>
      <c r="H31" s="7" t="s">
        <v>444</v>
      </c>
      <c r="I31" s="6">
        <v>531</v>
      </c>
      <c r="J31" s="6">
        <f t="shared" si="1"/>
        <v>13870</v>
      </c>
      <c r="K31" s="6">
        <f t="shared" si="2"/>
        <v>90622.100000000035</v>
      </c>
    </row>
    <row r="32" spans="1:11" x14ac:dyDescent="0.25">
      <c r="A32" s="5" t="s">
        <v>704</v>
      </c>
      <c r="B32" s="42">
        <f t="shared" si="0"/>
        <v>14.401</v>
      </c>
      <c r="C32" s="7" t="s">
        <v>77</v>
      </c>
      <c r="D32" s="7" t="s">
        <v>79</v>
      </c>
      <c r="F32" s="8">
        <v>14.580010000000003</v>
      </c>
      <c r="G32" s="7" t="s">
        <v>444</v>
      </c>
      <c r="H32" s="7" t="s">
        <v>442</v>
      </c>
      <c r="I32" s="6">
        <v>468.12</v>
      </c>
      <c r="J32" s="6">
        <f t="shared" si="1"/>
        <v>14401</v>
      </c>
      <c r="K32" s="6">
        <f t="shared" si="2"/>
        <v>90091.100000000035</v>
      </c>
    </row>
    <row r="33" spans="1:11" x14ac:dyDescent="0.25">
      <c r="A33" s="5" t="s">
        <v>704</v>
      </c>
      <c r="B33" s="42">
        <f t="shared" si="0"/>
        <v>14.869120000000001</v>
      </c>
      <c r="C33" s="7" t="s">
        <v>79</v>
      </c>
      <c r="D33" s="7" t="s">
        <v>81</v>
      </c>
      <c r="F33" s="8">
        <v>15.047260000000003</v>
      </c>
      <c r="G33" s="7" t="s">
        <v>442</v>
      </c>
      <c r="H33" s="7" t="s">
        <v>440</v>
      </c>
      <c r="I33" s="6">
        <v>432.88</v>
      </c>
      <c r="J33" s="6">
        <f t="shared" si="1"/>
        <v>14869.12</v>
      </c>
      <c r="K33" s="6">
        <f t="shared" si="2"/>
        <v>89622.98000000004</v>
      </c>
    </row>
    <row r="34" spans="1:11" x14ac:dyDescent="0.25">
      <c r="A34" s="5" t="s">
        <v>704</v>
      </c>
      <c r="B34" s="42">
        <f t="shared" si="0"/>
        <v>15.302</v>
      </c>
      <c r="C34" s="7" t="s">
        <v>81</v>
      </c>
      <c r="D34" s="7" t="s">
        <v>83</v>
      </c>
      <c r="F34" s="8">
        <v>15.576860000000003</v>
      </c>
      <c r="G34" s="7" t="s">
        <v>440</v>
      </c>
      <c r="H34" s="7" t="s">
        <v>438</v>
      </c>
      <c r="I34" s="6">
        <v>612.91999999999996</v>
      </c>
      <c r="J34" s="6">
        <f t="shared" si="1"/>
        <v>15302</v>
      </c>
      <c r="K34" s="6">
        <f t="shared" si="2"/>
        <v>89190.100000000035</v>
      </c>
    </row>
    <row r="35" spans="1:11" x14ac:dyDescent="0.25">
      <c r="A35" s="5" t="s">
        <v>704</v>
      </c>
      <c r="B35" s="42">
        <f t="shared" si="0"/>
        <v>15.91492</v>
      </c>
      <c r="C35" s="7" t="s">
        <v>83</v>
      </c>
      <c r="D35" s="7" t="s">
        <v>85</v>
      </c>
      <c r="F35" s="8">
        <v>16.345860000000005</v>
      </c>
      <c r="G35" s="7" t="s">
        <v>438</v>
      </c>
      <c r="H35" s="7" t="s">
        <v>436</v>
      </c>
      <c r="I35" s="6">
        <v>579.08000000000004</v>
      </c>
      <c r="J35" s="6">
        <f t="shared" si="1"/>
        <v>15914.92</v>
      </c>
      <c r="K35" s="6">
        <f t="shared" si="2"/>
        <v>88577.180000000037</v>
      </c>
    </row>
    <row r="36" spans="1:11" x14ac:dyDescent="0.25">
      <c r="A36" s="5" t="s">
        <v>704</v>
      </c>
      <c r="B36" s="42">
        <f t="shared" si="0"/>
        <v>16.494</v>
      </c>
      <c r="C36" s="7" t="s">
        <v>85</v>
      </c>
      <c r="D36" s="7" t="s">
        <v>87</v>
      </c>
      <c r="F36" s="8">
        <v>16.861860000000004</v>
      </c>
      <c r="G36" s="7" t="s">
        <v>436</v>
      </c>
      <c r="H36" s="7" t="s">
        <v>434</v>
      </c>
      <c r="I36" s="6">
        <v>656</v>
      </c>
      <c r="J36" s="6">
        <f t="shared" si="1"/>
        <v>16494</v>
      </c>
      <c r="K36" s="6">
        <f t="shared" si="2"/>
        <v>87998.100000000035</v>
      </c>
    </row>
    <row r="37" spans="1:11" x14ac:dyDescent="0.25">
      <c r="A37" s="5" t="s">
        <v>704</v>
      </c>
      <c r="B37" s="42">
        <f t="shared" si="0"/>
        <v>17.149999999999999</v>
      </c>
      <c r="C37" s="7" t="s">
        <v>87</v>
      </c>
      <c r="D37" s="7" t="s">
        <v>89</v>
      </c>
      <c r="F37" s="8">
        <v>17.488860000000003</v>
      </c>
      <c r="G37" s="7" t="s">
        <v>434</v>
      </c>
      <c r="H37" s="7" t="s">
        <v>432</v>
      </c>
      <c r="I37" s="6">
        <v>641.22</v>
      </c>
      <c r="J37" s="6">
        <f t="shared" si="1"/>
        <v>17150</v>
      </c>
      <c r="K37" s="6">
        <f t="shared" si="2"/>
        <v>87342.100000000035</v>
      </c>
    </row>
    <row r="38" spans="1:11" x14ac:dyDescent="0.25">
      <c r="A38" s="5" t="s">
        <v>704</v>
      </c>
      <c r="B38" s="42">
        <f t="shared" si="0"/>
        <v>17.791220000000003</v>
      </c>
      <c r="C38" s="7" t="s">
        <v>89</v>
      </c>
      <c r="D38" s="7" t="s">
        <v>91</v>
      </c>
      <c r="F38" s="8">
        <v>18.091560000000005</v>
      </c>
      <c r="G38" s="7" t="s">
        <v>432</v>
      </c>
      <c r="H38" s="7" t="s">
        <v>430</v>
      </c>
      <c r="I38" s="6">
        <v>394.78</v>
      </c>
      <c r="J38" s="6">
        <f t="shared" si="1"/>
        <v>17791.22</v>
      </c>
      <c r="K38" s="6">
        <f t="shared" si="2"/>
        <v>86700.880000000034</v>
      </c>
    </row>
    <row r="39" spans="1:11" x14ac:dyDescent="0.25">
      <c r="A39" s="5" t="s">
        <v>704</v>
      </c>
      <c r="B39" s="42">
        <f t="shared" si="0"/>
        <v>18.186</v>
      </c>
      <c r="C39" s="7" t="s">
        <v>91</v>
      </c>
      <c r="D39" s="7" t="s">
        <v>93</v>
      </c>
      <c r="F39" s="8">
        <v>18.506860000000003</v>
      </c>
      <c r="G39" s="7" t="s">
        <v>430</v>
      </c>
      <c r="H39" s="7" t="s">
        <v>428</v>
      </c>
      <c r="I39" s="6">
        <v>279.8</v>
      </c>
      <c r="J39" s="6">
        <f t="shared" si="1"/>
        <v>18186</v>
      </c>
      <c r="K39" s="6">
        <f t="shared" si="2"/>
        <v>86306.100000000035</v>
      </c>
    </row>
    <row r="40" spans="1:11" x14ac:dyDescent="0.25">
      <c r="A40" s="5" t="s">
        <v>704</v>
      </c>
      <c r="B40" s="42">
        <f t="shared" si="0"/>
        <v>18.465799999999998</v>
      </c>
      <c r="C40" s="7" t="s">
        <v>93</v>
      </c>
      <c r="D40" s="7" t="s">
        <v>95</v>
      </c>
      <c r="F40" s="8">
        <v>18.974540000000005</v>
      </c>
      <c r="G40" s="7" t="s">
        <v>428</v>
      </c>
      <c r="H40" s="7" t="s">
        <v>426</v>
      </c>
      <c r="I40" s="6">
        <v>690.2</v>
      </c>
      <c r="J40" s="6">
        <f t="shared" si="1"/>
        <v>18465.8</v>
      </c>
      <c r="K40" s="6">
        <f t="shared" si="2"/>
        <v>86026.300000000032</v>
      </c>
    </row>
    <row r="41" spans="1:11" x14ac:dyDescent="0.25">
      <c r="A41" s="5" t="s">
        <v>704</v>
      </c>
      <c r="B41" s="42">
        <f t="shared" si="0"/>
        <v>19.155999999999999</v>
      </c>
      <c r="C41" s="7" t="s">
        <v>95</v>
      </c>
      <c r="D41" s="7" t="s">
        <v>97</v>
      </c>
      <c r="F41" s="8">
        <v>19.349860000000003</v>
      </c>
      <c r="G41" s="7" t="s">
        <v>426</v>
      </c>
      <c r="H41" s="7" t="s">
        <v>424</v>
      </c>
      <c r="I41" s="6">
        <v>585</v>
      </c>
      <c r="J41" s="6">
        <f t="shared" si="1"/>
        <v>19156</v>
      </c>
      <c r="K41" s="6">
        <f t="shared" si="2"/>
        <v>85336.100000000035</v>
      </c>
    </row>
    <row r="42" spans="1:11" x14ac:dyDescent="0.25">
      <c r="A42" s="5" t="s">
        <v>704</v>
      </c>
      <c r="B42" s="42">
        <f t="shared" si="0"/>
        <v>19.741</v>
      </c>
      <c r="C42" s="7" t="s">
        <v>97</v>
      </c>
      <c r="D42" s="7" t="s">
        <v>99</v>
      </c>
      <c r="F42" s="8">
        <v>20.151360000000004</v>
      </c>
      <c r="G42" s="7" t="s">
        <v>424</v>
      </c>
      <c r="H42" s="7" t="s">
        <v>422</v>
      </c>
      <c r="I42" s="6">
        <v>440</v>
      </c>
      <c r="J42" s="6">
        <f t="shared" si="1"/>
        <v>19741</v>
      </c>
      <c r="K42" s="6">
        <f t="shared" si="2"/>
        <v>84751.100000000035</v>
      </c>
    </row>
    <row r="43" spans="1:11" x14ac:dyDescent="0.25">
      <c r="A43" s="5" t="s">
        <v>704</v>
      </c>
      <c r="B43" s="42">
        <f t="shared" si="0"/>
        <v>20.181000000000001</v>
      </c>
      <c r="C43" s="7" t="s">
        <v>99</v>
      </c>
      <c r="D43" s="7" t="s">
        <v>101</v>
      </c>
      <c r="F43" s="8">
        <v>20.618860000000005</v>
      </c>
      <c r="G43" s="7" t="s">
        <v>422</v>
      </c>
      <c r="H43" s="7" t="s">
        <v>420</v>
      </c>
      <c r="I43" s="6">
        <v>580</v>
      </c>
      <c r="J43" s="6">
        <f t="shared" si="1"/>
        <v>20181</v>
      </c>
      <c r="K43" s="6">
        <f t="shared" si="2"/>
        <v>84311.100000000035</v>
      </c>
    </row>
    <row r="44" spans="1:11" x14ac:dyDescent="0.25">
      <c r="A44" s="5" t="s">
        <v>704</v>
      </c>
      <c r="B44" s="42">
        <f t="shared" si="0"/>
        <v>20.760999999999999</v>
      </c>
      <c r="C44" s="7" t="s">
        <v>101</v>
      </c>
      <c r="D44" s="7" t="s">
        <v>103</v>
      </c>
      <c r="F44" s="8">
        <v>21.235360000000004</v>
      </c>
      <c r="G44" s="7" t="s">
        <v>420</v>
      </c>
      <c r="H44" s="7" t="s">
        <v>418</v>
      </c>
      <c r="I44" s="6">
        <v>320</v>
      </c>
      <c r="J44" s="6">
        <f t="shared" si="1"/>
        <v>20761</v>
      </c>
      <c r="K44" s="6">
        <f t="shared" si="2"/>
        <v>83731.100000000035</v>
      </c>
    </row>
    <row r="45" spans="1:11" x14ac:dyDescent="0.25">
      <c r="A45" s="5" t="s">
        <v>704</v>
      </c>
      <c r="B45" s="42">
        <f t="shared" si="0"/>
        <v>21.081</v>
      </c>
      <c r="C45" s="7" t="s">
        <v>103</v>
      </c>
      <c r="D45" s="7" t="s">
        <v>105</v>
      </c>
      <c r="F45" s="8">
        <v>21.868400000000005</v>
      </c>
      <c r="G45" s="7" t="s">
        <v>418</v>
      </c>
      <c r="H45" s="7" t="s">
        <v>416</v>
      </c>
      <c r="I45" s="6">
        <v>596</v>
      </c>
      <c r="J45" s="6">
        <f t="shared" si="1"/>
        <v>21081</v>
      </c>
      <c r="K45" s="6">
        <f t="shared" si="2"/>
        <v>83411.100000000035</v>
      </c>
    </row>
    <row r="46" spans="1:11" x14ac:dyDescent="0.25">
      <c r="A46" s="5" t="s">
        <v>704</v>
      </c>
      <c r="B46" s="42">
        <f t="shared" si="0"/>
        <v>21.677</v>
      </c>
      <c r="C46" s="7" t="s">
        <v>105</v>
      </c>
      <c r="D46" s="7" t="s">
        <v>107</v>
      </c>
      <c r="F46" s="8">
        <v>22.447960000000005</v>
      </c>
      <c r="G46" s="7" t="s">
        <v>416</v>
      </c>
      <c r="H46" s="7" t="s">
        <v>414</v>
      </c>
      <c r="I46" s="6">
        <v>638</v>
      </c>
      <c r="J46" s="6">
        <f t="shared" si="1"/>
        <v>21677</v>
      </c>
      <c r="K46" s="6">
        <f t="shared" si="2"/>
        <v>82815.100000000035</v>
      </c>
    </row>
    <row r="47" spans="1:11" x14ac:dyDescent="0.25">
      <c r="A47" s="5" t="s">
        <v>704</v>
      </c>
      <c r="B47" s="42">
        <f t="shared" si="0"/>
        <v>22.315000000000001</v>
      </c>
      <c r="C47" s="7" t="s">
        <v>107</v>
      </c>
      <c r="D47" s="7" t="s">
        <v>109</v>
      </c>
      <c r="F47" s="8">
        <v>22.784860000000009</v>
      </c>
      <c r="G47" s="7" t="s">
        <v>414</v>
      </c>
      <c r="H47" s="7" t="s">
        <v>412</v>
      </c>
      <c r="I47" s="6">
        <v>658</v>
      </c>
      <c r="J47" s="6">
        <f t="shared" si="1"/>
        <v>22315</v>
      </c>
      <c r="K47" s="6">
        <f t="shared" si="2"/>
        <v>82177.100000000035</v>
      </c>
    </row>
    <row r="48" spans="1:11" x14ac:dyDescent="0.25">
      <c r="A48" s="5" t="s">
        <v>704</v>
      </c>
      <c r="B48" s="42">
        <f t="shared" si="0"/>
        <v>22.972999999999999</v>
      </c>
      <c r="C48" s="7" t="s">
        <v>109</v>
      </c>
      <c r="D48" s="7" t="s">
        <v>111</v>
      </c>
      <c r="F48" s="8">
        <v>23.449860000000008</v>
      </c>
      <c r="G48" s="7" t="s">
        <v>412</v>
      </c>
      <c r="H48" s="7" t="s">
        <v>410</v>
      </c>
      <c r="I48" s="6">
        <v>501</v>
      </c>
      <c r="J48" s="6">
        <f t="shared" si="1"/>
        <v>22973</v>
      </c>
      <c r="K48" s="6">
        <f t="shared" si="2"/>
        <v>81519.100000000035</v>
      </c>
    </row>
    <row r="49" spans="1:11" x14ac:dyDescent="0.25">
      <c r="A49" s="5" t="s">
        <v>704</v>
      </c>
      <c r="B49" s="42">
        <f t="shared" si="0"/>
        <v>23.474</v>
      </c>
      <c r="C49" s="7" t="s">
        <v>111</v>
      </c>
      <c r="D49" s="7" t="s">
        <v>113</v>
      </c>
      <c r="F49" s="8">
        <v>24.054860000000009</v>
      </c>
      <c r="G49" s="7" t="s">
        <v>410</v>
      </c>
      <c r="H49" s="7" t="s">
        <v>408</v>
      </c>
      <c r="I49" s="6">
        <v>580.99</v>
      </c>
      <c r="J49" s="6">
        <f t="shared" si="1"/>
        <v>23474</v>
      </c>
      <c r="K49" s="6">
        <f t="shared" si="2"/>
        <v>81018.100000000035</v>
      </c>
    </row>
    <row r="50" spans="1:11" x14ac:dyDescent="0.25">
      <c r="A50" s="5" t="s">
        <v>704</v>
      </c>
      <c r="B50" s="42">
        <f t="shared" si="0"/>
        <v>24.05499</v>
      </c>
      <c r="C50" s="7" t="s">
        <v>113</v>
      </c>
      <c r="D50" s="7" t="s">
        <v>115</v>
      </c>
      <c r="F50" s="8">
        <v>24.617860000000007</v>
      </c>
      <c r="G50" s="7" t="s">
        <v>408</v>
      </c>
      <c r="H50" s="7" t="s">
        <v>406</v>
      </c>
      <c r="I50" s="6">
        <v>239.14</v>
      </c>
      <c r="J50" s="6">
        <f t="shared" si="1"/>
        <v>24054.99</v>
      </c>
      <c r="K50" s="6">
        <f t="shared" si="2"/>
        <v>80437.11000000003</v>
      </c>
    </row>
    <row r="51" spans="1:11" x14ac:dyDescent="0.25">
      <c r="A51" s="5" t="s">
        <v>704</v>
      </c>
      <c r="B51" s="42">
        <f t="shared" si="0"/>
        <v>24.294130000000003</v>
      </c>
      <c r="C51" s="7" t="s">
        <v>115</v>
      </c>
      <c r="D51" s="7" t="s">
        <v>18</v>
      </c>
      <c r="F51" s="8">
        <v>25.241860000000006</v>
      </c>
      <c r="G51" s="7" t="s">
        <v>406</v>
      </c>
      <c r="H51" s="7" t="s">
        <v>404</v>
      </c>
      <c r="I51" s="6">
        <v>730.87</v>
      </c>
      <c r="J51" s="6">
        <f t="shared" si="1"/>
        <v>24294.13</v>
      </c>
      <c r="K51" s="6">
        <f t="shared" si="2"/>
        <v>80197.97000000003</v>
      </c>
    </row>
    <row r="52" spans="1:11" x14ac:dyDescent="0.25">
      <c r="A52" s="5" t="s">
        <v>704</v>
      </c>
      <c r="B52" s="42">
        <f t="shared" si="0"/>
        <v>25.024999999999999</v>
      </c>
      <c r="C52" s="7" t="s">
        <v>18</v>
      </c>
      <c r="D52" s="7" t="s">
        <v>19</v>
      </c>
      <c r="F52" s="8">
        <v>25.914860000000008</v>
      </c>
      <c r="G52" s="7" t="s">
        <v>404</v>
      </c>
      <c r="H52" s="7" t="s">
        <v>402</v>
      </c>
      <c r="I52" s="6">
        <v>564.42999999999995</v>
      </c>
      <c r="J52" s="6">
        <f t="shared" si="1"/>
        <v>25025</v>
      </c>
      <c r="K52" s="6">
        <f t="shared" si="2"/>
        <v>79467.100000000035</v>
      </c>
    </row>
    <row r="53" spans="1:11" x14ac:dyDescent="0.25">
      <c r="A53" s="5" t="s">
        <v>704</v>
      </c>
      <c r="B53" s="42">
        <f t="shared" si="0"/>
        <v>25.58943</v>
      </c>
      <c r="C53" s="7" t="s">
        <v>19</v>
      </c>
      <c r="D53" s="7" t="s">
        <v>119</v>
      </c>
      <c r="F53" s="8">
        <v>26.132860000000008</v>
      </c>
      <c r="G53" s="7" t="s">
        <v>402</v>
      </c>
      <c r="H53" s="7" t="s">
        <v>400</v>
      </c>
      <c r="I53" s="6">
        <v>581.57000000000005</v>
      </c>
      <c r="J53" s="6">
        <f t="shared" si="1"/>
        <v>25589.43</v>
      </c>
      <c r="K53" s="6">
        <f t="shared" si="2"/>
        <v>78902.670000000042</v>
      </c>
    </row>
    <row r="54" spans="1:11" x14ac:dyDescent="0.25">
      <c r="A54" s="5" t="s">
        <v>704</v>
      </c>
      <c r="B54" s="42">
        <f t="shared" si="0"/>
        <v>26.170999999999999</v>
      </c>
      <c r="C54" s="7" t="s">
        <v>119</v>
      </c>
      <c r="D54" s="7" t="s">
        <v>121</v>
      </c>
      <c r="F54" s="8">
        <v>26.844750000000008</v>
      </c>
      <c r="G54" s="7" t="s">
        <v>400</v>
      </c>
      <c r="H54" s="7" t="s">
        <v>398</v>
      </c>
      <c r="I54" s="6">
        <v>634</v>
      </c>
      <c r="J54" s="6">
        <f t="shared" si="1"/>
        <v>26171</v>
      </c>
      <c r="K54" s="6">
        <f t="shared" si="2"/>
        <v>78321.100000000035</v>
      </c>
    </row>
    <row r="55" spans="1:11" x14ac:dyDescent="0.25">
      <c r="A55" s="5" t="s">
        <v>704</v>
      </c>
      <c r="B55" s="42">
        <f t="shared" si="0"/>
        <v>26.805</v>
      </c>
      <c r="C55" s="7" t="s">
        <v>121</v>
      </c>
      <c r="D55" s="7" t="s">
        <v>123</v>
      </c>
      <c r="F55" s="8">
        <v>27.854750000000006</v>
      </c>
      <c r="G55" s="7" t="s">
        <v>398</v>
      </c>
      <c r="H55" s="7" t="s">
        <v>396</v>
      </c>
      <c r="I55" s="6">
        <v>490.1</v>
      </c>
      <c r="J55" s="6">
        <f t="shared" si="1"/>
        <v>26805</v>
      </c>
      <c r="K55" s="6">
        <f t="shared" si="2"/>
        <v>77687.100000000035</v>
      </c>
    </row>
    <row r="56" spans="1:11" x14ac:dyDescent="0.25">
      <c r="A56" s="5" t="s">
        <v>704</v>
      </c>
      <c r="B56" s="42">
        <f t="shared" si="0"/>
        <v>27.295099999999998</v>
      </c>
      <c r="C56" s="7" t="s">
        <v>123</v>
      </c>
      <c r="D56" s="7" t="s">
        <v>125</v>
      </c>
      <c r="F56" s="8">
        <v>28.127860000000009</v>
      </c>
      <c r="G56" s="7" t="s">
        <v>396</v>
      </c>
      <c r="H56" s="7" t="s">
        <v>394</v>
      </c>
      <c r="I56" s="6">
        <v>564.9</v>
      </c>
      <c r="J56" s="6">
        <f t="shared" si="1"/>
        <v>27295.1</v>
      </c>
      <c r="K56" s="6">
        <f t="shared" si="2"/>
        <v>77197.000000000029</v>
      </c>
    </row>
    <row r="57" spans="1:11" x14ac:dyDescent="0.25">
      <c r="A57" s="5" t="s">
        <v>704</v>
      </c>
      <c r="B57" s="42">
        <f t="shared" si="0"/>
        <v>27.86</v>
      </c>
      <c r="C57" s="7" t="s">
        <v>125</v>
      </c>
      <c r="D57" s="7" t="s">
        <v>127</v>
      </c>
      <c r="F57" s="8">
        <v>28.577370000000005</v>
      </c>
      <c r="G57" s="7" t="s">
        <v>394</v>
      </c>
      <c r="H57" s="7" t="s">
        <v>392</v>
      </c>
      <c r="I57" s="6">
        <v>516</v>
      </c>
      <c r="J57" s="6">
        <f t="shared" si="1"/>
        <v>27860</v>
      </c>
      <c r="K57" s="6">
        <f t="shared" si="2"/>
        <v>76632.100000000035</v>
      </c>
    </row>
    <row r="58" spans="1:11" x14ac:dyDescent="0.25">
      <c r="A58" s="5" t="s">
        <v>704</v>
      </c>
      <c r="B58" s="42">
        <f t="shared" si="0"/>
        <v>28.376000000000001</v>
      </c>
      <c r="C58" s="7" t="s">
        <v>127</v>
      </c>
      <c r="D58" s="7" t="s">
        <v>129</v>
      </c>
      <c r="F58" s="8">
        <v>28.680860000000006</v>
      </c>
      <c r="G58" s="7" t="s">
        <v>392</v>
      </c>
      <c r="H58" s="7" t="s">
        <v>390</v>
      </c>
      <c r="I58" s="6">
        <v>445.85</v>
      </c>
      <c r="J58" s="6">
        <f t="shared" si="1"/>
        <v>28376</v>
      </c>
      <c r="K58" s="6">
        <f t="shared" si="2"/>
        <v>76116.100000000035</v>
      </c>
    </row>
    <row r="59" spans="1:11" x14ac:dyDescent="0.25">
      <c r="A59" s="5" t="s">
        <v>704</v>
      </c>
      <c r="B59" s="42">
        <f t="shared" si="0"/>
        <v>28.821849999999998</v>
      </c>
      <c r="C59" s="7" t="s">
        <v>129</v>
      </c>
      <c r="D59" s="7" t="s">
        <v>131</v>
      </c>
      <c r="F59" s="8">
        <v>29.068860000000008</v>
      </c>
      <c r="G59" s="7" t="s">
        <v>390</v>
      </c>
      <c r="H59" s="7" t="s">
        <v>388</v>
      </c>
      <c r="I59" s="6">
        <v>518.15</v>
      </c>
      <c r="J59" s="6">
        <f t="shared" si="1"/>
        <v>28821.85</v>
      </c>
      <c r="K59" s="6">
        <f t="shared" si="2"/>
        <v>75670.250000000029</v>
      </c>
    </row>
    <row r="60" spans="1:11" x14ac:dyDescent="0.25">
      <c r="A60" s="5" t="s">
        <v>704</v>
      </c>
      <c r="B60" s="42">
        <f t="shared" si="0"/>
        <v>29.34</v>
      </c>
      <c r="C60" s="7" t="s">
        <v>131</v>
      </c>
      <c r="D60" s="7" t="s">
        <v>133</v>
      </c>
      <c r="F60" s="8">
        <v>29.611920000000008</v>
      </c>
      <c r="G60" s="7" t="s">
        <v>388</v>
      </c>
      <c r="H60" s="7" t="s">
        <v>386</v>
      </c>
      <c r="I60" s="6">
        <v>514.99</v>
      </c>
      <c r="J60" s="6">
        <f t="shared" si="1"/>
        <v>29340</v>
      </c>
      <c r="K60" s="6">
        <f t="shared" si="2"/>
        <v>75152.100000000035</v>
      </c>
    </row>
    <row r="61" spans="1:11" x14ac:dyDescent="0.25">
      <c r="A61" s="5" t="s">
        <v>704</v>
      </c>
      <c r="B61" s="42">
        <f t="shared" si="0"/>
        <v>29.854990000000001</v>
      </c>
      <c r="C61" s="7" t="s">
        <v>133</v>
      </c>
      <c r="D61" s="7" t="s">
        <v>135</v>
      </c>
      <c r="F61" s="8">
        <v>30.366860000000006</v>
      </c>
      <c r="G61" s="7" t="s">
        <v>386</v>
      </c>
      <c r="H61" s="7" t="s">
        <v>384</v>
      </c>
      <c r="I61" s="6">
        <v>473.66</v>
      </c>
      <c r="J61" s="6">
        <f t="shared" si="1"/>
        <v>29854.99</v>
      </c>
      <c r="K61" s="6">
        <f t="shared" si="2"/>
        <v>74637.11000000003</v>
      </c>
    </row>
    <row r="62" spans="1:11" x14ac:dyDescent="0.25">
      <c r="A62" s="5" t="s">
        <v>704</v>
      </c>
      <c r="B62" s="42">
        <f t="shared" si="0"/>
        <v>30.328650000000003</v>
      </c>
      <c r="C62" s="7" t="s">
        <v>135</v>
      </c>
      <c r="D62" s="7" t="s">
        <v>137</v>
      </c>
      <c r="F62" s="8">
        <v>30.905860000000008</v>
      </c>
      <c r="G62" s="7" t="s">
        <v>384</v>
      </c>
      <c r="H62" s="7" t="s">
        <v>382</v>
      </c>
      <c r="I62" s="6">
        <v>193.35</v>
      </c>
      <c r="J62" s="6">
        <f t="shared" si="1"/>
        <v>30328.65</v>
      </c>
      <c r="K62" s="6">
        <f t="shared" si="2"/>
        <v>74163.450000000026</v>
      </c>
    </row>
    <row r="63" spans="1:11" x14ac:dyDescent="0.25">
      <c r="A63" s="5" t="s">
        <v>704</v>
      </c>
      <c r="B63" s="42">
        <f t="shared" si="0"/>
        <v>30.521999999999998</v>
      </c>
      <c r="C63" s="7" t="s">
        <v>137</v>
      </c>
      <c r="D63" s="7" t="s">
        <v>139</v>
      </c>
      <c r="F63" s="8">
        <v>31.491740000000007</v>
      </c>
      <c r="G63" s="7" t="s">
        <v>382</v>
      </c>
      <c r="H63" s="7" t="s">
        <v>380</v>
      </c>
      <c r="I63" s="6">
        <v>677</v>
      </c>
      <c r="J63" s="6">
        <f t="shared" si="1"/>
        <v>30522</v>
      </c>
      <c r="K63" s="6">
        <f t="shared" si="2"/>
        <v>73970.10000000002</v>
      </c>
    </row>
    <row r="64" spans="1:11" x14ac:dyDescent="0.25">
      <c r="A64" s="5" t="s">
        <v>704</v>
      </c>
      <c r="B64" s="42">
        <f t="shared" si="0"/>
        <v>31.199000000000002</v>
      </c>
      <c r="C64" s="7" t="s">
        <v>139</v>
      </c>
      <c r="D64" s="7" t="s">
        <v>141</v>
      </c>
      <c r="F64" s="8">
        <v>31.956900000000008</v>
      </c>
      <c r="G64" s="7" t="s">
        <v>380</v>
      </c>
      <c r="H64" s="7" t="s">
        <v>378</v>
      </c>
      <c r="I64" s="6">
        <v>609</v>
      </c>
      <c r="J64" s="6">
        <f t="shared" si="1"/>
        <v>31199</v>
      </c>
      <c r="K64" s="6">
        <f t="shared" si="2"/>
        <v>73293.10000000002</v>
      </c>
    </row>
    <row r="65" spans="1:11" x14ac:dyDescent="0.25">
      <c r="A65" s="5" t="s">
        <v>704</v>
      </c>
      <c r="B65" s="42">
        <f t="shared" si="0"/>
        <v>31.808</v>
      </c>
      <c r="C65" s="7" t="s">
        <v>141</v>
      </c>
      <c r="D65" s="7" t="s">
        <v>143</v>
      </c>
      <c r="F65" s="8">
        <v>32.419860000000007</v>
      </c>
      <c r="G65" s="7" t="s">
        <v>378</v>
      </c>
      <c r="H65" s="7" t="s">
        <v>376</v>
      </c>
      <c r="I65" s="6">
        <v>559.71</v>
      </c>
      <c r="J65" s="6">
        <f t="shared" si="1"/>
        <v>31808</v>
      </c>
      <c r="K65" s="6">
        <f t="shared" si="2"/>
        <v>72684.10000000002</v>
      </c>
    </row>
    <row r="66" spans="1:11" x14ac:dyDescent="0.25">
      <c r="A66" s="5" t="s">
        <v>704</v>
      </c>
      <c r="B66" s="42">
        <f t="shared" si="0"/>
        <v>32.367710000000002</v>
      </c>
      <c r="C66" s="7" t="s">
        <v>143</v>
      </c>
      <c r="D66" s="7" t="s">
        <v>145</v>
      </c>
      <c r="F66" s="8">
        <v>33.022860000000009</v>
      </c>
      <c r="G66" s="7" t="s">
        <v>376</v>
      </c>
      <c r="H66" s="7" t="s">
        <v>374</v>
      </c>
      <c r="I66" s="6">
        <v>557.97</v>
      </c>
      <c r="J66" s="6">
        <f t="shared" si="1"/>
        <v>32367.71</v>
      </c>
      <c r="K66" s="6">
        <f t="shared" si="2"/>
        <v>72124.390000000014</v>
      </c>
    </row>
    <row r="67" spans="1:11" x14ac:dyDescent="0.25">
      <c r="A67" s="5" t="s">
        <v>704</v>
      </c>
      <c r="B67" s="42">
        <f t="shared" ref="B67:B130" si="3">J67/1000</f>
        <v>32.92568</v>
      </c>
      <c r="C67" s="7" t="s">
        <v>145</v>
      </c>
      <c r="D67" s="7" t="s">
        <v>147</v>
      </c>
      <c r="F67" s="8">
        <v>33.710860000000011</v>
      </c>
      <c r="G67" s="7" t="s">
        <v>374</v>
      </c>
      <c r="H67" s="7" t="s">
        <v>372</v>
      </c>
      <c r="I67" s="6">
        <v>577.32000000000005</v>
      </c>
      <c r="J67" s="6">
        <f t="shared" si="1"/>
        <v>32925.68</v>
      </c>
      <c r="K67" s="6">
        <f t="shared" si="2"/>
        <v>71566.420000000013</v>
      </c>
    </row>
    <row r="68" spans="1:11" x14ac:dyDescent="0.25">
      <c r="A68" s="5" t="s">
        <v>704</v>
      </c>
      <c r="B68" s="42">
        <f t="shared" si="3"/>
        <v>33.503</v>
      </c>
      <c r="C68" s="7" t="s">
        <v>147</v>
      </c>
      <c r="D68" s="7" t="s">
        <v>149</v>
      </c>
      <c r="F68" s="8">
        <v>34.319860000000006</v>
      </c>
      <c r="G68" s="7" t="s">
        <v>372</v>
      </c>
      <c r="H68" s="7" t="s">
        <v>370</v>
      </c>
      <c r="I68" s="6">
        <v>660</v>
      </c>
      <c r="J68" s="6">
        <f t="shared" ref="J68:J131" si="4">J67+I67</f>
        <v>33503</v>
      </c>
      <c r="K68" s="6">
        <f t="shared" ref="K68:K131" si="5">K67-I67</f>
        <v>70989.100000000006</v>
      </c>
    </row>
    <row r="69" spans="1:11" x14ac:dyDescent="0.25">
      <c r="A69" s="5" t="s">
        <v>704</v>
      </c>
      <c r="B69" s="42">
        <f t="shared" si="3"/>
        <v>34.162999999999997</v>
      </c>
      <c r="C69" s="7" t="s">
        <v>149</v>
      </c>
      <c r="D69" s="7" t="s">
        <v>151</v>
      </c>
      <c r="F69" s="8">
        <v>34.889860000000006</v>
      </c>
      <c r="G69" s="7" t="s">
        <v>370</v>
      </c>
      <c r="H69" s="7" t="s">
        <v>368</v>
      </c>
      <c r="I69" s="6">
        <v>513.86</v>
      </c>
      <c r="J69" s="6">
        <f t="shared" si="4"/>
        <v>34163</v>
      </c>
      <c r="K69" s="6">
        <f t="shared" si="5"/>
        <v>70329.100000000006</v>
      </c>
    </row>
    <row r="70" spans="1:11" x14ac:dyDescent="0.25">
      <c r="A70" s="5" t="s">
        <v>704</v>
      </c>
      <c r="B70" s="42">
        <f t="shared" si="3"/>
        <v>34.676859999999998</v>
      </c>
      <c r="C70" s="7" t="s">
        <v>151</v>
      </c>
      <c r="D70" s="7" t="s">
        <v>153</v>
      </c>
      <c r="F70" s="8">
        <v>35.48152000000001</v>
      </c>
      <c r="G70" s="7" t="s">
        <v>368</v>
      </c>
      <c r="H70" s="7" t="s">
        <v>366</v>
      </c>
      <c r="I70" s="6">
        <v>752.31</v>
      </c>
      <c r="J70" s="6">
        <f t="shared" si="4"/>
        <v>34676.86</v>
      </c>
      <c r="K70" s="6">
        <f t="shared" si="5"/>
        <v>69815.240000000005</v>
      </c>
    </row>
    <row r="71" spans="1:11" x14ac:dyDescent="0.25">
      <c r="A71" s="5" t="s">
        <v>704</v>
      </c>
      <c r="B71" s="42">
        <f t="shared" si="3"/>
        <v>35.429169999999999</v>
      </c>
      <c r="C71" s="7" t="s">
        <v>153</v>
      </c>
      <c r="D71" s="7" t="s">
        <v>155</v>
      </c>
      <c r="F71" s="8">
        <v>35.867100000000015</v>
      </c>
      <c r="G71" s="7" t="s">
        <v>366</v>
      </c>
      <c r="H71" s="7" t="s">
        <v>364</v>
      </c>
      <c r="I71" s="6">
        <v>247.74</v>
      </c>
      <c r="J71" s="6">
        <f t="shared" si="4"/>
        <v>35429.17</v>
      </c>
      <c r="K71" s="6">
        <f t="shared" si="5"/>
        <v>69062.930000000008</v>
      </c>
    </row>
    <row r="72" spans="1:11" x14ac:dyDescent="0.25">
      <c r="A72" s="5" t="s">
        <v>704</v>
      </c>
      <c r="B72" s="42">
        <f t="shared" si="3"/>
        <v>35.676909999999999</v>
      </c>
      <c r="C72" s="7" t="s">
        <v>155</v>
      </c>
      <c r="D72" s="7" t="s">
        <v>157</v>
      </c>
      <c r="F72" s="8">
        <v>36.29160000000001</v>
      </c>
      <c r="G72" s="7" t="s">
        <v>364</v>
      </c>
      <c r="H72" s="7" t="s">
        <v>362</v>
      </c>
      <c r="I72" s="6">
        <v>266.18</v>
      </c>
      <c r="J72" s="6">
        <f t="shared" si="4"/>
        <v>35676.909999999996</v>
      </c>
      <c r="K72" s="6">
        <f t="shared" si="5"/>
        <v>68815.19</v>
      </c>
    </row>
    <row r="73" spans="1:11" x14ac:dyDescent="0.25">
      <c r="A73" s="5" t="s">
        <v>704</v>
      </c>
      <c r="B73" s="42">
        <f t="shared" si="3"/>
        <v>35.943089999999998</v>
      </c>
      <c r="C73" s="7" t="s">
        <v>157</v>
      </c>
      <c r="D73" s="7" t="s">
        <v>159</v>
      </c>
      <c r="F73" s="8">
        <v>36.836100000000016</v>
      </c>
      <c r="G73" s="7" t="s">
        <v>362</v>
      </c>
      <c r="H73" s="7" t="s">
        <v>360</v>
      </c>
      <c r="I73" s="6">
        <v>730.01</v>
      </c>
      <c r="J73" s="6">
        <f t="shared" si="4"/>
        <v>35943.089999999997</v>
      </c>
      <c r="K73" s="6">
        <f t="shared" si="5"/>
        <v>68549.010000000009</v>
      </c>
    </row>
    <row r="74" spans="1:11" x14ac:dyDescent="0.25">
      <c r="A74" s="5" t="s">
        <v>704</v>
      </c>
      <c r="B74" s="42">
        <f t="shared" si="3"/>
        <v>36.673099999999998</v>
      </c>
      <c r="C74" s="7" t="s">
        <v>159</v>
      </c>
      <c r="D74" s="7" t="s">
        <v>161</v>
      </c>
      <c r="F74" s="8">
        <v>37.402080000000019</v>
      </c>
      <c r="G74" s="7" t="s">
        <v>360</v>
      </c>
      <c r="H74" s="7" t="s">
        <v>358</v>
      </c>
      <c r="I74" s="6">
        <v>546.9</v>
      </c>
      <c r="J74" s="6">
        <f t="shared" si="4"/>
        <v>36673.1</v>
      </c>
      <c r="K74" s="6">
        <f t="shared" si="5"/>
        <v>67819.000000000015</v>
      </c>
    </row>
    <row r="75" spans="1:11" x14ac:dyDescent="0.25">
      <c r="A75" s="5" t="s">
        <v>704</v>
      </c>
      <c r="B75" s="42">
        <f t="shared" si="3"/>
        <v>37.22</v>
      </c>
      <c r="C75" s="7" t="s">
        <v>161</v>
      </c>
      <c r="D75" s="7" t="s">
        <v>163</v>
      </c>
      <c r="F75" s="8">
        <v>38.01071000000001</v>
      </c>
      <c r="G75" s="7" t="s">
        <v>358</v>
      </c>
      <c r="H75" s="7" t="s">
        <v>356</v>
      </c>
      <c r="I75" s="6">
        <v>473</v>
      </c>
      <c r="J75" s="6">
        <f t="shared" si="4"/>
        <v>37220</v>
      </c>
      <c r="K75" s="6">
        <f t="shared" si="5"/>
        <v>67272.10000000002</v>
      </c>
    </row>
    <row r="76" spans="1:11" x14ac:dyDescent="0.25">
      <c r="A76" s="5" t="s">
        <v>704</v>
      </c>
      <c r="B76" s="42">
        <f t="shared" si="3"/>
        <v>37.692999999999998</v>
      </c>
      <c r="C76" s="7" t="s">
        <v>163</v>
      </c>
      <c r="D76" s="7" t="s">
        <v>165</v>
      </c>
      <c r="F76" s="8">
        <v>38.330610000000014</v>
      </c>
      <c r="G76" s="7" t="s">
        <v>356</v>
      </c>
      <c r="H76" s="7" t="s">
        <v>354</v>
      </c>
      <c r="I76" s="6">
        <v>492</v>
      </c>
      <c r="J76" s="6">
        <f t="shared" si="4"/>
        <v>37693</v>
      </c>
      <c r="K76" s="6">
        <f t="shared" si="5"/>
        <v>66799.10000000002</v>
      </c>
    </row>
    <row r="77" spans="1:11" x14ac:dyDescent="0.25">
      <c r="A77" s="5" t="s">
        <v>704</v>
      </c>
      <c r="B77" s="42">
        <f t="shared" si="3"/>
        <v>38.185000000000002</v>
      </c>
      <c r="C77" s="7" t="s">
        <v>165</v>
      </c>
      <c r="D77" s="7" t="s">
        <v>167</v>
      </c>
      <c r="F77" s="8">
        <v>38.992100000000015</v>
      </c>
      <c r="G77" s="7" t="s">
        <v>354</v>
      </c>
      <c r="H77" s="7" t="s">
        <v>352</v>
      </c>
      <c r="I77" s="6">
        <v>500</v>
      </c>
      <c r="J77" s="6">
        <f t="shared" si="4"/>
        <v>38185</v>
      </c>
      <c r="K77" s="6">
        <f t="shared" si="5"/>
        <v>66307.10000000002</v>
      </c>
    </row>
    <row r="78" spans="1:11" x14ac:dyDescent="0.25">
      <c r="A78" s="5" t="s">
        <v>704</v>
      </c>
      <c r="B78" s="42">
        <f t="shared" si="3"/>
        <v>38.685000000000002</v>
      </c>
      <c r="C78" s="7" t="s">
        <v>167</v>
      </c>
      <c r="D78" s="7" t="s">
        <v>169</v>
      </c>
      <c r="F78" s="8">
        <v>39.592770000000009</v>
      </c>
      <c r="G78" s="7" t="s">
        <v>352</v>
      </c>
      <c r="H78" s="7" t="s">
        <v>350</v>
      </c>
      <c r="I78" s="6">
        <v>661</v>
      </c>
      <c r="J78" s="6">
        <f t="shared" si="4"/>
        <v>38685</v>
      </c>
      <c r="K78" s="6">
        <f t="shared" si="5"/>
        <v>65807.10000000002</v>
      </c>
    </row>
    <row r="79" spans="1:11" x14ac:dyDescent="0.25">
      <c r="A79" s="5" t="s">
        <v>704</v>
      </c>
      <c r="B79" s="42">
        <f t="shared" si="3"/>
        <v>39.345999999999997</v>
      </c>
      <c r="C79" s="7" t="s">
        <v>169</v>
      </c>
      <c r="D79" s="7" t="s">
        <v>171</v>
      </c>
      <c r="F79" s="8">
        <v>39.957100000000011</v>
      </c>
      <c r="G79" s="7" t="s">
        <v>350</v>
      </c>
      <c r="H79" s="7" t="s">
        <v>348</v>
      </c>
      <c r="I79" s="6">
        <v>585</v>
      </c>
      <c r="J79" s="6">
        <f t="shared" si="4"/>
        <v>39346</v>
      </c>
      <c r="K79" s="6">
        <f t="shared" si="5"/>
        <v>65146.10000000002</v>
      </c>
    </row>
    <row r="80" spans="1:11" x14ac:dyDescent="0.25">
      <c r="A80" s="5" t="s">
        <v>704</v>
      </c>
      <c r="B80" s="42">
        <f t="shared" si="3"/>
        <v>39.930999999999997</v>
      </c>
      <c r="C80" s="7" t="s">
        <v>171</v>
      </c>
      <c r="D80" s="7" t="s">
        <v>173</v>
      </c>
      <c r="F80" s="8">
        <v>40.412100000000017</v>
      </c>
      <c r="G80" s="7" t="s">
        <v>348</v>
      </c>
      <c r="H80" s="7" t="s">
        <v>346</v>
      </c>
      <c r="I80" s="6">
        <v>320</v>
      </c>
      <c r="J80" s="6">
        <f t="shared" si="4"/>
        <v>39931</v>
      </c>
      <c r="K80" s="6">
        <f t="shared" si="5"/>
        <v>64561.10000000002</v>
      </c>
    </row>
    <row r="81" spans="1:11" x14ac:dyDescent="0.25">
      <c r="A81" s="5" t="s">
        <v>704</v>
      </c>
      <c r="B81" s="42">
        <f t="shared" si="3"/>
        <v>40.250999999999998</v>
      </c>
      <c r="C81" s="7" t="s">
        <v>173</v>
      </c>
      <c r="D81" s="7" t="s">
        <v>175</v>
      </c>
      <c r="F81" s="8">
        <v>40.937100000000015</v>
      </c>
      <c r="G81" s="7" t="s">
        <v>346</v>
      </c>
      <c r="H81" s="7" t="s">
        <v>344</v>
      </c>
      <c r="I81" s="6">
        <v>461</v>
      </c>
      <c r="J81" s="6">
        <f t="shared" si="4"/>
        <v>40251</v>
      </c>
      <c r="K81" s="6">
        <f t="shared" si="5"/>
        <v>64241.10000000002</v>
      </c>
    </row>
    <row r="82" spans="1:11" x14ac:dyDescent="0.25">
      <c r="A82" s="5" t="s">
        <v>704</v>
      </c>
      <c r="B82" s="42">
        <f t="shared" si="3"/>
        <v>40.712000000000003</v>
      </c>
      <c r="C82" s="7" t="s">
        <v>175</v>
      </c>
      <c r="D82" s="7" t="s">
        <v>177</v>
      </c>
      <c r="F82" s="8">
        <v>41.675100000000015</v>
      </c>
      <c r="G82" s="7" t="s">
        <v>344</v>
      </c>
      <c r="H82" s="7" t="s">
        <v>342</v>
      </c>
      <c r="I82" s="6">
        <v>484</v>
      </c>
      <c r="J82" s="6">
        <f t="shared" si="4"/>
        <v>40712</v>
      </c>
      <c r="K82" s="6">
        <f t="shared" si="5"/>
        <v>63780.10000000002</v>
      </c>
    </row>
    <row r="83" spans="1:11" x14ac:dyDescent="0.25">
      <c r="A83" s="5" t="s">
        <v>704</v>
      </c>
      <c r="B83" s="42">
        <f t="shared" si="3"/>
        <v>41.195999999999998</v>
      </c>
      <c r="C83" s="7" t="s">
        <v>177</v>
      </c>
      <c r="D83" s="7" t="s">
        <v>179</v>
      </c>
      <c r="F83" s="8">
        <v>41.934350000000016</v>
      </c>
      <c r="G83" s="7" t="s">
        <v>342</v>
      </c>
      <c r="H83" s="7" t="s">
        <v>340</v>
      </c>
      <c r="I83" s="6">
        <v>684</v>
      </c>
      <c r="J83" s="6">
        <f t="shared" si="4"/>
        <v>41196</v>
      </c>
      <c r="K83" s="6">
        <f t="shared" si="5"/>
        <v>63296.10000000002</v>
      </c>
    </row>
    <row r="84" spans="1:11" x14ac:dyDescent="0.25">
      <c r="A84" s="5" t="s">
        <v>704</v>
      </c>
      <c r="B84" s="42">
        <f t="shared" si="3"/>
        <v>41.88</v>
      </c>
      <c r="C84" s="7" t="s">
        <v>179</v>
      </c>
      <c r="D84" s="7" t="s">
        <v>181</v>
      </c>
      <c r="F84" s="8">
        <v>42.454100000000011</v>
      </c>
      <c r="G84" s="7" t="s">
        <v>340</v>
      </c>
      <c r="H84" s="7" t="s">
        <v>338</v>
      </c>
      <c r="I84" s="6">
        <v>607.95000000000005</v>
      </c>
      <c r="J84" s="6">
        <f t="shared" si="4"/>
        <v>41880</v>
      </c>
      <c r="K84" s="6">
        <f t="shared" si="5"/>
        <v>62612.10000000002</v>
      </c>
    </row>
    <row r="85" spans="1:11" x14ac:dyDescent="0.25">
      <c r="A85" s="5" t="s">
        <v>704</v>
      </c>
      <c r="B85" s="42">
        <f t="shared" si="3"/>
        <v>42.487949999999998</v>
      </c>
      <c r="C85" s="7" t="s">
        <v>181</v>
      </c>
      <c r="D85" s="7" t="s">
        <v>183</v>
      </c>
      <c r="F85" s="8">
        <v>43.116860000000017</v>
      </c>
      <c r="G85" s="7" t="s">
        <v>338</v>
      </c>
      <c r="H85" s="7" t="s">
        <v>336</v>
      </c>
      <c r="I85" s="6">
        <v>643.04999999999995</v>
      </c>
      <c r="J85" s="6">
        <f t="shared" si="4"/>
        <v>42487.95</v>
      </c>
      <c r="K85" s="6">
        <f t="shared" si="5"/>
        <v>62004.150000000023</v>
      </c>
    </row>
    <row r="86" spans="1:11" x14ac:dyDescent="0.25">
      <c r="A86" s="5" t="s">
        <v>704</v>
      </c>
      <c r="B86" s="42">
        <f t="shared" si="3"/>
        <v>43.131</v>
      </c>
      <c r="C86" s="7" t="s">
        <v>183</v>
      </c>
      <c r="D86" s="7" t="s">
        <v>272</v>
      </c>
      <c r="F86" s="8">
        <v>43.75010000000001</v>
      </c>
      <c r="G86" s="7" t="s">
        <v>336</v>
      </c>
      <c r="H86" s="7" t="s">
        <v>334</v>
      </c>
      <c r="I86" s="6">
        <v>564</v>
      </c>
      <c r="J86" s="6">
        <f t="shared" si="4"/>
        <v>43131</v>
      </c>
      <c r="K86" s="6">
        <f t="shared" si="5"/>
        <v>61361.10000000002</v>
      </c>
    </row>
    <row r="87" spans="1:11" x14ac:dyDescent="0.25">
      <c r="A87" s="5" t="s">
        <v>704</v>
      </c>
      <c r="B87" s="42">
        <f t="shared" si="3"/>
        <v>43.695</v>
      </c>
      <c r="C87" s="7" t="s">
        <v>272</v>
      </c>
      <c r="D87" s="7" t="s">
        <v>274</v>
      </c>
      <c r="F87" s="8">
        <v>44.390060000000013</v>
      </c>
      <c r="G87" s="7" t="s">
        <v>334</v>
      </c>
      <c r="H87" s="7" t="s">
        <v>332</v>
      </c>
      <c r="I87" s="6">
        <v>411.29</v>
      </c>
      <c r="J87" s="6">
        <f t="shared" si="4"/>
        <v>43695</v>
      </c>
      <c r="K87" s="6">
        <f t="shared" si="5"/>
        <v>60797.10000000002</v>
      </c>
    </row>
    <row r="88" spans="1:11" x14ac:dyDescent="0.25">
      <c r="A88" s="5" t="s">
        <v>704</v>
      </c>
      <c r="B88" s="42">
        <f t="shared" si="3"/>
        <v>44.106290000000001</v>
      </c>
      <c r="C88" s="7" t="s">
        <v>274</v>
      </c>
      <c r="D88" s="7" t="s">
        <v>276</v>
      </c>
      <c r="F88" s="8">
        <v>45.027100000000011</v>
      </c>
      <c r="G88" s="7" t="s">
        <v>332</v>
      </c>
      <c r="H88" s="7" t="s">
        <v>330</v>
      </c>
      <c r="I88" s="6">
        <v>475.71</v>
      </c>
      <c r="J88" s="6">
        <f t="shared" si="4"/>
        <v>44106.29</v>
      </c>
      <c r="K88" s="6">
        <f t="shared" si="5"/>
        <v>60385.810000000019</v>
      </c>
    </row>
    <row r="89" spans="1:11" x14ac:dyDescent="0.25">
      <c r="A89" s="5" t="s">
        <v>704</v>
      </c>
      <c r="B89" s="42">
        <f t="shared" si="3"/>
        <v>44.582000000000001</v>
      </c>
      <c r="C89" s="7" t="s">
        <v>276</v>
      </c>
      <c r="D89" s="7" t="s">
        <v>278</v>
      </c>
      <c r="F89" s="8">
        <v>45.68310000000001</v>
      </c>
      <c r="G89" s="7" t="s">
        <v>330</v>
      </c>
      <c r="H89" s="7" t="s">
        <v>328</v>
      </c>
      <c r="I89" s="6">
        <v>554</v>
      </c>
      <c r="J89" s="6">
        <f t="shared" si="4"/>
        <v>44582</v>
      </c>
      <c r="K89" s="6">
        <f t="shared" si="5"/>
        <v>59910.10000000002</v>
      </c>
    </row>
    <row r="90" spans="1:11" x14ac:dyDescent="0.25">
      <c r="A90" s="5" t="s">
        <v>704</v>
      </c>
      <c r="B90" s="42">
        <f t="shared" si="3"/>
        <v>45.136000000000003</v>
      </c>
      <c r="C90" s="7" t="s">
        <v>278</v>
      </c>
      <c r="D90" s="7" t="s">
        <v>280</v>
      </c>
      <c r="F90" s="8">
        <v>46.306680000000014</v>
      </c>
      <c r="G90" s="7" t="s">
        <v>328</v>
      </c>
      <c r="H90" s="7" t="s">
        <v>326</v>
      </c>
      <c r="I90" s="6">
        <v>442</v>
      </c>
      <c r="J90" s="6">
        <f t="shared" si="4"/>
        <v>45136</v>
      </c>
      <c r="K90" s="6">
        <f t="shared" si="5"/>
        <v>59356.10000000002</v>
      </c>
    </row>
    <row r="91" spans="1:11" x14ac:dyDescent="0.25">
      <c r="A91" s="5" t="s">
        <v>704</v>
      </c>
      <c r="B91" s="42">
        <f t="shared" si="3"/>
        <v>45.578000000000003</v>
      </c>
      <c r="C91" s="7" t="s">
        <v>280</v>
      </c>
      <c r="D91" s="7" t="s">
        <v>282</v>
      </c>
      <c r="F91" s="8">
        <v>46.920100000000012</v>
      </c>
      <c r="G91" s="7" t="s">
        <v>326</v>
      </c>
      <c r="H91" s="7" t="s">
        <v>324</v>
      </c>
      <c r="I91" s="6">
        <v>446.14</v>
      </c>
      <c r="J91" s="6">
        <f t="shared" si="4"/>
        <v>45578</v>
      </c>
      <c r="K91" s="6">
        <f t="shared" si="5"/>
        <v>58914.10000000002</v>
      </c>
    </row>
    <row r="92" spans="1:11" x14ac:dyDescent="0.25">
      <c r="A92" s="5" t="s">
        <v>704</v>
      </c>
      <c r="B92" s="42">
        <f t="shared" si="3"/>
        <v>46.024140000000003</v>
      </c>
      <c r="C92" s="7" t="s">
        <v>282</v>
      </c>
      <c r="D92" s="7" t="s">
        <v>284</v>
      </c>
      <c r="F92" s="8">
        <v>47.481100000000012</v>
      </c>
      <c r="G92" s="7" t="s">
        <v>324</v>
      </c>
      <c r="H92" s="7" t="s">
        <v>322</v>
      </c>
      <c r="I92" s="6">
        <v>576.53</v>
      </c>
      <c r="J92" s="6">
        <f t="shared" si="4"/>
        <v>46024.14</v>
      </c>
      <c r="K92" s="6">
        <f t="shared" si="5"/>
        <v>58467.960000000021</v>
      </c>
    </row>
    <row r="93" spans="1:11" x14ac:dyDescent="0.25">
      <c r="A93" s="5" t="s">
        <v>704</v>
      </c>
      <c r="B93" s="42">
        <f t="shared" si="3"/>
        <v>46.600670000000001</v>
      </c>
      <c r="C93" s="7" t="s">
        <v>284</v>
      </c>
      <c r="D93" s="7" t="s">
        <v>286</v>
      </c>
      <c r="F93" s="8">
        <v>48.17110000000001</v>
      </c>
      <c r="G93" s="7" t="s">
        <v>322</v>
      </c>
      <c r="H93" s="7" t="s">
        <v>320</v>
      </c>
      <c r="I93" s="6">
        <v>415.33</v>
      </c>
      <c r="J93" s="6">
        <f t="shared" si="4"/>
        <v>46600.67</v>
      </c>
      <c r="K93" s="6">
        <f t="shared" si="5"/>
        <v>57891.430000000022</v>
      </c>
    </row>
    <row r="94" spans="1:11" x14ac:dyDescent="0.25">
      <c r="A94" s="5" t="s">
        <v>704</v>
      </c>
      <c r="B94" s="42">
        <f t="shared" si="3"/>
        <v>47.015999999999998</v>
      </c>
      <c r="C94" s="7" t="s">
        <v>286</v>
      </c>
      <c r="D94" s="7" t="s">
        <v>288</v>
      </c>
      <c r="F94" s="8">
        <v>48.758680000000012</v>
      </c>
      <c r="G94" s="7" t="s">
        <v>320</v>
      </c>
      <c r="H94" s="7" t="s">
        <v>318</v>
      </c>
      <c r="I94" s="6">
        <v>542</v>
      </c>
      <c r="J94" s="6">
        <f t="shared" si="4"/>
        <v>47016</v>
      </c>
      <c r="K94" s="6">
        <f t="shared" si="5"/>
        <v>57476.10000000002</v>
      </c>
    </row>
    <row r="95" spans="1:11" x14ac:dyDescent="0.25">
      <c r="A95" s="5" t="s">
        <v>704</v>
      </c>
      <c r="B95" s="42">
        <f t="shared" si="3"/>
        <v>47.558</v>
      </c>
      <c r="C95" s="7" t="s">
        <v>288</v>
      </c>
      <c r="D95" s="7" t="s">
        <v>290</v>
      </c>
      <c r="F95" s="8">
        <v>49.318780000000011</v>
      </c>
      <c r="G95" s="7" t="s">
        <v>318</v>
      </c>
      <c r="H95" s="7" t="s">
        <v>316</v>
      </c>
      <c r="I95" s="6">
        <v>497</v>
      </c>
      <c r="J95" s="6">
        <f t="shared" si="4"/>
        <v>47558</v>
      </c>
      <c r="K95" s="6">
        <f t="shared" si="5"/>
        <v>56934.10000000002</v>
      </c>
    </row>
    <row r="96" spans="1:11" x14ac:dyDescent="0.25">
      <c r="A96" s="5" t="s">
        <v>704</v>
      </c>
      <c r="B96" s="42">
        <f t="shared" si="3"/>
        <v>48.055</v>
      </c>
      <c r="C96" s="7" t="s">
        <v>290</v>
      </c>
      <c r="D96" s="7" t="s">
        <v>292</v>
      </c>
      <c r="F96" s="8">
        <v>49.765740000000015</v>
      </c>
      <c r="G96" s="7" t="s">
        <v>316</v>
      </c>
      <c r="H96" s="7" t="s">
        <v>314</v>
      </c>
      <c r="I96" s="6">
        <v>492.73</v>
      </c>
      <c r="J96" s="6">
        <f t="shared" si="4"/>
        <v>48055</v>
      </c>
      <c r="K96" s="6">
        <f t="shared" si="5"/>
        <v>56437.10000000002</v>
      </c>
    </row>
    <row r="97" spans="1:11" x14ac:dyDescent="0.25">
      <c r="A97" s="5" t="s">
        <v>704</v>
      </c>
      <c r="B97" s="42">
        <f t="shared" si="3"/>
        <v>48.547730000000001</v>
      </c>
      <c r="C97" s="7" t="s">
        <v>292</v>
      </c>
      <c r="D97" s="7" t="s">
        <v>294</v>
      </c>
      <c r="F97" s="8">
        <v>50.428100000000015</v>
      </c>
      <c r="G97" s="7" t="s">
        <v>314</v>
      </c>
      <c r="H97" s="7" t="s">
        <v>312</v>
      </c>
      <c r="I97" s="6">
        <v>630.27</v>
      </c>
      <c r="J97" s="6">
        <f t="shared" si="4"/>
        <v>48547.73</v>
      </c>
      <c r="K97" s="6">
        <f t="shared" si="5"/>
        <v>55944.370000000017</v>
      </c>
    </row>
    <row r="98" spans="1:11" x14ac:dyDescent="0.25">
      <c r="A98" s="5" t="s">
        <v>704</v>
      </c>
      <c r="B98" s="42">
        <f t="shared" si="3"/>
        <v>49.177999999999997</v>
      </c>
      <c r="C98" s="7" t="s">
        <v>294</v>
      </c>
      <c r="D98" s="7" t="s">
        <v>296</v>
      </c>
      <c r="F98" s="8">
        <v>50.933090000000014</v>
      </c>
      <c r="G98" s="7" t="s">
        <v>312</v>
      </c>
      <c r="H98" s="7" t="s">
        <v>310</v>
      </c>
      <c r="I98" s="6">
        <v>219.92</v>
      </c>
      <c r="J98" s="6">
        <f t="shared" si="4"/>
        <v>49178</v>
      </c>
      <c r="K98" s="6">
        <f t="shared" si="5"/>
        <v>55314.10000000002</v>
      </c>
    </row>
    <row r="99" spans="1:11" x14ac:dyDescent="0.25">
      <c r="A99" s="5" t="s">
        <v>704</v>
      </c>
      <c r="B99" s="42">
        <f t="shared" si="3"/>
        <v>49.397919999999999</v>
      </c>
      <c r="C99" s="7" t="s">
        <v>296</v>
      </c>
      <c r="D99" s="7" t="s">
        <v>298</v>
      </c>
      <c r="F99" s="8">
        <v>51.396100000000011</v>
      </c>
      <c r="G99" s="7" t="s">
        <v>310</v>
      </c>
      <c r="H99" s="7" t="s">
        <v>308</v>
      </c>
      <c r="I99" s="6">
        <v>612.08000000000004</v>
      </c>
      <c r="J99" s="6">
        <f t="shared" si="4"/>
        <v>49397.919999999998</v>
      </c>
      <c r="K99" s="6">
        <f t="shared" si="5"/>
        <v>55094.180000000022</v>
      </c>
    </row>
    <row r="100" spans="1:11" x14ac:dyDescent="0.25">
      <c r="A100" s="5" t="s">
        <v>704</v>
      </c>
      <c r="B100" s="42">
        <f t="shared" si="3"/>
        <v>50.01</v>
      </c>
      <c r="C100" s="7" t="s">
        <v>298</v>
      </c>
      <c r="D100" s="7" t="s">
        <v>300</v>
      </c>
      <c r="F100" s="8">
        <v>51.931790000000014</v>
      </c>
      <c r="G100" s="7" t="s">
        <v>308</v>
      </c>
      <c r="H100" s="7" t="s">
        <v>306</v>
      </c>
      <c r="I100" s="6">
        <v>931</v>
      </c>
      <c r="J100" s="6">
        <f t="shared" si="4"/>
        <v>50010</v>
      </c>
      <c r="K100" s="6">
        <f t="shared" si="5"/>
        <v>54482.10000000002</v>
      </c>
    </row>
    <row r="101" spans="1:11" x14ac:dyDescent="0.25">
      <c r="A101" s="5" t="s">
        <v>704</v>
      </c>
      <c r="B101" s="42">
        <f t="shared" si="3"/>
        <v>50.941000000000003</v>
      </c>
      <c r="C101" s="7" t="s">
        <v>300</v>
      </c>
      <c r="D101" s="7" t="s">
        <v>302</v>
      </c>
      <c r="F101" s="8">
        <v>52.338210000000011</v>
      </c>
      <c r="G101" s="7" t="s">
        <v>306</v>
      </c>
      <c r="H101" s="7" t="s">
        <v>304</v>
      </c>
      <c r="I101" s="6">
        <v>654.65</v>
      </c>
      <c r="J101" s="6">
        <f t="shared" si="4"/>
        <v>50941</v>
      </c>
      <c r="K101" s="6">
        <f t="shared" si="5"/>
        <v>53551.10000000002</v>
      </c>
    </row>
    <row r="102" spans="1:11" x14ac:dyDescent="0.25">
      <c r="A102" s="5" t="s">
        <v>704</v>
      </c>
      <c r="B102" s="42">
        <f t="shared" si="3"/>
        <v>51.595649999999999</v>
      </c>
      <c r="C102" s="7" t="s">
        <v>302</v>
      </c>
      <c r="D102" s="7" t="s">
        <v>304</v>
      </c>
      <c r="F102" s="8">
        <v>52.650290000000012</v>
      </c>
      <c r="G102" s="7" t="s">
        <v>304</v>
      </c>
      <c r="H102" s="7" t="s">
        <v>302</v>
      </c>
      <c r="I102" s="6">
        <v>246.16</v>
      </c>
      <c r="J102" s="6">
        <f t="shared" si="4"/>
        <v>51595.65</v>
      </c>
      <c r="K102" s="6">
        <f t="shared" si="5"/>
        <v>52896.450000000019</v>
      </c>
    </row>
    <row r="103" spans="1:11" x14ac:dyDescent="0.25">
      <c r="A103" s="5" t="s">
        <v>704</v>
      </c>
      <c r="B103" s="42">
        <f t="shared" si="3"/>
        <v>51.841810000000002</v>
      </c>
      <c r="C103" s="7" t="s">
        <v>304</v>
      </c>
      <c r="D103" s="7" t="s">
        <v>306</v>
      </c>
      <c r="F103" s="8">
        <v>52.896450000000016</v>
      </c>
      <c r="G103" s="7" t="s">
        <v>302</v>
      </c>
      <c r="H103" s="7" t="s">
        <v>300</v>
      </c>
      <c r="I103" s="6">
        <v>312.08</v>
      </c>
      <c r="J103" s="6">
        <f t="shared" si="4"/>
        <v>51841.810000000005</v>
      </c>
      <c r="K103" s="6">
        <f t="shared" si="5"/>
        <v>52650.290000000015</v>
      </c>
    </row>
    <row r="104" spans="1:11" x14ac:dyDescent="0.25">
      <c r="A104" s="5" t="s">
        <v>704</v>
      </c>
      <c r="B104" s="42">
        <f t="shared" si="3"/>
        <v>52.153890000000004</v>
      </c>
      <c r="C104" s="7" t="s">
        <v>306</v>
      </c>
      <c r="D104" s="7" t="s">
        <v>308</v>
      </c>
      <c r="F104" s="8">
        <v>53.551100000000019</v>
      </c>
      <c r="G104" s="7" t="s">
        <v>300</v>
      </c>
      <c r="H104" s="7" t="s">
        <v>298</v>
      </c>
      <c r="I104" s="6">
        <v>406.42</v>
      </c>
      <c r="J104" s="6">
        <f t="shared" si="4"/>
        <v>52153.890000000007</v>
      </c>
      <c r="K104" s="6">
        <f t="shared" si="5"/>
        <v>52338.210000000014</v>
      </c>
    </row>
    <row r="105" spans="1:11" x14ac:dyDescent="0.25">
      <c r="A105" s="5" t="s">
        <v>704</v>
      </c>
      <c r="B105" s="42">
        <f t="shared" si="3"/>
        <v>52.560310000000008</v>
      </c>
      <c r="C105" s="7" t="s">
        <v>308</v>
      </c>
      <c r="D105" s="7" t="s">
        <v>310</v>
      </c>
      <c r="F105" s="8">
        <v>54.482100000000017</v>
      </c>
      <c r="G105" s="7" t="s">
        <v>298</v>
      </c>
      <c r="H105" s="7" t="s">
        <v>296</v>
      </c>
      <c r="I105" s="6">
        <v>535.69000000000005</v>
      </c>
      <c r="J105" s="6">
        <f t="shared" si="4"/>
        <v>52560.310000000005</v>
      </c>
      <c r="K105" s="6">
        <f t="shared" si="5"/>
        <v>51931.790000000015</v>
      </c>
    </row>
    <row r="106" spans="1:11" x14ac:dyDescent="0.25">
      <c r="A106" s="5" t="s">
        <v>704</v>
      </c>
      <c r="B106" s="42">
        <f t="shared" si="3"/>
        <v>53.096000000000011</v>
      </c>
      <c r="C106" s="7" t="s">
        <v>310</v>
      </c>
      <c r="D106" s="7" t="s">
        <v>312</v>
      </c>
      <c r="F106" s="8">
        <v>55.094180000000023</v>
      </c>
      <c r="G106" s="7" t="s">
        <v>296</v>
      </c>
      <c r="H106" s="7" t="s">
        <v>294</v>
      </c>
      <c r="I106" s="6">
        <v>463.01</v>
      </c>
      <c r="J106" s="6">
        <f t="shared" si="4"/>
        <v>53096.000000000007</v>
      </c>
      <c r="K106" s="6">
        <f t="shared" si="5"/>
        <v>51396.100000000013</v>
      </c>
    </row>
    <row r="107" spans="1:11" x14ac:dyDescent="0.25">
      <c r="A107" s="5" t="s">
        <v>704</v>
      </c>
      <c r="B107" s="42">
        <f t="shared" si="3"/>
        <v>53.559010000000008</v>
      </c>
      <c r="C107" s="7" t="s">
        <v>312</v>
      </c>
      <c r="D107" s="7" t="s">
        <v>314</v>
      </c>
      <c r="F107" s="8">
        <v>55.314100000000018</v>
      </c>
      <c r="G107" s="7" t="s">
        <v>294</v>
      </c>
      <c r="H107" s="7" t="s">
        <v>292</v>
      </c>
      <c r="I107" s="6">
        <v>504.99</v>
      </c>
      <c r="J107" s="6">
        <f t="shared" si="4"/>
        <v>53559.010000000009</v>
      </c>
      <c r="K107" s="6">
        <f t="shared" si="5"/>
        <v>50933.090000000011</v>
      </c>
    </row>
    <row r="108" spans="1:11" x14ac:dyDescent="0.25">
      <c r="A108" s="5" t="s">
        <v>704</v>
      </c>
      <c r="B108" s="42">
        <f t="shared" si="3"/>
        <v>54.064000000000007</v>
      </c>
      <c r="C108" s="7" t="s">
        <v>314</v>
      </c>
      <c r="D108" s="7" t="s">
        <v>316</v>
      </c>
      <c r="F108" s="8">
        <v>55.944370000000021</v>
      </c>
      <c r="G108" s="7" t="s">
        <v>292</v>
      </c>
      <c r="H108" s="7" t="s">
        <v>290</v>
      </c>
      <c r="I108" s="6">
        <v>662.36</v>
      </c>
      <c r="J108" s="6">
        <f t="shared" si="4"/>
        <v>54064.000000000007</v>
      </c>
      <c r="K108" s="6">
        <f t="shared" si="5"/>
        <v>50428.100000000013</v>
      </c>
    </row>
    <row r="109" spans="1:11" x14ac:dyDescent="0.25">
      <c r="A109" s="5" t="s">
        <v>704</v>
      </c>
      <c r="B109" s="42">
        <f t="shared" si="3"/>
        <v>54.726360000000007</v>
      </c>
      <c r="C109" s="7" t="s">
        <v>316</v>
      </c>
      <c r="D109" s="7" t="s">
        <v>318</v>
      </c>
      <c r="F109" s="8">
        <v>56.437100000000022</v>
      </c>
      <c r="G109" s="7" t="s">
        <v>290</v>
      </c>
      <c r="H109" s="7" t="s">
        <v>288</v>
      </c>
      <c r="I109" s="6">
        <v>446.96</v>
      </c>
      <c r="J109" s="6">
        <f t="shared" si="4"/>
        <v>54726.360000000008</v>
      </c>
      <c r="K109" s="6">
        <f t="shared" si="5"/>
        <v>49765.740000000013</v>
      </c>
    </row>
    <row r="110" spans="1:11" x14ac:dyDescent="0.25">
      <c r="A110" s="5" t="s">
        <v>704</v>
      </c>
      <c r="B110" s="42">
        <f t="shared" si="3"/>
        <v>55.173320000000004</v>
      </c>
      <c r="C110" s="7" t="s">
        <v>318</v>
      </c>
      <c r="D110" s="7" t="s">
        <v>320</v>
      </c>
      <c r="F110" s="8">
        <v>56.934100000000022</v>
      </c>
      <c r="G110" s="7" t="s">
        <v>288</v>
      </c>
      <c r="H110" s="7" t="s">
        <v>286</v>
      </c>
      <c r="I110" s="6">
        <v>560.1</v>
      </c>
      <c r="J110" s="6">
        <f t="shared" si="4"/>
        <v>55173.320000000007</v>
      </c>
      <c r="K110" s="6">
        <f t="shared" si="5"/>
        <v>49318.780000000013</v>
      </c>
    </row>
    <row r="111" spans="1:11" x14ac:dyDescent="0.25">
      <c r="A111" s="5" t="s">
        <v>704</v>
      </c>
      <c r="B111" s="42">
        <f t="shared" si="3"/>
        <v>55.733420000000002</v>
      </c>
      <c r="C111" s="7" t="s">
        <v>320</v>
      </c>
      <c r="D111" s="7" t="s">
        <v>322</v>
      </c>
      <c r="F111" s="8">
        <v>57.476100000000024</v>
      </c>
      <c r="G111" s="7" t="s">
        <v>286</v>
      </c>
      <c r="H111" s="7" t="s">
        <v>284</v>
      </c>
      <c r="I111" s="6">
        <v>587.58000000000004</v>
      </c>
      <c r="J111" s="6">
        <f t="shared" si="4"/>
        <v>55733.420000000006</v>
      </c>
      <c r="K111" s="6">
        <f t="shared" si="5"/>
        <v>48758.680000000015</v>
      </c>
    </row>
    <row r="112" spans="1:11" x14ac:dyDescent="0.25">
      <c r="A112" s="5" t="s">
        <v>704</v>
      </c>
      <c r="B112" s="42">
        <f t="shared" si="3"/>
        <v>56.321000000000005</v>
      </c>
      <c r="C112" s="7" t="s">
        <v>322</v>
      </c>
      <c r="D112" s="7" t="s">
        <v>324</v>
      </c>
      <c r="F112" s="8">
        <v>57.891430000000021</v>
      </c>
      <c r="G112" s="7" t="s">
        <v>284</v>
      </c>
      <c r="H112" s="7" t="s">
        <v>282</v>
      </c>
      <c r="I112" s="6">
        <v>690</v>
      </c>
      <c r="J112" s="6">
        <f t="shared" si="4"/>
        <v>56321.000000000007</v>
      </c>
      <c r="K112" s="6">
        <f t="shared" si="5"/>
        <v>48171.100000000013</v>
      </c>
    </row>
    <row r="113" spans="1:11" x14ac:dyDescent="0.25">
      <c r="A113" s="5" t="s">
        <v>704</v>
      </c>
      <c r="B113" s="42">
        <f t="shared" si="3"/>
        <v>57.01100000000001</v>
      </c>
      <c r="C113" s="7" t="s">
        <v>324</v>
      </c>
      <c r="D113" s="7" t="s">
        <v>326</v>
      </c>
      <c r="F113" s="8">
        <v>58.467960000000019</v>
      </c>
      <c r="G113" s="7" t="s">
        <v>282</v>
      </c>
      <c r="H113" s="7" t="s">
        <v>280</v>
      </c>
      <c r="I113" s="6">
        <v>561</v>
      </c>
      <c r="J113" s="6">
        <f t="shared" si="4"/>
        <v>57011.000000000007</v>
      </c>
      <c r="K113" s="6">
        <f t="shared" si="5"/>
        <v>47481.100000000013</v>
      </c>
    </row>
    <row r="114" spans="1:11" x14ac:dyDescent="0.25">
      <c r="A114" s="5" t="s">
        <v>704</v>
      </c>
      <c r="B114" s="42">
        <f t="shared" si="3"/>
        <v>57.57200000000001</v>
      </c>
      <c r="C114" s="7" t="s">
        <v>326</v>
      </c>
      <c r="D114" s="7" t="s">
        <v>328</v>
      </c>
      <c r="F114" s="8">
        <v>58.914100000000019</v>
      </c>
      <c r="G114" s="7" t="s">
        <v>280</v>
      </c>
      <c r="H114" s="7" t="s">
        <v>278</v>
      </c>
      <c r="I114" s="6">
        <v>613.41999999999996</v>
      </c>
      <c r="J114" s="6">
        <f t="shared" si="4"/>
        <v>57572.000000000007</v>
      </c>
      <c r="K114" s="6">
        <f t="shared" si="5"/>
        <v>46920.100000000013</v>
      </c>
    </row>
    <row r="115" spans="1:11" x14ac:dyDescent="0.25">
      <c r="A115" s="5" t="s">
        <v>704</v>
      </c>
      <c r="B115" s="42">
        <f t="shared" si="3"/>
        <v>58.185420000000008</v>
      </c>
      <c r="C115" s="7" t="s">
        <v>328</v>
      </c>
      <c r="D115" s="7" t="s">
        <v>330</v>
      </c>
      <c r="F115" s="8">
        <v>59.356100000000019</v>
      </c>
      <c r="G115" s="7" t="s">
        <v>278</v>
      </c>
      <c r="H115" s="7" t="s">
        <v>276</v>
      </c>
      <c r="I115" s="6">
        <v>623.58000000000004</v>
      </c>
      <c r="J115" s="6">
        <f t="shared" si="4"/>
        <v>58185.420000000006</v>
      </c>
      <c r="K115" s="6">
        <f t="shared" si="5"/>
        <v>46306.680000000015</v>
      </c>
    </row>
    <row r="116" spans="1:11" x14ac:dyDescent="0.25">
      <c r="A116" s="5" t="s">
        <v>704</v>
      </c>
      <c r="B116" s="42">
        <f t="shared" si="3"/>
        <v>58.809000000000005</v>
      </c>
      <c r="C116" s="7" t="s">
        <v>330</v>
      </c>
      <c r="D116" s="7" t="s">
        <v>332</v>
      </c>
      <c r="F116" s="8">
        <v>59.910100000000021</v>
      </c>
      <c r="G116" s="7" t="s">
        <v>276</v>
      </c>
      <c r="H116" s="7" t="s">
        <v>274</v>
      </c>
      <c r="I116" s="6">
        <v>656</v>
      </c>
      <c r="J116" s="6">
        <f t="shared" si="4"/>
        <v>58809.000000000007</v>
      </c>
      <c r="K116" s="6">
        <f t="shared" si="5"/>
        <v>45683.100000000013</v>
      </c>
    </row>
    <row r="117" spans="1:11" x14ac:dyDescent="0.25">
      <c r="A117" s="5" t="s">
        <v>704</v>
      </c>
      <c r="B117" s="42">
        <f t="shared" si="3"/>
        <v>59.465000000000011</v>
      </c>
      <c r="C117" s="7" t="s">
        <v>332</v>
      </c>
      <c r="D117" s="7" t="s">
        <v>334</v>
      </c>
      <c r="F117" s="8">
        <v>60.385810000000021</v>
      </c>
      <c r="G117" s="7" t="s">
        <v>274</v>
      </c>
      <c r="H117" s="7" t="s">
        <v>272</v>
      </c>
      <c r="I117" s="6">
        <v>637.04</v>
      </c>
      <c r="J117" s="6">
        <f t="shared" si="4"/>
        <v>59465.000000000007</v>
      </c>
      <c r="K117" s="6">
        <f t="shared" si="5"/>
        <v>45027.100000000013</v>
      </c>
    </row>
    <row r="118" spans="1:11" x14ac:dyDescent="0.25">
      <c r="A118" s="5" t="s">
        <v>704</v>
      </c>
      <c r="B118" s="42">
        <f t="shared" si="3"/>
        <v>60.102040000000009</v>
      </c>
      <c r="C118" s="7" t="s">
        <v>334</v>
      </c>
      <c r="D118" s="7" t="s">
        <v>336</v>
      </c>
      <c r="F118" s="8">
        <v>60.797100000000022</v>
      </c>
      <c r="G118" s="7" t="s">
        <v>272</v>
      </c>
      <c r="H118" s="7" t="s">
        <v>183</v>
      </c>
      <c r="I118" s="6">
        <v>639.96</v>
      </c>
      <c r="J118" s="6">
        <f t="shared" si="4"/>
        <v>60102.040000000008</v>
      </c>
      <c r="K118" s="6">
        <f t="shared" si="5"/>
        <v>44390.060000000012</v>
      </c>
    </row>
    <row r="119" spans="1:11" x14ac:dyDescent="0.25">
      <c r="A119" s="5" t="s">
        <v>704</v>
      </c>
      <c r="B119" s="42">
        <f t="shared" si="3"/>
        <v>60.742000000000004</v>
      </c>
      <c r="C119" s="7" t="s">
        <v>336</v>
      </c>
      <c r="D119" s="7" t="s">
        <v>338</v>
      </c>
      <c r="F119" s="8">
        <v>61.361100000000022</v>
      </c>
      <c r="G119" s="7" t="s">
        <v>183</v>
      </c>
      <c r="H119" s="7" t="s">
        <v>181</v>
      </c>
      <c r="I119" s="6">
        <v>633.24</v>
      </c>
      <c r="J119" s="6">
        <f t="shared" si="4"/>
        <v>60742.000000000007</v>
      </c>
      <c r="K119" s="6">
        <f t="shared" si="5"/>
        <v>43750.100000000013</v>
      </c>
    </row>
    <row r="120" spans="1:11" x14ac:dyDescent="0.25">
      <c r="A120" s="5" t="s">
        <v>704</v>
      </c>
      <c r="B120" s="42">
        <f t="shared" si="3"/>
        <v>61.375240000000005</v>
      </c>
      <c r="C120" s="7" t="s">
        <v>338</v>
      </c>
      <c r="D120" s="7" t="s">
        <v>340</v>
      </c>
      <c r="F120" s="8">
        <v>62.004150000000024</v>
      </c>
      <c r="G120" s="7" t="s">
        <v>181</v>
      </c>
      <c r="H120" s="7" t="s">
        <v>179</v>
      </c>
      <c r="I120" s="6">
        <v>662.76</v>
      </c>
      <c r="J120" s="6">
        <f t="shared" si="4"/>
        <v>61375.240000000005</v>
      </c>
      <c r="K120" s="6">
        <f t="shared" si="5"/>
        <v>43116.860000000015</v>
      </c>
    </row>
    <row r="121" spans="1:11" x14ac:dyDescent="0.25">
      <c r="A121" s="5" t="s">
        <v>704</v>
      </c>
      <c r="B121" s="42">
        <f t="shared" si="3"/>
        <v>62.038000000000004</v>
      </c>
      <c r="C121" s="7" t="s">
        <v>340</v>
      </c>
      <c r="D121" s="7" t="s">
        <v>342</v>
      </c>
      <c r="F121" s="8">
        <v>62.612100000000019</v>
      </c>
      <c r="G121" s="7" t="s">
        <v>179</v>
      </c>
      <c r="H121" s="7" t="s">
        <v>177</v>
      </c>
      <c r="I121" s="6">
        <v>519.75</v>
      </c>
      <c r="J121" s="6">
        <f t="shared" si="4"/>
        <v>62038.000000000007</v>
      </c>
      <c r="K121" s="6">
        <f t="shared" si="5"/>
        <v>42454.100000000013</v>
      </c>
    </row>
    <row r="122" spans="1:11" x14ac:dyDescent="0.25">
      <c r="A122" s="5" t="s">
        <v>704</v>
      </c>
      <c r="B122" s="42">
        <f t="shared" si="3"/>
        <v>62.557750000000006</v>
      </c>
      <c r="C122" s="7" t="s">
        <v>342</v>
      </c>
      <c r="D122" s="7" t="s">
        <v>344</v>
      </c>
      <c r="F122" s="8">
        <v>63.296100000000017</v>
      </c>
      <c r="G122" s="7" t="s">
        <v>177</v>
      </c>
      <c r="H122" s="7" t="s">
        <v>175</v>
      </c>
      <c r="I122" s="6">
        <v>259.25</v>
      </c>
      <c r="J122" s="6">
        <f t="shared" si="4"/>
        <v>62557.750000000007</v>
      </c>
      <c r="K122" s="6">
        <f t="shared" si="5"/>
        <v>41934.350000000013</v>
      </c>
    </row>
    <row r="123" spans="1:11" x14ac:dyDescent="0.25">
      <c r="A123" s="5" t="s">
        <v>704</v>
      </c>
      <c r="B123" s="42">
        <f t="shared" si="3"/>
        <v>62.817000000000007</v>
      </c>
      <c r="C123" s="7" t="s">
        <v>344</v>
      </c>
      <c r="D123" s="7" t="s">
        <v>346</v>
      </c>
      <c r="F123" s="8">
        <v>63.780100000000019</v>
      </c>
      <c r="G123" s="7" t="s">
        <v>175</v>
      </c>
      <c r="H123" s="7" t="s">
        <v>173</v>
      </c>
      <c r="I123" s="6">
        <v>738</v>
      </c>
      <c r="J123" s="6">
        <f t="shared" si="4"/>
        <v>62817.000000000007</v>
      </c>
      <c r="K123" s="6">
        <f t="shared" si="5"/>
        <v>41675.100000000013</v>
      </c>
    </row>
    <row r="124" spans="1:11" x14ac:dyDescent="0.25">
      <c r="A124" s="5" t="s">
        <v>704</v>
      </c>
      <c r="B124" s="42">
        <f t="shared" si="3"/>
        <v>63.555000000000007</v>
      </c>
      <c r="C124" s="7" t="s">
        <v>346</v>
      </c>
      <c r="D124" s="7" t="s">
        <v>348</v>
      </c>
      <c r="F124" s="8">
        <v>64.241100000000017</v>
      </c>
      <c r="G124" s="7" t="s">
        <v>173</v>
      </c>
      <c r="H124" s="7" t="s">
        <v>171</v>
      </c>
      <c r="I124" s="6">
        <v>525</v>
      </c>
      <c r="J124" s="6">
        <f t="shared" si="4"/>
        <v>63555.000000000007</v>
      </c>
      <c r="K124" s="6">
        <f t="shared" si="5"/>
        <v>40937.100000000013</v>
      </c>
    </row>
    <row r="125" spans="1:11" x14ac:dyDescent="0.25">
      <c r="A125" s="5" t="s">
        <v>704</v>
      </c>
      <c r="B125" s="42">
        <f t="shared" si="3"/>
        <v>64.080000000000013</v>
      </c>
      <c r="C125" s="7" t="s">
        <v>348</v>
      </c>
      <c r="D125" s="7" t="s">
        <v>350</v>
      </c>
      <c r="F125" s="8">
        <v>64.561100000000025</v>
      </c>
      <c r="G125" s="7" t="s">
        <v>171</v>
      </c>
      <c r="H125" s="7" t="s">
        <v>169</v>
      </c>
      <c r="I125" s="6">
        <v>455</v>
      </c>
      <c r="J125" s="6">
        <f t="shared" si="4"/>
        <v>64080.000000000007</v>
      </c>
      <c r="K125" s="6">
        <f t="shared" si="5"/>
        <v>40412.100000000013</v>
      </c>
    </row>
    <row r="126" spans="1:11" x14ac:dyDescent="0.25">
      <c r="A126" s="5" t="s">
        <v>704</v>
      </c>
      <c r="B126" s="42">
        <f t="shared" si="3"/>
        <v>64.535000000000011</v>
      </c>
      <c r="C126" s="7" t="s">
        <v>350</v>
      </c>
      <c r="D126" s="7" t="s">
        <v>352</v>
      </c>
      <c r="F126" s="8">
        <v>65.146100000000018</v>
      </c>
      <c r="G126" s="7" t="s">
        <v>169</v>
      </c>
      <c r="H126" s="7" t="s">
        <v>167</v>
      </c>
      <c r="I126" s="6">
        <v>364.33</v>
      </c>
      <c r="J126" s="6">
        <f t="shared" si="4"/>
        <v>64535.000000000007</v>
      </c>
      <c r="K126" s="6">
        <f t="shared" si="5"/>
        <v>39957.100000000013</v>
      </c>
    </row>
    <row r="127" spans="1:11" x14ac:dyDescent="0.25">
      <c r="A127" s="5" t="s">
        <v>704</v>
      </c>
      <c r="B127" s="42">
        <f t="shared" si="3"/>
        <v>64.899330000000006</v>
      </c>
      <c r="C127" s="7" t="s">
        <v>352</v>
      </c>
      <c r="D127" s="7" t="s">
        <v>354</v>
      </c>
      <c r="F127" s="8">
        <v>65.80710000000002</v>
      </c>
      <c r="G127" s="7" t="s">
        <v>167</v>
      </c>
      <c r="H127" s="7" t="s">
        <v>165</v>
      </c>
      <c r="I127" s="6">
        <v>600.66999999999996</v>
      </c>
      <c r="J127" s="6">
        <f t="shared" si="4"/>
        <v>64899.330000000009</v>
      </c>
      <c r="K127" s="6">
        <f t="shared" si="5"/>
        <v>39592.770000000011</v>
      </c>
    </row>
    <row r="128" spans="1:11" x14ac:dyDescent="0.25">
      <c r="A128" s="5" t="s">
        <v>704</v>
      </c>
      <c r="B128" s="42">
        <f t="shared" si="3"/>
        <v>65.500000000000014</v>
      </c>
      <c r="C128" s="7" t="s">
        <v>354</v>
      </c>
      <c r="D128" s="7" t="s">
        <v>356</v>
      </c>
      <c r="F128" s="8">
        <v>66.30710000000002</v>
      </c>
      <c r="G128" s="7" t="s">
        <v>165</v>
      </c>
      <c r="H128" s="7" t="s">
        <v>163</v>
      </c>
      <c r="I128" s="6">
        <v>661.49</v>
      </c>
      <c r="J128" s="6">
        <f t="shared" si="4"/>
        <v>65500.000000000007</v>
      </c>
      <c r="K128" s="6">
        <f t="shared" si="5"/>
        <v>38992.100000000013</v>
      </c>
    </row>
    <row r="129" spans="1:11" x14ac:dyDescent="0.25">
      <c r="A129" s="5" t="s">
        <v>704</v>
      </c>
      <c r="B129" s="42">
        <f t="shared" si="3"/>
        <v>66.161490000000001</v>
      </c>
      <c r="C129" s="7" t="s">
        <v>356</v>
      </c>
      <c r="D129" s="7" t="s">
        <v>358</v>
      </c>
      <c r="F129" s="8">
        <v>66.799100000000024</v>
      </c>
      <c r="G129" s="7" t="s">
        <v>163</v>
      </c>
      <c r="H129" s="7" t="s">
        <v>161</v>
      </c>
      <c r="I129" s="6">
        <v>319.89999999999998</v>
      </c>
      <c r="J129" s="6">
        <f t="shared" si="4"/>
        <v>66161.490000000005</v>
      </c>
      <c r="K129" s="6">
        <f t="shared" si="5"/>
        <v>38330.610000000015</v>
      </c>
    </row>
    <row r="130" spans="1:11" x14ac:dyDescent="0.25">
      <c r="A130" s="5" t="s">
        <v>704</v>
      </c>
      <c r="B130" s="42">
        <f t="shared" si="3"/>
        <v>66.481390000000005</v>
      </c>
      <c r="C130" s="7" t="s">
        <v>358</v>
      </c>
      <c r="D130" s="7" t="s">
        <v>360</v>
      </c>
      <c r="F130" s="8">
        <v>67.272100000000023</v>
      </c>
      <c r="G130" s="7" t="s">
        <v>161</v>
      </c>
      <c r="H130" s="7" t="s">
        <v>159</v>
      </c>
      <c r="I130" s="6">
        <v>608.63</v>
      </c>
      <c r="J130" s="6">
        <f t="shared" si="4"/>
        <v>66481.39</v>
      </c>
      <c r="K130" s="6">
        <f t="shared" si="5"/>
        <v>38010.710000000014</v>
      </c>
    </row>
    <row r="131" spans="1:11" x14ac:dyDescent="0.25">
      <c r="A131" s="5" t="s">
        <v>704</v>
      </c>
      <c r="B131" s="42">
        <f t="shared" ref="B131:B194" si="6">J131/1000</f>
        <v>67.09002000000001</v>
      </c>
      <c r="C131" s="7" t="s">
        <v>360</v>
      </c>
      <c r="D131" s="7" t="s">
        <v>362</v>
      </c>
      <c r="F131" s="8">
        <v>67.819000000000017</v>
      </c>
      <c r="G131" s="7" t="s">
        <v>159</v>
      </c>
      <c r="H131" s="7" t="s">
        <v>157</v>
      </c>
      <c r="I131" s="6">
        <v>565.98</v>
      </c>
      <c r="J131" s="6">
        <f t="shared" si="4"/>
        <v>67090.02</v>
      </c>
      <c r="K131" s="6">
        <f t="shared" si="5"/>
        <v>37402.080000000016</v>
      </c>
    </row>
    <row r="132" spans="1:11" x14ac:dyDescent="0.25">
      <c r="A132" s="5" t="s">
        <v>704</v>
      </c>
      <c r="B132" s="42">
        <f t="shared" si="6"/>
        <v>67.656000000000006</v>
      </c>
      <c r="C132" s="7" t="s">
        <v>362</v>
      </c>
      <c r="D132" s="7" t="s">
        <v>364</v>
      </c>
      <c r="F132" s="8">
        <v>68.54901000000001</v>
      </c>
      <c r="G132" s="7" t="s">
        <v>157</v>
      </c>
      <c r="H132" s="7" t="s">
        <v>155</v>
      </c>
      <c r="I132" s="6">
        <v>544.5</v>
      </c>
      <c r="J132" s="6">
        <f t="shared" ref="J132:J195" si="7">J131+I131</f>
        <v>67656</v>
      </c>
      <c r="K132" s="6">
        <f t="shared" ref="K132:K195" si="8">K131-I131</f>
        <v>36836.100000000013</v>
      </c>
    </row>
    <row r="133" spans="1:11" x14ac:dyDescent="0.25">
      <c r="A133" s="5" t="s">
        <v>704</v>
      </c>
      <c r="B133" s="42">
        <f t="shared" si="6"/>
        <v>68.200500000000005</v>
      </c>
      <c r="C133" s="7" t="s">
        <v>364</v>
      </c>
      <c r="D133" s="7" t="s">
        <v>366</v>
      </c>
      <c r="F133" s="8">
        <v>68.815190000000001</v>
      </c>
      <c r="G133" s="7" t="s">
        <v>155</v>
      </c>
      <c r="H133" s="7" t="s">
        <v>153</v>
      </c>
      <c r="I133" s="6">
        <v>424.5</v>
      </c>
      <c r="J133" s="6">
        <f t="shared" si="7"/>
        <v>68200.5</v>
      </c>
      <c r="K133" s="6">
        <f t="shared" si="8"/>
        <v>36291.600000000013</v>
      </c>
    </row>
    <row r="134" spans="1:11" x14ac:dyDescent="0.25">
      <c r="A134" s="5" t="s">
        <v>704</v>
      </c>
      <c r="B134" s="42">
        <f t="shared" si="6"/>
        <v>68.625</v>
      </c>
      <c r="C134" s="7" t="s">
        <v>366</v>
      </c>
      <c r="D134" s="7" t="s">
        <v>368</v>
      </c>
      <c r="F134" s="8">
        <v>69.062930000000009</v>
      </c>
      <c r="G134" s="7" t="s">
        <v>153</v>
      </c>
      <c r="H134" s="7" t="s">
        <v>151</v>
      </c>
      <c r="I134" s="6">
        <v>385.58</v>
      </c>
      <c r="J134" s="6">
        <f t="shared" si="7"/>
        <v>68625</v>
      </c>
      <c r="K134" s="6">
        <f t="shared" si="8"/>
        <v>35867.100000000013</v>
      </c>
    </row>
    <row r="135" spans="1:11" x14ac:dyDescent="0.25">
      <c r="A135" s="5" t="s">
        <v>704</v>
      </c>
      <c r="B135" s="42">
        <f t="shared" si="6"/>
        <v>69.010580000000004</v>
      </c>
      <c r="C135" s="7" t="s">
        <v>368</v>
      </c>
      <c r="D135" s="7" t="s">
        <v>370</v>
      </c>
      <c r="F135" s="8">
        <v>69.815240000000003</v>
      </c>
      <c r="G135" s="7" t="s">
        <v>151</v>
      </c>
      <c r="H135" s="7" t="s">
        <v>149</v>
      </c>
      <c r="I135" s="6">
        <v>591.66</v>
      </c>
      <c r="J135" s="6">
        <f t="shared" si="7"/>
        <v>69010.58</v>
      </c>
      <c r="K135" s="6">
        <f t="shared" si="8"/>
        <v>35481.520000000011</v>
      </c>
    </row>
    <row r="136" spans="1:11" x14ac:dyDescent="0.25">
      <c r="A136" s="5" t="s">
        <v>704</v>
      </c>
      <c r="B136" s="42">
        <f t="shared" si="6"/>
        <v>69.602240000000009</v>
      </c>
      <c r="C136" s="7" t="s">
        <v>370</v>
      </c>
      <c r="D136" s="7" t="s">
        <v>372</v>
      </c>
      <c r="F136" s="8">
        <v>70.329100000000011</v>
      </c>
      <c r="G136" s="7" t="s">
        <v>149</v>
      </c>
      <c r="H136" s="7" t="s">
        <v>147</v>
      </c>
      <c r="I136" s="6">
        <v>570</v>
      </c>
      <c r="J136" s="6">
        <f t="shared" si="7"/>
        <v>69602.240000000005</v>
      </c>
      <c r="K136" s="6">
        <f t="shared" si="8"/>
        <v>34889.860000000008</v>
      </c>
    </row>
    <row r="137" spans="1:11" x14ac:dyDescent="0.25">
      <c r="A137" s="5" t="s">
        <v>704</v>
      </c>
      <c r="B137" s="42">
        <f t="shared" si="6"/>
        <v>70.172240000000002</v>
      </c>
      <c r="C137" s="7" t="s">
        <v>372</v>
      </c>
      <c r="D137" s="7" t="s">
        <v>374</v>
      </c>
      <c r="F137" s="8">
        <v>70.989100000000008</v>
      </c>
      <c r="G137" s="7" t="s">
        <v>147</v>
      </c>
      <c r="H137" s="7" t="s">
        <v>145</v>
      </c>
      <c r="I137" s="6">
        <v>609</v>
      </c>
      <c r="J137" s="6">
        <f t="shared" si="7"/>
        <v>70172.240000000005</v>
      </c>
      <c r="K137" s="6">
        <f t="shared" si="8"/>
        <v>34319.860000000008</v>
      </c>
    </row>
    <row r="138" spans="1:11" x14ac:dyDescent="0.25">
      <c r="A138" s="5" t="s">
        <v>704</v>
      </c>
      <c r="B138" s="42">
        <f t="shared" si="6"/>
        <v>70.781240000000011</v>
      </c>
      <c r="C138" s="7" t="s">
        <v>374</v>
      </c>
      <c r="D138" s="7" t="s">
        <v>376</v>
      </c>
      <c r="F138" s="8">
        <v>71.566420000000008</v>
      </c>
      <c r="G138" s="7" t="s">
        <v>145</v>
      </c>
      <c r="H138" s="7" t="s">
        <v>143</v>
      </c>
      <c r="I138" s="6">
        <v>688</v>
      </c>
      <c r="J138" s="6">
        <f t="shared" si="7"/>
        <v>70781.240000000005</v>
      </c>
      <c r="K138" s="6">
        <f t="shared" si="8"/>
        <v>33710.860000000008</v>
      </c>
    </row>
    <row r="139" spans="1:11" x14ac:dyDescent="0.25">
      <c r="A139" s="5" t="s">
        <v>704</v>
      </c>
      <c r="B139" s="42">
        <f t="shared" si="6"/>
        <v>71.469239999999999</v>
      </c>
      <c r="C139" s="7" t="s">
        <v>376</v>
      </c>
      <c r="D139" s="7" t="s">
        <v>378</v>
      </c>
      <c r="F139" s="8">
        <v>72.12439000000002</v>
      </c>
      <c r="G139" s="7" t="s">
        <v>143</v>
      </c>
      <c r="H139" s="7" t="s">
        <v>141</v>
      </c>
      <c r="I139" s="6">
        <v>603</v>
      </c>
      <c r="J139" s="6">
        <f t="shared" si="7"/>
        <v>71469.240000000005</v>
      </c>
      <c r="K139" s="6">
        <f t="shared" si="8"/>
        <v>33022.860000000008</v>
      </c>
    </row>
    <row r="140" spans="1:11" x14ac:dyDescent="0.25">
      <c r="A140" s="5" t="s">
        <v>704</v>
      </c>
      <c r="B140" s="42">
        <f t="shared" si="6"/>
        <v>72.072240000000008</v>
      </c>
      <c r="C140" s="7" t="s">
        <v>378</v>
      </c>
      <c r="D140" s="7" t="s">
        <v>380</v>
      </c>
      <c r="F140" s="8">
        <v>72.684100000000015</v>
      </c>
      <c r="G140" s="7" t="s">
        <v>141</v>
      </c>
      <c r="H140" s="7" t="s">
        <v>139</v>
      </c>
      <c r="I140" s="6">
        <v>462.96</v>
      </c>
      <c r="J140" s="6">
        <f t="shared" si="7"/>
        <v>72072.240000000005</v>
      </c>
      <c r="K140" s="6">
        <f t="shared" si="8"/>
        <v>32419.860000000008</v>
      </c>
    </row>
    <row r="141" spans="1:11" x14ac:dyDescent="0.25">
      <c r="A141" s="5" t="s">
        <v>704</v>
      </c>
      <c r="B141" s="42">
        <f t="shared" si="6"/>
        <v>72.535200000000017</v>
      </c>
      <c r="C141" s="7" t="s">
        <v>380</v>
      </c>
      <c r="D141" s="7" t="s">
        <v>382</v>
      </c>
      <c r="F141" s="8">
        <v>73.293100000000024</v>
      </c>
      <c r="G141" s="7" t="s">
        <v>139</v>
      </c>
      <c r="H141" s="7" t="s">
        <v>137</v>
      </c>
      <c r="I141" s="6">
        <v>465.16</v>
      </c>
      <c r="J141" s="6">
        <f t="shared" si="7"/>
        <v>72535.200000000012</v>
      </c>
      <c r="K141" s="6">
        <f t="shared" si="8"/>
        <v>31956.900000000009</v>
      </c>
    </row>
    <row r="142" spans="1:11" x14ac:dyDescent="0.25">
      <c r="A142" s="5" t="s">
        <v>704</v>
      </c>
      <c r="B142" s="42">
        <f t="shared" si="6"/>
        <v>73.000360000000015</v>
      </c>
      <c r="C142" s="7" t="s">
        <v>382</v>
      </c>
      <c r="D142" s="7" t="s">
        <v>384</v>
      </c>
      <c r="F142" s="8">
        <v>73.970100000000016</v>
      </c>
      <c r="G142" s="7" t="s">
        <v>137</v>
      </c>
      <c r="H142" s="7" t="s">
        <v>135</v>
      </c>
      <c r="I142" s="6">
        <v>585.88</v>
      </c>
      <c r="J142" s="6">
        <f t="shared" si="7"/>
        <v>73000.360000000015</v>
      </c>
      <c r="K142" s="6">
        <f t="shared" si="8"/>
        <v>31491.740000000009</v>
      </c>
    </row>
    <row r="143" spans="1:11" x14ac:dyDescent="0.25">
      <c r="A143" s="5" t="s">
        <v>704</v>
      </c>
      <c r="B143" s="42">
        <f t="shared" si="6"/>
        <v>73.586240000000018</v>
      </c>
      <c r="C143" s="7" t="s">
        <v>384</v>
      </c>
      <c r="D143" s="7" t="s">
        <v>386</v>
      </c>
      <c r="F143" s="8">
        <v>74.163450000000026</v>
      </c>
      <c r="G143" s="7" t="s">
        <v>135</v>
      </c>
      <c r="H143" s="7" t="s">
        <v>133</v>
      </c>
      <c r="I143" s="6">
        <v>539</v>
      </c>
      <c r="J143" s="6">
        <f t="shared" si="7"/>
        <v>73586.24000000002</v>
      </c>
      <c r="K143" s="6">
        <f t="shared" si="8"/>
        <v>30905.860000000008</v>
      </c>
    </row>
    <row r="144" spans="1:11" x14ac:dyDescent="0.25">
      <c r="A144" s="5" t="s">
        <v>704</v>
      </c>
      <c r="B144" s="42">
        <f t="shared" si="6"/>
        <v>74.125240000000019</v>
      </c>
      <c r="C144" s="7" t="s">
        <v>386</v>
      </c>
      <c r="D144" s="7" t="s">
        <v>388</v>
      </c>
      <c r="F144" s="8">
        <v>74.637110000000035</v>
      </c>
      <c r="G144" s="7" t="s">
        <v>133</v>
      </c>
      <c r="H144" s="7" t="s">
        <v>131</v>
      </c>
      <c r="I144" s="6">
        <v>754.94</v>
      </c>
      <c r="J144" s="6">
        <f t="shared" si="7"/>
        <v>74125.24000000002</v>
      </c>
      <c r="K144" s="6">
        <f t="shared" si="8"/>
        <v>30366.860000000008</v>
      </c>
    </row>
    <row r="145" spans="1:11" x14ac:dyDescent="0.25">
      <c r="A145" s="5" t="s">
        <v>704</v>
      </c>
      <c r="B145" s="42">
        <f t="shared" si="6"/>
        <v>74.880180000000024</v>
      </c>
      <c r="C145" s="7" t="s">
        <v>388</v>
      </c>
      <c r="D145" s="7" t="s">
        <v>390</v>
      </c>
      <c r="F145" s="8">
        <v>75.152100000000033</v>
      </c>
      <c r="G145" s="7" t="s">
        <v>131</v>
      </c>
      <c r="H145" s="7" t="s">
        <v>129</v>
      </c>
      <c r="I145" s="6">
        <v>543.05999999999995</v>
      </c>
      <c r="J145" s="6">
        <f t="shared" si="7"/>
        <v>74880.180000000022</v>
      </c>
      <c r="K145" s="6">
        <f t="shared" si="8"/>
        <v>29611.920000000009</v>
      </c>
    </row>
    <row r="146" spans="1:11" x14ac:dyDescent="0.25">
      <c r="A146" s="5" t="s">
        <v>704</v>
      </c>
      <c r="B146" s="42">
        <f t="shared" si="6"/>
        <v>75.423240000000021</v>
      </c>
      <c r="C146" s="7" t="s">
        <v>390</v>
      </c>
      <c r="D146" s="7" t="s">
        <v>392</v>
      </c>
      <c r="F146" s="8">
        <v>75.670250000000024</v>
      </c>
      <c r="G146" s="7" t="s">
        <v>129</v>
      </c>
      <c r="H146" s="7" t="s">
        <v>127</v>
      </c>
      <c r="I146" s="6">
        <v>388</v>
      </c>
      <c r="J146" s="6">
        <f t="shared" si="7"/>
        <v>75423.24000000002</v>
      </c>
      <c r="K146" s="6">
        <f t="shared" si="8"/>
        <v>29068.860000000008</v>
      </c>
    </row>
    <row r="147" spans="1:11" x14ac:dyDescent="0.25">
      <c r="A147" s="5" t="s">
        <v>704</v>
      </c>
      <c r="B147" s="42">
        <f t="shared" si="6"/>
        <v>75.811240000000026</v>
      </c>
      <c r="C147" s="7" t="s">
        <v>392</v>
      </c>
      <c r="D147" s="7" t="s">
        <v>394</v>
      </c>
      <c r="F147" s="8">
        <v>76.116100000000031</v>
      </c>
      <c r="G147" s="7" t="s">
        <v>127</v>
      </c>
      <c r="H147" s="7" t="s">
        <v>125</v>
      </c>
      <c r="I147" s="6">
        <v>103.49</v>
      </c>
      <c r="J147" s="6">
        <f t="shared" si="7"/>
        <v>75811.24000000002</v>
      </c>
      <c r="K147" s="6">
        <f t="shared" si="8"/>
        <v>28680.860000000008</v>
      </c>
    </row>
    <row r="148" spans="1:11" x14ac:dyDescent="0.25">
      <c r="A148" s="5" t="s">
        <v>704</v>
      </c>
      <c r="B148" s="42">
        <f t="shared" si="6"/>
        <v>75.91473000000002</v>
      </c>
      <c r="C148" s="7" t="s">
        <v>394</v>
      </c>
      <c r="D148" s="7" t="s">
        <v>396</v>
      </c>
      <c r="F148" s="8">
        <v>76.632100000000037</v>
      </c>
      <c r="G148" s="7" t="s">
        <v>125</v>
      </c>
      <c r="H148" s="7" t="s">
        <v>123</v>
      </c>
      <c r="I148" s="6">
        <v>449.51</v>
      </c>
      <c r="J148" s="6">
        <f t="shared" si="7"/>
        <v>75914.730000000025</v>
      </c>
      <c r="K148" s="6">
        <f t="shared" si="8"/>
        <v>28577.370000000006</v>
      </c>
    </row>
    <row r="149" spans="1:11" x14ac:dyDescent="0.25">
      <c r="A149" s="5" t="s">
        <v>704</v>
      </c>
      <c r="B149" s="42">
        <f t="shared" si="6"/>
        <v>76.364240000000024</v>
      </c>
      <c r="C149" s="7" t="s">
        <v>396</v>
      </c>
      <c r="D149" s="7" t="s">
        <v>398</v>
      </c>
      <c r="F149" s="8">
        <v>77.197000000000031</v>
      </c>
      <c r="G149" s="7" t="s">
        <v>123</v>
      </c>
      <c r="H149" s="7" t="s">
        <v>121</v>
      </c>
      <c r="I149" s="6">
        <v>273.11</v>
      </c>
      <c r="J149" s="6">
        <f t="shared" si="7"/>
        <v>76364.24000000002</v>
      </c>
      <c r="K149" s="6">
        <f t="shared" si="8"/>
        <v>28127.860000000008</v>
      </c>
    </row>
    <row r="150" spans="1:11" x14ac:dyDescent="0.25">
      <c r="A150" s="5" t="s">
        <v>704</v>
      </c>
      <c r="B150" s="42">
        <f t="shared" si="6"/>
        <v>76.637350000000026</v>
      </c>
      <c r="C150" s="7" t="s">
        <v>398</v>
      </c>
      <c r="D150" s="7" t="s">
        <v>400</v>
      </c>
      <c r="F150" s="8">
        <v>77.687100000000029</v>
      </c>
      <c r="G150" s="7" t="s">
        <v>121</v>
      </c>
      <c r="H150" s="7" t="s">
        <v>119</v>
      </c>
      <c r="I150" s="6">
        <v>1010</v>
      </c>
      <c r="J150" s="6">
        <f t="shared" si="7"/>
        <v>76637.35000000002</v>
      </c>
      <c r="K150" s="6">
        <f t="shared" si="8"/>
        <v>27854.750000000007</v>
      </c>
    </row>
    <row r="151" spans="1:11" x14ac:dyDescent="0.25">
      <c r="A151" s="5" t="s">
        <v>704</v>
      </c>
      <c r="B151" s="42">
        <f t="shared" si="6"/>
        <v>77.647350000000017</v>
      </c>
      <c r="C151" s="7" t="s">
        <v>400</v>
      </c>
      <c r="D151" s="7" t="s">
        <v>402</v>
      </c>
      <c r="F151" s="8">
        <v>78.32110000000003</v>
      </c>
      <c r="G151" s="7" t="s">
        <v>119</v>
      </c>
      <c r="H151" s="7" t="s">
        <v>19</v>
      </c>
      <c r="I151" s="6">
        <v>711.89</v>
      </c>
      <c r="J151" s="6">
        <f t="shared" si="7"/>
        <v>77647.35000000002</v>
      </c>
      <c r="K151" s="6">
        <f t="shared" si="8"/>
        <v>26844.750000000007</v>
      </c>
    </row>
    <row r="152" spans="1:11" x14ac:dyDescent="0.25">
      <c r="A152" s="5" t="s">
        <v>704</v>
      </c>
      <c r="B152" s="42">
        <f t="shared" si="6"/>
        <v>78.359240000000014</v>
      </c>
      <c r="C152" s="7" t="s">
        <v>402</v>
      </c>
      <c r="D152" s="7" t="s">
        <v>404</v>
      </c>
      <c r="F152" s="8">
        <v>78.902670000000043</v>
      </c>
      <c r="G152" s="7" t="s">
        <v>19</v>
      </c>
      <c r="H152" s="7" t="s">
        <v>18</v>
      </c>
      <c r="I152" s="6">
        <v>218</v>
      </c>
      <c r="J152" s="6">
        <f t="shared" si="7"/>
        <v>78359.24000000002</v>
      </c>
      <c r="K152" s="6">
        <f t="shared" si="8"/>
        <v>26132.860000000008</v>
      </c>
    </row>
    <row r="153" spans="1:11" x14ac:dyDescent="0.25">
      <c r="A153" s="5" t="s">
        <v>704</v>
      </c>
      <c r="B153" s="42">
        <f t="shared" si="6"/>
        <v>78.577240000000018</v>
      </c>
      <c r="C153" s="7" t="s">
        <v>404</v>
      </c>
      <c r="D153" s="7" t="s">
        <v>406</v>
      </c>
      <c r="F153" s="8">
        <v>79.46710000000003</v>
      </c>
      <c r="G153" s="7" t="s">
        <v>18</v>
      </c>
      <c r="H153" s="7" t="s">
        <v>115</v>
      </c>
      <c r="I153" s="6">
        <v>673</v>
      </c>
      <c r="J153" s="6">
        <f t="shared" si="7"/>
        <v>78577.24000000002</v>
      </c>
      <c r="K153" s="6">
        <f t="shared" si="8"/>
        <v>25914.860000000008</v>
      </c>
    </row>
    <row r="154" spans="1:11" x14ac:dyDescent="0.25">
      <c r="A154" s="5" t="s">
        <v>704</v>
      </c>
      <c r="B154" s="42">
        <f t="shared" si="6"/>
        <v>79.250240000000019</v>
      </c>
      <c r="C154" s="7" t="s">
        <v>406</v>
      </c>
      <c r="D154" s="7" t="s">
        <v>408</v>
      </c>
      <c r="F154" s="8">
        <v>80.197970000000026</v>
      </c>
      <c r="G154" s="7" t="s">
        <v>115</v>
      </c>
      <c r="H154" s="7" t="s">
        <v>113</v>
      </c>
      <c r="I154" s="6">
        <v>624</v>
      </c>
      <c r="J154" s="6">
        <f t="shared" si="7"/>
        <v>79250.24000000002</v>
      </c>
      <c r="K154" s="6">
        <f t="shared" si="8"/>
        <v>25241.860000000008</v>
      </c>
    </row>
    <row r="155" spans="1:11" x14ac:dyDescent="0.25">
      <c r="A155" s="5" t="s">
        <v>704</v>
      </c>
      <c r="B155" s="42">
        <f t="shared" si="6"/>
        <v>79.874240000000015</v>
      </c>
      <c r="C155" s="7" t="s">
        <v>408</v>
      </c>
      <c r="D155" s="7" t="s">
        <v>410</v>
      </c>
      <c r="F155" s="8">
        <v>80.437110000000033</v>
      </c>
      <c r="G155" s="7" t="s">
        <v>113</v>
      </c>
      <c r="H155" s="7" t="s">
        <v>111</v>
      </c>
      <c r="I155" s="6">
        <v>563</v>
      </c>
      <c r="J155" s="6">
        <f t="shared" si="7"/>
        <v>79874.24000000002</v>
      </c>
      <c r="K155" s="6">
        <f t="shared" si="8"/>
        <v>24617.860000000008</v>
      </c>
    </row>
    <row r="156" spans="1:11" x14ac:dyDescent="0.25">
      <c r="A156" s="5" t="s">
        <v>704</v>
      </c>
      <c r="B156" s="42">
        <f t="shared" si="6"/>
        <v>80.437240000000017</v>
      </c>
      <c r="C156" s="7" t="s">
        <v>410</v>
      </c>
      <c r="D156" s="7" t="s">
        <v>412</v>
      </c>
      <c r="F156" s="8">
        <v>81.018100000000032</v>
      </c>
      <c r="G156" s="7" t="s">
        <v>111</v>
      </c>
      <c r="H156" s="7" t="s">
        <v>109</v>
      </c>
      <c r="I156" s="6">
        <v>605</v>
      </c>
      <c r="J156" s="6">
        <f t="shared" si="7"/>
        <v>80437.24000000002</v>
      </c>
      <c r="K156" s="6">
        <f t="shared" si="8"/>
        <v>24054.860000000008</v>
      </c>
    </row>
    <row r="157" spans="1:11" x14ac:dyDescent="0.25">
      <c r="A157" s="5" t="s">
        <v>704</v>
      </c>
      <c r="B157" s="42">
        <f t="shared" si="6"/>
        <v>81.042240000000021</v>
      </c>
      <c r="C157" s="7" t="s">
        <v>412</v>
      </c>
      <c r="D157" s="7" t="s">
        <v>414</v>
      </c>
      <c r="F157" s="8">
        <v>81.519100000000037</v>
      </c>
      <c r="G157" s="7" t="s">
        <v>109</v>
      </c>
      <c r="H157" s="7" t="s">
        <v>107</v>
      </c>
      <c r="I157" s="6">
        <v>665</v>
      </c>
      <c r="J157" s="6">
        <f t="shared" si="7"/>
        <v>81042.24000000002</v>
      </c>
      <c r="K157" s="6">
        <f t="shared" si="8"/>
        <v>23449.860000000008</v>
      </c>
    </row>
    <row r="158" spans="1:11" x14ac:dyDescent="0.25">
      <c r="A158" s="5" t="s">
        <v>704</v>
      </c>
      <c r="B158" s="42">
        <f t="shared" si="6"/>
        <v>81.707240000000013</v>
      </c>
      <c r="C158" s="7" t="s">
        <v>414</v>
      </c>
      <c r="D158" s="7" t="s">
        <v>416</v>
      </c>
      <c r="F158" s="8">
        <v>82.177100000000038</v>
      </c>
      <c r="G158" s="7" t="s">
        <v>107</v>
      </c>
      <c r="H158" s="7" t="s">
        <v>105</v>
      </c>
      <c r="I158" s="6">
        <v>336.9</v>
      </c>
      <c r="J158" s="6">
        <f t="shared" si="7"/>
        <v>81707.24000000002</v>
      </c>
      <c r="K158" s="6">
        <f t="shared" si="8"/>
        <v>22784.860000000008</v>
      </c>
    </row>
    <row r="159" spans="1:11" x14ac:dyDescent="0.25">
      <c r="A159" s="5" t="s">
        <v>704</v>
      </c>
      <c r="B159" s="42">
        <f t="shared" si="6"/>
        <v>82.044140000000013</v>
      </c>
      <c r="C159" s="7" t="s">
        <v>416</v>
      </c>
      <c r="D159" s="7" t="s">
        <v>418</v>
      </c>
      <c r="F159" s="8">
        <v>82.815100000000029</v>
      </c>
      <c r="G159" s="7" t="s">
        <v>105</v>
      </c>
      <c r="H159" s="7" t="s">
        <v>103</v>
      </c>
      <c r="I159" s="6">
        <v>579.55999999999995</v>
      </c>
      <c r="J159" s="6">
        <f t="shared" si="7"/>
        <v>82044.140000000014</v>
      </c>
      <c r="K159" s="6">
        <f t="shared" si="8"/>
        <v>22447.960000000006</v>
      </c>
    </row>
    <row r="160" spans="1:11" x14ac:dyDescent="0.25">
      <c r="A160" s="5" t="s">
        <v>704</v>
      </c>
      <c r="B160" s="42">
        <f t="shared" si="6"/>
        <v>82.623700000000014</v>
      </c>
      <c r="C160" s="7" t="s">
        <v>418</v>
      </c>
      <c r="D160" s="7" t="s">
        <v>420</v>
      </c>
      <c r="F160" s="8">
        <v>83.411100000000033</v>
      </c>
      <c r="G160" s="7" t="s">
        <v>103</v>
      </c>
      <c r="H160" s="7" t="s">
        <v>101</v>
      </c>
      <c r="I160" s="6">
        <v>633.04</v>
      </c>
      <c r="J160" s="6">
        <f t="shared" si="7"/>
        <v>82623.700000000012</v>
      </c>
      <c r="K160" s="6">
        <f t="shared" si="8"/>
        <v>21868.400000000005</v>
      </c>
    </row>
    <row r="161" spans="1:11" x14ac:dyDescent="0.25">
      <c r="A161" s="5" t="s">
        <v>704</v>
      </c>
      <c r="B161" s="42">
        <f t="shared" si="6"/>
        <v>83.256740000000008</v>
      </c>
      <c r="C161" s="7" t="s">
        <v>420</v>
      </c>
      <c r="D161" s="7" t="s">
        <v>422</v>
      </c>
      <c r="F161" s="8">
        <v>83.73110000000004</v>
      </c>
      <c r="G161" s="7" t="s">
        <v>101</v>
      </c>
      <c r="H161" s="7" t="s">
        <v>99</v>
      </c>
      <c r="I161" s="6">
        <v>616.5</v>
      </c>
      <c r="J161" s="6">
        <f t="shared" si="7"/>
        <v>83256.740000000005</v>
      </c>
      <c r="K161" s="6">
        <f t="shared" si="8"/>
        <v>21235.360000000004</v>
      </c>
    </row>
    <row r="162" spans="1:11" x14ac:dyDescent="0.25">
      <c r="A162" s="5" t="s">
        <v>704</v>
      </c>
      <c r="B162" s="42">
        <f t="shared" si="6"/>
        <v>83.87324000000001</v>
      </c>
      <c r="C162" s="7" t="s">
        <v>422</v>
      </c>
      <c r="D162" s="7" t="s">
        <v>424</v>
      </c>
      <c r="F162" s="8">
        <v>84.311100000000039</v>
      </c>
      <c r="G162" s="7" t="s">
        <v>99</v>
      </c>
      <c r="H162" s="7" t="s">
        <v>97</v>
      </c>
      <c r="I162" s="6">
        <v>467.5</v>
      </c>
      <c r="J162" s="6">
        <f t="shared" si="7"/>
        <v>83873.240000000005</v>
      </c>
      <c r="K162" s="6">
        <f t="shared" si="8"/>
        <v>20618.860000000004</v>
      </c>
    </row>
    <row r="163" spans="1:11" x14ac:dyDescent="0.25">
      <c r="A163" s="5" t="s">
        <v>704</v>
      </c>
      <c r="B163" s="42">
        <f t="shared" si="6"/>
        <v>84.340740000000011</v>
      </c>
      <c r="C163" s="7" t="s">
        <v>424</v>
      </c>
      <c r="D163" s="7" t="s">
        <v>426</v>
      </c>
      <c r="F163" s="8">
        <v>84.751100000000037</v>
      </c>
      <c r="G163" s="7" t="s">
        <v>97</v>
      </c>
      <c r="H163" s="7" t="s">
        <v>95</v>
      </c>
      <c r="I163" s="6">
        <v>801.5</v>
      </c>
      <c r="J163" s="6">
        <f t="shared" si="7"/>
        <v>84340.74</v>
      </c>
      <c r="K163" s="6">
        <f t="shared" si="8"/>
        <v>20151.360000000004</v>
      </c>
    </row>
    <row r="164" spans="1:11" x14ac:dyDescent="0.25">
      <c r="A164" s="5" t="s">
        <v>704</v>
      </c>
      <c r="B164" s="42">
        <f t="shared" si="6"/>
        <v>85.142240000000001</v>
      </c>
      <c r="C164" s="7" t="s">
        <v>426</v>
      </c>
      <c r="D164" s="7" t="s">
        <v>428</v>
      </c>
      <c r="F164" s="8">
        <v>85.33610000000003</v>
      </c>
      <c r="G164" s="7" t="s">
        <v>95</v>
      </c>
      <c r="H164" s="7" t="s">
        <v>93</v>
      </c>
      <c r="I164" s="6">
        <v>375.32</v>
      </c>
      <c r="J164" s="6">
        <f t="shared" si="7"/>
        <v>85142.24</v>
      </c>
      <c r="K164" s="6">
        <f t="shared" si="8"/>
        <v>19349.860000000004</v>
      </c>
    </row>
    <row r="165" spans="1:11" x14ac:dyDescent="0.25">
      <c r="A165" s="5" t="s">
        <v>704</v>
      </c>
      <c r="B165" s="42">
        <f t="shared" si="6"/>
        <v>85.517560000000017</v>
      </c>
      <c r="C165" s="7" t="s">
        <v>428</v>
      </c>
      <c r="D165" s="7" t="s">
        <v>430</v>
      </c>
      <c r="F165" s="8">
        <v>86.026300000000035</v>
      </c>
      <c r="G165" s="7" t="s">
        <v>93</v>
      </c>
      <c r="H165" s="7" t="s">
        <v>91</v>
      </c>
      <c r="I165" s="6">
        <v>467.68</v>
      </c>
      <c r="J165" s="6">
        <f t="shared" si="7"/>
        <v>85517.560000000012</v>
      </c>
      <c r="K165" s="6">
        <f t="shared" si="8"/>
        <v>18974.540000000005</v>
      </c>
    </row>
    <row r="166" spans="1:11" x14ac:dyDescent="0.25">
      <c r="A166" s="5" t="s">
        <v>704</v>
      </c>
      <c r="B166" s="42">
        <f t="shared" si="6"/>
        <v>85.985240000000005</v>
      </c>
      <c r="C166" s="7" t="s">
        <v>430</v>
      </c>
      <c r="D166" s="7" t="s">
        <v>432</v>
      </c>
      <c r="F166" s="8">
        <v>86.306100000000029</v>
      </c>
      <c r="G166" s="7" t="s">
        <v>91</v>
      </c>
      <c r="H166" s="7" t="s">
        <v>89</v>
      </c>
      <c r="I166" s="6">
        <v>415.3</v>
      </c>
      <c r="J166" s="6">
        <f t="shared" si="7"/>
        <v>85985.24</v>
      </c>
      <c r="K166" s="6">
        <f t="shared" si="8"/>
        <v>18506.860000000004</v>
      </c>
    </row>
    <row r="167" spans="1:11" x14ac:dyDescent="0.25">
      <c r="A167" s="5" t="s">
        <v>704</v>
      </c>
      <c r="B167" s="42">
        <f t="shared" si="6"/>
        <v>86.400540000000007</v>
      </c>
      <c r="C167" s="7" t="s">
        <v>432</v>
      </c>
      <c r="D167" s="7" t="s">
        <v>434</v>
      </c>
      <c r="F167" s="8">
        <v>86.700880000000041</v>
      </c>
      <c r="G167" s="7" t="s">
        <v>89</v>
      </c>
      <c r="H167" s="7" t="s">
        <v>87</v>
      </c>
      <c r="I167" s="6">
        <v>602.70000000000005</v>
      </c>
      <c r="J167" s="6">
        <f t="shared" si="7"/>
        <v>86400.540000000008</v>
      </c>
      <c r="K167" s="6">
        <f t="shared" si="8"/>
        <v>18091.560000000005</v>
      </c>
    </row>
    <row r="168" spans="1:11" x14ac:dyDescent="0.25">
      <c r="A168" s="5" t="s">
        <v>704</v>
      </c>
      <c r="B168" s="42">
        <f t="shared" si="6"/>
        <v>87.003240000000005</v>
      </c>
      <c r="C168" s="7" t="s">
        <v>434</v>
      </c>
      <c r="D168" s="7" t="s">
        <v>436</v>
      </c>
      <c r="F168" s="8">
        <v>87.34210000000003</v>
      </c>
      <c r="G168" s="7" t="s">
        <v>87</v>
      </c>
      <c r="H168" s="7" t="s">
        <v>85</v>
      </c>
      <c r="I168" s="6">
        <v>627</v>
      </c>
      <c r="J168" s="6">
        <f t="shared" si="7"/>
        <v>87003.24</v>
      </c>
      <c r="K168" s="6">
        <f t="shared" si="8"/>
        <v>17488.860000000004</v>
      </c>
    </row>
    <row r="169" spans="1:11" x14ac:dyDescent="0.25">
      <c r="A169" s="5" t="s">
        <v>704</v>
      </c>
      <c r="B169" s="42">
        <f t="shared" si="6"/>
        <v>87.630240000000001</v>
      </c>
      <c r="C169" s="7" t="s">
        <v>436</v>
      </c>
      <c r="D169" s="7" t="s">
        <v>438</v>
      </c>
      <c r="F169" s="8">
        <v>87.998100000000036</v>
      </c>
      <c r="G169" s="7" t="s">
        <v>85</v>
      </c>
      <c r="H169" s="7" t="s">
        <v>83</v>
      </c>
      <c r="I169" s="6">
        <v>516</v>
      </c>
      <c r="J169" s="6">
        <f t="shared" si="7"/>
        <v>87630.24</v>
      </c>
      <c r="K169" s="6">
        <f t="shared" si="8"/>
        <v>16861.860000000004</v>
      </c>
    </row>
    <row r="170" spans="1:11" x14ac:dyDescent="0.25">
      <c r="A170" s="5" t="s">
        <v>704</v>
      </c>
      <c r="B170" s="42">
        <f t="shared" si="6"/>
        <v>88.146240000000006</v>
      </c>
      <c r="C170" s="7" t="s">
        <v>438</v>
      </c>
      <c r="D170" s="7" t="s">
        <v>440</v>
      </c>
      <c r="F170" s="8">
        <v>88.577180000000041</v>
      </c>
      <c r="G170" s="7" t="s">
        <v>83</v>
      </c>
      <c r="H170" s="7" t="s">
        <v>81</v>
      </c>
      <c r="I170" s="6">
        <v>769</v>
      </c>
      <c r="J170" s="6">
        <f t="shared" si="7"/>
        <v>88146.240000000005</v>
      </c>
      <c r="K170" s="6">
        <f t="shared" si="8"/>
        <v>16345.860000000004</v>
      </c>
    </row>
    <row r="171" spans="1:11" x14ac:dyDescent="0.25">
      <c r="A171" s="5" t="s">
        <v>704</v>
      </c>
      <c r="B171" s="42">
        <f t="shared" si="6"/>
        <v>88.915240000000011</v>
      </c>
      <c r="C171" s="7" t="s">
        <v>440</v>
      </c>
      <c r="D171" s="7" t="s">
        <v>442</v>
      </c>
      <c r="F171" s="8">
        <v>89.190100000000029</v>
      </c>
      <c r="G171" s="7" t="s">
        <v>81</v>
      </c>
      <c r="H171" s="7" t="s">
        <v>79</v>
      </c>
      <c r="I171" s="6">
        <v>529.6</v>
      </c>
      <c r="J171" s="6">
        <f t="shared" si="7"/>
        <v>88915.24</v>
      </c>
      <c r="K171" s="6">
        <f t="shared" si="8"/>
        <v>15576.860000000004</v>
      </c>
    </row>
    <row r="172" spans="1:11" x14ac:dyDescent="0.25">
      <c r="A172" s="5" t="s">
        <v>704</v>
      </c>
      <c r="B172" s="42">
        <f t="shared" si="6"/>
        <v>89.444840000000013</v>
      </c>
      <c r="C172" s="7" t="s">
        <v>442</v>
      </c>
      <c r="D172" s="7" t="s">
        <v>444</v>
      </c>
      <c r="F172" s="8">
        <v>89.622980000000041</v>
      </c>
      <c r="G172" s="7" t="s">
        <v>79</v>
      </c>
      <c r="H172" s="7" t="s">
        <v>77</v>
      </c>
      <c r="I172" s="6">
        <v>467.25</v>
      </c>
      <c r="J172" s="6">
        <f t="shared" si="7"/>
        <v>89444.840000000011</v>
      </c>
      <c r="K172" s="6">
        <f t="shared" si="8"/>
        <v>15047.260000000004</v>
      </c>
    </row>
    <row r="173" spans="1:11" x14ac:dyDescent="0.25">
      <c r="A173" s="5" t="s">
        <v>704</v>
      </c>
      <c r="B173" s="42">
        <f t="shared" si="6"/>
        <v>89.912090000000006</v>
      </c>
      <c r="C173" s="7" t="s">
        <v>444</v>
      </c>
      <c r="D173" s="7" t="s">
        <v>446</v>
      </c>
      <c r="F173" s="8">
        <v>90.09110000000004</v>
      </c>
      <c r="G173" s="7" t="s">
        <v>77</v>
      </c>
      <c r="H173" s="7" t="s">
        <v>75</v>
      </c>
      <c r="I173" s="6">
        <v>262.11</v>
      </c>
      <c r="J173" s="6">
        <f t="shared" si="7"/>
        <v>89912.090000000011</v>
      </c>
      <c r="K173" s="6">
        <f t="shared" si="8"/>
        <v>14580.010000000004</v>
      </c>
    </row>
    <row r="174" spans="1:11" x14ac:dyDescent="0.25">
      <c r="A174" s="5" t="s">
        <v>704</v>
      </c>
      <c r="B174" s="42">
        <f t="shared" si="6"/>
        <v>90.174200000000013</v>
      </c>
      <c r="C174" s="7" t="s">
        <v>446</v>
      </c>
      <c r="D174" s="7" t="s">
        <v>448</v>
      </c>
      <c r="F174" s="8">
        <v>90.622100000000032</v>
      </c>
      <c r="G174" s="7" t="s">
        <v>75</v>
      </c>
      <c r="H174" s="7" t="s">
        <v>73</v>
      </c>
      <c r="I174" s="6">
        <v>661.04</v>
      </c>
      <c r="J174" s="6">
        <f t="shared" si="7"/>
        <v>90174.200000000012</v>
      </c>
      <c r="K174" s="6">
        <f t="shared" si="8"/>
        <v>14317.900000000003</v>
      </c>
    </row>
    <row r="175" spans="1:11" x14ac:dyDescent="0.25">
      <c r="A175" s="5" t="s">
        <v>704</v>
      </c>
      <c r="B175" s="42">
        <f t="shared" si="6"/>
        <v>90.835239999999999</v>
      </c>
      <c r="C175" s="7" t="s">
        <v>448</v>
      </c>
      <c r="D175" s="7" t="s">
        <v>450</v>
      </c>
      <c r="F175" s="8">
        <v>91.078100000000035</v>
      </c>
      <c r="G175" s="7" t="s">
        <v>73</v>
      </c>
      <c r="H175" s="7" t="s">
        <v>71</v>
      </c>
      <c r="I175" s="6">
        <v>630</v>
      </c>
      <c r="J175" s="6">
        <f t="shared" si="7"/>
        <v>90835.24</v>
      </c>
      <c r="K175" s="6">
        <f t="shared" si="8"/>
        <v>13656.860000000004</v>
      </c>
    </row>
    <row r="176" spans="1:11" x14ac:dyDescent="0.25">
      <c r="A176" s="5" t="s">
        <v>704</v>
      </c>
      <c r="B176" s="42">
        <f t="shared" si="6"/>
        <v>91.465240000000009</v>
      </c>
      <c r="C176" s="7" t="s">
        <v>450</v>
      </c>
      <c r="D176" s="7" t="s">
        <v>452</v>
      </c>
      <c r="F176" s="8">
        <v>91.630100000000041</v>
      </c>
      <c r="G176" s="7" t="s">
        <v>71</v>
      </c>
      <c r="H176" s="7" t="s">
        <v>69</v>
      </c>
      <c r="I176" s="6">
        <v>262</v>
      </c>
      <c r="J176" s="6">
        <f t="shared" si="7"/>
        <v>91465.24</v>
      </c>
      <c r="K176" s="6">
        <f t="shared" si="8"/>
        <v>13026.860000000004</v>
      </c>
    </row>
    <row r="177" spans="1:11" x14ac:dyDescent="0.25">
      <c r="A177" s="5" t="s">
        <v>704</v>
      </c>
      <c r="B177" s="42">
        <f t="shared" si="6"/>
        <v>91.727240000000009</v>
      </c>
      <c r="C177" s="7" t="s">
        <v>452</v>
      </c>
      <c r="D177" s="7" t="s">
        <v>454</v>
      </c>
      <c r="F177" s="8">
        <v>92.237690000000029</v>
      </c>
      <c r="G177" s="7" t="s">
        <v>69</v>
      </c>
      <c r="H177" s="7" t="s">
        <v>67</v>
      </c>
      <c r="I177" s="6">
        <v>706</v>
      </c>
      <c r="J177" s="6">
        <f t="shared" si="7"/>
        <v>91727.24</v>
      </c>
      <c r="K177" s="6">
        <f t="shared" si="8"/>
        <v>12764.860000000004</v>
      </c>
    </row>
    <row r="178" spans="1:11" x14ac:dyDescent="0.25">
      <c r="A178" s="5" t="s">
        <v>704</v>
      </c>
      <c r="B178" s="42">
        <f t="shared" si="6"/>
        <v>92.433240000000012</v>
      </c>
      <c r="C178" s="7" t="s">
        <v>454</v>
      </c>
      <c r="D178" s="7" t="s">
        <v>456</v>
      </c>
      <c r="F178" s="8">
        <v>92.347700000000032</v>
      </c>
      <c r="G178" s="7" t="s">
        <v>67</v>
      </c>
      <c r="H178" s="7" t="s">
        <v>65</v>
      </c>
      <c r="I178" s="6">
        <v>419</v>
      </c>
      <c r="J178" s="6">
        <f t="shared" si="7"/>
        <v>92433.24</v>
      </c>
      <c r="K178" s="6">
        <f t="shared" si="8"/>
        <v>12058.860000000004</v>
      </c>
    </row>
    <row r="179" spans="1:11" x14ac:dyDescent="0.25">
      <c r="A179" s="5" t="s">
        <v>704</v>
      </c>
      <c r="B179" s="42">
        <f t="shared" si="6"/>
        <v>92.852240000000009</v>
      </c>
      <c r="C179" s="7" t="s">
        <v>456</v>
      </c>
      <c r="D179" s="7" t="s">
        <v>458</v>
      </c>
      <c r="F179" s="8">
        <v>92.729100000000017</v>
      </c>
      <c r="G179" s="7" t="s">
        <v>65</v>
      </c>
      <c r="H179" s="7" t="s">
        <v>63</v>
      </c>
      <c r="I179" s="6">
        <v>613.87</v>
      </c>
      <c r="J179" s="6">
        <f t="shared" si="7"/>
        <v>92852.24</v>
      </c>
      <c r="K179" s="6">
        <f t="shared" si="8"/>
        <v>11639.860000000004</v>
      </c>
    </row>
    <row r="180" spans="1:11" x14ac:dyDescent="0.25">
      <c r="A180" s="5" t="s">
        <v>704</v>
      </c>
      <c r="B180" s="42">
        <f t="shared" si="6"/>
        <v>93.46611</v>
      </c>
      <c r="C180" s="7" t="s">
        <v>458</v>
      </c>
      <c r="D180" s="7" t="s">
        <v>460</v>
      </c>
      <c r="F180" s="8">
        <v>93.124100000000027</v>
      </c>
      <c r="G180" s="7" t="s">
        <v>63</v>
      </c>
      <c r="H180" s="7" t="s">
        <v>61</v>
      </c>
      <c r="I180" s="6">
        <v>541.63</v>
      </c>
      <c r="J180" s="6">
        <f t="shared" si="7"/>
        <v>93466.11</v>
      </c>
      <c r="K180" s="6">
        <f t="shared" si="8"/>
        <v>11025.990000000003</v>
      </c>
    </row>
    <row r="181" spans="1:11" x14ac:dyDescent="0.25">
      <c r="A181" s="5" t="s">
        <v>704</v>
      </c>
      <c r="B181" s="42">
        <f t="shared" si="6"/>
        <v>94.007739999999998</v>
      </c>
      <c r="C181" s="7" t="s">
        <v>460</v>
      </c>
      <c r="D181" s="7" t="s">
        <v>462</v>
      </c>
      <c r="F181" s="8">
        <v>93.880100000000027</v>
      </c>
      <c r="G181" s="7" t="s">
        <v>61</v>
      </c>
      <c r="H181" s="7" t="s">
        <v>59</v>
      </c>
      <c r="I181" s="6">
        <v>563.46</v>
      </c>
      <c r="J181" s="6">
        <f t="shared" si="7"/>
        <v>94007.74</v>
      </c>
      <c r="K181" s="6">
        <f t="shared" si="8"/>
        <v>10484.360000000004</v>
      </c>
    </row>
    <row r="182" spans="1:11" x14ac:dyDescent="0.25">
      <c r="A182" s="5" t="s">
        <v>704</v>
      </c>
      <c r="B182" s="42">
        <f t="shared" si="6"/>
        <v>94.571200000000005</v>
      </c>
      <c r="C182" s="7" t="s">
        <v>462</v>
      </c>
      <c r="D182" s="7" t="s">
        <v>464</v>
      </c>
      <c r="F182" s="8">
        <v>94.326100000000025</v>
      </c>
      <c r="G182" s="7" t="s">
        <v>59</v>
      </c>
      <c r="H182" s="7" t="s">
        <v>57</v>
      </c>
      <c r="I182" s="6">
        <v>464.04</v>
      </c>
      <c r="J182" s="6">
        <f t="shared" si="7"/>
        <v>94571.200000000012</v>
      </c>
      <c r="K182" s="6">
        <f t="shared" si="8"/>
        <v>9920.9000000000051</v>
      </c>
    </row>
    <row r="183" spans="1:11" x14ac:dyDescent="0.25">
      <c r="A183" s="5" t="s">
        <v>704</v>
      </c>
      <c r="B183" s="42">
        <f t="shared" si="6"/>
        <v>95.035240000000002</v>
      </c>
      <c r="C183" s="7" t="s">
        <v>464</v>
      </c>
      <c r="D183" s="7" t="s">
        <v>466</v>
      </c>
      <c r="F183" s="8">
        <v>94.802720000000022</v>
      </c>
      <c r="G183" s="7" t="s">
        <v>57</v>
      </c>
      <c r="H183" s="7" t="s">
        <v>55</v>
      </c>
      <c r="I183" s="6">
        <v>428</v>
      </c>
      <c r="J183" s="6">
        <f t="shared" si="7"/>
        <v>95035.24</v>
      </c>
      <c r="K183" s="6">
        <f t="shared" si="8"/>
        <v>9456.8600000000042</v>
      </c>
    </row>
    <row r="184" spans="1:11" x14ac:dyDescent="0.25">
      <c r="A184" s="5" t="s">
        <v>704</v>
      </c>
      <c r="B184" s="42">
        <f t="shared" si="6"/>
        <v>95.463239999999999</v>
      </c>
      <c r="C184" s="7" t="s">
        <v>466</v>
      </c>
      <c r="D184" s="7" t="s">
        <v>468</v>
      </c>
      <c r="F184" s="8">
        <v>95.54922000000002</v>
      </c>
      <c r="G184" s="7" t="s">
        <v>55</v>
      </c>
      <c r="H184" s="7" t="s">
        <v>53</v>
      </c>
      <c r="I184" s="6">
        <v>607</v>
      </c>
      <c r="J184" s="6">
        <f t="shared" si="7"/>
        <v>95463.24</v>
      </c>
      <c r="K184" s="6">
        <f t="shared" si="8"/>
        <v>9028.8600000000042</v>
      </c>
    </row>
    <row r="185" spans="1:11" x14ac:dyDescent="0.25">
      <c r="A185" s="5" t="s">
        <v>704</v>
      </c>
      <c r="B185" s="42">
        <f t="shared" si="6"/>
        <v>96.070239999999998</v>
      </c>
      <c r="C185" s="7" t="s">
        <v>468</v>
      </c>
      <c r="D185" s="7" t="s">
        <v>470</v>
      </c>
      <c r="F185" s="8">
        <v>96.095100000000016</v>
      </c>
      <c r="G185" s="7" t="s">
        <v>53</v>
      </c>
      <c r="H185" s="7" t="s">
        <v>51</v>
      </c>
      <c r="I185" s="6">
        <v>637.67999999999995</v>
      </c>
      <c r="J185" s="6">
        <f t="shared" si="7"/>
        <v>96070.24</v>
      </c>
      <c r="K185" s="6">
        <f t="shared" si="8"/>
        <v>8421.8600000000042</v>
      </c>
    </row>
    <row r="186" spans="1:11" x14ac:dyDescent="0.25">
      <c r="A186" s="5" t="s">
        <v>704</v>
      </c>
      <c r="B186" s="42">
        <f t="shared" si="6"/>
        <v>96.707920000000001</v>
      </c>
      <c r="C186" s="7" t="s">
        <v>470</v>
      </c>
      <c r="D186" s="7" t="s">
        <v>472</v>
      </c>
      <c r="F186" s="8">
        <v>96.298100000000019</v>
      </c>
      <c r="G186" s="7" t="s">
        <v>51</v>
      </c>
      <c r="H186" s="7" t="s">
        <v>49</v>
      </c>
      <c r="I186" s="6">
        <v>336.32</v>
      </c>
      <c r="J186" s="6">
        <f t="shared" si="7"/>
        <v>96707.92</v>
      </c>
      <c r="K186" s="6">
        <f t="shared" si="8"/>
        <v>7784.1800000000039</v>
      </c>
    </row>
    <row r="187" spans="1:11" x14ac:dyDescent="0.25">
      <c r="A187" s="5" t="s">
        <v>704</v>
      </c>
      <c r="B187" s="42">
        <f t="shared" si="6"/>
        <v>97.044240000000002</v>
      </c>
      <c r="C187" s="7" t="s">
        <v>472</v>
      </c>
      <c r="D187" s="7" t="s">
        <v>474</v>
      </c>
      <c r="F187" s="8">
        <v>96.995100000000022</v>
      </c>
      <c r="G187" s="7" t="s">
        <v>49</v>
      </c>
      <c r="H187" s="7" t="s">
        <v>47</v>
      </c>
      <c r="I187" s="6">
        <v>443.47</v>
      </c>
      <c r="J187" s="6">
        <f t="shared" si="7"/>
        <v>97044.24</v>
      </c>
      <c r="K187" s="6">
        <f t="shared" si="8"/>
        <v>7447.8600000000042</v>
      </c>
    </row>
    <row r="188" spans="1:11" x14ac:dyDescent="0.25">
      <c r="A188" s="5" t="s">
        <v>704</v>
      </c>
      <c r="B188" s="42">
        <f t="shared" si="6"/>
        <v>97.487710000000007</v>
      </c>
      <c r="C188" s="7" t="s">
        <v>474</v>
      </c>
      <c r="D188" s="7" t="s">
        <v>476</v>
      </c>
      <c r="F188" s="8">
        <v>97.547100000000015</v>
      </c>
      <c r="G188" s="7" t="s">
        <v>47</v>
      </c>
      <c r="H188" s="7" t="s">
        <v>45</v>
      </c>
      <c r="I188" s="6">
        <v>516.53</v>
      </c>
      <c r="J188" s="6">
        <f t="shared" si="7"/>
        <v>97487.71</v>
      </c>
      <c r="K188" s="6">
        <f t="shared" si="8"/>
        <v>7004.390000000004</v>
      </c>
    </row>
    <row r="189" spans="1:11" x14ac:dyDescent="0.25">
      <c r="A189" s="5" t="s">
        <v>704</v>
      </c>
      <c r="B189" s="42">
        <f t="shared" si="6"/>
        <v>98.00424000000001</v>
      </c>
      <c r="C189" s="7" t="s">
        <v>476</v>
      </c>
      <c r="D189" s="7" t="s">
        <v>478</v>
      </c>
      <c r="F189" s="8">
        <v>97.918100000000024</v>
      </c>
      <c r="G189" s="7" t="s">
        <v>45</v>
      </c>
      <c r="H189" s="7" t="s">
        <v>43</v>
      </c>
      <c r="I189" s="6">
        <v>598</v>
      </c>
      <c r="J189" s="6">
        <f t="shared" si="7"/>
        <v>98004.24</v>
      </c>
      <c r="K189" s="6">
        <f t="shared" si="8"/>
        <v>6487.8600000000042</v>
      </c>
    </row>
    <row r="190" spans="1:11" x14ac:dyDescent="0.25">
      <c r="A190" s="5" t="s">
        <v>704</v>
      </c>
      <c r="B190" s="42">
        <f t="shared" si="6"/>
        <v>98.602240000000009</v>
      </c>
      <c r="C190" s="7" t="s">
        <v>478</v>
      </c>
      <c r="D190" s="7" t="s">
        <v>480</v>
      </c>
      <c r="F190" s="8">
        <v>98.290710000000018</v>
      </c>
      <c r="G190" s="7" t="s">
        <v>43</v>
      </c>
      <c r="H190" s="7" t="s">
        <v>41</v>
      </c>
      <c r="I190" s="6">
        <v>586</v>
      </c>
      <c r="J190" s="6">
        <f t="shared" si="7"/>
        <v>98602.240000000005</v>
      </c>
      <c r="K190" s="6">
        <f t="shared" si="8"/>
        <v>5889.8600000000042</v>
      </c>
    </row>
    <row r="191" spans="1:11" x14ac:dyDescent="0.25">
      <c r="A191" s="5" t="s">
        <v>704</v>
      </c>
      <c r="B191" s="42">
        <f t="shared" si="6"/>
        <v>99.188240000000008</v>
      </c>
      <c r="C191" s="7" t="s">
        <v>480</v>
      </c>
      <c r="D191" s="7" t="s">
        <v>482</v>
      </c>
      <c r="F191" s="8">
        <v>98.875100000000018</v>
      </c>
      <c r="G191" s="7" t="s">
        <v>41</v>
      </c>
      <c r="H191" s="7" t="s">
        <v>39</v>
      </c>
      <c r="I191" s="6">
        <v>451.85</v>
      </c>
      <c r="J191" s="6">
        <f t="shared" si="7"/>
        <v>99188.24</v>
      </c>
      <c r="K191" s="6">
        <f t="shared" si="8"/>
        <v>5303.8600000000042</v>
      </c>
    </row>
    <row r="192" spans="1:11" x14ac:dyDescent="0.25">
      <c r="A192" s="5" t="s">
        <v>704</v>
      </c>
      <c r="B192" s="42">
        <f t="shared" si="6"/>
        <v>99.640090000000015</v>
      </c>
      <c r="C192" s="7" t="s">
        <v>482</v>
      </c>
      <c r="D192" s="7" t="s">
        <v>484</v>
      </c>
      <c r="F192" s="8">
        <v>99.276100000000014</v>
      </c>
      <c r="G192" s="7" t="s">
        <v>39</v>
      </c>
      <c r="H192" s="7" t="s">
        <v>37</v>
      </c>
      <c r="I192" s="6">
        <v>620.15</v>
      </c>
      <c r="J192" s="6">
        <f t="shared" si="7"/>
        <v>99640.090000000011</v>
      </c>
      <c r="K192" s="6">
        <f t="shared" si="8"/>
        <v>4852.0100000000039</v>
      </c>
    </row>
    <row r="193" spans="1:11" x14ac:dyDescent="0.25">
      <c r="A193" s="5" t="s">
        <v>704</v>
      </c>
      <c r="B193" s="42">
        <f t="shared" si="6"/>
        <v>100.26024000000001</v>
      </c>
      <c r="C193" s="7" t="s">
        <v>484</v>
      </c>
      <c r="D193" s="7" t="s">
        <v>486</v>
      </c>
      <c r="F193" s="8">
        <v>99.783100000000019</v>
      </c>
      <c r="G193" s="7" t="s">
        <v>37</v>
      </c>
      <c r="H193" s="7" t="s">
        <v>35</v>
      </c>
      <c r="I193" s="6">
        <v>506.42</v>
      </c>
      <c r="J193" s="6">
        <f t="shared" si="7"/>
        <v>100260.24</v>
      </c>
      <c r="K193" s="6">
        <f t="shared" si="8"/>
        <v>4231.8600000000042</v>
      </c>
    </row>
    <row r="194" spans="1:11" x14ac:dyDescent="0.25">
      <c r="A194" s="5" t="s">
        <v>704</v>
      </c>
      <c r="B194" s="42">
        <f t="shared" si="6"/>
        <v>100.76666</v>
      </c>
      <c r="C194" s="7" t="s">
        <v>486</v>
      </c>
      <c r="D194" s="7" t="s">
        <v>488</v>
      </c>
      <c r="F194" s="8">
        <v>100.28251000000003</v>
      </c>
      <c r="G194" s="7" t="s">
        <v>35</v>
      </c>
      <c r="H194" s="7" t="s">
        <v>33</v>
      </c>
      <c r="I194" s="6">
        <v>592.35</v>
      </c>
      <c r="J194" s="6">
        <f t="shared" si="7"/>
        <v>100766.66</v>
      </c>
      <c r="K194" s="6">
        <f t="shared" si="8"/>
        <v>3725.4400000000041</v>
      </c>
    </row>
    <row r="195" spans="1:11" x14ac:dyDescent="0.25">
      <c r="A195" s="5" t="s">
        <v>704</v>
      </c>
      <c r="B195" s="42">
        <f t="shared" ref="B195:B203" si="9">J195/1000</f>
        <v>101.35901000000001</v>
      </c>
      <c r="C195" s="7" t="s">
        <v>488</v>
      </c>
      <c r="D195" s="7" t="s">
        <v>490</v>
      </c>
      <c r="F195" s="8">
        <v>101.04883000000004</v>
      </c>
      <c r="G195" s="7" t="s">
        <v>33</v>
      </c>
      <c r="H195" s="7" t="s">
        <v>31</v>
      </c>
      <c r="I195" s="6">
        <v>599.23</v>
      </c>
      <c r="J195" s="6">
        <f t="shared" si="7"/>
        <v>101359.01000000001</v>
      </c>
      <c r="K195" s="6">
        <f t="shared" si="8"/>
        <v>3133.0900000000042</v>
      </c>
    </row>
    <row r="196" spans="1:11" x14ac:dyDescent="0.25">
      <c r="A196" s="5" t="s">
        <v>704</v>
      </c>
      <c r="B196" s="42">
        <f t="shared" si="9"/>
        <v>101.95824</v>
      </c>
      <c r="C196" s="7" t="s">
        <v>490</v>
      </c>
      <c r="D196" s="7" t="s">
        <v>492</v>
      </c>
      <c r="F196" s="8">
        <v>101.48441000000004</v>
      </c>
      <c r="G196" s="7" t="s">
        <v>31</v>
      </c>
      <c r="H196" s="7" t="s">
        <v>29</v>
      </c>
      <c r="I196" s="6">
        <v>510</v>
      </c>
      <c r="J196" s="6">
        <f t="shared" ref="J196:J203" si="10">J195+I195</f>
        <v>101958.24</v>
      </c>
      <c r="K196" s="6">
        <f t="shared" ref="K196:K203" si="11">K195-I195</f>
        <v>2533.8600000000042</v>
      </c>
    </row>
    <row r="197" spans="1:11" x14ac:dyDescent="0.25">
      <c r="A197" s="5" t="s">
        <v>704</v>
      </c>
      <c r="B197" s="42">
        <f t="shared" si="9"/>
        <v>102.46824000000001</v>
      </c>
      <c r="C197" s="7" t="s">
        <v>492</v>
      </c>
      <c r="D197" s="7" t="s">
        <v>494</v>
      </c>
      <c r="F197" s="8">
        <v>101.96010000000004</v>
      </c>
      <c r="G197" s="7" t="s">
        <v>29</v>
      </c>
      <c r="H197" s="7" t="s">
        <v>27</v>
      </c>
      <c r="I197" s="6">
        <v>140</v>
      </c>
      <c r="J197" s="6">
        <f t="shared" si="10"/>
        <v>102468.24</v>
      </c>
      <c r="K197" s="6">
        <f t="shared" si="11"/>
        <v>2023.8600000000042</v>
      </c>
    </row>
    <row r="198" spans="1:11" x14ac:dyDescent="0.25">
      <c r="A198" s="5" t="s">
        <v>704</v>
      </c>
      <c r="B198" s="42">
        <f t="shared" si="9"/>
        <v>102.60824000000001</v>
      </c>
      <c r="C198" s="7" t="s">
        <v>494</v>
      </c>
      <c r="D198" s="7" t="s">
        <v>496</v>
      </c>
      <c r="F198" s="8">
        <v>102.71010000000004</v>
      </c>
      <c r="G198" s="7" t="s">
        <v>27</v>
      </c>
      <c r="H198" s="7" t="s">
        <v>25</v>
      </c>
      <c r="I198" s="6">
        <v>418.98</v>
      </c>
      <c r="J198" s="6">
        <f t="shared" si="10"/>
        <v>102608.24</v>
      </c>
      <c r="K198" s="6">
        <f t="shared" si="11"/>
        <v>1883.8600000000042</v>
      </c>
    </row>
    <row r="199" spans="1:11" x14ac:dyDescent="0.25">
      <c r="A199" s="5" t="s">
        <v>704</v>
      </c>
      <c r="B199" s="42">
        <f t="shared" si="9"/>
        <v>103.02722</v>
      </c>
      <c r="C199" s="7" t="s">
        <v>496</v>
      </c>
      <c r="D199" s="7" t="s">
        <v>498</v>
      </c>
      <c r="F199" s="8">
        <v>103.18591000000004</v>
      </c>
      <c r="G199" s="7" t="s">
        <v>25</v>
      </c>
      <c r="H199" s="7" t="s">
        <v>23</v>
      </c>
      <c r="I199" s="6">
        <v>518.02</v>
      </c>
      <c r="J199" s="6">
        <f t="shared" si="10"/>
        <v>103027.22</v>
      </c>
      <c r="K199" s="6">
        <f t="shared" si="11"/>
        <v>1464.8800000000042</v>
      </c>
    </row>
    <row r="200" spans="1:11" x14ac:dyDescent="0.25">
      <c r="A200" s="5" t="s">
        <v>704</v>
      </c>
      <c r="B200" s="42">
        <f t="shared" si="9"/>
        <v>103.54524000000001</v>
      </c>
      <c r="C200" s="7" t="s">
        <v>498</v>
      </c>
      <c r="D200" s="7" t="s">
        <v>500</v>
      </c>
      <c r="F200" s="8">
        <v>103.67110000000004</v>
      </c>
      <c r="G200" s="7" t="s">
        <v>23</v>
      </c>
      <c r="H200" s="7" t="s">
        <v>20</v>
      </c>
      <c r="I200" s="6">
        <v>491.35</v>
      </c>
      <c r="J200" s="6">
        <f t="shared" si="10"/>
        <v>103545.24</v>
      </c>
      <c r="K200" s="6">
        <f t="shared" si="11"/>
        <v>946.86000000000422</v>
      </c>
    </row>
    <row r="201" spans="1:11" x14ac:dyDescent="0.25">
      <c r="A201" s="5" t="s">
        <v>704</v>
      </c>
      <c r="B201" s="42">
        <f t="shared" si="9"/>
        <v>104.03659000000002</v>
      </c>
      <c r="C201" s="7" t="s">
        <v>500</v>
      </c>
      <c r="D201" s="7" t="s">
        <v>502</v>
      </c>
      <c r="F201" s="8">
        <v>103.95489000000003</v>
      </c>
      <c r="G201" s="7" t="s">
        <v>20</v>
      </c>
      <c r="H201" s="7" t="s">
        <v>15</v>
      </c>
      <c r="I201" s="6">
        <v>348.24</v>
      </c>
      <c r="J201" s="6">
        <f t="shared" si="10"/>
        <v>104036.59000000001</v>
      </c>
      <c r="K201" s="6">
        <f t="shared" si="11"/>
        <v>455.5100000000042</v>
      </c>
    </row>
    <row r="202" spans="1:11" x14ac:dyDescent="0.25">
      <c r="A202" s="5" t="s">
        <v>704</v>
      </c>
      <c r="B202" s="42">
        <f t="shared" si="9"/>
        <v>104.38483000000002</v>
      </c>
      <c r="C202" s="7" t="s">
        <v>502</v>
      </c>
      <c r="D202" s="7" t="s">
        <v>703</v>
      </c>
      <c r="F202" s="8">
        <v>104.30473000000002</v>
      </c>
      <c r="G202" s="7" t="s">
        <v>15</v>
      </c>
      <c r="H202" s="7" t="s">
        <v>705</v>
      </c>
      <c r="I202" s="6">
        <v>107.27</v>
      </c>
      <c r="J202" s="6">
        <f t="shared" si="10"/>
        <v>104384.83000000002</v>
      </c>
      <c r="K202" s="6">
        <f t="shared" si="11"/>
        <v>107.27000000000419</v>
      </c>
    </row>
    <row r="203" spans="1:11" x14ac:dyDescent="0.25">
      <c r="A203" s="5" t="s">
        <v>704</v>
      </c>
      <c r="B203" s="42">
        <f t="shared" si="9"/>
        <v>104.49210000000002</v>
      </c>
      <c r="C203" s="7" t="s">
        <v>838</v>
      </c>
      <c r="D203" s="7" t="s">
        <v>22</v>
      </c>
      <c r="F203" s="8">
        <v>104.49210000000002</v>
      </c>
      <c r="G203" s="7" t="s">
        <v>705</v>
      </c>
      <c r="H203" s="7" t="s">
        <v>22</v>
      </c>
      <c r="I203" s="6"/>
      <c r="J203" s="6">
        <f t="shared" si="10"/>
        <v>104492.10000000002</v>
      </c>
      <c r="K203" s="6">
        <f t="shared" si="11"/>
        <v>4.1922021409845911E-12</v>
      </c>
    </row>
    <row r="204" spans="1:11" x14ac:dyDescent="0.25">
      <c r="A204" s="13"/>
      <c r="B204" s="13"/>
      <c r="C204" s="14"/>
      <c r="D204" s="14"/>
      <c r="E204" s="14"/>
      <c r="F204" s="14"/>
      <c r="G204" s="14"/>
      <c r="H204" s="14"/>
      <c r="I204" s="15"/>
      <c r="J204" s="13"/>
      <c r="K204" s="13"/>
    </row>
    <row r="205" spans="1:11" x14ac:dyDescent="0.25">
      <c r="I205" s="16">
        <f>SUM(I2:I202)/1000</f>
        <v>104.49210000000002</v>
      </c>
      <c r="J205" s="5">
        <v>200</v>
      </c>
    </row>
  </sheetData>
  <dataValidations count="3"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800-000000000000}">
      <formula1>0</formula1>
      <formula2>30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800-000001000000}">
      <formula1>0</formula1>
      <formula2>60</formula2>
    </dataValidation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800-000002000000}">
      <formula1>0</formula1>
      <formula2>50</formula2>
    </dataValidation>
  </dataValidation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9"/>
  <dimension ref="A1:O704"/>
  <sheetViews>
    <sheetView workbookViewId="0">
      <selection activeCell="B1" sqref="B1"/>
    </sheetView>
  </sheetViews>
  <sheetFormatPr defaultRowHeight="15" x14ac:dyDescent="0.25"/>
  <cols>
    <col min="1" max="1" width="23.7109375" style="5" bestFit="1" customWidth="1"/>
    <col min="2" max="2" width="10.5703125" style="5" bestFit="1" customWidth="1"/>
    <col min="3" max="3" width="21.85546875" style="7" bestFit="1" customWidth="1"/>
    <col min="4" max="4" width="21.85546875" style="7" hidden="1" customWidth="1"/>
    <col min="5" max="5" width="7.140625" style="7" bestFit="1" customWidth="1"/>
    <col min="6" max="6" width="13.140625" style="7" hidden="1" customWidth="1"/>
    <col min="7" max="8" width="21.85546875" style="7" hidden="1" customWidth="1"/>
    <col min="9" max="9" width="30.28515625" style="5" hidden="1" customWidth="1"/>
    <col min="10" max="10" width="26.28515625" style="5" hidden="1" customWidth="1"/>
    <col min="11" max="11" width="24.5703125" style="5" hidden="1" customWidth="1"/>
    <col min="12" max="12" width="5" bestFit="1" customWidth="1"/>
    <col min="13" max="13" width="20.140625" bestFit="1" customWidth="1"/>
    <col min="14" max="14" width="17.28515625" bestFit="1" customWidth="1"/>
    <col min="257" max="258" width="32.7109375" customWidth="1"/>
    <col min="259" max="263" width="24.85546875" customWidth="1"/>
    <col min="264" max="264" width="37.28515625" bestFit="1" customWidth="1"/>
    <col min="265" max="265" width="32" bestFit="1" customWidth="1"/>
    <col min="266" max="266" width="30" bestFit="1" customWidth="1"/>
    <col min="268" max="268" width="20.85546875" bestFit="1" customWidth="1"/>
    <col min="269" max="269" width="18" bestFit="1" customWidth="1"/>
    <col min="270" max="270" width="4.5703125" bestFit="1" customWidth="1"/>
    <col min="513" max="514" width="32.7109375" customWidth="1"/>
    <col min="515" max="519" width="24.85546875" customWidth="1"/>
    <col min="520" max="520" width="37.28515625" bestFit="1" customWidth="1"/>
    <col min="521" max="521" width="32" bestFit="1" customWidth="1"/>
    <col min="522" max="522" width="30" bestFit="1" customWidth="1"/>
    <col min="524" max="524" width="20.85546875" bestFit="1" customWidth="1"/>
    <col min="525" max="525" width="18" bestFit="1" customWidth="1"/>
    <col min="526" max="526" width="4.5703125" bestFit="1" customWidth="1"/>
    <col min="769" max="770" width="32.7109375" customWidth="1"/>
    <col min="771" max="775" width="24.85546875" customWidth="1"/>
    <col min="776" max="776" width="37.28515625" bestFit="1" customWidth="1"/>
    <col min="777" max="777" width="32" bestFit="1" customWidth="1"/>
    <col min="778" max="778" width="30" bestFit="1" customWidth="1"/>
    <col min="780" max="780" width="20.85546875" bestFit="1" customWidth="1"/>
    <col min="781" max="781" width="18" bestFit="1" customWidth="1"/>
    <col min="782" max="782" width="4.5703125" bestFit="1" customWidth="1"/>
    <col min="1025" max="1026" width="32.7109375" customWidth="1"/>
    <col min="1027" max="1031" width="24.85546875" customWidth="1"/>
    <col min="1032" max="1032" width="37.28515625" bestFit="1" customWidth="1"/>
    <col min="1033" max="1033" width="32" bestFit="1" customWidth="1"/>
    <col min="1034" max="1034" width="30" bestFit="1" customWidth="1"/>
    <col min="1036" max="1036" width="20.85546875" bestFit="1" customWidth="1"/>
    <col min="1037" max="1037" width="18" bestFit="1" customWidth="1"/>
    <col min="1038" max="1038" width="4.5703125" bestFit="1" customWidth="1"/>
    <col min="1281" max="1282" width="32.7109375" customWidth="1"/>
    <col min="1283" max="1287" width="24.85546875" customWidth="1"/>
    <col min="1288" max="1288" width="37.28515625" bestFit="1" customWidth="1"/>
    <col min="1289" max="1289" width="32" bestFit="1" customWidth="1"/>
    <col min="1290" max="1290" width="30" bestFit="1" customWidth="1"/>
    <col min="1292" max="1292" width="20.85546875" bestFit="1" customWidth="1"/>
    <col min="1293" max="1293" width="18" bestFit="1" customWidth="1"/>
    <col min="1294" max="1294" width="4.5703125" bestFit="1" customWidth="1"/>
    <col min="1537" max="1538" width="32.7109375" customWidth="1"/>
    <col min="1539" max="1543" width="24.85546875" customWidth="1"/>
    <col min="1544" max="1544" width="37.28515625" bestFit="1" customWidth="1"/>
    <col min="1545" max="1545" width="32" bestFit="1" customWidth="1"/>
    <col min="1546" max="1546" width="30" bestFit="1" customWidth="1"/>
    <col min="1548" max="1548" width="20.85546875" bestFit="1" customWidth="1"/>
    <col min="1549" max="1549" width="18" bestFit="1" customWidth="1"/>
    <col min="1550" max="1550" width="4.5703125" bestFit="1" customWidth="1"/>
    <col min="1793" max="1794" width="32.7109375" customWidth="1"/>
    <col min="1795" max="1799" width="24.85546875" customWidth="1"/>
    <col min="1800" max="1800" width="37.28515625" bestFit="1" customWidth="1"/>
    <col min="1801" max="1801" width="32" bestFit="1" customWidth="1"/>
    <col min="1802" max="1802" width="30" bestFit="1" customWidth="1"/>
    <col min="1804" max="1804" width="20.85546875" bestFit="1" customWidth="1"/>
    <col min="1805" max="1805" width="18" bestFit="1" customWidth="1"/>
    <col min="1806" max="1806" width="4.5703125" bestFit="1" customWidth="1"/>
    <col min="2049" max="2050" width="32.7109375" customWidth="1"/>
    <col min="2051" max="2055" width="24.85546875" customWidth="1"/>
    <col min="2056" max="2056" width="37.28515625" bestFit="1" customWidth="1"/>
    <col min="2057" max="2057" width="32" bestFit="1" customWidth="1"/>
    <col min="2058" max="2058" width="30" bestFit="1" customWidth="1"/>
    <col min="2060" max="2060" width="20.85546875" bestFit="1" customWidth="1"/>
    <col min="2061" max="2061" width="18" bestFit="1" customWidth="1"/>
    <col min="2062" max="2062" width="4.5703125" bestFit="1" customWidth="1"/>
    <col min="2305" max="2306" width="32.7109375" customWidth="1"/>
    <col min="2307" max="2311" width="24.85546875" customWidth="1"/>
    <col min="2312" max="2312" width="37.28515625" bestFit="1" customWidth="1"/>
    <col min="2313" max="2313" width="32" bestFit="1" customWidth="1"/>
    <col min="2314" max="2314" width="30" bestFit="1" customWidth="1"/>
    <col min="2316" max="2316" width="20.85546875" bestFit="1" customWidth="1"/>
    <col min="2317" max="2317" width="18" bestFit="1" customWidth="1"/>
    <col min="2318" max="2318" width="4.5703125" bestFit="1" customWidth="1"/>
    <col min="2561" max="2562" width="32.7109375" customWidth="1"/>
    <col min="2563" max="2567" width="24.85546875" customWidth="1"/>
    <col min="2568" max="2568" width="37.28515625" bestFit="1" customWidth="1"/>
    <col min="2569" max="2569" width="32" bestFit="1" customWidth="1"/>
    <col min="2570" max="2570" width="30" bestFit="1" customWidth="1"/>
    <col min="2572" max="2572" width="20.85546875" bestFit="1" customWidth="1"/>
    <col min="2573" max="2573" width="18" bestFit="1" customWidth="1"/>
    <col min="2574" max="2574" width="4.5703125" bestFit="1" customWidth="1"/>
    <col min="2817" max="2818" width="32.7109375" customWidth="1"/>
    <col min="2819" max="2823" width="24.85546875" customWidth="1"/>
    <col min="2824" max="2824" width="37.28515625" bestFit="1" customWidth="1"/>
    <col min="2825" max="2825" width="32" bestFit="1" customWidth="1"/>
    <col min="2826" max="2826" width="30" bestFit="1" customWidth="1"/>
    <col min="2828" max="2828" width="20.85546875" bestFit="1" customWidth="1"/>
    <col min="2829" max="2829" width="18" bestFit="1" customWidth="1"/>
    <col min="2830" max="2830" width="4.5703125" bestFit="1" customWidth="1"/>
    <col min="3073" max="3074" width="32.7109375" customWidth="1"/>
    <col min="3075" max="3079" width="24.85546875" customWidth="1"/>
    <col min="3080" max="3080" width="37.28515625" bestFit="1" customWidth="1"/>
    <col min="3081" max="3081" width="32" bestFit="1" customWidth="1"/>
    <col min="3082" max="3082" width="30" bestFit="1" customWidth="1"/>
    <col min="3084" max="3084" width="20.85546875" bestFit="1" customWidth="1"/>
    <col min="3085" max="3085" width="18" bestFit="1" customWidth="1"/>
    <col min="3086" max="3086" width="4.5703125" bestFit="1" customWidth="1"/>
    <col min="3329" max="3330" width="32.7109375" customWidth="1"/>
    <col min="3331" max="3335" width="24.85546875" customWidth="1"/>
    <col min="3336" max="3336" width="37.28515625" bestFit="1" customWidth="1"/>
    <col min="3337" max="3337" width="32" bestFit="1" customWidth="1"/>
    <col min="3338" max="3338" width="30" bestFit="1" customWidth="1"/>
    <col min="3340" max="3340" width="20.85546875" bestFit="1" customWidth="1"/>
    <col min="3341" max="3341" width="18" bestFit="1" customWidth="1"/>
    <col min="3342" max="3342" width="4.5703125" bestFit="1" customWidth="1"/>
    <col min="3585" max="3586" width="32.7109375" customWidth="1"/>
    <col min="3587" max="3591" width="24.85546875" customWidth="1"/>
    <col min="3592" max="3592" width="37.28515625" bestFit="1" customWidth="1"/>
    <col min="3593" max="3593" width="32" bestFit="1" customWidth="1"/>
    <col min="3594" max="3594" width="30" bestFit="1" customWidth="1"/>
    <col min="3596" max="3596" width="20.85546875" bestFit="1" customWidth="1"/>
    <col min="3597" max="3597" width="18" bestFit="1" customWidth="1"/>
    <col min="3598" max="3598" width="4.5703125" bestFit="1" customWidth="1"/>
    <col min="3841" max="3842" width="32.7109375" customWidth="1"/>
    <col min="3843" max="3847" width="24.85546875" customWidth="1"/>
    <col min="3848" max="3848" width="37.28515625" bestFit="1" customWidth="1"/>
    <col min="3849" max="3849" width="32" bestFit="1" customWidth="1"/>
    <col min="3850" max="3850" width="30" bestFit="1" customWidth="1"/>
    <col min="3852" max="3852" width="20.85546875" bestFit="1" customWidth="1"/>
    <col min="3853" max="3853" width="18" bestFit="1" customWidth="1"/>
    <col min="3854" max="3854" width="4.5703125" bestFit="1" customWidth="1"/>
    <col min="4097" max="4098" width="32.7109375" customWidth="1"/>
    <col min="4099" max="4103" width="24.85546875" customWidth="1"/>
    <col min="4104" max="4104" width="37.28515625" bestFit="1" customWidth="1"/>
    <col min="4105" max="4105" width="32" bestFit="1" customWidth="1"/>
    <col min="4106" max="4106" width="30" bestFit="1" customWidth="1"/>
    <col min="4108" max="4108" width="20.85546875" bestFit="1" customWidth="1"/>
    <col min="4109" max="4109" width="18" bestFit="1" customWidth="1"/>
    <col min="4110" max="4110" width="4.5703125" bestFit="1" customWidth="1"/>
    <col min="4353" max="4354" width="32.7109375" customWidth="1"/>
    <col min="4355" max="4359" width="24.85546875" customWidth="1"/>
    <col min="4360" max="4360" width="37.28515625" bestFit="1" customWidth="1"/>
    <col min="4361" max="4361" width="32" bestFit="1" customWidth="1"/>
    <col min="4362" max="4362" width="30" bestFit="1" customWidth="1"/>
    <col min="4364" max="4364" width="20.85546875" bestFit="1" customWidth="1"/>
    <col min="4365" max="4365" width="18" bestFit="1" customWidth="1"/>
    <col min="4366" max="4366" width="4.5703125" bestFit="1" customWidth="1"/>
    <col min="4609" max="4610" width="32.7109375" customWidth="1"/>
    <col min="4611" max="4615" width="24.85546875" customWidth="1"/>
    <col min="4616" max="4616" width="37.28515625" bestFit="1" customWidth="1"/>
    <col min="4617" max="4617" width="32" bestFit="1" customWidth="1"/>
    <col min="4618" max="4618" width="30" bestFit="1" customWidth="1"/>
    <col min="4620" max="4620" width="20.85546875" bestFit="1" customWidth="1"/>
    <col min="4621" max="4621" width="18" bestFit="1" customWidth="1"/>
    <col min="4622" max="4622" width="4.5703125" bestFit="1" customWidth="1"/>
    <col min="4865" max="4866" width="32.7109375" customWidth="1"/>
    <col min="4867" max="4871" width="24.85546875" customWidth="1"/>
    <col min="4872" max="4872" width="37.28515625" bestFit="1" customWidth="1"/>
    <col min="4873" max="4873" width="32" bestFit="1" customWidth="1"/>
    <col min="4874" max="4874" width="30" bestFit="1" customWidth="1"/>
    <col min="4876" max="4876" width="20.85546875" bestFit="1" customWidth="1"/>
    <col min="4877" max="4877" width="18" bestFit="1" customWidth="1"/>
    <col min="4878" max="4878" width="4.5703125" bestFit="1" customWidth="1"/>
    <col min="5121" max="5122" width="32.7109375" customWidth="1"/>
    <col min="5123" max="5127" width="24.85546875" customWidth="1"/>
    <col min="5128" max="5128" width="37.28515625" bestFit="1" customWidth="1"/>
    <col min="5129" max="5129" width="32" bestFit="1" customWidth="1"/>
    <col min="5130" max="5130" width="30" bestFit="1" customWidth="1"/>
    <col min="5132" max="5132" width="20.85546875" bestFit="1" customWidth="1"/>
    <col min="5133" max="5133" width="18" bestFit="1" customWidth="1"/>
    <col min="5134" max="5134" width="4.5703125" bestFit="1" customWidth="1"/>
    <col min="5377" max="5378" width="32.7109375" customWidth="1"/>
    <col min="5379" max="5383" width="24.85546875" customWidth="1"/>
    <col min="5384" max="5384" width="37.28515625" bestFit="1" customWidth="1"/>
    <col min="5385" max="5385" width="32" bestFit="1" customWidth="1"/>
    <col min="5386" max="5386" width="30" bestFit="1" customWidth="1"/>
    <col min="5388" max="5388" width="20.85546875" bestFit="1" customWidth="1"/>
    <col min="5389" max="5389" width="18" bestFit="1" customWidth="1"/>
    <col min="5390" max="5390" width="4.5703125" bestFit="1" customWidth="1"/>
    <col min="5633" max="5634" width="32.7109375" customWidth="1"/>
    <col min="5635" max="5639" width="24.85546875" customWidth="1"/>
    <col min="5640" max="5640" width="37.28515625" bestFit="1" customWidth="1"/>
    <col min="5641" max="5641" width="32" bestFit="1" customWidth="1"/>
    <col min="5642" max="5642" width="30" bestFit="1" customWidth="1"/>
    <col min="5644" max="5644" width="20.85546875" bestFit="1" customWidth="1"/>
    <col min="5645" max="5645" width="18" bestFit="1" customWidth="1"/>
    <col min="5646" max="5646" width="4.5703125" bestFit="1" customWidth="1"/>
    <col min="5889" max="5890" width="32.7109375" customWidth="1"/>
    <col min="5891" max="5895" width="24.85546875" customWidth="1"/>
    <col min="5896" max="5896" width="37.28515625" bestFit="1" customWidth="1"/>
    <col min="5897" max="5897" width="32" bestFit="1" customWidth="1"/>
    <col min="5898" max="5898" width="30" bestFit="1" customWidth="1"/>
    <col min="5900" max="5900" width="20.85546875" bestFit="1" customWidth="1"/>
    <col min="5901" max="5901" width="18" bestFit="1" customWidth="1"/>
    <col min="5902" max="5902" width="4.5703125" bestFit="1" customWidth="1"/>
    <col min="6145" max="6146" width="32.7109375" customWidth="1"/>
    <col min="6147" max="6151" width="24.85546875" customWidth="1"/>
    <col min="6152" max="6152" width="37.28515625" bestFit="1" customWidth="1"/>
    <col min="6153" max="6153" width="32" bestFit="1" customWidth="1"/>
    <col min="6154" max="6154" width="30" bestFit="1" customWidth="1"/>
    <col min="6156" max="6156" width="20.85546875" bestFit="1" customWidth="1"/>
    <col min="6157" max="6157" width="18" bestFit="1" customWidth="1"/>
    <col min="6158" max="6158" width="4.5703125" bestFit="1" customWidth="1"/>
    <col min="6401" max="6402" width="32.7109375" customWidth="1"/>
    <col min="6403" max="6407" width="24.85546875" customWidth="1"/>
    <col min="6408" max="6408" width="37.28515625" bestFit="1" customWidth="1"/>
    <col min="6409" max="6409" width="32" bestFit="1" customWidth="1"/>
    <col min="6410" max="6410" width="30" bestFit="1" customWidth="1"/>
    <col min="6412" max="6412" width="20.85546875" bestFit="1" customWidth="1"/>
    <col min="6413" max="6413" width="18" bestFit="1" customWidth="1"/>
    <col min="6414" max="6414" width="4.5703125" bestFit="1" customWidth="1"/>
    <col min="6657" max="6658" width="32.7109375" customWidth="1"/>
    <col min="6659" max="6663" width="24.85546875" customWidth="1"/>
    <col min="6664" max="6664" width="37.28515625" bestFit="1" customWidth="1"/>
    <col min="6665" max="6665" width="32" bestFit="1" customWidth="1"/>
    <col min="6666" max="6666" width="30" bestFit="1" customWidth="1"/>
    <col min="6668" max="6668" width="20.85546875" bestFit="1" customWidth="1"/>
    <col min="6669" max="6669" width="18" bestFit="1" customWidth="1"/>
    <col min="6670" max="6670" width="4.5703125" bestFit="1" customWidth="1"/>
    <col min="6913" max="6914" width="32.7109375" customWidth="1"/>
    <col min="6915" max="6919" width="24.85546875" customWidth="1"/>
    <col min="6920" max="6920" width="37.28515625" bestFit="1" customWidth="1"/>
    <col min="6921" max="6921" width="32" bestFit="1" customWidth="1"/>
    <col min="6922" max="6922" width="30" bestFit="1" customWidth="1"/>
    <col min="6924" max="6924" width="20.85546875" bestFit="1" customWidth="1"/>
    <col min="6925" max="6925" width="18" bestFit="1" customWidth="1"/>
    <col min="6926" max="6926" width="4.5703125" bestFit="1" customWidth="1"/>
    <col min="7169" max="7170" width="32.7109375" customWidth="1"/>
    <col min="7171" max="7175" width="24.85546875" customWidth="1"/>
    <col min="7176" max="7176" width="37.28515625" bestFit="1" customWidth="1"/>
    <col min="7177" max="7177" width="32" bestFit="1" customWidth="1"/>
    <col min="7178" max="7178" width="30" bestFit="1" customWidth="1"/>
    <col min="7180" max="7180" width="20.85546875" bestFit="1" customWidth="1"/>
    <col min="7181" max="7181" width="18" bestFit="1" customWidth="1"/>
    <col min="7182" max="7182" width="4.5703125" bestFit="1" customWidth="1"/>
    <col min="7425" max="7426" width="32.7109375" customWidth="1"/>
    <col min="7427" max="7431" width="24.85546875" customWidth="1"/>
    <col min="7432" max="7432" width="37.28515625" bestFit="1" customWidth="1"/>
    <col min="7433" max="7433" width="32" bestFit="1" customWidth="1"/>
    <col min="7434" max="7434" width="30" bestFit="1" customWidth="1"/>
    <col min="7436" max="7436" width="20.85546875" bestFit="1" customWidth="1"/>
    <col min="7437" max="7437" width="18" bestFit="1" customWidth="1"/>
    <col min="7438" max="7438" width="4.5703125" bestFit="1" customWidth="1"/>
    <col min="7681" max="7682" width="32.7109375" customWidth="1"/>
    <col min="7683" max="7687" width="24.85546875" customWidth="1"/>
    <col min="7688" max="7688" width="37.28515625" bestFit="1" customWidth="1"/>
    <col min="7689" max="7689" width="32" bestFit="1" customWidth="1"/>
    <col min="7690" max="7690" width="30" bestFit="1" customWidth="1"/>
    <col min="7692" max="7692" width="20.85546875" bestFit="1" customWidth="1"/>
    <col min="7693" max="7693" width="18" bestFit="1" customWidth="1"/>
    <col min="7694" max="7694" width="4.5703125" bestFit="1" customWidth="1"/>
    <col min="7937" max="7938" width="32.7109375" customWidth="1"/>
    <col min="7939" max="7943" width="24.85546875" customWidth="1"/>
    <col min="7944" max="7944" width="37.28515625" bestFit="1" customWidth="1"/>
    <col min="7945" max="7945" width="32" bestFit="1" customWidth="1"/>
    <col min="7946" max="7946" width="30" bestFit="1" customWidth="1"/>
    <col min="7948" max="7948" width="20.85546875" bestFit="1" customWidth="1"/>
    <col min="7949" max="7949" width="18" bestFit="1" customWidth="1"/>
    <col min="7950" max="7950" width="4.5703125" bestFit="1" customWidth="1"/>
    <col min="8193" max="8194" width="32.7109375" customWidth="1"/>
    <col min="8195" max="8199" width="24.85546875" customWidth="1"/>
    <col min="8200" max="8200" width="37.28515625" bestFit="1" customWidth="1"/>
    <col min="8201" max="8201" width="32" bestFit="1" customWidth="1"/>
    <col min="8202" max="8202" width="30" bestFit="1" customWidth="1"/>
    <col min="8204" max="8204" width="20.85546875" bestFit="1" customWidth="1"/>
    <col min="8205" max="8205" width="18" bestFit="1" customWidth="1"/>
    <col min="8206" max="8206" width="4.5703125" bestFit="1" customWidth="1"/>
    <col min="8449" max="8450" width="32.7109375" customWidth="1"/>
    <col min="8451" max="8455" width="24.85546875" customWidth="1"/>
    <col min="8456" max="8456" width="37.28515625" bestFit="1" customWidth="1"/>
    <col min="8457" max="8457" width="32" bestFit="1" customWidth="1"/>
    <col min="8458" max="8458" width="30" bestFit="1" customWidth="1"/>
    <col min="8460" max="8460" width="20.85546875" bestFit="1" customWidth="1"/>
    <col min="8461" max="8461" width="18" bestFit="1" customWidth="1"/>
    <col min="8462" max="8462" width="4.5703125" bestFit="1" customWidth="1"/>
    <col min="8705" max="8706" width="32.7109375" customWidth="1"/>
    <col min="8707" max="8711" width="24.85546875" customWidth="1"/>
    <col min="8712" max="8712" width="37.28515625" bestFit="1" customWidth="1"/>
    <col min="8713" max="8713" width="32" bestFit="1" customWidth="1"/>
    <col min="8714" max="8714" width="30" bestFit="1" customWidth="1"/>
    <col min="8716" max="8716" width="20.85546875" bestFit="1" customWidth="1"/>
    <col min="8717" max="8717" width="18" bestFit="1" customWidth="1"/>
    <col min="8718" max="8718" width="4.5703125" bestFit="1" customWidth="1"/>
    <col min="8961" max="8962" width="32.7109375" customWidth="1"/>
    <col min="8963" max="8967" width="24.85546875" customWidth="1"/>
    <col min="8968" max="8968" width="37.28515625" bestFit="1" customWidth="1"/>
    <col min="8969" max="8969" width="32" bestFit="1" customWidth="1"/>
    <col min="8970" max="8970" width="30" bestFit="1" customWidth="1"/>
    <col min="8972" max="8972" width="20.85546875" bestFit="1" customWidth="1"/>
    <col min="8973" max="8973" width="18" bestFit="1" customWidth="1"/>
    <col min="8974" max="8974" width="4.5703125" bestFit="1" customWidth="1"/>
    <col min="9217" max="9218" width="32.7109375" customWidth="1"/>
    <col min="9219" max="9223" width="24.85546875" customWidth="1"/>
    <col min="9224" max="9224" width="37.28515625" bestFit="1" customWidth="1"/>
    <col min="9225" max="9225" width="32" bestFit="1" customWidth="1"/>
    <col min="9226" max="9226" width="30" bestFit="1" customWidth="1"/>
    <col min="9228" max="9228" width="20.85546875" bestFit="1" customWidth="1"/>
    <col min="9229" max="9229" width="18" bestFit="1" customWidth="1"/>
    <col min="9230" max="9230" width="4.5703125" bestFit="1" customWidth="1"/>
    <col min="9473" max="9474" width="32.7109375" customWidth="1"/>
    <col min="9475" max="9479" width="24.85546875" customWidth="1"/>
    <col min="9480" max="9480" width="37.28515625" bestFit="1" customWidth="1"/>
    <col min="9481" max="9481" width="32" bestFit="1" customWidth="1"/>
    <col min="9482" max="9482" width="30" bestFit="1" customWidth="1"/>
    <col min="9484" max="9484" width="20.85546875" bestFit="1" customWidth="1"/>
    <col min="9485" max="9485" width="18" bestFit="1" customWidth="1"/>
    <col min="9486" max="9486" width="4.5703125" bestFit="1" customWidth="1"/>
    <col min="9729" max="9730" width="32.7109375" customWidth="1"/>
    <col min="9731" max="9735" width="24.85546875" customWidth="1"/>
    <col min="9736" max="9736" width="37.28515625" bestFit="1" customWidth="1"/>
    <col min="9737" max="9737" width="32" bestFit="1" customWidth="1"/>
    <col min="9738" max="9738" width="30" bestFit="1" customWidth="1"/>
    <col min="9740" max="9740" width="20.85546875" bestFit="1" customWidth="1"/>
    <col min="9741" max="9741" width="18" bestFit="1" customWidth="1"/>
    <col min="9742" max="9742" width="4.5703125" bestFit="1" customWidth="1"/>
    <col min="9985" max="9986" width="32.7109375" customWidth="1"/>
    <col min="9987" max="9991" width="24.85546875" customWidth="1"/>
    <col min="9992" max="9992" width="37.28515625" bestFit="1" customWidth="1"/>
    <col min="9993" max="9993" width="32" bestFit="1" customWidth="1"/>
    <col min="9994" max="9994" width="30" bestFit="1" customWidth="1"/>
    <col min="9996" max="9996" width="20.85546875" bestFit="1" customWidth="1"/>
    <col min="9997" max="9997" width="18" bestFit="1" customWidth="1"/>
    <col min="9998" max="9998" width="4.5703125" bestFit="1" customWidth="1"/>
    <col min="10241" max="10242" width="32.7109375" customWidth="1"/>
    <col min="10243" max="10247" width="24.85546875" customWidth="1"/>
    <col min="10248" max="10248" width="37.28515625" bestFit="1" customWidth="1"/>
    <col min="10249" max="10249" width="32" bestFit="1" customWidth="1"/>
    <col min="10250" max="10250" width="30" bestFit="1" customWidth="1"/>
    <col min="10252" max="10252" width="20.85546875" bestFit="1" customWidth="1"/>
    <col min="10253" max="10253" width="18" bestFit="1" customWidth="1"/>
    <col min="10254" max="10254" width="4.5703125" bestFit="1" customWidth="1"/>
    <col min="10497" max="10498" width="32.7109375" customWidth="1"/>
    <col min="10499" max="10503" width="24.85546875" customWidth="1"/>
    <col min="10504" max="10504" width="37.28515625" bestFit="1" customWidth="1"/>
    <col min="10505" max="10505" width="32" bestFit="1" customWidth="1"/>
    <col min="10506" max="10506" width="30" bestFit="1" customWidth="1"/>
    <col min="10508" max="10508" width="20.85546875" bestFit="1" customWidth="1"/>
    <col min="10509" max="10509" width="18" bestFit="1" customWidth="1"/>
    <col min="10510" max="10510" width="4.5703125" bestFit="1" customWidth="1"/>
    <col min="10753" max="10754" width="32.7109375" customWidth="1"/>
    <col min="10755" max="10759" width="24.85546875" customWidth="1"/>
    <col min="10760" max="10760" width="37.28515625" bestFit="1" customWidth="1"/>
    <col min="10761" max="10761" width="32" bestFit="1" customWidth="1"/>
    <col min="10762" max="10762" width="30" bestFit="1" customWidth="1"/>
    <col min="10764" max="10764" width="20.85546875" bestFit="1" customWidth="1"/>
    <col min="10765" max="10765" width="18" bestFit="1" customWidth="1"/>
    <col min="10766" max="10766" width="4.5703125" bestFit="1" customWidth="1"/>
    <col min="11009" max="11010" width="32.7109375" customWidth="1"/>
    <col min="11011" max="11015" width="24.85546875" customWidth="1"/>
    <col min="11016" max="11016" width="37.28515625" bestFit="1" customWidth="1"/>
    <col min="11017" max="11017" width="32" bestFit="1" customWidth="1"/>
    <col min="11018" max="11018" width="30" bestFit="1" customWidth="1"/>
    <col min="11020" max="11020" width="20.85546875" bestFit="1" customWidth="1"/>
    <col min="11021" max="11021" width="18" bestFit="1" customWidth="1"/>
    <col min="11022" max="11022" width="4.5703125" bestFit="1" customWidth="1"/>
    <col min="11265" max="11266" width="32.7109375" customWidth="1"/>
    <col min="11267" max="11271" width="24.85546875" customWidth="1"/>
    <col min="11272" max="11272" width="37.28515625" bestFit="1" customWidth="1"/>
    <col min="11273" max="11273" width="32" bestFit="1" customWidth="1"/>
    <col min="11274" max="11274" width="30" bestFit="1" customWidth="1"/>
    <col min="11276" max="11276" width="20.85546875" bestFit="1" customWidth="1"/>
    <col min="11277" max="11277" width="18" bestFit="1" customWidth="1"/>
    <col min="11278" max="11278" width="4.5703125" bestFit="1" customWidth="1"/>
    <col min="11521" max="11522" width="32.7109375" customWidth="1"/>
    <col min="11523" max="11527" width="24.85546875" customWidth="1"/>
    <col min="11528" max="11528" width="37.28515625" bestFit="1" customWidth="1"/>
    <col min="11529" max="11529" width="32" bestFit="1" customWidth="1"/>
    <col min="11530" max="11530" width="30" bestFit="1" customWidth="1"/>
    <col min="11532" max="11532" width="20.85546875" bestFit="1" customWidth="1"/>
    <col min="11533" max="11533" width="18" bestFit="1" customWidth="1"/>
    <col min="11534" max="11534" width="4.5703125" bestFit="1" customWidth="1"/>
    <col min="11777" max="11778" width="32.7109375" customWidth="1"/>
    <col min="11779" max="11783" width="24.85546875" customWidth="1"/>
    <col min="11784" max="11784" width="37.28515625" bestFit="1" customWidth="1"/>
    <col min="11785" max="11785" width="32" bestFit="1" customWidth="1"/>
    <col min="11786" max="11786" width="30" bestFit="1" customWidth="1"/>
    <col min="11788" max="11788" width="20.85546875" bestFit="1" customWidth="1"/>
    <col min="11789" max="11789" width="18" bestFit="1" customWidth="1"/>
    <col min="11790" max="11790" width="4.5703125" bestFit="1" customWidth="1"/>
    <col min="12033" max="12034" width="32.7109375" customWidth="1"/>
    <col min="12035" max="12039" width="24.85546875" customWidth="1"/>
    <col min="12040" max="12040" width="37.28515625" bestFit="1" customWidth="1"/>
    <col min="12041" max="12041" width="32" bestFit="1" customWidth="1"/>
    <col min="12042" max="12042" width="30" bestFit="1" customWidth="1"/>
    <col min="12044" max="12044" width="20.85546875" bestFit="1" customWidth="1"/>
    <col min="12045" max="12045" width="18" bestFit="1" customWidth="1"/>
    <col min="12046" max="12046" width="4.5703125" bestFit="1" customWidth="1"/>
    <col min="12289" max="12290" width="32.7109375" customWidth="1"/>
    <col min="12291" max="12295" width="24.85546875" customWidth="1"/>
    <col min="12296" max="12296" width="37.28515625" bestFit="1" customWidth="1"/>
    <col min="12297" max="12297" width="32" bestFit="1" customWidth="1"/>
    <col min="12298" max="12298" width="30" bestFit="1" customWidth="1"/>
    <col min="12300" max="12300" width="20.85546875" bestFit="1" customWidth="1"/>
    <col min="12301" max="12301" width="18" bestFit="1" customWidth="1"/>
    <col min="12302" max="12302" width="4.5703125" bestFit="1" customWidth="1"/>
    <col min="12545" max="12546" width="32.7109375" customWidth="1"/>
    <col min="12547" max="12551" width="24.85546875" customWidth="1"/>
    <col min="12552" max="12552" width="37.28515625" bestFit="1" customWidth="1"/>
    <col min="12553" max="12553" width="32" bestFit="1" customWidth="1"/>
    <col min="12554" max="12554" width="30" bestFit="1" customWidth="1"/>
    <col min="12556" max="12556" width="20.85546875" bestFit="1" customWidth="1"/>
    <col min="12557" max="12557" width="18" bestFit="1" customWidth="1"/>
    <col min="12558" max="12558" width="4.5703125" bestFit="1" customWidth="1"/>
    <col min="12801" max="12802" width="32.7109375" customWidth="1"/>
    <col min="12803" max="12807" width="24.85546875" customWidth="1"/>
    <col min="12808" max="12808" width="37.28515625" bestFit="1" customWidth="1"/>
    <col min="12809" max="12809" width="32" bestFit="1" customWidth="1"/>
    <col min="12810" max="12810" width="30" bestFit="1" customWidth="1"/>
    <col min="12812" max="12812" width="20.85546875" bestFit="1" customWidth="1"/>
    <col min="12813" max="12813" width="18" bestFit="1" customWidth="1"/>
    <col min="12814" max="12814" width="4.5703125" bestFit="1" customWidth="1"/>
    <col min="13057" max="13058" width="32.7109375" customWidth="1"/>
    <col min="13059" max="13063" width="24.85546875" customWidth="1"/>
    <col min="13064" max="13064" width="37.28515625" bestFit="1" customWidth="1"/>
    <col min="13065" max="13065" width="32" bestFit="1" customWidth="1"/>
    <col min="13066" max="13066" width="30" bestFit="1" customWidth="1"/>
    <col min="13068" max="13068" width="20.85546875" bestFit="1" customWidth="1"/>
    <col min="13069" max="13069" width="18" bestFit="1" customWidth="1"/>
    <col min="13070" max="13070" width="4.5703125" bestFit="1" customWidth="1"/>
    <col min="13313" max="13314" width="32.7109375" customWidth="1"/>
    <col min="13315" max="13319" width="24.85546875" customWidth="1"/>
    <col min="13320" max="13320" width="37.28515625" bestFit="1" customWidth="1"/>
    <col min="13321" max="13321" width="32" bestFit="1" customWidth="1"/>
    <col min="13322" max="13322" width="30" bestFit="1" customWidth="1"/>
    <col min="13324" max="13324" width="20.85546875" bestFit="1" customWidth="1"/>
    <col min="13325" max="13325" width="18" bestFit="1" customWidth="1"/>
    <col min="13326" max="13326" width="4.5703125" bestFit="1" customWidth="1"/>
    <col min="13569" max="13570" width="32.7109375" customWidth="1"/>
    <col min="13571" max="13575" width="24.85546875" customWidth="1"/>
    <col min="13576" max="13576" width="37.28515625" bestFit="1" customWidth="1"/>
    <col min="13577" max="13577" width="32" bestFit="1" customWidth="1"/>
    <col min="13578" max="13578" width="30" bestFit="1" customWidth="1"/>
    <col min="13580" max="13580" width="20.85546875" bestFit="1" customWidth="1"/>
    <col min="13581" max="13581" width="18" bestFit="1" customWidth="1"/>
    <col min="13582" max="13582" width="4.5703125" bestFit="1" customWidth="1"/>
    <col min="13825" max="13826" width="32.7109375" customWidth="1"/>
    <col min="13827" max="13831" width="24.85546875" customWidth="1"/>
    <col min="13832" max="13832" width="37.28515625" bestFit="1" customWidth="1"/>
    <col min="13833" max="13833" width="32" bestFit="1" customWidth="1"/>
    <col min="13834" max="13834" width="30" bestFit="1" customWidth="1"/>
    <col min="13836" max="13836" width="20.85546875" bestFit="1" customWidth="1"/>
    <col min="13837" max="13837" width="18" bestFit="1" customWidth="1"/>
    <col min="13838" max="13838" width="4.5703125" bestFit="1" customWidth="1"/>
    <col min="14081" max="14082" width="32.7109375" customWidth="1"/>
    <col min="14083" max="14087" width="24.85546875" customWidth="1"/>
    <col min="14088" max="14088" width="37.28515625" bestFit="1" customWidth="1"/>
    <col min="14089" max="14089" width="32" bestFit="1" customWidth="1"/>
    <col min="14090" max="14090" width="30" bestFit="1" customWidth="1"/>
    <col min="14092" max="14092" width="20.85546875" bestFit="1" customWidth="1"/>
    <col min="14093" max="14093" width="18" bestFit="1" customWidth="1"/>
    <col min="14094" max="14094" width="4.5703125" bestFit="1" customWidth="1"/>
    <col min="14337" max="14338" width="32.7109375" customWidth="1"/>
    <col min="14339" max="14343" width="24.85546875" customWidth="1"/>
    <col min="14344" max="14344" width="37.28515625" bestFit="1" customWidth="1"/>
    <col min="14345" max="14345" width="32" bestFit="1" customWidth="1"/>
    <col min="14346" max="14346" width="30" bestFit="1" customWidth="1"/>
    <col min="14348" max="14348" width="20.85546875" bestFit="1" customWidth="1"/>
    <col min="14349" max="14349" width="18" bestFit="1" customWidth="1"/>
    <col min="14350" max="14350" width="4.5703125" bestFit="1" customWidth="1"/>
    <col min="14593" max="14594" width="32.7109375" customWidth="1"/>
    <col min="14595" max="14599" width="24.85546875" customWidth="1"/>
    <col min="14600" max="14600" width="37.28515625" bestFit="1" customWidth="1"/>
    <col min="14601" max="14601" width="32" bestFit="1" customWidth="1"/>
    <col min="14602" max="14602" width="30" bestFit="1" customWidth="1"/>
    <col min="14604" max="14604" width="20.85546875" bestFit="1" customWidth="1"/>
    <col min="14605" max="14605" width="18" bestFit="1" customWidth="1"/>
    <col min="14606" max="14606" width="4.5703125" bestFit="1" customWidth="1"/>
    <col min="14849" max="14850" width="32.7109375" customWidth="1"/>
    <col min="14851" max="14855" width="24.85546875" customWidth="1"/>
    <col min="14856" max="14856" width="37.28515625" bestFit="1" customWidth="1"/>
    <col min="14857" max="14857" width="32" bestFit="1" customWidth="1"/>
    <col min="14858" max="14858" width="30" bestFit="1" customWidth="1"/>
    <col min="14860" max="14860" width="20.85546875" bestFit="1" customWidth="1"/>
    <col min="14861" max="14861" width="18" bestFit="1" customWidth="1"/>
    <col min="14862" max="14862" width="4.5703125" bestFit="1" customWidth="1"/>
    <col min="15105" max="15106" width="32.7109375" customWidth="1"/>
    <col min="15107" max="15111" width="24.85546875" customWidth="1"/>
    <col min="15112" max="15112" width="37.28515625" bestFit="1" customWidth="1"/>
    <col min="15113" max="15113" width="32" bestFit="1" customWidth="1"/>
    <col min="15114" max="15114" width="30" bestFit="1" customWidth="1"/>
    <col min="15116" max="15116" width="20.85546875" bestFit="1" customWidth="1"/>
    <col min="15117" max="15117" width="18" bestFit="1" customWidth="1"/>
    <col min="15118" max="15118" width="4.5703125" bestFit="1" customWidth="1"/>
    <col min="15361" max="15362" width="32.7109375" customWidth="1"/>
    <col min="15363" max="15367" width="24.85546875" customWidth="1"/>
    <col min="15368" max="15368" width="37.28515625" bestFit="1" customWidth="1"/>
    <col min="15369" max="15369" width="32" bestFit="1" customWidth="1"/>
    <col min="15370" max="15370" width="30" bestFit="1" customWidth="1"/>
    <col min="15372" max="15372" width="20.85546875" bestFit="1" customWidth="1"/>
    <col min="15373" max="15373" width="18" bestFit="1" customWidth="1"/>
    <col min="15374" max="15374" width="4.5703125" bestFit="1" customWidth="1"/>
    <col min="15617" max="15618" width="32.7109375" customWidth="1"/>
    <col min="15619" max="15623" width="24.85546875" customWidth="1"/>
    <col min="15624" max="15624" width="37.28515625" bestFit="1" customWidth="1"/>
    <col min="15625" max="15625" width="32" bestFit="1" customWidth="1"/>
    <col min="15626" max="15626" width="30" bestFit="1" customWidth="1"/>
    <col min="15628" max="15628" width="20.85546875" bestFit="1" customWidth="1"/>
    <col min="15629" max="15629" width="18" bestFit="1" customWidth="1"/>
    <col min="15630" max="15630" width="4.5703125" bestFit="1" customWidth="1"/>
    <col min="15873" max="15874" width="32.7109375" customWidth="1"/>
    <col min="15875" max="15879" width="24.85546875" customWidth="1"/>
    <col min="15880" max="15880" width="37.28515625" bestFit="1" customWidth="1"/>
    <col min="15881" max="15881" width="32" bestFit="1" customWidth="1"/>
    <col min="15882" max="15882" width="30" bestFit="1" customWidth="1"/>
    <col min="15884" max="15884" width="20.85546875" bestFit="1" customWidth="1"/>
    <col min="15885" max="15885" width="18" bestFit="1" customWidth="1"/>
    <col min="15886" max="15886" width="4.5703125" bestFit="1" customWidth="1"/>
    <col min="16129" max="16130" width="32.7109375" customWidth="1"/>
    <col min="16131" max="16135" width="24.85546875" customWidth="1"/>
    <col min="16136" max="16136" width="37.28515625" bestFit="1" customWidth="1"/>
    <col min="16137" max="16137" width="32" bestFit="1" customWidth="1"/>
    <col min="16138" max="16138" width="30" bestFit="1" customWidth="1"/>
    <col min="16140" max="16140" width="20.85546875" bestFit="1" customWidth="1"/>
    <col min="16141" max="16141" width="18" bestFit="1" customWidth="1"/>
    <col min="16142" max="16142" width="4.5703125" bestFit="1" customWidth="1"/>
  </cols>
  <sheetData>
    <row r="1" spans="1:15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10</v>
      </c>
      <c r="N1" s="3"/>
      <c r="O1" s="41" t="s">
        <v>185</v>
      </c>
    </row>
    <row r="2" spans="1:15" x14ac:dyDescent="0.25">
      <c r="A2" s="5" t="s">
        <v>706</v>
      </c>
      <c r="B2" s="42">
        <f>J2/1000</f>
        <v>0</v>
      </c>
      <c r="C2" s="7" t="s">
        <v>833</v>
      </c>
      <c r="D2" s="7" t="s">
        <v>15</v>
      </c>
      <c r="E2" s="7" t="s">
        <v>826</v>
      </c>
      <c r="F2" s="8">
        <v>0</v>
      </c>
      <c r="G2" t="s">
        <v>708</v>
      </c>
      <c r="H2" s="7" t="s">
        <v>709</v>
      </c>
      <c r="I2" s="10">
        <v>95.3</v>
      </c>
      <c r="J2" s="10">
        <v>0</v>
      </c>
      <c r="K2" s="35">
        <v>343511.29</v>
      </c>
      <c r="L2" s="38"/>
      <c r="M2" s="37" t="str">
        <f>VLOOKUP($M1,B2:D702,2)</f>
        <v>TORRE 022</v>
      </c>
      <c r="N2" s="37" t="str">
        <f>VLOOKUP($M1,B2:D702,3)</f>
        <v>TORRE 023</v>
      </c>
      <c r="O2" s="37" t="str">
        <f>VLOOKUP($M1,$B2:$K702,4)</f>
        <v>CBA</v>
      </c>
    </row>
    <row r="3" spans="1:15" x14ac:dyDescent="0.25">
      <c r="A3" s="5" t="s">
        <v>706</v>
      </c>
      <c r="B3" s="42">
        <f t="shared" ref="B3:B66" si="0">J3/1000</f>
        <v>9.5299999999999996E-2</v>
      </c>
      <c r="C3" s="7" t="s">
        <v>15</v>
      </c>
      <c r="D3" s="7" t="s">
        <v>20</v>
      </c>
      <c r="E3" s="7" t="s">
        <v>826</v>
      </c>
      <c r="F3" s="8">
        <v>8.4810000000391544E-2</v>
      </c>
      <c r="G3" s="7" t="s">
        <v>709</v>
      </c>
      <c r="H3" s="7" t="s">
        <v>710</v>
      </c>
      <c r="I3" s="10">
        <v>329.2</v>
      </c>
      <c r="J3" s="10">
        <v>95.3</v>
      </c>
      <c r="K3" s="6">
        <v>343415.99000000034</v>
      </c>
      <c r="L3" s="37"/>
      <c r="M3" s="11" t="s">
        <v>865</v>
      </c>
      <c r="N3" s="11" t="s">
        <v>866</v>
      </c>
    </row>
    <row r="4" spans="1:15" x14ac:dyDescent="0.25">
      <c r="A4" s="5" t="s">
        <v>706</v>
      </c>
      <c r="B4" s="42">
        <f t="shared" si="0"/>
        <v>0.42449999999999999</v>
      </c>
      <c r="C4" s="7" t="s">
        <v>20</v>
      </c>
      <c r="D4" s="7" t="s">
        <v>23</v>
      </c>
      <c r="E4" s="7" t="s">
        <v>826</v>
      </c>
      <c r="F4" s="8">
        <v>0.44619000000039155</v>
      </c>
      <c r="G4" s="7" t="s">
        <v>710</v>
      </c>
      <c r="H4" s="7" t="s">
        <v>711</v>
      </c>
      <c r="I4" s="10">
        <v>400.71</v>
      </c>
      <c r="J4" s="10">
        <v>424.5</v>
      </c>
      <c r="K4" s="6">
        <v>343086.79000000033</v>
      </c>
      <c r="M4" s="37" t="s">
        <v>865</v>
      </c>
    </row>
    <row r="5" spans="1:15" x14ac:dyDescent="0.25">
      <c r="A5" s="5" t="s">
        <v>706</v>
      </c>
      <c r="B5" s="42">
        <f t="shared" si="0"/>
        <v>0.82521</v>
      </c>
      <c r="C5" s="7" t="s">
        <v>23</v>
      </c>
      <c r="D5" s="7" t="s">
        <v>25</v>
      </c>
      <c r="E5" s="7" t="s">
        <v>826</v>
      </c>
      <c r="F5" s="8">
        <v>0.8967300000003916</v>
      </c>
      <c r="G5" s="7" t="s">
        <v>711</v>
      </c>
      <c r="H5" s="7" t="s">
        <v>712</v>
      </c>
      <c r="I5" s="10">
        <v>599.89</v>
      </c>
      <c r="J5" s="10">
        <v>825.21</v>
      </c>
      <c r="K5" s="6">
        <v>342686.08000000031</v>
      </c>
    </row>
    <row r="6" spans="1:15" x14ac:dyDescent="0.25">
      <c r="A6" s="5" t="s">
        <v>706</v>
      </c>
      <c r="B6" s="42">
        <f t="shared" si="0"/>
        <v>1.4250999999999998</v>
      </c>
      <c r="C6" s="7" t="s">
        <v>25</v>
      </c>
      <c r="D6" s="7" t="s">
        <v>27</v>
      </c>
      <c r="E6" s="7" t="s">
        <v>826</v>
      </c>
      <c r="F6" s="8">
        <v>1.2519900000003916</v>
      </c>
      <c r="G6" s="7" t="s">
        <v>712</v>
      </c>
      <c r="H6" s="7" t="s">
        <v>713</v>
      </c>
      <c r="I6" s="10">
        <v>491</v>
      </c>
      <c r="J6" s="10">
        <v>1425.1</v>
      </c>
      <c r="K6" s="6">
        <v>342086.19000000029</v>
      </c>
    </row>
    <row r="7" spans="1:15" x14ac:dyDescent="0.25">
      <c r="A7" s="5" t="s">
        <v>706</v>
      </c>
      <c r="B7" s="42">
        <f t="shared" si="0"/>
        <v>1.9160999999999999</v>
      </c>
      <c r="C7" s="7" t="s">
        <v>27</v>
      </c>
      <c r="D7" s="7" t="s">
        <v>29</v>
      </c>
      <c r="E7" s="7" t="s">
        <v>826</v>
      </c>
      <c r="F7" s="8">
        <v>1.6002500000003916</v>
      </c>
      <c r="G7" s="7" t="s">
        <v>713</v>
      </c>
      <c r="H7" s="7" t="s">
        <v>714</v>
      </c>
      <c r="I7" s="10">
        <v>558.79999999999995</v>
      </c>
      <c r="J7" s="10">
        <v>1916.1</v>
      </c>
      <c r="K7" s="6">
        <v>341595.19000000029</v>
      </c>
    </row>
    <row r="8" spans="1:15" x14ac:dyDescent="0.25">
      <c r="A8" s="5" t="s">
        <v>706</v>
      </c>
      <c r="B8" s="42">
        <f t="shared" si="0"/>
        <v>2.4748999999999994</v>
      </c>
      <c r="C8" s="7" t="s">
        <v>29</v>
      </c>
      <c r="D8" s="7" t="s">
        <v>31</v>
      </c>
      <c r="E8" s="7" t="s">
        <v>826</v>
      </c>
      <c r="F8" s="8">
        <v>1.9997100000003916</v>
      </c>
      <c r="G8" s="7" t="s">
        <v>714</v>
      </c>
      <c r="H8" s="7" t="s">
        <v>715</v>
      </c>
      <c r="I8" s="10">
        <v>546.5</v>
      </c>
      <c r="J8" s="10">
        <v>2474.8999999999996</v>
      </c>
      <c r="K8" s="6">
        <v>341036.39000000031</v>
      </c>
    </row>
    <row r="9" spans="1:15" x14ac:dyDescent="0.25">
      <c r="A9" s="5" t="s">
        <v>706</v>
      </c>
      <c r="B9" s="42">
        <f t="shared" si="0"/>
        <v>3.0213999999999994</v>
      </c>
      <c r="C9" s="7" t="s">
        <v>31</v>
      </c>
      <c r="D9" s="7" t="s">
        <v>33</v>
      </c>
      <c r="E9" s="7" t="s">
        <v>826</v>
      </c>
      <c r="F9" s="8">
        <v>2.4442900000003913</v>
      </c>
      <c r="G9" s="7" t="s">
        <v>715</v>
      </c>
      <c r="H9" s="7" t="s">
        <v>716</v>
      </c>
      <c r="I9" s="10">
        <v>343.2</v>
      </c>
      <c r="J9" s="10">
        <v>3021.3999999999996</v>
      </c>
      <c r="K9" s="6">
        <v>340489.89000000031</v>
      </c>
    </row>
    <row r="10" spans="1:15" x14ac:dyDescent="0.25">
      <c r="A10" s="5" t="s">
        <v>706</v>
      </c>
      <c r="B10" s="42">
        <f t="shared" si="0"/>
        <v>3.3645999999999994</v>
      </c>
      <c r="C10" s="7" t="s">
        <v>33</v>
      </c>
      <c r="D10" s="7" t="s">
        <v>35</v>
      </c>
      <c r="E10" s="7" t="s">
        <v>826</v>
      </c>
      <c r="F10" s="8">
        <v>2.9844800000003917</v>
      </c>
      <c r="G10" s="7" t="s">
        <v>716</v>
      </c>
      <c r="H10" s="7" t="s">
        <v>717</v>
      </c>
      <c r="I10" s="10">
        <v>382.3</v>
      </c>
      <c r="J10" s="10">
        <v>3364.5999999999995</v>
      </c>
      <c r="K10" s="6">
        <v>340146.69000000029</v>
      </c>
    </row>
    <row r="11" spans="1:15" x14ac:dyDescent="0.25">
      <c r="A11" s="5" t="s">
        <v>706</v>
      </c>
      <c r="B11" s="42">
        <f t="shared" si="0"/>
        <v>3.7468999999999997</v>
      </c>
      <c r="C11" s="7" t="s">
        <v>35</v>
      </c>
      <c r="D11" s="7" t="s">
        <v>37</v>
      </c>
      <c r="E11" s="7" t="s">
        <v>826</v>
      </c>
      <c r="F11" s="8">
        <v>3.3867800000003916</v>
      </c>
      <c r="G11" s="7" t="s">
        <v>717</v>
      </c>
      <c r="H11" s="7" t="s">
        <v>718</v>
      </c>
      <c r="I11" s="10">
        <v>491.96</v>
      </c>
      <c r="J11" s="10">
        <v>3746.8999999999996</v>
      </c>
      <c r="K11" s="6">
        <v>339764.39000000031</v>
      </c>
    </row>
    <row r="12" spans="1:15" x14ac:dyDescent="0.25">
      <c r="A12" s="5" t="s">
        <v>706</v>
      </c>
      <c r="B12" s="42">
        <f t="shared" si="0"/>
        <v>4.2388599999999999</v>
      </c>
      <c r="C12" s="7" t="s">
        <v>37</v>
      </c>
      <c r="D12" s="7" t="s">
        <v>39</v>
      </c>
      <c r="E12" s="7" t="s">
        <v>826</v>
      </c>
      <c r="F12" s="8">
        <v>3.7670600000003915</v>
      </c>
      <c r="G12" s="7" t="s">
        <v>718</v>
      </c>
      <c r="H12" s="7" t="s">
        <v>719</v>
      </c>
      <c r="I12" s="10">
        <v>449.89</v>
      </c>
      <c r="J12" s="10">
        <v>4238.8599999999997</v>
      </c>
      <c r="K12" s="6">
        <v>339272.43000000028</v>
      </c>
    </row>
    <row r="13" spans="1:15" x14ac:dyDescent="0.25">
      <c r="A13" s="5" t="s">
        <v>706</v>
      </c>
      <c r="B13" s="42">
        <f t="shared" si="0"/>
        <v>4.6887499999999998</v>
      </c>
      <c r="C13" s="7" t="s">
        <v>39</v>
      </c>
      <c r="D13" s="7" t="s">
        <v>41</v>
      </c>
      <c r="E13" s="7" t="s">
        <v>826</v>
      </c>
      <c r="F13" s="8">
        <v>4.1978500000003915</v>
      </c>
      <c r="G13" s="7" t="s">
        <v>719</v>
      </c>
      <c r="H13" s="7" t="s">
        <v>720</v>
      </c>
      <c r="I13" s="10">
        <v>320.56</v>
      </c>
      <c r="J13" s="10">
        <v>4688.75</v>
      </c>
      <c r="K13" s="6">
        <v>338822.54000000027</v>
      </c>
    </row>
    <row r="14" spans="1:15" x14ac:dyDescent="0.25">
      <c r="A14" s="5" t="s">
        <v>706</v>
      </c>
      <c r="B14" s="42">
        <f t="shared" si="0"/>
        <v>5.0093100000000002</v>
      </c>
      <c r="C14" s="7" t="s">
        <v>41</v>
      </c>
      <c r="D14" s="7" t="s">
        <v>43</v>
      </c>
      <c r="E14" s="7" t="s">
        <v>826</v>
      </c>
      <c r="F14" s="8">
        <v>4.6166500000003916</v>
      </c>
      <c r="G14" s="7" t="s">
        <v>720</v>
      </c>
      <c r="H14" s="7" t="s">
        <v>721</v>
      </c>
      <c r="I14" s="10">
        <v>610.29999999999995</v>
      </c>
      <c r="J14" s="10">
        <v>5009.3100000000004</v>
      </c>
      <c r="K14" s="6">
        <v>338501.98000000027</v>
      </c>
    </row>
    <row r="15" spans="1:15" x14ac:dyDescent="0.25">
      <c r="A15" s="5" t="s">
        <v>706</v>
      </c>
      <c r="B15" s="42">
        <f t="shared" si="0"/>
        <v>5.6196100000000007</v>
      </c>
      <c r="C15" s="7" t="s">
        <v>43</v>
      </c>
      <c r="D15" s="7" t="s">
        <v>45</v>
      </c>
      <c r="E15" s="7" t="s">
        <v>826</v>
      </c>
      <c r="F15" s="8">
        <v>5.1199600000003924</v>
      </c>
      <c r="G15" s="7" t="s">
        <v>721</v>
      </c>
      <c r="H15" s="7" t="s">
        <v>722</v>
      </c>
      <c r="I15" s="10">
        <v>473.1</v>
      </c>
      <c r="J15" s="10">
        <v>5619.6100000000006</v>
      </c>
      <c r="K15" s="6">
        <v>337891.68000000028</v>
      </c>
    </row>
    <row r="16" spans="1:15" x14ac:dyDescent="0.25">
      <c r="A16" s="5" t="s">
        <v>706</v>
      </c>
      <c r="B16" s="42">
        <f t="shared" si="0"/>
        <v>6.0927100000000012</v>
      </c>
      <c r="C16" s="7" t="s">
        <v>45</v>
      </c>
      <c r="D16" s="7" t="s">
        <v>47</v>
      </c>
      <c r="E16" s="7" t="s">
        <v>826</v>
      </c>
      <c r="F16" s="8">
        <v>5.6432700000003919</v>
      </c>
      <c r="G16" s="7" t="s">
        <v>722</v>
      </c>
      <c r="H16" s="7" t="s">
        <v>723</v>
      </c>
      <c r="I16" s="10">
        <v>521.79999999999995</v>
      </c>
      <c r="J16" s="10">
        <v>6092.7100000000009</v>
      </c>
      <c r="K16" s="6">
        <v>337418.58</v>
      </c>
    </row>
    <row r="17" spans="1:11" x14ac:dyDescent="0.25">
      <c r="A17" s="5" t="s">
        <v>706</v>
      </c>
      <c r="B17" s="42">
        <f t="shared" si="0"/>
        <v>6.6145100000000001</v>
      </c>
      <c r="C17" s="7" t="s">
        <v>47</v>
      </c>
      <c r="D17" s="7" t="s">
        <v>49</v>
      </c>
      <c r="E17" s="7" t="s">
        <v>826</v>
      </c>
      <c r="F17" s="8">
        <v>6.0614500000003915</v>
      </c>
      <c r="G17" s="7" t="s">
        <v>723</v>
      </c>
      <c r="H17" s="7" t="s">
        <v>724</v>
      </c>
      <c r="I17" s="10">
        <v>505.69</v>
      </c>
      <c r="J17" s="10">
        <v>6614.51</v>
      </c>
      <c r="K17" s="6">
        <v>336896.78000000032</v>
      </c>
    </row>
    <row r="18" spans="1:11" x14ac:dyDescent="0.25">
      <c r="A18" s="5" t="s">
        <v>706</v>
      </c>
      <c r="B18" s="42">
        <f t="shared" si="0"/>
        <v>7.1202000000000005</v>
      </c>
      <c r="C18" s="7" t="s">
        <v>49</v>
      </c>
      <c r="D18" s="7" t="s">
        <v>51</v>
      </c>
      <c r="E18" s="7" t="s">
        <v>826</v>
      </c>
      <c r="F18" s="8">
        <v>6.5994300000003925</v>
      </c>
      <c r="G18" s="7" t="s">
        <v>724</v>
      </c>
      <c r="H18" s="7" t="s">
        <v>725</v>
      </c>
      <c r="I18" s="10">
        <v>495.09</v>
      </c>
      <c r="J18" s="10">
        <v>7120.2000000000007</v>
      </c>
      <c r="K18" s="6">
        <v>336391.09000000032</v>
      </c>
    </row>
    <row r="19" spans="1:11" x14ac:dyDescent="0.25">
      <c r="A19" s="5" t="s">
        <v>706</v>
      </c>
      <c r="B19" s="42">
        <f t="shared" si="0"/>
        <v>7.6152900000000008</v>
      </c>
      <c r="C19" s="7" t="s">
        <v>51</v>
      </c>
      <c r="D19" s="7" t="s">
        <v>53</v>
      </c>
      <c r="E19" s="7" t="s">
        <v>826</v>
      </c>
      <c r="F19" s="8">
        <v>7.0747100000003922</v>
      </c>
      <c r="G19" s="7" t="s">
        <v>725</v>
      </c>
      <c r="H19" s="7" t="s">
        <v>726</v>
      </c>
      <c r="I19" s="10">
        <v>450</v>
      </c>
      <c r="J19" s="10">
        <v>7615.2900000000009</v>
      </c>
      <c r="K19" s="6">
        <v>335896.00000000029</v>
      </c>
    </row>
    <row r="20" spans="1:11" x14ac:dyDescent="0.25">
      <c r="A20" s="5" t="s">
        <v>706</v>
      </c>
      <c r="B20" s="42">
        <f t="shared" si="0"/>
        <v>8.065290000000001</v>
      </c>
      <c r="C20" s="7" t="s">
        <v>53</v>
      </c>
      <c r="D20" s="7" t="s">
        <v>55</v>
      </c>
      <c r="E20" s="7" t="s">
        <v>826</v>
      </c>
      <c r="F20" s="8">
        <v>7.4594000000003913</v>
      </c>
      <c r="G20" s="7" t="s">
        <v>726</v>
      </c>
      <c r="H20" s="7" t="s">
        <v>727</v>
      </c>
      <c r="I20" s="10">
        <v>267.75</v>
      </c>
      <c r="J20" s="10">
        <v>8065.2900000000009</v>
      </c>
      <c r="K20" s="6">
        <v>335446.00000000029</v>
      </c>
    </row>
    <row r="21" spans="1:11" x14ac:dyDescent="0.25">
      <c r="A21" s="5" t="s">
        <v>706</v>
      </c>
      <c r="B21" s="42">
        <f t="shared" si="0"/>
        <v>8.3330400000000004</v>
      </c>
      <c r="C21" s="7" t="s">
        <v>55</v>
      </c>
      <c r="D21" s="7" t="s">
        <v>57</v>
      </c>
      <c r="E21" s="7" t="s">
        <v>826</v>
      </c>
      <c r="F21" s="8">
        <v>7.922030000000392</v>
      </c>
      <c r="G21" s="7" t="s">
        <v>727</v>
      </c>
      <c r="H21" s="7" t="s">
        <v>728</v>
      </c>
      <c r="I21" s="10">
        <v>399.5</v>
      </c>
      <c r="J21" s="10">
        <v>8333.0400000000009</v>
      </c>
      <c r="K21" s="6">
        <v>335178.25</v>
      </c>
    </row>
    <row r="22" spans="1:11" x14ac:dyDescent="0.25">
      <c r="A22" s="5" t="s">
        <v>706</v>
      </c>
      <c r="B22" s="42">
        <f t="shared" si="0"/>
        <v>8.7325400000000002</v>
      </c>
      <c r="C22" s="7" t="s">
        <v>57</v>
      </c>
      <c r="D22" s="7" t="s">
        <v>59</v>
      </c>
      <c r="E22" s="7" t="s">
        <v>826</v>
      </c>
      <c r="F22" s="8">
        <v>8.412460000000392</v>
      </c>
      <c r="G22" s="7" t="s">
        <v>728</v>
      </c>
      <c r="H22" s="7" t="s">
        <v>729</v>
      </c>
      <c r="I22" s="10">
        <v>526.74</v>
      </c>
      <c r="J22" s="10">
        <v>8732.5400000000009</v>
      </c>
      <c r="K22" s="6">
        <v>334778.75000000029</v>
      </c>
    </row>
    <row r="23" spans="1:11" x14ac:dyDescent="0.25">
      <c r="A23" s="5" t="s">
        <v>706</v>
      </c>
      <c r="B23" s="42">
        <f t="shared" si="0"/>
        <v>9.2592800000000004</v>
      </c>
      <c r="C23" s="7" t="s">
        <v>59</v>
      </c>
      <c r="D23" s="7" t="s">
        <v>61</v>
      </c>
      <c r="E23" s="7" t="s">
        <v>826</v>
      </c>
      <c r="F23" s="8">
        <v>8.8579400000003918</v>
      </c>
      <c r="G23" s="7" t="s">
        <v>729</v>
      </c>
      <c r="H23" s="7" t="s">
        <v>730</v>
      </c>
      <c r="I23" s="10">
        <v>611.15</v>
      </c>
      <c r="J23" s="10">
        <v>9259.2800000000007</v>
      </c>
      <c r="K23" s="6">
        <v>334252.0100000003</v>
      </c>
    </row>
    <row r="24" spans="1:11" x14ac:dyDescent="0.25">
      <c r="A24" s="5" t="s">
        <v>706</v>
      </c>
      <c r="B24" s="42">
        <f t="shared" si="0"/>
        <v>9.8704300000000007</v>
      </c>
      <c r="C24" s="7" t="s">
        <v>61</v>
      </c>
      <c r="D24" s="7" t="s">
        <v>63</v>
      </c>
      <c r="E24" s="7" t="s">
        <v>826</v>
      </c>
      <c r="F24" s="8">
        <v>9.2992900000003917</v>
      </c>
      <c r="G24" s="7" t="s">
        <v>730</v>
      </c>
      <c r="H24" s="7" t="s">
        <v>731</v>
      </c>
      <c r="I24" s="10">
        <v>543</v>
      </c>
      <c r="J24" s="10">
        <v>9870.43</v>
      </c>
      <c r="K24" s="6">
        <v>333640.86000000028</v>
      </c>
    </row>
    <row r="25" spans="1:11" x14ac:dyDescent="0.25">
      <c r="A25" s="5" t="s">
        <v>706</v>
      </c>
      <c r="B25" s="42">
        <f t="shared" si="0"/>
        <v>10.41343</v>
      </c>
      <c r="C25" s="7" t="s">
        <v>63</v>
      </c>
      <c r="D25" s="7" t="s">
        <v>65</v>
      </c>
      <c r="E25" s="7" t="s">
        <v>826</v>
      </c>
      <c r="F25" s="8">
        <v>9.6328000000003922</v>
      </c>
      <c r="G25" s="7" t="s">
        <v>731</v>
      </c>
      <c r="H25" s="7" t="s">
        <v>732</v>
      </c>
      <c r="I25" s="10">
        <v>609.20000000000005</v>
      </c>
      <c r="J25" s="10">
        <v>10413.43</v>
      </c>
      <c r="K25" s="6">
        <v>333097.86000000028</v>
      </c>
    </row>
    <row r="26" spans="1:11" x14ac:dyDescent="0.25">
      <c r="A26" s="5" t="s">
        <v>706</v>
      </c>
      <c r="B26" s="42">
        <f t="shared" si="0"/>
        <v>11.022630000000001</v>
      </c>
      <c r="C26" s="7" t="s">
        <v>65</v>
      </c>
      <c r="D26" s="7" t="s">
        <v>67</v>
      </c>
      <c r="E26" s="7" t="s">
        <v>826</v>
      </c>
      <c r="F26" s="8">
        <v>10.124190000000391</v>
      </c>
      <c r="G26" s="7" t="s">
        <v>732</v>
      </c>
      <c r="H26" s="7" t="s">
        <v>733</v>
      </c>
      <c r="I26" s="10">
        <v>415.8</v>
      </c>
      <c r="J26" s="10">
        <v>11022.630000000001</v>
      </c>
      <c r="K26" s="6">
        <v>332488.66000000027</v>
      </c>
    </row>
    <row r="27" spans="1:11" x14ac:dyDescent="0.25">
      <c r="A27" s="5" t="s">
        <v>706</v>
      </c>
      <c r="B27" s="42">
        <f t="shared" si="0"/>
        <v>11.43843</v>
      </c>
      <c r="C27" s="7" t="s">
        <v>67</v>
      </c>
      <c r="D27" s="7" t="s">
        <v>69</v>
      </c>
      <c r="E27" s="7" t="s">
        <v>826</v>
      </c>
      <c r="F27" s="8">
        <v>10.557840000000391</v>
      </c>
      <c r="G27" s="7" t="s">
        <v>733</v>
      </c>
      <c r="H27" s="7" t="s">
        <v>734</v>
      </c>
      <c r="I27" s="10">
        <v>581.79999999999995</v>
      </c>
      <c r="J27" s="10">
        <v>11438.43</v>
      </c>
      <c r="K27" s="6">
        <v>332072.86000000028</v>
      </c>
    </row>
    <row r="28" spans="1:11" x14ac:dyDescent="0.25">
      <c r="A28" s="5" t="s">
        <v>706</v>
      </c>
      <c r="B28" s="42">
        <f t="shared" si="0"/>
        <v>12.02023</v>
      </c>
      <c r="C28" s="7" t="s">
        <v>69</v>
      </c>
      <c r="D28" s="7" t="s">
        <v>71</v>
      </c>
      <c r="E28" s="7" t="s">
        <v>826</v>
      </c>
      <c r="F28" s="8">
        <v>11.221740000000391</v>
      </c>
      <c r="G28" s="7" t="s">
        <v>734</v>
      </c>
      <c r="H28" s="7" t="s">
        <v>735</v>
      </c>
      <c r="I28" s="10">
        <v>488.6</v>
      </c>
      <c r="J28" s="10">
        <v>12020.23</v>
      </c>
      <c r="K28" s="6">
        <v>331491.06000000029</v>
      </c>
    </row>
    <row r="29" spans="1:11" x14ac:dyDescent="0.25">
      <c r="A29" s="5" t="s">
        <v>706</v>
      </c>
      <c r="B29" s="42">
        <f t="shared" si="0"/>
        <v>12.50883</v>
      </c>
      <c r="C29" s="7" t="s">
        <v>71</v>
      </c>
      <c r="D29" s="7" t="s">
        <v>73</v>
      </c>
      <c r="E29" s="7" t="s">
        <v>826</v>
      </c>
      <c r="F29" s="8">
        <v>11.855450000000392</v>
      </c>
      <c r="G29" s="7" t="s">
        <v>735</v>
      </c>
      <c r="H29" s="7" t="s">
        <v>736</v>
      </c>
      <c r="I29" s="10">
        <v>427.17</v>
      </c>
      <c r="J29" s="10">
        <v>12508.83</v>
      </c>
      <c r="K29" s="6">
        <v>331002.46000000031</v>
      </c>
    </row>
    <row r="30" spans="1:11" x14ac:dyDescent="0.25">
      <c r="A30" s="5" t="s">
        <v>706</v>
      </c>
      <c r="B30" s="42">
        <f t="shared" si="0"/>
        <v>12.936</v>
      </c>
      <c r="C30" s="7" t="s">
        <v>73</v>
      </c>
      <c r="D30" s="7" t="s">
        <v>75</v>
      </c>
      <c r="E30" s="7" t="s">
        <v>826</v>
      </c>
      <c r="F30" s="8">
        <v>12.295510000000391</v>
      </c>
      <c r="G30" s="7" t="s">
        <v>736</v>
      </c>
      <c r="H30" s="7" t="s">
        <v>737</v>
      </c>
      <c r="I30" s="10">
        <v>403</v>
      </c>
      <c r="J30" s="10">
        <v>12936</v>
      </c>
      <c r="K30" s="6">
        <v>330575.29000000033</v>
      </c>
    </row>
    <row r="31" spans="1:11" x14ac:dyDescent="0.25">
      <c r="A31" s="5" t="s">
        <v>706</v>
      </c>
      <c r="B31" s="42">
        <f t="shared" si="0"/>
        <v>13.339</v>
      </c>
      <c r="C31" s="7" t="s">
        <v>75</v>
      </c>
      <c r="D31" s="7" t="s">
        <v>77</v>
      </c>
      <c r="E31" s="7" t="s">
        <v>826</v>
      </c>
      <c r="F31" s="8">
        <v>12.74472000000039</v>
      </c>
      <c r="G31" s="7" t="s">
        <v>737</v>
      </c>
      <c r="H31" s="7" t="s">
        <v>738</v>
      </c>
      <c r="I31" s="10">
        <v>486.3</v>
      </c>
      <c r="J31" s="10">
        <v>13339</v>
      </c>
      <c r="K31" s="6">
        <v>330172.29000000033</v>
      </c>
    </row>
    <row r="32" spans="1:11" x14ac:dyDescent="0.25">
      <c r="A32" s="5" t="s">
        <v>706</v>
      </c>
      <c r="B32" s="42">
        <f t="shared" si="0"/>
        <v>13.825299999999999</v>
      </c>
      <c r="C32" s="7" t="s">
        <v>77</v>
      </c>
      <c r="D32" s="7" t="s">
        <v>79</v>
      </c>
      <c r="E32" s="7" t="s">
        <v>826</v>
      </c>
      <c r="F32" s="8">
        <v>13.261490000000391</v>
      </c>
      <c r="G32" s="7" t="s">
        <v>738</v>
      </c>
      <c r="H32" s="7" t="s">
        <v>739</v>
      </c>
      <c r="I32" s="10">
        <v>407</v>
      </c>
      <c r="J32" s="10">
        <v>13825.3</v>
      </c>
      <c r="K32" s="6">
        <v>329685.99000000034</v>
      </c>
    </row>
    <row r="33" spans="1:11" x14ac:dyDescent="0.25">
      <c r="A33" s="5" t="s">
        <v>706</v>
      </c>
      <c r="B33" s="42">
        <f t="shared" si="0"/>
        <v>14.232299999999999</v>
      </c>
      <c r="C33" s="7" t="s">
        <v>79</v>
      </c>
      <c r="D33" s="7" t="s">
        <v>81</v>
      </c>
      <c r="E33" s="7" t="s">
        <v>826</v>
      </c>
      <c r="F33" s="8">
        <v>13.791860000000392</v>
      </c>
      <c r="G33" s="7" t="s">
        <v>739</v>
      </c>
      <c r="H33" s="7" t="s">
        <v>740</v>
      </c>
      <c r="I33" s="10">
        <v>485.8</v>
      </c>
      <c r="J33" s="10">
        <v>14232.3</v>
      </c>
      <c r="K33" s="6">
        <v>329278.99000000034</v>
      </c>
    </row>
    <row r="34" spans="1:11" x14ac:dyDescent="0.25">
      <c r="A34" s="5" t="s">
        <v>706</v>
      </c>
      <c r="B34" s="42">
        <f t="shared" si="0"/>
        <v>14.718099999999998</v>
      </c>
      <c r="C34" s="7" t="s">
        <v>81</v>
      </c>
      <c r="D34" s="7" t="s">
        <v>83</v>
      </c>
      <c r="E34" s="7" t="s">
        <v>826</v>
      </c>
      <c r="F34" s="8">
        <v>14.396850000000391</v>
      </c>
      <c r="G34" s="7" t="s">
        <v>740</v>
      </c>
      <c r="H34" s="7" t="s">
        <v>741</v>
      </c>
      <c r="I34" s="10">
        <v>621.6</v>
      </c>
      <c r="J34" s="10">
        <v>14718.099999999999</v>
      </c>
      <c r="K34" s="6">
        <v>328793.19000000035</v>
      </c>
    </row>
    <row r="35" spans="1:11" x14ac:dyDescent="0.25">
      <c r="A35" s="5" t="s">
        <v>706</v>
      </c>
      <c r="B35" s="42">
        <f t="shared" si="0"/>
        <v>15.339699999999999</v>
      </c>
      <c r="C35" s="7" t="s">
        <v>83</v>
      </c>
      <c r="D35" s="7" t="s">
        <v>85</v>
      </c>
      <c r="E35" s="7" t="s">
        <v>826</v>
      </c>
      <c r="F35" s="8">
        <v>14.939640000000391</v>
      </c>
      <c r="G35" s="7" t="s">
        <v>741</v>
      </c>
      <c r="H35" s="7" t="s">
        <v>742</v>
      </c>
      <c r="I35" s="10">
        <v>540.1</v>
      </c>
      <c r="J35" s="10">
        <v>15339.699999999999</v>
      </c>
      <c r="K35" s="6">
        <v>328171.59000000037</v>
      </c>
    </row>
    <row r="36" spans="1:11" x14ac:dyDescent="0.25">
      <c r="A36" s="5" t="s">
        <v>706</v>
      </c>
      <c r="B36" s="42">
        <f t="shared" si="0"/>
        <v>15.879799999999999</v>
      </c>
      <c r="C36" s="7" t="s">
        <v>85</v>
      </c>
      <c r="D36" s="7" t="s">
        <v>87</v>
      </c>
      <c r="E36" s="7" t="s">
        <v>826</v>
      </c>
      <c r="F36" s="8">
        <v>15.550060000000393</v>
      </c>
      <c r="G36" s="7" t="s">
        <v>742</v>
      </c>
      <c r="H36" s="7" t="s">
        <v>743</v>
      </c>
      <c r="I36" s="10">
        <v>403.7</v>
      </c>
      <c r="J36" s="10">
        <v>15879.8</v>
      </c>
      <c r="K36" s="6">
        <v>327631.4900000004</v>
      </c>
    </row>
    <row r="37" spans="1:11" x14ac:dyDescent="0.25">
      <c r="A37" s="5" t="s">
        <v>706</v>
      </c>
      <c r="B37" s="42">
        <f t="shared" si="0"/>
        <v>16.2835</v>
      </c>
      <c r="C37" s="7" t="s">
        <v>87</v>
      </c>
      <c r="D37" s="7" t="s">
        <v>89</v>
      </c>
      <c r="E37" s="7" t="s">
        <v>826</v>
      </c>
      <c r="F37" s="8">
        <v>16.102660000000391</v>
      </c>
      <c r="G37" s="7" t="s">
        <v>743</v>
      </c>
      <c r="H37" s="7" t="s">
        <v>744</v>
      </c>
      <c r="I37" s="10">
        <v>355.3</v>
      </c>
      <c r="J37" s="10">
        <v>16283.5</v>
      </c>
      <c r="K37" s="6">
        <v>327227.79000000039</v>
      </c>
    </row>
    <row r="38" spans="1:11" x14ac:dyDescent="0.25">
      <c r="A38" s="5" t="s">
        <v>706</v>
      </c>
      <c r="B38" s="42">
        <f t="shared" si="0"/>
        <v>16.6388</v>
      </c>
      <c r="C38" s="7" t="s">
        <v>89</v>
      </c>
      <c r="D38" s="7" t="s">
        <v>91</v>
      </c>
      <c r="E38" s="7" t="s">
        <v>826</v>
      </c>
      <c r="F38" s="8">
        <v>16.514960000000393</v>
      </c>
      <c r="G38" s="7" t="s">
        <v>744</v>
      </c>
      <c r="H38" s="7" t="s">
        <v>745</v>
      </c>
      <c r="I38" s="10">
        <v>321</v>
      </c>
      <c r="J38" s="10">
        <v>16638.8</v>
      </c>
      <c r="K38" s="6">
        <v>326872.4900000004</v>
      </c>
    </row>
    <row r="39" spans="1:11" x14ac:dyDescent="0.25">
      <c r="A39" s="5" t="s">
        <v>706</v>
      </c>
      <c r="B39" s="42">
        <f t="shared" si="0"/>
        <v>16.959799999999998</v>
      </c>
      <c r="C39" s="7" t="s">
        <v>91</v>
      </c>
      <c r="D39" s="7" t="s">
        <v>93</v>
      </c>
      <c r="E39" s="7" t="s">
        <v>826</v>
      </c>
      <c r="F39" s="8">
        <v>17.052570000000394</v>
      </c>
      <c r="G39" s="7" t="s">
        <v>745</v>
      </c>
      <c r="H39" s="7" t="s">
        <v>746</v>
      </c>
      <c r="I39" s="10">
        <v>392.1</v>
      </c>
      <c r="J39" s="10">
        <v>16959.8</v>
      </c>
      <c r="K39" s="6">
        <v>326551.4900000004</v>
      </c>
    </row>
    <row r="40" spans="1:11" x14ac:dyDescent="0.25">
      <c r="A40" s="5" t="s">
        <v>706</v>
      </c>
      <c r="B40" s="42">
        <f t="shared" si="0"/>
        <v>17.351899999999997</v>
      </c>
      <c r="C40" s="7" t="s">
        <v>93</v>
      </c>
      <c r="D40" s="7" t="s">
        <v>95</v>
      </c>
      <c r="E40" s="7" t="s">
        <v>826</v>
      </c>
      <c r="F40" s="8">
        <v>17.688520000000395</v>
      </c>
      <c r="G40" s="7" t="s">
        <v>746</v>
      </c>
      <c r="H40" s="7" t="s">
        <v>747</v>
      </c>
      <c r="I40" s="10">
        <v>347.4</v>
      </c>
      <c r="J40" s="10">
        <v>17351.899999999998</v>
      </c>
      <c r="K40" s="6">
        <v>326159.39000000042</v>
      </c>
    </row>
    <row r="41" spans="1:11" x14ac:dyDescent="0.25">
      <c r="A41" s="5" t="s">
        <v>706</v>
      </c>
      <c r="B41" s="42">
        <f t="shared" si="0"/>
        <v>17.699300000000001</v>
      </c>
      <c r="C41" s="7" t="s">
        <v>95</v>
      </c>
      <c r="D41" s="7" t="s">
        <v>97</v>
      </c>
      <c r="E41" s="7" t="s">
        <v>826</v>
      </c>
      <c r="F41" s="8">
        <v>18.077000000000393</v>
      </c>
      <c r="G41" s="7" t="s">
        <v>747</v>
      </c>
      <c r="H41" s="7" t="s">
        <v>748</v>
      </c>
      <c r="I41" s="10">
        <v>345.8</v>
      </c>
      <c r="J41" s="10">
        <v>17699.3</v>
      </c>
      <c r="K41" s="6">
        <v>325811.9900000004</v>
      </c>
    </row>
    <row r="42" spans="1:11" x14ac:dyDescent="0.25">
      <c r="A42" s="5" t="s">
        <v>706</v>
      </c>
      <c r="B42" s="42">
        <f t="shared" si="0"/>
        <v>18.045099999999998</v>
      </c>
      <c r="C42" s="7" t="s">
        <v>97</v>
      </c>
      <c r="D42" s="7" t="s">
        <v>99</v>
      </c>
      <c r="E42" s="7" t="s">
        <v>826</v>
      </c>
      <c r="F42" s="8">
        <v>18.477050000000393</v>
      </c>
      <c r="G42" s="7" t="s">
        <v>748</v>
      </c>
      <c r="H42" s="7" t="s">
        <v>749</v>
      </c>
      <c r="I42" s="10">
        <v>429.9</v>
      </c>
      <c r="J42" s="10">
        <v>18045.099999999999</v>
      </c>
      <c r="K42" s="6">
        <v>325466.19000000041</v>
      </c>
    </row>
    <row r="43" spans="1:11" x14ac:dyDescent="0.25">
      <c r="A43" s="5" t="s">
        <v>706</v>
      </c>
      <c r="B43" s="42">
        <f t="shared" si="0"/>
        <v>18.475000000000001</v>
      </c>
      <c r="C43" s="7" t="s">
        <v>99</v>
      </c>
      <c r="D43" s="7" t="s">
        <v>101</v>
      </c>
      <c r="E43" s="7" t="s">
        <v>826</v>
      </c>
      <c r="F43" s="8">
        <v>19.000000000000394</v>
      </c>
      <c r="G43" s="7" t="s">
        <v>749</v>
      </c>
      <c r="H43" s="7" t="s">
        <v>750</v>
      </c>
      <c r="I43" s="10">
        <v>489.2</v>
      </c>
      <c r="J43" s="10">
        <v>18475</v>
      </c>
      <c r="K43" s="6">
        <v>325036.29000000039</v>
      </c>
    </row>
    <row r="44" spans="1:11" x14ac:dyDescent="0.25">
      <c r="A44" s="5" t="s">
        <v>706</v>
      </c>
      <c r="B44" s="42">
        <f t="shared" si="0"/>
        <v>18.964200000000002</v>
      </c>
      <c r="C44" s="7" t="s">
        <v>101</v>
      </c>
      <c r="D44" s="7" t="s">
        <v>103</v>
      </c>
      <c r="E44" s="7" t="s">
        <v>826</v>
      </c>
      <c r="F44" s="8">
        <v>19.549030000000393</v>
      </c>
      <c r="G44" s="7" t="s">
        <v>750</v>
      </c>
      <c r="H44" s="7" t="s">
        <v>751</v>
      </c>
      <c r="I44" s="10">
        <v>450.1</v>
      </c>
      <c r="J44" s="10">
        <v>18964.2</v>
      </c>
      <c r="K44" s="6">
        <v>324547.09000000037</v>
      </c>
    </row>
    <row r="45" spans="1:11" x14ac:dyDescent="0.25">
      <c r="A45" s="5" t="s">
        <v>706</v>
      </c>
      <c r="B45" s="42">
        <f t="shared" si="0"/>
        <v>19.414300000000001</v>
      </c>
      <c r="C45" s="7" t="s">
        <v>103</v>
      </c>
      <c r="D45" s="7" t="s">
        <v>105</v>
      </c>
      <c r="E45" s="7" t="s">
        <v>826</v>
      </c>
      <c r="F45" s="8">
        <v>20.041350000000392</v>
      </c>
      <c r="G45" s="7" t="s">
        <v>751</v>
      </c>
      <c r="H45" s="7" t="s">
        <v>752</v>
      </c>
      <c r="I45" s="10">
        <v>314.60000000000002</v>
      </c>
      <c r="J45" s="10">
        <v>19414.3</v>
      </c>
      <c r="K45" s="6">
        <v>324096.9900000004</v>
      </c>
    </row>
    <row r="46" spans="1:11" x14ac:dyDescent="0.25">
      <c r="A46" s="5" t="s">
        <v>706</v>
      </c>
      <c r="B46" s="42">
        <f t="shared" si="0"/>
        <v>19.728899999999999</v>
      </c>
      <c r="C46" s="7" t="s">
        <v>105</v>
      </c>
      <c r="D46" s="7" t="s">
        <v>107</v>
      </c>
      <c r="E46" s="7" t="s">
        <v>826</v>
      </c>
      <c r="F46" s="8">
        <v>20.393500000000394</v>
      </c>
      <c r="G46" s="7" t="s">
        <v>752</v>
      </c>
      <c r="H46" s="7" t="s">
        <v>753</v>
      </c>
      <c r="I46" s="10">
        <v>536.4</v>
      </c>
      <c r="J46" s="10">
        <v>19728.899999999998</v>
      </c>
      <c r="K46" s="6">
        <v>323782.39000000042</v>
      </c>
    </row>
    <row r="47" spans="1:11" x14ac:dyDescent="0.25">
      <c r="A47" s="5" t="s">
        <v>706</v>
      </c>
      <c r="B47" s="42">
        <f t="shared" si="0"/>
        <v>20.2653</v>
      </c>
      <c r="C47" s="7" t="s">
        <v>107</v>
      </c>
      <c r="D47" s="7" t="s">
        <v>109</v>
      </c>
      <c r="E47" s="7" t="s">
        <v>826</v>
      </c>
      <c r="F47" s="8">
        <v>20.893900000000393</v>
      </c>
      <c r="G47" s="7" t="s">
        <v>753</v>
      </c>
      <c r="H47" s="7" t="s">
        <v>754</v>
      </c>
      <c r="I47" s="10">
        <v>659.5</v>
      </c>
      <c r="J47" s="10">
        <v>20265.3</v>
      </c>
      <c r="K47" s="6">
        <v>323245.9900000004</v>
      </c>
    </row>
    <row r="48" spans="1:11" x14ac:dyDescent="0.25">
      <c r="A48" s="5" t="s">
        <v>706</v>
      </c>
      <c r="B48" s="42">
        <f t="shared" si="0"/>
        <v>20.924799999999998</v>
      </c>
      <c r="C48" s="7" t="s">
        <v>109</v>
      </c>
      <c r="D48" s="7" t="s">
        <v>111</v>
      </c>
      <c r="E48" s="7" t="s">
        <v>826</v>
      </c>
      <c r="F48" s="8">
        <v>21.298180000000393</v>
      </c>
      <c r="G48" s="7" t="s">
        <v>754</v>
      </c>
      <c r="H48" s="7" t="s">
        <v>755</v>
      </c>
      <c r="I48" s="10">
        <v>486.1</v>
      </c>
      <c r="J48" s="10">
        <v>20924.8</v>
      </c>
      <c r="K48" s="6">
        <v>322586.4900000004</v>
      </c>
    </row>
    <row r="49" spans="1:11" x14ac:dyDescent="0.25">
      <c r="A49" s="5" t="s">
        <v>706</v>
      </c>
      <c r="B49" s="42">
        <f t="shared" si="0"/>
        <v>21.410899999999998</v>
      </c>
      <c r="C49" s="7" t="s">
        <v>111</v>
      </c>
      <c r="D49" s="7" t="s">
        <v>113</v>
      </c>
      <c r="E49" s="7" t="s">
        <v>826</v>
      </c>
      <c r="F49" s="8">
        <v>21.745090000000392</v>
      </c>
      <c r="G49" s="7" t="s">
        <v>755</v>
      </c>
      <c r="H49" s="7" t="s">
        <v>756</v>
      </c>
      <c r="I49" s="10">
        <v>508</v>
      </c>
      <c r="J49" s="10">
        <v>21410.899999999998</v>
      </c>
      <c r="K49" s="6">
        <v>322100.39000000042</v>
      </c>
    </row>
    <row r="50" spans="1:11" x14ac:dyDescent="0.25">
      <c r="A50" s="5" t="s">
        <v>706</v>
      </c>
      <c r="B50" s="42">
        <f t="shared" si="0"/>
        <v>21.918899999999997</v>
      </c>
      <c r="C50" s="7" t="s">
        <v>113</v>
      </c>
      <c r="D50" s="7" t="s">
        <v>115</v>
      </c>
      <c r="E50" s="7" t="s">
        <v>826</v>
      </c>
      <c r="F50" s="8">
        <v>22.115060000000394</v>
      </c>
      <c r="G50" s="7" t="s">
        <v>756</v>
      </c>
      <c r="H50" s="7" t="s">
        <v>757</v>
      </c>
      <c r="I50" s="10">
        <v>592</v>
      </c>
      <c r="J50" s="10">
        <v>21918.899999999998</v>
      </c>
      <c r="K50" s="6">
        <v>321592.39000000042</v>
      </c>
    </row>
    <row r="51" spans="1:11" x14ac:dyDescent="0.25">
      <c r="A51" s="5" t="s">
        <v>706</v>
      </c>
      <c r="B51" s="42">
        <f t="shared" si="0"/>
        <v>22.510899999999999</v>
      </c>
      <c r="C51" s="7" t="s">
        <v>115</v>
      </c>
      <c r="D51" s="7" t="s">
        <v>18</v>
      </c>
      <c r="E51" s="7" t="s">
        <v>826</v>
      </c>
      <c r="F51" s="8">
        <v>22.541170000000395</v>
      </c>
      <c r="G51" s="7" t="s">
        <v>757</v>
      </c>
      <c r="H51" s="7" t="s">
        <v>758</v>
      </c>
      <c r="I51" s="10">
        <v>585.70000000000005</v>
      </c>
      <c r="J51" s="10">
        <v>22510.899999999998</v>
      </c>
      <c r="K51" s="6">
        <v>321000.39000000042</v>
      </c>
    </row>
    <row r="52" spans="1:11" x14ac:dyDescent="0.25">
      <c r="A52" s="5" t="s">
        <v>706</v>
      </c>
      <c r="B52" s="42">
        <f t="shared" si="0"/>
        <v>23.096599999999999</v>
      </c>
      <c r="C52" s="7" t="s">
        <v>18</v>
      </c>
      <c r="D52" s="7" t="s">
        <v>19</v>
      </c>
      <c r="E52" s="7" t="s">
        <v>826</v>
      </c>
      <c r="F52" s="8">
        <v>22.926820000000397</v>
      </c>
      <c r="G52" s="7" t="s">
        <v>758</v>
      </c>
      <c r="H52" s="7" t="s">
        <v>759</v>
      </c>
      <c r="I52" s="10">
        <v>550</v>
      </c>
      <c r="J52" s="10">
        <v>23096.6</v>
      </c>
      <c r="K52" s="6">
        <v>320414.69000000041</v>
      </c>
    </row>
    <row r="53" spans="1:11" x14ac:dyDescent="0.25">
      <c r="A53" s="5" t="s">
        <v>706</v>
      </c>
      <c r="B53" s="42">
        <f t="shared" si="0"/>
        <v>23.646599999999999</v>
      </c>
      <c r="C53" s="7" t="s">
        <v>19</v>
      </c>
      <c r="D53" s="7" t="s">
        <v>119</v>
      </c>
      <c r="E53" s="7" t="s">
        <v>826</v>
      </c>
      <c r="F53" s="8">
        <v>23.304510000000395</v>
      </c>
      <c r="G53" s="7" t="s">
        <v>759</v>
      </c>
      <c r="H53" s="7" t="s">
        <v>760</v>
      </c>
      <c r="I53" s="10">
        <v>523.20000000000005</v>
      </c>
      <c r="J53" s="10">
        <v>23646.6</v>
      </c>
      <c r="K53" s="6">
        <v>319864.69000000041</v>
      </c>
    </row>
    <row r="54" spans="1:11" x14ac:dyDescent="0.25">
      <c r="A54" s="5" t="s">
        <v>706</v>
      </c>
      <c r="B54" s="42">
        <f t="shared" si="0"/>
        <v>24.169799999999999</v>
      </c>
      <c r="C54" s="7" t="s">
        <v>119</v>
      </c>
      <c r="D54" s="7" t="s">
        <v>121</v>
      </c>
      <c r="E54" s="7" t="s">
        <v>826</v>
      </c>
      <c r="F54" s="8">
        <v>23.707420000000393</v>
      </c>
      <c r="G54" s="7" t="s">
        <v>760</v>
      </c>
      <c r="H54" s="7" t="s">
        <v>761</v>
      </c>
      <c r="I54" s="10">
        <v>482.39</v>
      </c>
      <c r="J54" s="10">
        <v>24169.8</v>
      </c>
      <c r="K54" s="6">
        <v>319341.4900000004</v>
      </c>
    </row>
    <row r="55" spans="1:11" x14ac:dyDescent="0.25">
      <c r="A55" s="5" t="s">
        <v>706</v>
      </c>
      <c r="B55" s="42">
        <f t="shared" si="0"/>
        <v>24.652189999999997</v>
      </c>
      <c r="C55" s="7" t="s">
        <v>121</v>
      </c>
      <c r="D55" s="7" t="s">
        <v>123</v>
      </c>
      <c r="E55" s="7" t="s">
        <v>826</v>
      </c>
      <c r="F55" s="8">
        <v>24.186830000000395</v>
      </c>
      <c r="G55" s="7" t="s">
        <v>761</v>
      </c>
      <c r="H55" s="7" t="s">
        <v>762</v>
      </c>
      <c r="I55" s="10">
        <v>606.61</v>
      </c>
      <c r="J55" s="10">
        <v>24652.19</v>
      </c>
      <c r="K55" s="6">
        <v>318859.10000000038</v>
      </c>
    </row>
    <row r="56" spans="1:11" x14ac:dyDescent="0.25">
      <c r="A56" s="5" t="s">
        <v>706</v>
      </c>
      <c r="B56" s="42">
        <f t="shared" si="0"/>
        <v>25.258800000000001</v>
      </c>
      <c r="C56" s="7" t="s">
        <v>123</v>
      </c>
      <c r="D56" s="7" t="s">
        <v>125</v>
      </c>
      <c r="E56" s="7" t="s">
        <v>826</v>
      </c>
      <c r="F56" s="8">
        <v>24.495510000000394</v>
      </c>
      <c r="G56" s="7" t="s">
        <v>762</v>
      </c>
      <c r="H56" s="7" t="s">
        <v>763</v>
      </c>
      <c r="I56" s="10">
        <v>592.77</v>
      </c>
      <c r="J56" s="10">
        <v>25258.799999999999</v>
      </c>
      <c r="K56" s="6">
        <v>318252.4900000004</v>
      </c>
    </row>
    <row r="57" spans="1:11" x14ac:dyDescent="0.25">
      <c r="A57" s="5" t="s">
        <v>706</v>
      </c>
      <c r="B57" s="42">
        <f t="shared" si="0"/>
        <v>25.851569999999999</v>
      </c>
      <c r="C57" s="7" t="s">
        <v>125</v>
      </c>
      <c r="D57" s="7" t="s">
        <v>127</v>
      </c>
      <c r="E57" s="7" t="s">
        <v>826</v>
      </c>
      <c r="F57" s="8">
        <v>24.847190000000396</v>
      </c>
      <c r="G57" s="7" t="s">
        <v>763</v>
      </c>
      <c r="H57" s="7" t="s">
        <v>764</v>
      </c>
      <c r="I57" s="10">
        <v>572.4</v>
      </c>
      <c r="J57" s="10">
        <v>25851.57</v>
      </c>
      <c r="K57" s="6">
        <v>317659.72000000038</v>
      </c>
    </row>
    <row r="58" spans="1:11" x14ac:dyDescent="0.25">
      <c r="A58" s="5" t="s">
        <v>706</v>
      </c>
      <c r="B58" s="42">
        <f t="shared" si="0"/>
        <v>26.423970000000001</v>
      </c>
      <c r="C58" s="7" t="s">
        <v>127</v>
      </c>
      <c r="D58" s="7" t="s">
        <v>129</v>
      </c>
      <c r="E58" s="7" t="s">
        <v>826</v>
      </c>
      <c r="F58" s="8">
        <v>25.282190000000394</v>
      </c>
      <c r="G58" s="7" t="s">
        <v>764</v>
      </c>
      <c r="H58" s="7" t="s">
        <v>765</v>
      </c>
      <c r="I58" s="10">
        <v>434</v>
      </c>
      <c r="J58" s="10">
        <v>26423.97</v>
      </c>
      <c r="K58" s="6">
        <v>317087.32000000036</v>
      </c>
    </row>
    <row r="59" spans="1:11" x14ac:dyDescent="0.25">
      <c r="A59" s="5" t="s">
        <v>706</v>
      </c>
      <c r="B59" s="42">
        <f t="shared" si="0"/>
        <v>26.857970000000002</v>
      </c>
      <c r="C59" s="7" t="s">
        <v>129</v>
      </c>
      <c r="D59" s="7" t="s">
        <v>131</v>
      </c>
      <c r="E59" s="7" t="s">
        <v>826</v>
      </c>
      <c r="F59" s="8">
        <v>25.662490000000396</v>
      </c>
      <c r="G59" s="7" t="s">
        <v>765</v>
      </c>
      <c r="H59" s="7" t="s">
        <v>766</v>
      </c>
      <c r="I59" s="10">
        <v>358.5</v>
      </c>
      <c r="J59" s="10">
        <v>26857.97</v>
      </c>
      <c r="K59" s="6">
        <v>316653.32000000036</v>
      </c>
    </row>
    <row r="60" spans="1:11" x14ac:dyDescent="0.25">
      <c r="A60" s="5" t="s">
        <v>706</v>
      </c>
      <c r="B60" s="42">
        <f t="shared" si="0"/>
        <v>27.216470000000001</v>
      </c>
      <c r="C60" s="7" t="s">
        <v>131</v>
      </c>
      <c r="D60" s="7" t="s">
        <v>133</v>
      </c>
      <c r="E60" s="7" t="s">
        <v>826</v>
      </c>
      <c r="F60" s="8">
        <v>26.164890000000398</v>
      </c>
      <c r="G60" s="7" t="s">
        <v>766</v>
      </c>
      <c r="H60" s="7" t="s">
        <v>767</v>
      </c>
      <c r="I60" s="10">
        <v>389.17</v>
      </c>
      <c r="J60" s="10">
        <v>27216.47</v>
      </c>
      <c r="K60" s="6">
        <v>316294.82000000036</v>
      </c>
    </row>
    <row r="61" spans="1:11" x14ac:dyDescent="0.25">
      <c r="A61" s="5" t="s">
        <v>706</v>
      </c>
      <c r="B61" s="42">
        <f t="shared" si="0"/>
        <v>27.605640000000001</v>
      </c>
      <c r="C61" s="7" t="s">
        <v>133</v>
      </c>
      <c r="D61" s="7" t="s">
        <v>135</v>
      </c>
      <c r="E61" s="7" t="s">
        <v>826</v>
      </c>
      <c r="F61" s="8">
        <v>26.689980000000396</v>
      </c>
      <c r="G61" s="7" t="s">
        <v>767</v>
      </c>
      <c r="H61" s="7" t="s">
        <v>768</v>
      </c>
      <c r="I61" s="10">
        <v>521.29999999999995</v>
      </c>
      <c r="J61" s="10">
        <v>27605.64</v>
      </c>
      <c r="K61" s="6">
        <v>315905.65000000037</v>
      </c>
    </row>
    <row r="62" spans="1:11" x14ac:dyDescent="0.25">
      <c r="A62" s="5" t="s">
        <v>706</v>
      </c>
      <c r="B62" s="42">
        <f t="shared" si="0"/>
        <v>28.126939999999998</v>
      </c>
      <c r="C62" s="7" t="s">
        <v>135</v>
      </c>
      <c r="D62" s="7" t="s">
        <v>137</v>
      </c>
      <c r="E62" s="7" t="s">
        <v>826</v>
      </c>
      <c r="F62" s="8">
        <v>27.227270000000399</v>
      </c>
      <c r="G62" s="7" t="s">
        <v>768</v>
      </c>
      <c r="H62" s="7" t="s">
        <v>769</v>
      </c>
      <c r="I62" s="10">
        <v>609.1</v>
      </c>
      <c r="J62" s="10">
        <v>28126.94</v>
      </c>
      <c r="K62" s="6">
        <v>315384.35000000038</v>
      </c>
    </row>
    <row r="63" spans="1:11" x14ac:dyDescent="0.25">
      <c r="A63" s="5" t="s">
        <v>706</v>
      </c>
      <c r="B63" s="42">
        <f t="shared" si="0"/>
        <v>28.736039999999996</v>
      </c>
      <c r="C63" s="7" t="s">
        <v>137</v>
      </c>
      <c r="D63" s="7" t="s">
        <v>139</v>
      </c>
      <c r="E63" s="7" t="s">
        <v>826</v>
      </c>
      <c r="F63" s="8">
        <v>27.772360000000397</v>
      </c>
      <c r="G63" s="7" t="s">
        <v>769</v>
      </c>
      <c r="H63" s="7" t="s">
        <v>770</v>
      </c>
      <c r="I63" s="10">
        <v>562.4</v>
      </c>
      <c r="J63" s="10">
        <v>28736.039999999997</v>
      </c>
      <c r="K63" s="6">
        <v>314775.25000000041</v>
      </c>
    </row>
    <row r="64" spans="1:11" x14ac:dyDescent="0.25">
      <c r="A64" s="5" t="s">
        <v>706</v>
      </c>
      <c r="B64" s="42">
        <f t="shared" si="0"/>
        <v>29.298439999999999</v>
      </c>
      <c r="C64" s="7" t="s">
        <v>139</v>
      </c>
      <c r="D64" s="7" t="s">
        <v>141</v>
      </c>
      <c r="E64" s="7" t="s">
        <v>826</v>
      </c>
      <c r="F64" s="8">
        <v>28.259760000000398</v>
      </c>
      <c r="G64" s="7" t="s">
        <v>770</v>
      </c>
      <c r="H64" s="7" t="s">
        <v>771</v>
      </c>
      <c r="I64" s="10">
        <v>597.5</v>
      </c>
      <c r="J64" s="10">
        <v>29298.44</v>
      </c>
      <c r="K64" s="6">
        <v>314212.85000000038</v>
      </c>
    </row>
    <row r="65" spans="1:11" x14ac:dyDescent="0.25">
      <c r="A65" s="5" t="s">
        <v>706</v>
      </c>
      <c r="B65" s="42">
        <f t="shared" si="0"/>
        <v>29.89594</v>
      </c>
      <c r="C65" s="7" t="s">
        <v>141</v>
      </c>
      <c r="D65" s="7" t="s">
        <v>143</v>
      </c>
      <c r="E65" s="7" t="s">
        <v>826</v>
      </c>
      <c r="F65" s="8">
        <v>28.782480000000401</v>
      </c>
      <c r="G65" s="7" t="s">
        <v>771</v>
      </c>
      <c r="H65" s="7" t="s">
        <v>772</v>
      </c>
      <c r="I65" s="10">
        <v>543.29999999999995</v>
      </c>
      <c r="J65" s="10">
        <v>29895.94</v>
      </c>
      <c r="K65" s="6">
        <v>313615.35000000038</v>
      </c>
    </row>
    <row r="66" spans="1:11" x14ac:dyDescent="0.25">
      <c r="A66" s="5" t="s">
        <v>706</v>
      </c>
      <c r="B66" s="42">
        <f t="shared" si="0"/>
        <v>30.439239999999998</v>
      </c>
      <c r="C66" s="7" t="s">
        <v>143</v>
      </c>
      <c r="D66" s="7" t="s">
        <v>145</v>
      </c>
      <c r="E66" s="7" t="s">
        <v>826</v>
      </c>
      <c r="F66" s="8">
        <v>29.2546300000004</v>
      </c>
      <c r="G66" s="7" t="s">
        <v>772</v>
      </c>
      <c r="H66" s="7" t="s">
        <v>773</v>
      </c>
      <c r="I66" s="10">
        <v>547.6</v>
      </c>
      <c r="J66" s="10">
        <v>30439.239999999998</v>
      </c>
      <c r="K66" s="6">
        <v>313072.0500000004</v>
      </c>
    </row>
    <row r="67" spans="1:11" x14ac:dyDescent="0.25">
      <c r="A67" s="5" t="s">
        <v>706</v>
      </c>
      <c r="B67" s="42">
        <f t="shared" ref="B67:B130" si="1">J67/1000</f>
        <v>30.986839999999997</v>
      </c>
      <c r="C67" s="7" t="s">
        <v>145</v>
      </c>
      <c r="D67" s="7" t="s">
        <v>147</v>
      </c>
      <c r="E67" s="7" t="s">
        <v>826</v>
      </c>
      <c r="F67" s="8">
        <v>29.7287300000004</v>
      </c>
      <c r="G67" s="7" t="s">
        <v>773</v>
      </c>
      <c r="H67" s="7" t="s">
        <v>774</v>
      </c>
      <c r="I67" s="10">
        <v>540.6</v>
      </c>
      <c r="J67" s="10">
        <v>30986.839999999997</v>
      </c>
      <c r="K67" s="6">
        <v>312524.45000000042</v>
      </c>
    </row>
    <row r="68" spans="1:11" x14ac:dyDescent="0.25">
      <c r="A68" s="5" t="s">
        <v>706</v>
      </c>
      <c r="B68" s="42">
        <f t="shared" si="1"/>
        <v>31.527439999999995</v>
      </c>
      <c r="C68" s="7" t="s">
        <v>147</v>
      </c>
      <c r="D68" s="7" t="s">
        <v>149</v>
      </c>
      <c r="E68" s="7" t="s">
        <v>826</v>
      </c>
      <c r="F68" s="8">
        <v>30.335200000000402</v>
      </c>
      <c r="G68" s="7" t="s">
        <v>774</v>
      </c>
      <c r="H68" s="7" t="s">
        <v>775</v>
      </c>
      <c r="I68" s="10">
        <v>659.1</v>
      </c>
      <c r="J68" s="10">
        <v>31527.439999999995</v>
      </c>
      <c r="K68" s="6">
        <v>311983.85000000044</v>
      </c>
    </row>
    <row r="69" spans="1:11" x14ac:dyDescent="0.25">
      <c r="A69" s="5" t="s">
        <v>706</v>
      </c>
      <c r="B69" s="42">
        <f t="shared" si="1"/>
        <v>32.186539999999994</v>
      </c>
      <c r="C69" s="7" t="s">
        <v>149</v>
      </c>
      <c r="D69" s="7" t="s">
        <v>151</v>
      </c>
      <c r="E69" s="7" t="s">
        <v>826</v>
      </c>
      <c r="F69" s="8">
        <v>30.8335500000004</v>
      </c>
      <c r="G69" s="7" t="s">
        <v>775</v>
      </c>
      <c r="H69" s="7" t="s">
        <v>776</v>
      </c>
      <c r="I69" s="10">
        <v>456.9</v>
      </c>
      <c r="J69" s="10">
        <v>32186.539999999994</v>
      </c>
      <c r="K69" s="6">
        <v>311324.75000000047</v>
      </c>
    </row>
    <row r="70" spans="1:11" x14ac:dyDescent="0.25">
      <c r="A70" s="5" t="s">
        <v>706</v>
      </c>
      <c r="B70" s="42">
        <f t="shared" si="1"/>
        <v>32.643439999999998</v>
      </c>
      <c r="C70" s="7" t="s">
        <v>151</v>
      </c>
      <c r="D70" s="7" t="s">
        <v>153</v>
      </c>
      <c r="E70" s="7" t="s">
        <v>826</v>
      </c>
      <c r="F70" s="8">
        <v>31.281810000000398</v>
      </c>
      <c r="G70" s="7" t="s">
        <v>776</v>
      </c>
      <c r="H70" s="7" t="s">
        <v>777</v>
      </c>
      <c r="I70" s="10">
        <v>492.5</v>
      </c>
      <c r="J70" s="10">
        <v>32643.439999999995</v>
      </c>
      <c r="K70" s="6">
        <v>310867.85000000044</v>
      </c>
    </row>
    <row r="71" spans="1:11" x14ac:dyDescent="0.25">
      <c r="A71" s="5" t="s">
        <v>706</v>
      </c>
      <c r="B71" s="42">
        <f t="shared" si="1"/>
        <v>33.135939999999998</v>
      </c>
      <c r="C71" s="7" t="s">
        <v>153</v>
      </c>
      <c r="D71" s="7" t="s">
        <v>155</v>
      </c>
      <c r="E71" s="7" t="s">
        <v>826</v>
      </c>
      <c r="F71" s="8">
        <v>31.766830000000397</v>
      </c>
      <c r="G71" s="7" t="s">
        <v>777</v>
      </c>
      <c r="H71" s="7" t="s">
        <v>778</v>
      </c>
      <c r="I71" s="10">
        <v>476.04</v>
      </c>
      <c r="J71" s="10">
        <v>33135.939999999995</v>
      </c>
      <c r="K71" s="6">
        <v>310375.35000000044</v>
      </c>
    </row>
    <row r="72" spans="1:11" x14ac:dyDescent="0.25">
      <c r="A72" s="5" t="s">
        <v>706</v>
      </c>
      <c r="B72" s="42">
        <f t="shared" si="1"/>
        <v>33.611979999999996</v>
      </c>
      <c r="C72" s="7" t="s">
        <v>155</v>
      </c>
      <c r="D72" s="7" t="s">
        <v>157</v>
      </c>
      <c r="E72" s="7" t="s">
        <v>826</v>
      </c>
      <c r="F72" s="8">
        <v>32.2379400000004</v>
      </c>
      <c r="G72" s="7" t="s">
        <v>778</v>
      </c>
      <c r="H72" s="7" t="s">
        <v>779</v>
      </c>
      <c r="I72" s="10">
        <v>417</v>
      </c>
      <c r="J72" s="10">
        <v>33611.979999999996</v>
      </c>
      <c r="K72" s="6">
        <v>309899.31000000046</v>
      </c>
    </row>
    <row r="73" spans="1:11" x14ac:dyDescent="0.25">
      <c r="A73" s="5" t="s">
        <v>706</v>
      </c>
      <c r="B73" s="42">
        <f t="shared" si="1"/>
        <v>34.028979999999997</v>
      </c>
      <c r="C73" s="7" t="s">
        <v>157</v>
      </c>
      <c r="D73" s="7" t="s">
        <v>159</v>
      </c>
      <c r="E73" s="7" t="s">
        <v>826</v>
      </c>
      <c r="F73" s="8">
        <v>32.695650000000398</v>
      </c>
      <c r="G73" s="7" t="s">
        <v>779</v>
      </c>
      <c r="H73" s="7" t="s">
        <v>780</v>
      </c>
      <c r="I73" s="10">
        <v>465.05</v>
      </c>
      <c r="J73" s="10">
        <v>34028.979999999996</v>
      </c>
      <c r="K73" s="6">
        <v>309482.31000000046</v>
      </c>
    </row>
    <row r="74" spans="1:11" x14ac:dyDescent="0.25">
      <c r="A74" s="5" t="s">
        <v>706</v>
      </c>
      <c r="B74" s="42">
        <f t="shared" si="1"/>
        <v>34.494030000000002</v>
      </c>
      <c r="C74" s="7" t="s">
        <v>159</v>
      </c>
      <c r="D74" s="7" t="s">
        <v>161</v>
      </c>
      <c r="E74" s="7" t="s">
        <v>826</v>
      </c>
      <c r="F74" s="8">
        <v>33.168840000000394</v>
      </c>
      <c r="G74" s="7" t="s">
        <v>780</v>
      </c>
      <c r="H74" s="7" t="s">
        <v>781</v>
      </c>
      <c r="I74" s="10">
        <v>433.05</v>
      </c>
      <c r="J74" s="10">
        <v>34494.03</v>
      </c>
      <c r="K74" s="6">
        <v>309017.26000000047</v>
      </c>
    </row>
    <row r="75" spans="1:11" x14ac:dyDescent="0.25">
      <c r="A75" s="5" t="s">
        <v>706</v>
      </c>
      <c r="B75" s="42">
        <f t="shared" si="1"/>
        <v>34.927080000000004</v>
      </c>
      <c r="C75" s="7" t="s">
        <v>161</v>
      </c>
      <c r="D75" s="7" t="s">
        <v>163</v>
      </c>
      <c r="E75" s="7" t="s">
        <v>826</v>
      </c>
      <c r="F75" s="8">
        <v>33.6961700000004</v>
      </c>
      <c r="G75" s="7" t="s">
        <v>781</v>
      </c>
      <c r="H75" s="7" t="s">
        <v>782</v>
      </c>
      <c r="I75" s="10">
        <v>459.1</v>
      </c>
      <c r="J75" s="10">
        <v>34927.08</v>
      </c>
      <c r="K75" s="6">
        <v>308584.21000000049</v>
      </c>
    </row>
    <row r="76" spans="1:11" x14ac:dyDescent="0.25">
      <c r="A76" s="5" t="s">
        <v>706</v>
      </c>
      <c r="B76" s="42">
        <f t="shared" si="1"/>
        <v>35.386180000000003</v>
      </c>
      <c r="C76" s="7" t="s">
        <v>163</v>
      </c>
      <c r="D76" s="7" t="s">
        <v>165</v>
      </c>
      <c r="E76" s="7" t="s">
        <v>826</v>
      </c>
      <c r="F76" s="8">
        <v>34.061180000000398</v>
      </c>
      <c r="G76" s="7" t="s">
        <v>782</v>
      </c>
      <c r="H76" s="7" t="s">
        <v>783</v>
      </c>
      <c r="I76" s="10">
        <v>539.91999999999996</v>
      </c>
      <c r="J76" s="10">
        <v>35386.18</v>
      </c>
      <c r="K76" s="6">
        <v>308125.11000000051</v>
      </c>
    </row>
    <row r="77" spans="1:11" x14ac:dyDescent="0.25">
      <c r="A77" s="5" t="s">
        <v>706</v>
      </c>
      <c r="B77" s="42">
        <f t="shared" si="1"/>
        <v>35.926099999999998</v>
      </c>
      <c r="C77" s="7" t="s">
        <v>165</v>
      </c>
      <c r="D77" s="7" t="s">
        <v>167</v>
      </c>
      <c r="E77" s="7" t="s">
        <v>826</v>
      </c>
      <c r="F77" s="8">
        <v>34.5344800000004</v>
      </c>
      <c r="G77" s="7" t="s">
        <v>783</v>
      </c>
      <c r="H77" s="7" t="s">
        <v>784</v>
      </c>
      <c r="I77" s="10">
        <v>570.22</v>
      </c>
      <c r="J77" s="10">
        <v>35926.1</v>
      </c>
      <c r="K77" s="6">
        <v>307585.19000000053</v>
      </c>
    </row>
    <row r="78" spans="1:11" x14ac:dyDescent="0.25">
      <c r="A78" s="5" t="s">
        <v>706</v>
      </c>
      <c r="B78" s="42">
        <f t="shared" si="1"/>
        <v>36.496319999999997</v>
      </c>
      <c r="C78" s="7" t="s">
        <v>167</v>
      </c>
      <c r="D78" s="7" t="s">
        <v>169</v>
      </c>
      <c r="E78" s="7" t="s">
        <v>826</v>
      </c>
      <c r="F78" s="8">
        <v>34.983130000000408</v>
      </c>
      <c r="G78" s="7" t="s">
        <v>784</v>
      </c>
      <c r="H78" s="7" t="s">
        <v>785</v>
      </c>
      <c r="I78" s="10">
        <v>489.93</v>
      </c>
      <c r="J78" s="10">
        <v>36496.32</v>
      </c>
      <c r="K78" s="6">
        <v>307014.97000000055</v>
      </c>
    </row>
    <row r="79" spans="1:11" x14ac:dyDescent="0.25">
      <c r="A79" s="5" t="s">
        <v>706</v>
      </c>
      <c r="B79" s="42">
        <f t="shared" si="1"/>
        <v>36.986249999999998</v>
      </c>
      <c r="C79" s="7" t="s">
        <v>169</v>
      </c>
      <c r="D79" s="7" t="s">
        <v>171</v>
      </c>
      <c r="E79" s="7" t="s">
        <v>826</v>
      </c>
      <c r="F79" s="8">
        <v>35.397200000000403</v>
      </c>
      <c r="G79" s="7" t="s">
        <v>785</v>
      </c>
      <c r="H79" s="7" t="s">
        <v>786</v>
      </c>
      <c r="I79" s="10">
        <v>499.5</v>
      </c>
      <c r="J79" s="10">
        <v>36986.25</v>
      </c>
      <c r="K79" s="6">
        <v>306525.04000000056</v>
      </c>
    </row>
    <row r="80" spans="1:11" x14ac:dyDescent="0.25">
      <c r="A80" s="5" t="s">
        <v>706</v>
      </c>
      <c r="B80" s="42">
        <f t="shared" si="1"/>
        <v>37.485750000000003</v>
      </c>
      <c r="C80" s="7" t="s">
        <v>171</v>
      </c>
      <c r="D80" s="7" t="s">
        <v>173</v>
      </c>
      <c r="E80" s="7" t="s">
        <v>826</v>
      </c>
      <c r="F80" s="8">
        <v>35.794400000000401</v>
      </c>
      <c r="G80" s="7" t="s">
        <v>786</v>
      </c>
      <c r="H80" s="7" t="s">
        <v>787</v>
      </c>
      <c r="I80" s="10">
        <v>485.99</v>
      </c>
      <c r="J80" s="10">
        <v>37485.75</v>
      </c>
      <c r="K80" s="6">
        <v>306025.54000000056</v>
      </c>
    </row>
    <row r="81" spans="1:11" x14ac:dyDescent="0.25">
      <c r="A81" s="5" t="s">
        <v>706</v>
      </c>
      <c r="B81" s="42">
        <f t="shared" si="1"/>
        <v>37.971739999999997</v>
      </c>
      <c r="C81" s="7" t="s">
        <v>173</v>
      </c>
      <c r="D81" s="7" t="s">
        <v>175</v>
      </c>
      <c r="E81" s="7" t="s">
        <v>826</v>
      </c>
      <c r="F81" s="8">
        <v>36.193940000000403</v>
      </c>
      <c r="G81" s="7" t="s">
        <v>787</v>
      </c>
      <c r="H81" s="7" t="s">
        <v>788</v>
      </c>
      <c r="I81" s="10">
        <v>544.9</v>
      </c>
      <c r="J81" s="10">
        <v>37971.74</v>
      </c>
      <c r="K81" s="6">
        <v>305539.55000000057</v>
      </c>
    </row>
    <row r="82" spans="1:11" x14ac:dyDescent="0.25">
      <c r="A82" s="5" t="s">
        <v>706</v>
      </c>
      <c r="B82" s="42">
        <f t="shared" si="1"/>
        <v>38.516640000000002</v>
      </c>
      <c r="C82" s="7" t="s">
        <v>175</v>
      </c>
      <c r="D82" s="7" t="s">
        <v>177</v>
      </c>
      <c r="E82" s="7" t="s">
        <v>826</v>
      </c>
      <c r="F82" s="8">
        <v>36.698300000000401</v>
      </c>
      <c r="G82" s="7" t="s">
        <v>788</v>
      </c>
      <c r="H82" s="7" t="s">
        <v>789</v>
      </c>
      <c r="I82" s="10">
        <v>591</v>
      </c>
      <c r="J82" s="10">
        <v>38516.639999999999</v>
      </c>
      <c r="K82" s="6">
        <v>304994.65000000055</v>
      </c>
    </row>
    <row r="83" spans="1:11" x14ac:dyDescent="0.25">
      <c r="A83" s="5" t="s">
        <v>706</v>
      </c>
      <c r="B83" s="42">
        <f t="shared" si="1"/>
        <v>39.107639999999996</v>
      </c>
      <c r="C83" s="7" t="s">
        <v>177</v>
      </c>
      <c r="D83" s="7" t="s">
        <v>179</v>
      </c>
      <c r="E83" s="7" t="s">
        <v>826</v>
      </c>
      <c r="F83" s="8">
        <v>37.057530000000405</v>
      </c>
      <c r="G83" s="7" t="s">
        <v>789</v>
      </c>
      <c r="H83" s="7" t="s">
        <v>790</v>
      </c>
      <c r="I83" s="10">
        <v>558.70000000000005</v>
      </c>
      <c r="J83" s="10">
        <v>39107.64</v>
      </c>
      <c r="K83" s="6">
        <v>304403.65000000055</v>
      </c>
    </row>
    <row r="84" spans="1:11" x14ac:dyDescent="0.25">
      <c r="A84" s="5" t="s">
        <v>706</v>
      </c>
      <c r="B84" s="42">
        <f t="shared" si="1"/>
        <v>39.666339999999998</v>
      </c>
      <c r="C84" s="7" t="s">
        <v>179</v>
      </c>
      <c r="D84" s="7" t="s">
        <v>181</v>
      </c>
      <c r="E84" s="7" t="s">
        <v>826</v>
      </c>
      <c r="F84" s="8">
        <v>37.410660000000405</v>
      </c>
      <c r="G84" s="7" t="s">
        <v>790</v>
      </c>
      <c r="H84" s="7" t="s">
        <v>791</v>
      </c>
      <c r="I84" s="10">
        <v>590.9</v>
      </c>
      <c r="J84" s="10">
        <v>39666.339999999997</v>
      </c>
      <c r="K84" s="6">
        <v>303844.95000000054</v>
      </c>
    </row>
    <row r="85" spans="1:11" x14ac:dyDescent="0.25">
      <c r="A85" s="5" t="s">
        <v>706</v>
      </c>
      <c r="B85" s="42">
        <f t="shared" si="1"/>
        <v>40.257239999999996</v>
      </c>
      <c r="C85" s="7" t="s">
        <v>181</v>
      </c>
      <c r="D85" s="7" t="s">
        <v>183</v>
      </c>
      <c r="E85" s="7" t="s">
        <v>826</v>
      </c>
      <c r="F85" s="8">
        <v>37.761640000000405</v>
      </c>
      <c r="G85" s="7" t="s">
        <v>791</v>
      </c>
      <c r="H85" s="7" t="s">
        <v>792</v>
      </c>
      <c r="I85" s="10">
        <v>500.79</v>
      </c>
      <c r="J85" s="10">
        <v>40257.24</v>
      </c>
      <c r="K85" s="6">
        <v>303254.05000000051</v>
      </c>
    </row>
    <row r="86" spans="1:11" x14ac:dyDescent="0.25">
      <c r="A86" s="5" t="s">
        <v>706</v>
      </c>
      <c r="B86" s="42">
        <f t="shared" si="1"/>
        <v>40.758029999999998</v>
      </c>
      <c r="C86" s="7" t="s">
        <v>183</v>
      </c>
      <c r="D86" s="7" t="s">
        <v>272</v>
      </c>
      <c r="E86" s="7" t="s">
        <v>826</v>
      </c>
      <c r="F86" s="8">
        <v>38.154830000000409</v>
      </c>
      <c r="G86" s="7" t="s">
        <v>792</v>
      </c>
      <c r="H86" s="7" t="s">
        <v>793</v>
      </c>
      <c r="I86" s="10">
        <v>566.79999999999995</v>
      </c>
      <c r="J86" s="10">
        <v>40758.03</v>
      </c>
      <c r="K86" s="6">
        <v>302753.26000000053</v>
      </c>
    </row>
    <row r="87" spans="1:11" x14ac:dyDescent="0.25">
      <c r="A87" s="5" t="s">
        <v>706</v>
      </c>
      <c r="B87" s="42">
        <f t="shared" si="1"/>
        <v>41.324829999999999</v>
      </c>
      <c r="C87" s="7" t="s">
        <v>272</v>
      </c>
      <c r="D87" s="7" t="s">
        <v>274</v>
      </c>
      <c r="E87" s="7" t="s">
        <v>826</v>
      </c>
      <c r="F87" s="8">
        <v>38.673830000000407</v>
      </c>
      <c r="G87" s="7" t="s">
        <v>793</v>
      </c>
      <c r="H87" s="7" t="s">
        <v>794</v>
      </c>
      <c r="I87" s="10">
        <v>566.53</v>
      </c>
      <c r="J87" s="10">
        <v>41324.83</v>
      </c>
      <c r="K87" s="6">
        <v>302186.46000000054</v>
      </c>
    </row>
    <row r="88" spans="1:11" x14ac:dyDescent="0.25">
      <c r="A88" s="5" t="s">
        <v>706</v>
      </c>
      <c r="B88" s="42">
        <f t="shared" si="1"/>
        <v>41.891359999999999</v>
      </c>
      <c r="C88" s="7" t="s">
        <v>274</v>
      </c>
      <c r="D88" s="7" t="s">
        <v>276</v>
      </c>
      <c r="E88" s="7" t="s">
        <v>826</v>
      </c>
      <c r="F88" s="8">
        <v>39.014710000000406</v>
      </c>
      <c r="G88" s="7" t="s">
        <v>794</v>
      </c>
      <c r="H88" s="7" t="s">
        <v>795</v>
      </c>
      <c r="I88" s="10">
        <v>548.91999999999996</v>
      </c>
      <c r="J88" s="10">
        <v>41891.360000000001</v>
      </c>
      <c r="K88" s="6">
        <v>301619.93000000052</v>
      </c>
    </row>
    <row r="89" spans="1:11" x14ac:dyDescent="0.25">
      <c r="A89" s="5" t="s">
        <v>706</v>
      </c>
      <c r="B89" s="42">
        <f t="shared" si="1"/>
        <v>42.440280000000001</v>
      </c>
      <c r="C89" s="7" t="s">
        <v>276</v>
      </c>
      <c r="D89" s="7" t="s">
        <v>278</v>
      </c>
      <c r="E89" s="7" t="s">
        <v>826</v>
      </c>
      <c r="F89" s="8">
        <v>39.465920000000409</v>
      </c>
      <c r="G89" s="7" t="s">
        <v>795</v>
      </c>
      <c r="H89" s="7" t="s">
        <v>796</v>
      </c>
      <c r="I89" s="10">
        <v>536.29999999999995</v>
      </c>
      <c r="J89" s="10">
        <v>42440.28</v>
      </c>
      <c r="K89" s="6">
        <v>301071.01000000053</v>
      </c>
    </row>
    <row r="90" spans="1:11" x14ac:dyDescent="0.25">
      <c r="A90" s="5" t="s">
        <v>706</v>
      </c>
      <c r="B90" s="42">
        <f t="shared" si="1"/>
        <v>42.976579999999998</v>
      </c>
      <c r="C90" s="7" t="s">
        <v>278</v>
      </c>
      <c r="D90" s="7" t="s">
        <v>280</v>
      </c>
      <c r="E90" s="7" t="s">
        <v>826</v>
      </c>
      <c r="F90" s="8">
        <v>39.933800000000403</v>
      </c>
      <c r="G90" s="7" t="s">
        <v>796</v>
      </c>
      <c r="H90" s="7" t="s">
        <v>797</v>
      </c>
      <c r="I90" s="10">
        <v>423.36</v>
      </c>
      <c r="J90" s="10">
        <v>42976.58</v>
      </c>
      <c r="K90" s="6">
        <v>300534.71000000054</v>
      </c>
    </row>
    <row r="91" spans="1:11" x14ac:dyDescent="0.25">
      <c r="A91" s="5" t="s">
        <v>706</v>
      </c>
      <c r="B91" s="42">
        <f t="shared" si="1"/>
        <v>43.399940000000001</v>
      </c>
      <c r="C91" s="7" t="s">
        <v>280</v>
      </c>
      <c r="D91" s="7" t="s">
        <v>282</v>
      </c>
      <c r="E91" s="7" t="s">
        <v>826</v>
      </c>
      <c r="F91" s="8">
        <v>40.294300000000405</v>
      </c>
      <c r="G91" s="7" t="s">
        <v>797</v>
      </c>
      <c r="H91" s="7" t="s">
        <v>798</v>
      </c>
      <c r="I91" s="10">
        <v>634.5</v>
      </c>
      <c r="J91" s="10">
        <v>43399.94</v>
      </c>
      <c r="K91" s="6">
        <v>300111.35000000056</v>
      </c>
    </row>
    <row r="92" spans="1:11" x14ac:dyDescent="0.25">
      <c r="A92" s="5" t="s">
        <v>706</v>
      </c>
      <c r="B92" s="42">
        <f t="shared" si="1"/>
        <v>44.034440000000004</v>
      </c>
      <c r="C92" s="7" t="s">
        <v>282</v>
      </c>
      <c r="D92" s="7" t="s">
        <v>284</v>
      </c>
      <c r="E92" s="7" t="s">
        <v>826</v>
      </c>
      <c r="F92" s="8">
        <v>40.657410000000404</v>
      </c>
      <c r="G92" s="7" t="s">
        <v>798</v>
      </c>
      <c r="H92" s="7" t="s">
        <v>799</v>
      </c>
      <c r="I92" s="10">
        <v>539.33000000000004</v>
      </c>
      <c r="J92" s="10">
        <v>44034.44</v>
      </c>
      <c r="K92" s="6">
        <v>299476.85000000056</v>
      </c>
    </row>
    <row r="93" spans="1:11" x14ac:dyDescent="0.25">
      <c r="A93" s="5" t="s">
        <v>706</v>
      </c>
      <c r="B93" s="42">
        <f t="shared" si="1"/>
        <v>44.573770000000003</v>
      </c>
      <c r="C93" s="7" t="s">
        <v>284</v>
      </c>
      <c r="D93" s="7" t="s">
        <v>286</v>
      </c>
      <c r="E93" s="7" t="s">
        <v>826</v>
      </c>
      <c r="F93" s="8">
        <v>41.189890000000403</v>
      </c>
      <c r="G93" s="7" t="s">
        <v>799</v>
      </c>
      <c r="H93" s="7" t="s">
        <v>800</v>
      </c>
      <c r="I93" s="10">
        <v>500.63</v>
      </c>
      <c r="J93" s="10">
        <v>44573.770000000004</v>
      </c>
      <c r="K93" s="6">
        <v>298937.52000000054</v>
      </c>
    </row>
    <row r="94" spans="1:11" x14ac:dyDescent="0.25">
      <c r="A94" s="5" t="s">
        <v>706</v>
      </c>
      <c r="B94" s="42">
        <f t="shared" si="1"/>
        <v>45.074400000000004</v>
      </c>
      <c r="C94" s="7" t="s">
        <v>286</v>
      </c>
      <c r="D94" s="7" t="s">
        <v>288</v>
      </c>
      <c r="E94" s="7" t="s">
        <v>826</v>
      </c>
      <c r="F94" s="8">
        <v>41.549540000000405</v>
      </c>
      <c r="G94" s="7" t="s">
        <v>800</v>
      </c>
      <c r="H94" s="7" t="s">
        <v>801</v>
      </c>
      <c r="I94" s="10">
        <v>568.70000000000005</v>
      </c>
      <c r="J94" s="10">
        <v>45074.400000000001</v>
      </c>
      <c r="K94" s="6">
        <v>298436.89000000054</v>
      </c>
    </row>
    <row r="95" spans="1:11" x14ac:dyDescent="0.25">
      <c r="A95" s="5" t="s">
        <v>706</v>
      </c>
      <c r="B95" s="42">
        <f t="shared" si="1"/>
        <v>45.643099999999997</v>
      </c>
      <c r="C95" s="7" t="s">
        <v>288</v>
      </c>
      <c r="D95" s="7" t="s">
        <v>290</v>
      </c>
      <c r="E95" s="7" t="s">
        <v>826</v>
      </c>
      <c r="F95" s="8">
        <v>42.01582000000041</v>
      </c>
      <c r="G95" s="7" t="s">
        <v>801</v>
      </c>
      <c r="H95" s="7" t="s">
        <v>802</v>
      </c>
      <c r="I95" s="10">
        <v>560.4</v>
      </c>
      <c r="J95" s="10">
        <v>45643.1</v>
      </c>
      <c r="K95" s="6">
        <v>297868.19000000053</v>
      </c>
    </row>
    <row r="96" spans="1:11" x14ac:dyDescent="0.25">
      <c r="A96" s="5" t="s">
        <v>706</v>
      </c>
      <c r="B96" s="42">
        <f t="shared" si="1"/>
        <v>46.203499999999998</v>
      </c>
      <c r="C96" s="7" t="s">
        <v>290</v>
      </c>
      <c r="D96" s="7" t="s">
        <v>292</v>
      </c>
      <c r="E96" s="7" t="s">
        <v>826</v>
      </c>
      <c r="F96" s="8">
        <v>42.548910000000404</v>
      </c>
      <c r="G96" s="7" t="s">
        <v>802</v>
      </c>
      <c r="H96" s="7" t="s">
        <v>803</v>
      </c>
      <c r="I96" s="10">
        <v>574</v>
      </c>
      <c r="J96" s="10">
        <v>46203.5</v>
      </c>
      <c r="K96" s="6">
        <v>297307.7900000005</v>
      </c>
    </row>
    <row r="97" spans="1:11" x14ac:dyDescent="0.25">
      <c r="A97" s="5" t="s">
        <v>706</v>
      </c>
      <c r="B97" s="42">
        <f t="shared" si="1"/>
        <v>46.777500000000003</v>
      </c>
      <c r="C97" s="7" t="s">
        <v>292</v>
      </c>
      <c r="D97" s="7" t="s">
        <v>294</v>
      </c>
      <c r="E97" s="7" t="s">
        <v>826</v>
      </c>
      <c r="F97" s="8">
        <v>43.061190000000401</v>
      </c>
      <c r="G97" s="7" t="s">
        <v>803</v>
      </c>
      <c r="H97" s="7" t="s">
        <v>804</v>
      </c>
      <c r="I97" s="10">
        <v>336.76</v>
      </c>
      <c r="J97" s="10">
        <v>46777.5</v>
      </c>
      <c r="K97" s="6">
        <v>296733.7900000005</v>
      </c>
    </row>
    <row r="98" spans="1:11" x14ac:dyDescent="0.25">
      <c r="A98" s="5" t="s">
        <v>706</v>
      </c>
      <c r="B98" s="42">
        <f t="shared" si="1"/>
        <v>47.114260000000002</v>
      </c>
      <c r="C98" s="7" t="s">
        <v>294</v>
      </c>
      <c r="D98" s="7" t="s">
        <v>296</v>
      </c>
      <c r="E98" s="7" t="s">
        <v>826</v>
      </c>
      <c r="F98" s="8">
        <v>43.7017900000004</v>
      </c>
      <c r="G98" s="7" t="s">
        <v>804</v>
      </c>
      <c r="H98" s="7" t="s">
        <v>805</v>
      </c>
      <c r="I98" s="10">
        <v>435.43</v>
      </c>
      <c r="J98" s="10">
        <v>47114.26</v>
      </c>
      <c r="K98" s="6">
        <v>296397.03000000049</v>
      </c>
    </row>
    <row r="99" spans="1:11" x14ac:dyDescent="0.25">
      <c r="A99" s="5" t="s">
        <v>706</v>
      </c>
      <c r="B99" s="42">
        <f t="shared" si="1"/>
        <v>47.549690000000005</v>
      </c>
      <c r="C99" s="7" t="s">
        <v>296</v>
      </c>
      <c r="D99" s="7" t="s">
        <v>298</v>
      </c>
      <c r="E99" s="7" t="s">
        <v>826</v>
      </c>
      <c r="F99" s="8">
        <v>44.254160000000404</v>
      </c>
      <c r="G99" s="7" t="s">
        <v>805</v>
      </c>
      <c r="H99" s="7" t="s">
        <v>806</v>
      </c>
      <c r="I99" s="10">
        <v>568.48</v>
      </c>
      <c r="J99" s="10">
        <v>47549.69</v>
      </c>
      <c r="K99" s="6">
        <v>295961.6000000005</v>
      </c>
    </row>
    <row r="100" spans="1:11" x14ac:dyDescent="0.25">
      <c r="A100" s="5" t="s">
        <v>706</v>
      </c>
      <c r="B100" s="42">
        <f t="shared" si="1"/>
        <v>48.118170000000006</v>
      </c>
      <c r="C100" s="7" t="s">
        <v>298</v>
      </c>
      <c r="D100" s="7" t="s">
        <v>300</v>
      </c>
      <c r="E100" s="7" t="s">
        <v>826</v>
      </c>
      <c r="F100" s="8">
        <v>44.617250000000404</v>
      </c>
      <c r="G100" s="7" t="s">
        <v>806</v>
      </c>
      <c r="H100" s="7" t="s">
        <v>807</v>
      </c>
      <c r="I100" s="10">
        <v>572</v>
      </c>
      <c r="J100" s="10">
        <v>48118.170000000006</v>
      </c>
      <c r="K100" s="6">
        <v>295393.12000000052</v>
      </c>
    </row>
    <row r="101" spans="1:11" x14ac:dyDescent="0.25">
      <c r="A101" s="5" t="s">
        <v>706</v>
      </c>
      <c r="B101" s="42">
        <f t="shared" si="1"/>
        <v>48.690170000000009</v>
      </c>
      <c r="C101" s="7" t="s">
        <v>300</v>
      </c>
      <c r="D101" s="7" t="s">
        <v>302</v>
      </c>
      <c r="E101" s="7" t="s">
        <v>826</v>
      </c>
      <c r="F101" s="8">
        <v>45.0874200000004</v>
      </c>
      <c r="G101" s="7" t="s">
        <v>807</v>
      </c>
      <c r="H101" s="7" t="s">
        <v>808</v>
      </c>
      <c r="I101" s="10">
        <v>660.9</v>
      </c>
      <c r="J101" s="10">
        <v>48690.170000000006</v>
      </c>
      <c r="K101" s="6">
        <v>294821.12000000052</v>
      </c>
    </row>
    <row r="102" spans="1:11" x14ac:dyDescent="0.25">
      <c r="A102" s="5" t="s">
        <v>706</v>
      </c>
      <c r="B102" s="42">
        <f t="shared" si="1"/>
        <v>49.351070000000007</v>
      </c>
      <c r="C102" s="7" t="s">
        <v>302</v>
      </c>
      <c r="D102" s="7" t="s">
        <v>304</v>
      </c>
      <c r="E102" s="7" t="s">
        <v>826</v>
      </c>
      <c r="F102" s="8">
        <v>45.542490000000399</v>
      </c>
      <c r="G102" s="7" t="s">
        <v>808</v>
      </c>
      <c r="H102" s="7" t="s">
        <v>809</v>
      </c>
      <c r="I102" s="10">
        <v>418.8</v>
      </c>
      <c r="J102" s="10">
        <v>49351.070000000007</v>
      </c>
      <c r="K102" s="6">
        <v>294160.2200000005</v>
      </c>
    </row>
    <row r="103" spans="1:11" x14ac:dyDescent="0.25">
      <c r="A103" s="5" t="s">
        <v>706</v>
      </c>
      <c r="B103" s="42">
        <f t="shared" si="1"/>
        <v>49.769870000000012</v>
      </c>
      <c r="C103" s="7" t="s">
        <v>304</v>
      </c>
      <c r="D103" s="7" t="s">
        <v>306</v>
      </c>
      <c r="E103" s="7" t="s">
        <v>826</v>
      </c>
      <c r="F103" s="8">
        <v>46.1028900000004</v>
      </c>
      <c r="G103" s="7" t="s">
        <v>809</v>
      </c>
      <c r="H103" s="7" t="s">
        <v>810</v>
      </c>
      <c r="I103" s="10">
        <v>481.5</v>
      </c>
      <c r="J103" s="10">
        <v>49769.87000000001</v>
      </c>
      <c r="K103" s="6">
        <v>293741.42000000051</v>
      </c>
    </row>
    <row r="104" spans="1:11" x14ac:dyDescent="0.25">
      <c r="A104" s="5" t="s">
        <v>706</v>
      </c>
      <c r="B104" s="42">
        <f t="shared" si="1"/>
        <v>50.251370000000009</v>
      </c>
      <c r="C104" s="7" t="s">
        <v>306</v>
      </c>
      <c r="D104" s="7" t="s">
        <v>308</v>
      </c>
      <c r="E104" s="7" t="s">
        <v>826</v>
      </c>
      <c r="F104" s="8">
        <v>46.663400000000401</v>
      </c>
      <c r="G104" s="7" t="s">
        <v>810</v>
      </c>
      <c r="H104" s="7" t="s">
        <v>811</v>
      </c>
      <c r="I104" s="10">
        <v>617.5</v>
      </c>
      <c r="J104" s="10">
        <v>50251.37000000001</v>
      </c>
      <c r="K104" s="6">
        <v>293259.92000000051</v>
      </c>
    </row>
    <row r="105" spans="1:11" x14ac:dyDescent="0.25">
      <c r="A105" s="5" t="s">
        <v>706</v>
      </c>
      <c r="B105" s="42">
        <f t="shared" si="1"/>
        <v>50.868870000000008</v>
      </c>
      <c r="C105" s="7" t="s">
        <v>308</v>
      </c>
      <c r="D105" s="7" t="s">
        <v>310</v>
      </c>
      <c r="E105" s="7" t="s">
        <v>826</v>
      </c>
      <c r="F105" s="8">
        <v>47.201850000000398</v>
      </c>
      <c r="G105" s="7" t="s">
        <v>811</v>
      </c>
      <c r="H105" s="7" t="s">
        <v>812</v>
      </c>
      <c r="I105" s="10">
        <v>494</v>
      </c>
      <c r="J105" s="10">
        <v>50868.87000000001</v>
      </c>
      <c r="K105" s="6">
        <v>292642.42000000051</v>
      </c>
    </row>
    <row r="106" spans="1:11" x14ac:dyDescent="0.25">
      <c r="A106" s="5" t="s">
        <v>706</v>
      </c>
      <c r="B106" s="42">
        <f t="shared" si="1"/>
        <v>51.362870000000008</v>
      </c>
      <c r="C106" s="7" t="s">
        <v>310</v>
      </c>
      <c r="D106" s="7" t="s">
        <v>312</v>
      </c>
      <c r="E106" s="7" t="s">
        <v>826</v>
      </c>
      <c r="F106" s="8">
        <v>47.746500000000403</v>
      </c>
      <c r="G106" s="7" t="s">
        <v>812</v>
      </c>
      <c r="H106" s="7" t="s">
        <v>813</v>
      </c>
      <c r="I106" s="10">
        <v>382.2</v>
      </c>
      <c r="J106" s="10">
        <v>51362.87000000001</v>
      </c>
      <c r="K106" s="6">
        <v>292148.42000000051</v>
      </c>
    </row>
    <row r="107" spans="1:11" x14ac:dyDescent="0.25">
      <c r="A107" s="5" t="s">
        <v>706</v>
      </c>
      <c r="B107" s="42">
        <f t="shared" si="1"/>
        <v>51.745070000000005</v>
      </c>
      <c r="C107" s="7" t="s">
        <v>312</v>
      </c>
      <c r="D107" s="7" t="s">
        <v>314</v>
      </c>
      <c r="E107" s="7" t="s">
        <v>826</v>
      </c>
      <c r="F107" s="8">
        <v>48.240630000000401</v>
      </c>
      <c r="G107" s="7" t="s">
        <v>813</v>
      </c>
      <c r="H107" s="7" t="s">
        <v>814</v>
      </c>
      <c r="I107" s="10">
        <v>416.6</v>
      </c>
      <c r="J107" s="10">
        <v>51745.070000000007</v>
      </c>
      <c r="K107" s="6">
        <v>291766.2200000005</v>
      </c>
    </row>
    <row r="108" spans="1:11" x14ac:dyDescent="0.25">
      <c r="A108" s="5" t="s">
        <v>706</v>
      </c>
      <c r="B108" s="42">
        <f t="shared" si="1"/>
        <v>52.161670000000008</v>
      </c>
      <c r="C108" s="7" t="s">
        <v>314</v>
      </c>
      <c r="D108" s="7" t="s">
        <v>316</v>
      </c>
      <c r="E108" s="7" t="s">
        <v>826</v>
      </c>
      <c r="F108" s="8">
        <v>48.744260000000395</v>
      </c>
      <c r="G108" s="7" t="s">
        <v>814</v>
      </c>
      <c r="H108" s="7" t="s">
        <v>815</v>
      </c>
      <c r="I108" s="10">
        <v>372.99</v>
      </c>
      <c r="J108" s="10">
        <v>52161.670000000006</v>
      </c>
      <c r="K108" s="6">
        <v>291349.62000000052</v>
      </c>
    </row>
    <row r="109" spans="1:11" x14ac:dyDescent="0.25">
      <c r="A109" s="5" t="s">
        <v>706</v>
      </c>
      <c r="B109" s="42">
        <f t="shared" si="1"/>
        <v>52.534660000000002</v>
      </c>
      <c r="C109" s="7" t="s">
        <v>316</v>
      </c>
      <c r="D109" s="7" t="s">
        <v>318</v>
      </c>
      <c r="E109" s="7" t="s">
        <v>826</v>
      </c>
      <c r="F109" s="8">
        <v>49.239370000000399</v>
      </c>
      <c r="G109" s="7" t="s">
        <v>815</v>
      </c>
      <c r="H109" s="7" t="s">
        <v>816</v>
      </c>
      <c r="I109" s="10">
        <v>373</v>
      </c>
      <c r="J109" s="10">
        <v>52534.66</v>
      </c>
      <c r="K109" s="6">
        <v>290976.63000000053</v>
      </c>
    </row>
    <row r="110" spans="1:11" x14ac:dyDescent="0.25">
      <c r="A110" s="5" t="s">
        <v>706</v>
      </c>
      <c r="B110" s="42">
        <f t="shared" si="1"/>
        <v>52.907660000000007</v>
      </c>
      <c r="C110" s="7" t="s">
        <v>318</v>
      </c>
      <c r="D110" s="7" t="s">
        <v>320</v>
      </c>
      <c r="E110" s="7" t="s">
        <v>826</v>
      </c>
      <c r="F110" s="8">
        <v>49.695850000000398</v>
      </c>
      <c r="G110" s="7" t="s">
        <v>816</v>
      </c>
      <c r="H110" s="7" t="s">
        <v>817</v>
      </c>
      <c r="I110" s="10">
        <v>373.1</v>
      </c>
      <c r="J110" s="10">
        <v>52907.66</v>
      </c>
      <c r="K110" s="6">
        <v>290603.63000000053</v>
      </c>
    </row>
    <row r="111" spans="1:11" x14ac:dyDescent="0.25">
      <c r="A111" s="5" t="s">
        <v>706</v>
      </c>
      <c r="B111" s="42">
        <f t="shared" si="1"/>
        <v>53.280760000000001</v>
      </c>
      <c r="C111" s="7" t="s">
        <v>320</v>
      </c>
      <c r="D111" s="7" t="s">
        <v>322</v>
      </c>
      <c r="E111" s="7" t="s">
        <v>826</v>
      </c>
      <c r="F111" s="8">
        <v>50.163520000000396</v>
      </c>
      <c r="G111" s="7" t="s">
        <v>817</v>
      </c>
      <c r="H111" s="7" t="s">
        <v>507</v>
      </c>
      <c r="I111" s="10">
        <v>459.13</v>
      </c>
      <c r="J111" s="10">
        <v>53280.76</v>
      </c>
      <c r="K111" s="6">
        <v>290230.53000000055</v>
      </c>
    </row>
    <row r="112" spans="1:11" x14ac:dyDescent="0.25">
      <c r="A112" s="5" t="s">
        <v>706</v>
      </c>
      <c r="B112" s="42">
        <f t="shared" si="1"/>
        <v>53.739890000000003</v>
      </c>
      <c r="C112" s="7" t="s">
        <v>322</v>
      </c>
      <c r="D112" s="7" t="s">
        <v>324</v>
      </c>
      <c r="E112" s="7" t="s">
        <v>826</v>
      </c>
      <c r="F112" s="8">
        <v>50.732170000000401</v>
      </c>
      <c r="G112" s="7" t="s">
        <v>507</v>
      </c>
      <c r="H112" s="7" t="s">
        <v>508</v>
      </c>
      <c r="I112" s="10">
        <v>340.14</v>
      </c>
      <c r="J112" s="10">
        <v>53739.89</v>
      </c>
      <c r="K112" s="6">
        <v>289771.40000000055</v>
      </c>
    </row>
    <row r="113" spans="1:11" x14ac:dyDescent="0.25">
      <c r="A113" s="5" t="s">
        <v>706</v>
      </c>
      <c r="B113" s="42">
        <f t="shared" si="1"/>
        <v>54.080030000000001</v>
      </c>
      <c r="C113" s="7" t="s">
        <v>324</v>
      </c>
      <c r="D113" s="7" t="s">
        <v>326</v>
      </c>
      <c r="E113" s="7" t="s">
        <v>826</v>
      </c>
      <c r="F113" s="8">
        <v>51.158870000000398</v>
      </c>
      <c r="G113" s="7" t="s">
        <v>508</v>
      </c>
      <c r="H113" s="7" t="s">
        <v>509</v>
      </c>
      <c r="I113" s="10">
        <v>558.73</v>
      </c>
      <c r="J113" s="10">
        <v>54080.03</v>
      </c>
      <c r="K113" s="6">
        <v>289431.26000000053</v>
      </c>
    </row>
    <row r="114" spans="1:11" x14ac:dyDescent="0.25">
      <c r="A114" s="5" t="s">
        <v>706</v>
      </c>
      <c r="B114" s="42">
        <f t="shared" si="1"/>
        <v>54.638760000000005</v>
      </c>
      <c r="C114" s="7" t="s">
        <v>326</v>
      </c>
      <c r="D114" s="7" t="s">
        <v>328</v>
      </c>
      <c r="E114" s="7" t="s">
        <v>826</v>
      </c>
      <c r="F114" s="8">
        <v>51.5799900000004</v>
      </c>
      <c r="G114" s="7" t="s">
        <v>509</v>
      </c>
      <c r="H114" s="7" t="s">
        <v>510</v>
      </c>
      <c r="I114" s="10">
        <v>545.4</v>
      </c>
      <c r="J114" s="10">
        <v>54638.76</v>
      </c>
      <c r="K114" s="6">
        <v>288872.53000000055</v>
      </c>
    </row>
    <row r="115" spans="1:11" x14ac:dyDescent="0.25">
      <c r="A115" s="5" t="s">
        <v>706</v>
      </c>
      <c r="B115" s="42">
        <f t="shared" si="1"/>
        <v>55.184160000000006</v>
      </c>
      <c r="C115" s="7" t="s">
        <v>328</v>
      </c>
      <c r="D115" s="7" t="s">
        <v>330</v>
      </c>
      <c r="E115" s="7" t="s">
        <v>826</v>
      </c>
      <c r="F115" s="8">
        <v>52.005950000000396</v>
      </c>
      <c r="G115" s="7" t="s">
        <v>510</v>
      </c>
      <c r="H115" s="7" t="s">
        <v>511</v>
      </c>
      <c r="I115" s="10">
        <v>556.29999999999995</v>
      </c>
      <c r="J115" s="10">
        <v>55184.160000000003</v>
      </c>
      <c r="K115" s="6">
        <v>288327.13000000053</v>
      </c>
    </row>
    <row r="116" spans="1:11" x14ac:dyDescent="0.25">
      <c r="A116" s="5" t="s">
        <v>706</v>
      </c>
      <c r="B116" s="42">
        <f t="shared" si="1"/>
        <v>55.740460000000006</v>
      </c>
      <c r="C116" s="7" t="s">
        <v>330</v>
      </c>
      <c r="D116" s="7" t="s">
        <v>332</v>
      </c>
      <c r="E116" s="7" t="s">
        <v>826</v>
      </c>
      <c r="F116" s="8">
        <v>52.519880000000398</v>
      </c>
      <c r="G116" s="7" t="s">
        <v>511</v>
      </c>
      <c r="H116" s="7" t="s">
        <v>512</v>
      </c>
      <c r="I116" s="10">
        <v>583.29999999999995</v>
      </c>
      <c r="J116" s="10">
        <v>55740.460000000006</v>
      </c>
      <c r="K116" s="6">
        <v>287770.83000000054</v>
      </c>
    </row>
    <row r="117" spans="1:11" x14ac:dyDescent="0.25">
      <c r="A117" s="5" t="s">
        <v>706</v>
      </c>
      <c r="B117" s="42">
        <f t="shared" si="1"/>
        <v>56.323760000000007</v>
      </c>
      <c r="C117" s="7" t="s">
        <v>332</v>
      </c>
      <c r="D117" s="7" t="s">
        <v>334</v>
      </c>
      <c r="E117" s="7" t="s">
        <v>826</v>
      </c>
      <c r="F117" s="8">
        <v>53.109070000000401</v>
      </c>
      <c r="G117" s="7" t="s">
        <v>512</v>
      </c>
      <c r="H117" s="7" t="s">
        <v>513</v>
      </c>
      <c r="I117" s="10">
        <v>474.9</v>
      </c>
      <c r="J117" s="10">
        <v>56323.760000000009</v>
      </c>
      <c r="K117" s="6">
        <v>287187.53000000055</v>
      </c>
    </row>
    <row r="118" spans="1:11" x14ac:dyDescent="0.25">
      <c r="A118" s="5" t="s">
        <v>706</v>
      </c>
      <c r="B118" s="42">
        <f t="shared" si="1"/>
        <v>56.798660000000012</v>
      </c>
      <c r="C118" s="7" t="s">
        <v>334</v>
      </c>
      <c r="D118" s="7" t="s">
        <v>336</v>
      </c>
      <c r="E118" s="7" t="s">
        <v>826</v>
      </c>
      <c r="F118" s="8">
        <v>53.573150000000403</v>
      </c>
      <c r="G118" s="7" t="s">
        <v>513</v>
      </c>
      <c r="H118" s="7" t="s">
        <v>514</v>
      </c>
      <c r="I118" s="10">
        <v>404.5</v>
      </c>
      <c r="J118" s="10">
        <v>56798.660000000011</v>
      </c>
      <c r="K118" s="6">
        <v>286712.63000000053</v>
      </c>
    </row>
    <row r="119" spans="1:11" x14ac:dyDescent="0.25">
      <c r="A119" s="5" t="s">
        <v>706</v>
      </c>
      <c r="B119" s="42">
        <f t="shared" si="1"/>
        <v>57.203160000000011</v>
      </c>
      <c r="C119" s="7" t="s">
        <v>336</v>
      </c>
      <c r="D119" s="7" t="s">
        <v>338</v>
      </c>
      <c r="E119" s="7" t="s">
        <v>826</v>
      </c>
      <c r="F119" s="8">
        <v>53.987480000000403</v>
      </c>
      <c r="G119" s="7" t="s">
        <v>514</v>
      </c>
      <c r="H119" s="7" t="s">
        <v>515</v>
      </c>
      <c r="I119" s="10">
        <v>504</v>
      </c>
      <c r="J119" s="10">
        <v>57203.160000000011</v>
      </c>
      <c r="K119" s="6">
        <v>286308.13000000053</v>
      </c>
    </row>
    <row r="120" spans="1:11" x14ac:dyDescent="0.25">
      <c r="A120" s="5" t="s">
        <v>706</v>
      </c>
      <c r="B120" s="42">
        <f t="shared" si="1"/>
        <v>57.707160000000009</v>
      </c>
      <c r="C120" s="7" t="s">
        <v>338</v>
      </c>
      <c r="D120" s="7" t="s">
        <v>340</v>
      </c>
      <c r="E120" s="7" t="s">
        <v>826</v>
      </c>
      <c r="F120" s="8">
        <v>54.342810000000405</v>
      </c>
      <c r="G120" s="7" t="s">
        <v>515</v>
      </c>
      <c r="H120" s="7" t="s">
        <v>516</v>
      </c>
      <c r="I120" s="10">
        <v>569.70000000000005</v>
      </c>
      <c r="J120" s="10">
        <v>57707.160000000011</v>
      </c>
      <c r="K120" s="6">
        <v>285804.13000000053</v>
      </c>
    </row>
    <row r="121" spans="1:11" x14ac:dyDescent="0.25">
      <c r="A121" s="5" t="s">
        <v>706</v>
      </c>
      <c r="B121" s="42">
        <f t="shared" si="1"/>
        <v>58.276860000000006</v>
      </c>
      <c r="C121" s="7" t="s">
        <v>340</v>
      </c>
      <c r="D121" s="7" t="s">
        <v>342</v>
      </c>
      <c r="E121" s="7" t="s">
        <v>826</v>
      </c>
      <c r="F121" s="8">
        <v>54.7795100000004</v>
      </c>
      <c r="G121" s="7" t="s">
        <v>516</v>
      </c>
      <c r="H121" s="7" t="s">
        <v>517</v>
      </c>
      <c r="I121" s="10">
        <v>513.4</v>
      </c>
      <c r="J121" s="10">
        <v>58276.860000000008</v>
      </c>
      <c r="K121" s="6">
        <v>285234.43000000052</v>
      </c>
    </row>
    <row r="122" spans="1:11" x14ac:dyDescent="0.25">
      <c r="A122" s="5" t="s">
        <v>706</v>
      </c>
      <c r="B122" s="42">
        <f t="shared" si="1"/>
        <v>58.790260000000011</v>
      </c>
      <c r="C122" s="7" t="s">
        <v>342</v>
      </c>
      <c r="D122" s="7" t="s">
        <v>344</v>
      </c>
      <c r="E122" s="7" t="s">
        <v>826</v>
      </c>
      <c r="F122" s="8">
        <v>55.264210000000396</v>
      </c>
      <c r="G122" s="7" t="s">
        <v>517</v>
      </c>
      <c r="H122" s="7" t="s">
        <v>518</v>
      </c>
      <c r="I122" s="10">
        <v>539.9</v>
      </c>
      <c r="J122" s="10">
        <v>58790.260000000009</v>
      </c>
      <c r="K122" s="6">
        <v>284721.03000000049</v>
      </c>
    </row>
    <row r="123" spans="1:11" x14ac:dyDescent="0.25">
      <c r="A123" s="5" t="s">
        <v>706</v>
      </c>
      <c r="B123" s="42">
        <f t="shared" si="1"/>
        <v>59.330160000000014</v>
      </c>
      <c r="C123" s="7" t="s">
        <v>344</v>
      </c>
      <c r="D123" s="7" t="s">
        <v>346</v>
      </c>
      <c r="E123" s="7" t="s">
        <v>826</v>
      </c>
      <c r="F123" s="8">
        <v>55.727380000000394</v>
      </c>
      <c r="G123" s="7" t="s">
        <v>518</v>
      </c>
      <c r="H123" s="7" t="s">
        <v>519</v>
      </c>
      <c r="I123" s="10">
        <v>514.20000000000005</v>
      </c>
      <c r="J123" s="10">
        <v>59330.160000000011</v>
      </c>
      <c r="K123" s="6">
        <v>284181.13000000047</v>
      </c>
    </row>
    <row r="124" spans="1:11" x14ac:dyDescent="0.25">
      <c r="A124" s="5" t="s">
        <v>706</v>
      </c>
      <c r="B124" s="42">
        <f t="shared" si="1"/>
        <v>59.844360000000009</v>
      </c>
      <c r="C124" s="7" t="s">
        <v>346</v>
      </c>
      <c r="D124" s="7" t="s">
        <v>348</v>
      </c>
      <c r="E124" s="7" t="s">
        <v>826</v>
      </c>
      <c r="F124" s="8">
        <v>56.1072100000004</v>
      </c>
      <c r="G124" s="7" t="s">
        <v>519</v>
      </c>
      <c r="H124" s="7" t="s">
        <v>520</v>
      </c>
      <c r="I124" s="10">
        <v>535.4</v>
      </c>
      <c r="J124" s="10">
        <v>59844.360000000008</v>
      </c>
      <c r="K124" s="6">
        <v>283666.93000000046</v>
      </c>
    </row>
    <row r="125" spans="1:11" x14ac:dyDescent="0.25">
      <c r="A125" s="5" t="s">
        <v>706</v>
      </c>
      <c r="B125" s="42">
        <f t="shared" si="1"/>
        <v>60.379760000000012</v>
      </c>
      <c r="C125" s="7" t="s">
        <v>348</v>
      </c>
      <c r="D125" s="7" t="s">
        <v>350</v>
      </c>
      <c r="E125" s="7" t="s">
        <v>826</v>
      </c>
      <c r="F125" s="8">
        <v>56.504770000000399</v>
      </c>
      <c r="G125" s="7" t="s">
        <v>520</v>
      </c>
      <c r="H125" s="7" t="s">
        <v>521</v>
      </c>
      <c r="I125" s="10">
        <v>490.7</v>
      </c>
      <c r="J125" s="10">
        <v>60379.760000000009</v>
      </c>
      <c r="K125" s="6">
        <v>283131.53000000044</v>
      </c>
    </row>
    <row r="126" spans="1:11" x14ac:dyDescent="0.25">
      <c r="A126" s="5" t="s">
        <v>706</v>
      </c>
      <c r="B126" s="42">
        <f t="shared" si="1"/>
        <v>60.870460000000008</v>
      </c>
      <c r="C126" s="7" t="s">
        <v>350</v>
      </c>
      <c r="D126" s="7" t="s">
        <v>352</v>
      </c>
      <c r="E126" s="7" t="s">
        <v>826</v>
      </c>
      <c r="F126" s="8">
        <v>56.911990000000401</v>
      </c>
      <c r="G126" s="7" t="s">
        <v>521</v>
      </c>
      <c r="H126" s="7" t="s">
        <v>522</v>
      </c>
      <c r="I126" s="10">
        <v>448.9</v>
      </c>
      <c r="J126" s="10">
        <v>60870.460000000006</v>
      </c>
      <c r="K126" s="6">
        <v>282640.83000000042</v>
      </c>
    </row>
    <row r="127" spans="1:11" x14ac:dyDescent="0.25">
      <c r="A127" s="5" t="s">
        <v>706</v>
      </c>
      <c r="B127" s="42">
        <f t="shared" si="1"/>
        <v>61.31936000000001</v>
      </c>
      <c r="C127" s="7" t="s">
        <v>352</v>
      </c>
      <c r="D127" s="7" t="s">
        <v>354</v>
      </c>
      <c r="E127" s="7" t="s">
        <v>826</v>
      </c>
      <c r="F127" s="8">
        <v>57.262690000000397</v>
      </c>
      <c r="G127" s="7" t="s">
        <v>522</v>
      </c>
      <c r="H127" s="7" t="s">
        <v>523</v>
      </c>
      <c r="I127" s="10">
        <v>472.3</v>
      </c>
      <c r="J127" s="10">
        <v>61319.360000000008</v>
      </c>
      <c r="K127" s="6">
        <v>282191.9300000004</v>
      </c>
    </row>
    <row r="128" spans="1:11" x14ac:dyDescent="0.25">
      <c r="A128" s="5" t="s">
        <v>706</v>
      </c>
      <c r="B128" s="42">
        <f t="shared" si="1"/>
        <v>61.791660000000007</v>
      </c>
      <c r="C128" s="7" t="s">
        <v>354</v>
      </c>
      <c r="D128" s="7" t="s">
        <v>356</v>
      </c>
      <c r="E128" s="7" t="s">
        <v>826</v>
      </c>
      <c r="F128" s="8">
        <v>57.767890000000392</v>
      </c>
      <c r="G128" s="7" t="s">
        <v>523</v>
      </c>
      <c r="H128" s="7" t="s">
        <v>524</v>
      </c>
      <c r="I128" s="10">
        <v>470.9</v>
      </c>
      <c r="J128" s="10">
        <v>61791.660000000011</v>
      </c>
      <c r="K128" s="6">
        <v>281719.63000000041</v>
      </c>
    </row>
    <row r="129" spans="1:11" x14ac:dyDescent="0.25">
      <c r="A129" s="5" t="s">
        <v>706</v>
      </c>
      <c r="B129" s="42">
        <f t="shared" si="1"/>
        <v>62.262560000000015</v>
      </c>
      <c r="C129" s="7" t="s">
        <v>356</v>
      </c>
      <c r="D129" s="7" t="s">
        <v>358</v>
      </c>
      <c r="E129" s="7" t="s">
        <v>826</v>
      </c>
      <c r="F129" s="8">
        <v>58.12099000000039</v>
      </c>
      <c r="G129" s="7" t="s">
        <v>524</v>
      </c>
      <c r="H129" s="7" t="s">
        <v>525</v>
      </c>
      <c r="I129" s="10">
        <v>360</v>
      </c>
      <c r="J129" s="10">
        <v>62262.560000000012</v>
      </c>
      <c r="K129" s="6">
        <v>281248.73000000039</v>
      </c>
    </row>
    <row r="130" spans="1:11" x14ac:dyDescent="0.25">
      <c r="A130" s="5" t="s">
        <v>706</v>
      </c>
      <c r="B130" s="42">
        <f t="shared" si="1"/>
        <v>62.622560000000014</v>
      </c>
      <c r="C130" s="7" t="s">
        <v>358</v>
      </c>
      <c r="D130" s="7" t="s">
        <v>360</v>
      </c>
      <c r="E130" s="7" t="s">
        <v>826</v>
      </c>
      <c r="F130" s="8">
        <v>58.55388000000039</v>
      </c>
      <c r="G130" s="7" t="s">
        <v>525</v>
      </c>
      <c r="H130" s="7" t="s">
        <v>526</v>
      </c>
      <c r="I130" s="10">
        <v>338.7</v>
      </c>
      <c r="J130" s="10">
        <v>62622.560000000012</v>
      </c>
      <c r="K130" s="6">
        <v>280888.73000000039</v>
      </c>
    </row>
    <row r="131" spans="1:11" x14ac:dyDescent="0.25">
      <c r="A131" s="5" t="s">
        <v>706</v>
      </c>
      <c r="B131" s="42">
        <f t="shared" ref="B131:B194" si="2">J131/1000</f>
        <v>62.96126000000001</v>
      </c>
      <c r="C131" s="7" t="s">
        <v>360</v>
      </c>
      <c r="D131" s="7" t="s">
        <v>362</v>
      </c>
      <c r="E131" s="7" t="s">
        <v>826</v>
      </c>
      <c r="F131" s="8">
        <v>59.00396000000039</v>
      </c>
      <c r="G131" s="7" t="s">
        <v>526</v>
      </c>
      <c r="H131" s="7" t="s">
        <v>527</v>
      </c>
      <c r="I131" s="10">
        <v>478.47</v>
      </c>
      <c r="J131" s="10">
        <v>62961.260000000009</v>
      </c>
      <c r="K131" s="6">
        <v>280550.03000000038</v>
      </c>
    </row>
    <row r="132" spans="1:11" x14ac:dyDescent="0.25">
      <c r="A132" s="5" t="s">
        <v>706</v>
      </c>
      <c r="B132" s="42">
        <f t="shared" si="2"/>
        <v>63.439730000000012</v>
      </c>
      <c r="C132" s="7" t="s">
        <v>362</v>
      </c>
      <c r="D132" s="7" t="s">
        <v>364</v>
      </c>
      <c r="E132" s="7" t="s">
        <v>826</v>
      </c>
      <c r="F132" s="8">
        <v>59.383870000000393</v>
      </c>
      <c r="G132" s="7" t="s">
        <v>527</v>
      </c>
      <c r="H132" s="7" t="s">
        <v>528</v>
      </c>
      <c r="I132" s="10">
        <v>526.65</v>
      </c>
      <c r="J132" s="10">
        <v>63439.73000000001</v>
      </c>
      <c r="K132" s="6">
        <v>280071.56000000041</v>
      </c>
    </row>
    <row r="133" spans="1:11" x14ac:dyDescent="0.25">
      <c r="A133" s="5" t="s">
        <v>706</v>
      </c>
      <c r="B133" s="42">
        <f t="shared" si="2"/>
        <v>63.966380000000015</v>
      </c>
      <c r="C133" s="7" t="s">
        <v>364</v>
      </c>
      <c r="D133" s="7" t="s">
        <v>366</v>
      </c>
      <c r="E133" s="7" t="s">
        <v>826</v>
      </c>
      <c r="F133" s="8">
        <v>59.758310000000399</v>
      </c>
      <c r="G133" s="7" t="s">
        <v>528</v>
      </c>
      <c r="H133" s="7" t="s">
        <v>529</v>
      </c>
      <c r="I133" s="10">
        <v>586.29999999999995</v>
      </c>
      <c r="J133" s="10">
        <v>63966.380000000012</v>
      </c>
      <c r="K133" s="6">
        <v>279544.91000000038</v>
      </c>
    </row>
    <row r="134" spans="1:11" x14ac:dyDescent="0.25">
      <c r="A134" s="5" t="s">
        <v>706</v>
      </c>
      <c r="B134" s="42">
        <f t="shared" si="2"/>
        <v>64.552680000000009</v>
      </c>
      <c r="C134" s="7" t="s">
        <v>366</v>
      </c>
      <c r="D134" s="7" t="s">
        <v>368</v>
      </c>
      <c r="E134" s="7" t="s">
        <v>826</v>
      </c>
      <c r="F134" s="8">
        <v>60.149660000000395</v>
      </c>
      <c r="G134" s="7" t="s">
        <v>529</v>
      </c>
      <c r="H134" s="7" t="s">
        <v>530</v>
      </c>
      <c r="I134" s="10">
        <v>612.47</v>
      </c>
      <c r="J134" s="10">
        <v>64552.680000000015</v>
      </c>
      <c r="K134" s="6">
        <v>278958.61000000039</v>
      </c>
    </row>
    <row r="135" spans="1:11" x14ac:dyDescent="0.25">
      <c r="A135" s="5" t="s">
        <v>706</v>
      </c>
      <c r="B135" s="42">
        <f t="shared" si="2"/>
        <v>65.165150000000011</v>
      </c>
      <c r="C135" s="7" t="s">
        <v>368</v>
      </c>
      <c r="D135" s="7" t="s">
        <v>370</v>
      </c>
      <c r="E135" s="7" t="s">
        <v>826</v>
      </c>
      <c r="F135" s="8">
        <v>60.644060000000401</v>
      </c>
      <c r="G135" s="7" t="s">
        <v>530</v>
      </c>
      <c r="H135" s="7" t="s">
        <v>531</v>
      </c>
      <c r="I135" s="10">
        <v>528.1</v>
      </c>
      <c r="J135" s="10">
        <v>65165.150000000016</v>
      </c>
      <c r="K135" s="6">
        <v>278346.14000000042</v>
      </c>
    </row>
    <row r="136" spans="1:11" x14ac:dyDescent="0.25">
      <c r="A136" s="5" t="s">
        <v>706</v>
      </c>
      <c r="B136" s="42">
        <f t="shared" si="2"/>
        <v>65.69325000000002</v>
      </c>
      <c r="C136" s="7" t="s">
        <v>370</v>
      </c>
      <c r="D136" s="7" t="s">
        <v>372</v>
      </c>
      <c r="E136" s="7" t="s">
        <v>826</v>
      </c>
      <c r="F136" s="8">
        <v>61.009400000000397</v>
      </c>
      <c r="G136" s="7" t="s">
        <v>531</v>
      </c>
      <c r="H136" s="7" t="s">
        <v>532</v>
      </c>
      <c r="I136" s="10">
        <v>506.5</v>
      </c>
      <c r="J136" s="10">
        <v>65693.250000000015</v>
      </c>
      <c r="K136" s="6">
        <v>277818.04000000044</v>
      </c>
    </row>
    <row r="137" spans="1:11" x14ac:dyDescent="0.25">
      <c r="A137" s="5" t="s">
        <v>706</v>
      </c>
      <c r="B137" s="42">
        <f t="shared" si="2"/>
        <v>66.199750000000009</v>
      </c>
      <c r="C137" s="7" t="s">
        <v>372</v>
      </c>
      <c r="D137" s="7" t="s">
        <v>374</v>
      </c>
      <c r="E137" s="7" t="s">
        <v>826</v>
      </c>
      <c r="F137" s="8">
        <v>61.523160000000395</v>
      </c>
      <c r="G137" s="7" t="s">
        <v>532</v>
      </c>
      <c r="H137" s="7" t="s">
        <v>533</v>
      </c>
      <c r="I137" s="10">
        <v>473.7</v>
      </c>
      <c r="J137" s="10">
        <v>66199.750000000015</v>
      </c>
      <c r="K137" s="6">
        <v>277311.54000000044</v>
      </c>
    </row>
    <row r="138" spans="1:11" x14ac:dyDescent="0.25">
      <c r="A138" s="5" t="s">
        <v>706</v>
      </c>
      <c r="B138" s="42">
        <f t="shared" si="2"/>
        <v>66.673450000000017</v>
      </c>
      <c r="C138" s="7" t="s">
        <v>374</v>
      </c>
      <c r="D138" s="7" t="s">
        <v>376</v>
      </c>
      <c r="E138" s="7" t="s">
        <v>826</v>
      </c>
      <c r="F138" s="8">
        <v>61.993320000000402</v>
      </c>
      <c r="G138" s="7" t="s">
        <v>533</v>
      </c>
      <c r="H138" s="7" t="s">
        <v>534</v>
      </c>
      <c r="I138" s="10">
        <v>474.4</v>
      </c>
      <c r="J138" s="10">
        <v>66673.450000000012</v>
      </c>
      <c r="K138" s="6">
        <v>276837.84000000043</v>
      </c>
    </row>
    <row r="139" spans="1:11" x14ac:dyDescent="0.25">
      <c r="A139" s="5" t="s">
        <v>706</v>
      </c>
      <c r="B139" s="42">
        <f t="shared" si="2"/>
        <v>67.147850000000005</v>
      </c>
      <c r="C139" s="7" t="s">
        <v>376</v>
      </c>
      <c r="D139" s="7" t="s">
        <v>378</v>
      </c>
      <c r="E139" s="7" t="s">
        <v>826</v>
      </c>
      <c r="F139" s="8">
        <v>62.372110000000404</v>
      </c>
      <c r="G139" s="7" t="s">
        <v>534</v>
      </c>
      <c r="H139" s="7" t="s">
        <v>535</v>
      </c>
      <c r="I139" s="10">
        <v>500</v>
      </c>
      <c r="J139" s="10">
        <v>67147.850000000006</v>
      </c>
      <c r="K139" s="6">
        <v>276363.44000000041</v>
      </c>
    </row>
    <row r="140" spans="1:11" x14ac:dyDescent="0.25">
      <c r="A140" s="5" t="s">
        <v>706</v>
      </c>
      <c r="B140" s="42">
        <f t="shared" si="2"/>
        <v>67.647850000000005</v>
      </c>
      <c r="C140" s="7" t="s">
        <v>378</v>
      </c>
      <c r="D140" s="7" t="s">
        <v>380</v>
      </c>
      <c r="E140" s="7" t="s">
        <v>826</v>
      </c>
      <c r="F140" s="8">
        <v>62.953160000000402</v>
      </c>
      <c r="G140" s="7" t="s">
        <v>535</v>
      </c>
      <c r="H140" s="7" t="s">
        <v>536</v>
      </c>
      <c r="I140" s="10">
        <v>435.4</v>
      </c>
      <c r="J140" s="10">
        <v>67647.850000000006</v>
      </c>
      <c r="K140" s="6">
        <v>275863.44000000041</v>
      </c>
    </row>
    <row r="141" spans="1:11" x14ac:dyDescent="0.25">
      <c r="A141" s="5" t="s">
        <v>706</v>
      </c>
      <c r="B141" s="42">
        <f t="shared" si="2"/>
        <v>68.083250000000007</v>
      </c>
      <c r="C141" s="7" t="s">
        <v>380</v>
      </c>
      <c r="D141" s="7" t="s">
        <v>382</v>
      </c>
      <c r="E141" s="7" t="s">
        <v>826</v>
      </c>
      <c r="F141" s="8">
        <v>63.375150000000403</v>
      </c>
      <c r="G141" s="7" t="s">
        <v>536</v>
      </c>
      <c r="H141" s="7" t="s">
        <v>537</v>
      </c>
      <c r="I141" s="10">
        <v>656.5</v>
      </c>
      <c r="J141" s="10">
        <v>68083.25</v>
      </c>
      <c r="K141" s="6">
        <v>275428.04000000039</v>
      </c>
    </row>
    <row r="142" spans="1:11" x14ac:dyDescent="0.25">
      <c r="A142" s="5" t="s">
        <v>706</v>
      </c>
      <c r="B142" s="42">
        <f t="shared" si="2"/>
        <v>68.739750000000001</v>
      </c>
      <c r="C142" s="7" t="s">
        <v>382</v>
      </c>
      <c r="D142" s="7" t="s">
        <v>384</v>
      </c>
      <c r="E142" s="7" t="s">
        <v>826</v>
      </c>
      <c r="F142" s="8">
        <v>63.840250000000403</v>
      </c>
      <c r="G142" s="7" t="s">
        <v>537</v>
      </c>
      <c r="H142" s="7" t="s">
        <v>538</v>
      </c>
      <c r="I142" s="10">
        <v>328.9</v>
      </c>
      <c r="J142" s="10">
        <v>68739.75</v>
      </c>
      <c r="K142" s="6">
        <v>274771.54000000039</v>
      </c>
    </row>
    <row r="143" spans="1:11" x14ac:dyDescent="0.25">
      <c r="A143" s="5" t="s">
        <v>706</v>
      </c>
      <c r="B143" s="42">
        <f t="shared" si="2"/>
        <v>69.068649999999991</v>
      </c>
      <c r="C143" s="7" t="s">
        <v>384</v>
      </c>
      <c r="D143" s="7" t="s">
        <v>386</v>
      </c>
      <c r="E143" s="7" t="s">
        <v>826</v>
      </c>
      <c r="F143" s="8">
        <v>64.409290000000397</v>
      </c>
      <c r="G143" s="7" t="s">
        <v>538</v>
      </c>
      <c r="H143" s="7" t="s">
        <v>539</v>
      </c>
      <c r="I143" s="10">
        <v>343.07</v>
      </c>
      <c r="J143" s="10">
        <v>69068.649999999994</v>
      </c>
      <c r="K143" s="6">
        <v>274442.64000000036</v>
      </c>
    </row>
    <row r="144" spans="1:11" x14ac:dyDescent="0.25">
      <c r="A144" s="5" t="s">
        <v>706</v>
      </c>
      <c r="B144" s="42">
        <f t="shared" si="2"/>
        <v>69.411720000000003</v>
      </c>
      <c r="C144" s="7" t="s">
        <v>386</v>
      </c>
      <c r="D144" s="7" t="s">
        <v>388</v>
      </c>
      <c r="E144" s="7" t="s">
        <v>826</v>
      </c>
      <c r="F144" s="8">
        <v>64.769690000000409</v>
      </c>
      <c r="G144" s="7" t="s">
        <v>539</v>
      </c>
      <c r="H144" s="7" t="s">
        <v>540</v>
      </c>
      <c r="I144" s="10">
        <v>550</v>
      </c>
      <c r="J144" s="10">
        <v>69411.72</v>
      </c>
      <c r="K144" s="6">
        <v>274099.57000000036</v>
      </c>
    </row>
    <row r="145" spans="1:11" x14ac:dyDescent="0.25">
      <c r="A145" s="5" t="s">
        <v>706</v>
      </c>
      <c r="B145" s="42">
        <f t="shared" si="2"/>
        <v>69.96172</v>
      </c>
      <c r="C145" s="7" t="s">
        <v>388</v>
      </c>
      <c r="D145" s="7" t="s">
        <v>390</v>
      </c>
      <c r="E145" s="7" t="s">
        <v>826</v>
      </c>
      <c r="F145" s="8">
        <v>65.226990000000399</v>
      </c>
      <c r="G145" s="7" t="s">
        <v>540</v>
      </c>
      <c r="H145" s="7" t="s">
        <v>541</v>
      </c>
      <c r="I145" s="10">
        <v>540</v>
      </c>
      <c r="J145" s="10">
        <v>69961.72</v>
      </c>
      <c r="K145" s="6">
        <v>273549.57000000036</v>
      </c>
    </row>
    <row r="146" spans="1:11" x14ac:dyDescent="0.25">
      <c r="A146" s="5" t="s">
        <v>706</v>
      </c>
      <c r="B146" s="42">
        <f t="shared" si="2"/>
        <v>70.501720000000006</v>
      </c>
      <c r="C146" s="7" t="s">
        <v>390</v>
      </c>
      <c r="D146" s="7" t="s">
        <v>392</v>
      </c>
      <c r="E146" s="7" t="s">
        <v>826</v>
      </c>
      <c r="F146" s="8">
        <v>65.788390000000405</v>
      </c>
      <c r="G146" s="7" t="s">
        <v>541</v>
      </c>
      <c r="H146" s="7" t="s">
        <v>542</v>
      </c>
      <c r="I146" s="10">
        <v>514.1</v>
      </c>
      <c r="J146" s="10">
        <v>70501.72</v>
      </c>
      <c r="K146" s="6">
        <v>273009.57000000036</v>
      </c>
    </row>
    <row r="147" spans="1:11" x14ac:dyDescent="0.25">
      <c r="A147" s="5" t="s">
        <v>706</v>
      </c>
      <c r="B147" s="42">
        <f t="shared" si="2"/>
        <v>71.015820000000005</v>
      </c>
      <c r="C147" s="7" t="s">
        <v>392</v>
      </c>
      <c r="D147" s="7" t="s">
        <v>394</v>
      </c>
      <c r="E147" s="7" t="s">
        <v>826</v>
      </c>
      <c r="F147" s="8">
        <v>66.365890000000405</v>
      </c>
      <c r="G147" s="7" t="s">
        <v>542</v>
      </c>
      <c r="H147" s="7" t="s">
        <v>543</v>
      </c>
      <c r="I147" s="10">
        <v>558.20000000000005</v>
      </c>
      <c r="J147" s="10">
        <v>71015.820000000007</v>
      </c>
      <c r="K147" s="6">
        <v>272495.47000000038</v>
      </c>
    </row>
    <row r="148" spans="1:11" x14ac:dyDescent="0.25">
      <c r="A148" s="5" t="s">
        <v>706</v>
      </c>
      <c r="B148" s="42">
        <f t="shared" si="2"/>
        <v>71.574020000000004</v>
      </c>
      <c r="C148" s="7" t="s">
        <v>394</v>
      </c>
      <c r="D148" s="7" t="s">
        <v>396</v>
      </c>
      <c r="E148" s="7" t="s">
        <v>826</v>
      </c>
      <c r="F148" s="8">
        <v>66.778590000000406</v>
      </c>
      <c r="G148" s="7" t="s">
        <v>543</v>
      </c>
      <c r="H148" s="7" t="s">
        <v>544</v>
      </c>
      <c r="I148" s="10">
        <v>504</v>
      </c>
      <c r="J148" s="10">
        <v>71574.02</v>
      </c>
      <c r="K148" s="6">
        <v>271937.27000000037</v>
      </c>
    </row>
    <row r="149" spans="1:11" x14ac:dyDescent="0.25">
      <c r="A149" s="5" t="s">
        <v>706</v>
      </c>
      <c r="B149" s="42">
        <f t="shared" si="2"/>
        <v>72.078020000000009</v>
      </c>
      <c r="C149" s="7" t="s">
        <v>396</v>
      </c>
      <c r="D149" s="7" t="s">
        <v>398</v>
      </c>
      <c r="E149" s="7" t="s">
        <v>826</v>
      </c>
      <c r="F149" s="8">
        <v>67.284990000000391</v>
      </c>
      <c r="G149" s="7" t="s">
        <v>544</v>
      </c>
      <c r="H149" s="7" t="s">
        <v>545</v>
      </c>
      <c r="I149" s="10">
        <v>451.4</v>
      </c>
      <c r="J149" s="10">
        <v>72078.02</v>
      </c>
      <c r="K149" s="6">
        <v>271433.27000000037</v>
      </c>
    </row>
    <row r="150" spans="1:11" x14ac:dyDescent="0.25">
      <c r="A150" s="5" t="s">
        <v>706</v>
      </c>
      <c r="B150" s="42">
        <f t="shared" si="2"/>
        <v>72.529420000000002</v>
      </c>
      <c r="C150" s="7" t="s">
        <v>398</v>
      </c>
      <c r="D150" s="7" t="s">
        <v>400</v>
      </c>
      <c r="E150" s="7" t="s">
        <v>826</v>
      </c>
      <c r="F150" s="8">
        <v>67.951560000000399</v>
      </c>
      <c r="G150" s="7" t="s">
        <v>545</v>
      </c>
      <c r="H150" s="7" t="s">
        <v>546</v>
      </c>
      <c r="I150" s="10">
        <v>467.2</v>
      </c>
      <c r="J150" s="10">
        <v>72529.42</v>
      </c>
      <c r="K150" s="6">
        <v>270981.87000000034</v>
      </c>
    </row>
    <row r="151" spans="1:11" x14ac:dyDescent="0.25">
      <c r="A151" s="5" t="s">
        <v>706</v>
      </c>
      <c r="B151" s="42">
        <f t="shared" si="2"/>
        <v>72.996619999999993</v>
      </c>
      <c r="C151" s="7" t="s">
        <v>400</v>
      </c>
      <c r="D151" s="7" t="s">
        <v>402</v>
      </c>
      <c r="E151" s="7" t="s">
        <v>826</v>
      </c>
      <c r="F151" s="8">
        <v>68.360260000000409</v>
      </c>
      <c r="G151" s="7" t="s">
        <v>546</v>
      </c>
      <c r="H151" s="7" t="s">
        <v>547</v>
      </c>
      <c r="I151" s="10">
        <v>441.39</v>
      </c>
      <c r="J151" s="10">
        <v>72996.62</v>
      </c>
      <c r="K151" s="6">
        <v>270514.67000000033</v>
      </c>
    </row>
    <row r="152" spans="1:11" x14ac:dyDescent="0.25">
      <c r="A152" s="5" t="s">
        <v>706</v>
      </c>
      <c r="B152" s="42">
        <f t="shared" si="2"/>
        <v>73.438009999999991</v>
      </c>
      <c r="C152" s="7" t="s">
        <v>402</v>
      </c>
      <c r="D152" s="7" t="s">
        <v>404</v>
      </c>
      <c r="E152" s="7" t="s">
        <v>826</v>
      </c>
      <c r="F152" s="8">
        <v>68.765360000000413</v>
      </c>
      <c r="G152" s="7" t="s">
        <v>547</v>
      </c>
      <c r="H152" s="7" t="s">
        <v>548</v>
      </c>
      <c r="I152" s="10">
        <v>498.4</v>
      </c>
      <c r="J152" s="10">
        <v>73438.009999999995</v>
      </c>
      <c r="K152" s="6">
        <v>270073.28000000032</v>
      </c>
    </row>
    <row r="153" spans="1:11" x14ac:dyDescent="0.25">
      <c r="A153" s="5" t="s">
        <v>706</v>
      </c>
      <c r="B153" s="42">
        <f t="shared" si="2"/>
        <v>73.936409999999995</v>
      </c>
      <c r="C153" s="7" t="s">
        <v>404</v>
      </c>
      <c r="D153" s="7" t="s">
        <v>406</v>
      </c>
      <c r="E153" s="7" t="s">
        <v>826</v>
      </c>
      <c r="F153" s="8">
        <v>69.296960000000411</v>
      </c>
      <c r="G153" s="7" t="s">
        <v>548</v>
      </c>
      <c r="H153" s="7" t="s">
        <v>549</v>
      </c>
      <c r="I153" s="10">
        <v>440.15</v>
      </c>
      <c r="J153" s="10">
        <v>73936.409999999989</v>
      </c>
      <c r="K153" s="6">
        <v>269574.8800000003</v>
      </c>
    </row>
    <row r="154" spans="1:11" x14ac:dyDescent="0.25">
      <c r="A154" s="5" t="s">
        <v>706</v>
      </c>
      <c r="B154" s="42">
        <f t="shared" si="2"/>
        <v>74.376559999999984</v>
      </c>
      <c r="C154" s="7" t="s">
        <v>406</v>
      </c>
      <c r="D154" s="7" t="s">
        <v>408</v>
      </c>
      <c r="E154" s="7" t="s">
        <v>826</v>
      </c>
      <c r="F154" s="8">
        <v>69.801360000000415</v>
      </c>
      <c r="G154" s="7" t="s">
        <v>549</v>
      </c>
      <c r="H154" s="7" t="s">
        <v>550</v>
      </c>
      <c r="I154" s="10">
        <v>620.6</v>
      </c>
      <c r="J154" s="10">
        <v>74376.559999999983</v>
      </c>
      <c r="K154" s="6">
        <v>269134.73000000027</v>
      </c>
    </row>
    <row r="155" spans="1:11" x14ac:dyDescent="0.25">
      <c r="A155" s="5" t="s">
        <v>706</v>
      </c>
      <c r="B155" s="42">
        <f t="shared" si="2"/>
        <v>74.997159999999994</v>
      </c>
      <c r="C155" s="7" t="s">
        <v>408</v>
      </c>
      <c r="D155" s="7" t="s">
        <v>410</v>
      </c>
      <c r="E155" s="7" t="s">
        <v>826</v>
      </c>
      <c r="F155" s="8">
        <v>70.210760000000406</v>
      </c>
      <c r="G155" s="7" t="s">
        <v>550</v>
      </c>
      <c r="H155" s="7" t="s">
        <v>551</v>
      </c>
      <c r="I155" s="10">
        <v>534.5</v>
      </c>
      <c r="J155" s="10">
        <v>74997.159999999989</v>
      </c>
      <c r="K155" s="6">
        <v>268514.1300000003</v>
      </c>
    </row>
    <row r="156" spans="1:11" x14ac:dyDescent="0.25">
      <c r="A156" s="5" t="s">
        <v>706</v>
      </c>
      <c r="B156" s="42">
        <f t="shared" si="2"/>
        <v>75.531659999999988</v>
      </c>
      <c r="C156" s="7" t="s">
        <v>410</v>
      </c>
      <c r="D156" s="7" t="s">
        <v>412</v>
      </c>
      <c r="E156" s="7" t="s">
        <v>826</v>
      </c>
      <c r="F156" s="8">
        <v>70.604660000000393</v>
      </c>
      <c r="G156" s="7" t="s">
        <v>551</v>
      </c>
      <c r="H156" s="7" t="s">
        <v>552</v>
      </c>
      <c r="I156" s="10">
        <v>438</v>
      </c>
      <c r="J156" s="10">
        <v>75531.659999999989</v>
      </c>
      <c r="K156" s="6">
        <v>267979.6300000003</v>
      </c>
    </row>
    <row r="157" spans="1:11" x14ac:dyDescent="0.25">
      <c r="A157" s="5" t="s">
        <v>706</v>
      </c>
      <c r="B157" s="42">
        <f t="shared" si="2"/>
        <v>75.96965999999999</v>
      </c>
      <c r="C157" s="7" t="s">
        <v>412</v>
      </c>
      <c r="D157" s="7" t="s">
        <v>414</v>
      </c>
      <c r="E157" s="7" t="s">
        <v>826</v>
      </c>
      <c r="F157" s="8">
        <v>71.021560000000392</v>
      </c>
      <c r="G157" s="7" t="s">
        <v>552</v>
      </c>
      <c r="H157" s="7" t="s">
        <v>553</v>
      </c>
      <c r="I157" s="10">
        <v>491.51</v>
      </c>
      <c r="J157" s="10">
        <v>75969.659999999989</v>
      </c>
      <c r="K157" s="6">
        <v>267541.6300000003</v>
      </c>
    </row>
    <row r="158" spans="1:11" x14ac:dyDescent="0.25">
      <c r="A158" s="5" t="s">
        <v>706</v>
      </c>
      <c r="B158" s="42">
        <f t="shared" si="2"/>
        <v>76.461169999999981</v>
      </c>
      <c r="C158" s="7" t="s">
        <v>414</v>
      </c>
      <c r="D158" s="7" t="s">
        <v>416</v>
      </c>
      <c r="E158" s="7" t="s">
        <v>826</v>
      </c>
      <c r="F158" s="8">
        <v>71.495760000000388</v>
      </c>
      <c r="G158" s="7" t="s">
        <v>553</v>
      </c>
      <c r="H158" s="7" t="s">
        <v>554</v>
      </c>
      <c r="I158" s="10">
        <v>596</v>
      </c>
      <c r="J158" s="10">
        <v>76461.169999999984</v>
      </c>
      <c r="K158" s="6">
        <v>267050.12000000029</v>
      </c>
    </row>
    <row r="159" spans="1:11" x14ac:dyDescent="0.25">
      <c r="A159" s="5" t="s">
        <v>706</v>
      </c>
      <c r="B159" s="42">
        <f t="shared" si="2"/>
        <v>77.057169999999985</v>
      </c>
      <c r="C159" s="7" t="s">
        <v>416</v>
      </c>
      <c r="D159" s="7" t="s">
        <v>418</v>
      </c>
      <c r="E159" s="7" t="s">
        <v>826</v>
      </c>
      <c r="F159" s="8">
        <v>71.882160000000383</v>
      </c>
      <c r="G159" s="7" t="s">
        <v>554</v>
      </c>
      <c r="H159" s="7" t="s">
        <v>555</v>
      </c>
      <c r="I159" s="10">
        <v>562.1</v>
      </c>
      <c r="J159" s="10">
        <v>77057.169999999984</v>
      </c>
      <c r="K159" s="6">
        <v>266454.12000000029</v>
      </c>
    </row>
    <row r="160" spans="1:11" x14ac:dyDescent="0.25">
      <c r="A160" s="5" t="s">
        <v>706</v>
      </c>
      <c r="B160" s="42">
        <f t="shared" si="2"/>
        <v>77.619269999999986</v>
      </c>
      <c r="C160" s="7" t="s">
        <v>418</v>
      </c>
      <c r="D160" s="7" t="s">
        <v>420</v>
      </c>
      <c r="E160" s="7" t="s">
        <v>826</v>
      </c>
      <c r="F160" s="8">
        <v>72.318560000000375</v>
      </c>
      <c r="G160" s="7" t="s">
        <v>555</v>
      </c>
      <c r="H160" s="7" t="s">
        <v>556</v>
      </c>
      <c r="I160" s="10">
        <v>460.8</v>
      </c>
      <c r="J160" s="10">
        <v>77619.26999999999</v>
      </c>
      <c r="K160" s="6">
        <v>265892.02000000031</v>
      </c>
    </row>
    <row r="161" spans="1:11" x14ac:dyDescent="0.25">
      <c r="A161" s="5" t="s">
        <v>706</v>
      </c>
      <c r="B161" s="42">
        <f t="shared" si="2"/>
        <v>78.080069999999992</v>
      </c>
      <c r="C161" s="7" t="s">
        <v>420</v>
      </c>
      <c r="D161" s="7" t="s">
        <v>422</v>
      </c>
      <c r="E161" s="7" t="s">
        <v>826</v>
      </c>
      <c r="F161" s="8">
        <v>72.831460000000376</v>
      </c>
      <c r="G161" s="7" t="s">
        <v>556</v>
      </c>
      <c r="H161" s="7" t="s">
        <v>557</v>
      </c>
      <c r="I161" s="10">
        <v>483</v>
      </c>
      <c r="J161" s="10">
        <v>78080.069999999992</v>
      </c>
      <c r="K161" s="6">
        <v>265431.22000000032</v>
      </c>
    </row>
    <row r="162" spans="1:11" x14ac:dyDescent="0.25">
      <c r="A162" s="5" t="s">
        <v>706</v>
      </c>
      <c r="B162" s="42">
        <f t="shared" si="2"/>
        <v>78.563069999999996</v>
      </c>
      <c r="C162" s="7" t="s">
        <v>422</v>
      </c>
      <c r="D162" s="7" t="s">
        <v>424</v>
      </c>
      <c r="E162" s="7" t="s">
        <v>826</v>
      </c>
      <c r="F162" s="8">
        <v>73.282160000000374</v>
      </c>
      <c r="G162" s="7" t="s">
        <v>557</v>
      </c>
      <c r="H162" s="7" t="s">
        <v>558</v>
      </c>
      <c r="I162" s="10">
        <v>398.7</v>
      </c>
      <c r="J162" s="10">
        <v>78563.069999999992</v>
      </c>
      <c r="K162" s="6">
        <v>264948.22000000032</v>
      </c>
    </row>
    <row r="163" spans="1:11" x14ac:dyDescent="0.25">
      <c r="A163" s="5" t="s">
        <v>706</v>
      </c>
      <c r="B163" s="42">
        <f t="shared" si="2"/>
        <v>78.961769999999987</v>
      </c>
      <c r="C163" s="7" t="s">
        <v>424</v>
      </c>
      <c r="D163" s="7" t="s">
        <v>426</v>
      </c>
      <c r="E163" s="7" t="s">
        <v>826</v>
      </c>
      <c r="F163" s="8">
        <v>73.700160000000366</v>
      </c>
      <c r="G163" s="7" t="s">
        <v>558</v>
      </c>
      <c r="H163" s="7" t="s">
        <v>559</v>
      </c>
      <c r="I163" s="10">
        <v>529.20000000000005</v>
      </c>
      <c r="J163" s="10">
        <v>78961.76999999999</v>
      </c>
      <c r="K163" s="6">
        <v>264549.52000000031</v>
      </c>
    </row>
    <row r="164" spans="1:11" x14ac:dyDescent="0.25">
      <c r="A164" s="5" t="s">
        <v>706</v>
      </c>
      <c r="B164" s="42">
        <f t="shared" si="2"/>
        <v>79.49096999999999</v>
      </c>
      <c r="C164" s="7" t="s">
        <v>426</v>
      </c>
      <c r="D164" s="7" t="s">
        <v>428</v>
      </c>
      <c r="E164" s="7" t="s">
        <v>826</v>
      </c>
      <c r="F164" s="8">
        <v>74.075760000000372</v>
      </c>
      <c r="G164" s="7" t="s">
        <v>559</v>
      </c>
      <c r="H164" s="7" t="s">
        <v>560</v>
      </c>
      <c r="I164" s="10">
        <v>561</v>
      </c>
      <c r="J164" s="10">
        <v>79490.969999999987</v>
      </c>
      <c r="K164" s="6">
        <v>264020.3200000003</v>
      </c>
    </row>
    <row r="165" spans="1:11" x14ac:dyDescent="0.25">
      <c r="A165" s="5" t="s">
        <v>706</v>
      </c>
      <c r="B165" s="42">
        <f t="shared" si="2"/>
        <v>80.051969999999983</v>
      </c>
      <c r="C165" s="7" t="s">
        <v>428</v>
      </c>
      <c r="D165" s="7" t="s">
        <v>430</v>
      </c>
      <c r="E165" s="7" t="s">
        <v>826</v>
      </c>
      <c r="F165" s="8">
        <v>74.667360000000386</v>
      </c>
      <c r="G165" s="7" t="s">
        <v>560</v>
      </c>
      <c r="H165" s="7" t="s">
        <v>561</v>
      </c>
      <c r="I165" s="10">
        <v>542</v>
      </c>
      <c r="J165" s="10">
        <v>80051.969999999987</v>
      </c>
      <c r="K165" s="6">
        <v>263459.3200000003</v>
      </c>
    </row>
    <row r="166" spans="1:11" x14ac:dyDescent="0.25">
      <c r="A166" s="5" t="s">
        <v>706</v>
      </c>
      <c r="B166" s="42">
        <f t="shared" si="2"/>
        <v>80.593969999999985</v>
      </c>
      <c r="C166" s="7" t="s">
        <v>430</v>
      </c>
      <c r="D166" s="7" t="s">
        <v>432</v>
      </c>
      <c r="E166" s="7" t="s">
        <v>826</v>
      </c>
      <c r="F166" s="8">
        <v>75.184860000000384</v>
      </c>
      <c r="G166" s="7" t="s">
        <v>561</v>
      </c>
      <c r="H166" s="7" t="s">
        <v>562</v>
      </c>
      <c r="I166" s="10">
        <v>513.6</v>
      </c>
      <c r="J166" s="10">
        <v>80593.969999999987</v>
      </c>
      <c r="K166" s="6">
        <v>262917.3200000003</v>
      </c>
    </row>
    <row r="167" spans="1:11" x14ac:dyDescent="0.25">
      <c r="A167" s="5" t="s">
        <v>706</v>
      </c>
      <c r="B167" s="42">
        <f t="shared" si="2"/>
        <v>81.107569999999996</v>
      </c>
      <c r="C167" s="7" t="s">
        <v>432</v>
      </c>
      <c r="D167" s="7" t="s">
        <v>434</v>
      </c>
      <c r="E167" s="7" t="s">
        <v>826</v>
      </c>
      <c r="F167" s="8">
        <v>75.727660000000384</v>
      </c>
      <c r="G167" s="7" t="s">
        <v>562</v>
      </c>
      <c r="H167" s="7" t="s">
        <v>563</v>
      </c>
      <c r="I167" s="10">
        <v>643.6</v>
      </c>
      <c r="J167" s="10">
        <v>81107.569999999992</v>
      </c>
      <c r="K167" s="6">
        <v>262403.72000000032</v>
      </c>
    </row>
    <row r="168" spans="1:11" x14ac:dyDescent="0.25">
      <c r="A168" s="5" t="s">
        <v>706</v>
      </c>
      <c r="B168" s="42">
        <f t="shared" si="2"/>
        <v>81.751170000000002</v>
      </c>
      <c r="C168" s="7" t="s">
        <v>434</v>
      </c>
      <c r="D168" s="7" t="s">
        <v>436</v>
      </c>
      <c r="E168" s="7" t="s">
        <v>826</v>
      </c>
      <c r="F168" s="8">
        <v>76.283860000000374</v>
      </c>
      <c r="G168" s="7" t="s">
        <v>563</v>
      </c>
      <c r="H168" s="7" t="s">
        <v>564</v>
      </c>
      <c r="I168" s="10">
        <v>538.70000000000005</v>
      </c>
      <c r="J168" s="10">
        <v>81751.17</v>
      </c>
      <c r="K168" s="6">
        <v>261760.12000000032</v>
      </c>
    </row>
    <row r="169" spans="1:11" x14ac:dyDescent="0.25">
      <c r="A169" s="5" t="s">
        <v>706</v>
      </c>
      <c r="B169" s="42">
        <f t="shared" si="2"/>
        <v>82.289869999999993</v>
      </c>
      <c r="C169" s="7" t="s">
        <v>436</v>
      </c>
      <c r="D169" s="7" t="s">
        <v>438</v>
      </c>
      <c r="E169" s="7" t="s">
        <v>826</v>
      </c>
      <c r="F169" s="8">
        <v>76.925560000000374</v>
      </c>
      <c r="G169" s="7" t="s">
        <v>564</v>
      </c>
      <c r="H169" s="7" t="s">
        <v>565</v>
      </c>
      <c r="I169" s="10">
        <v>556.1</v>
      </c>
      <c r="J169" s="10">
        <v>82289.87</v>
      </c>
      <c r="K169" s="6">
        <v>261221.4200000003</v>
      </c>
    </row>
    <row r="170" spans="1:11" x14ac:dyDescent="0.25">
      <c r="A170" s="5" t="s">
        <v>706</v>
      </c>
      <c r="B170" s="42">
        <f t="shared" si="2"/>
        <v>82.845969999999994</v>
      </c>
      <c r="C170" s="7" t="s">
        <v>438</v>
      </c>
      <c r="D170" s="7" t="s">
        <v>440</v>
      </c>
      <c r="E170" s="7" t="s">
        <v>826</v>
      </c>
      <c r="F170" s="8">
        <v>77.428360000000382</v>
      </c>
      <c r="G170" s="7" t="s">
        <v>565</v>
      </c>
      <c r="H170" s="7" t="s">
        <v>566</v>
      </c>
      <c r="I170" s="10">
        <v>504.5</v>
      </c>
      <c r="J170" s="10">
        <v>82845.97</v>
      </c>
      <c r="K170" s="6">
        <v>260665.3200000003</v>
      </c>
    </row>
    <row r="171" spans="1:11" x14ac:dyDescent="0.25">
      <c r="A171" s="5" t="s">
        <v>706</v>
      </c>
      <c r="B171" s="42">
        <f t="shared" si="2"/>
        <v>83.350470000000001</v>
      </c>
      <c r="C171" s="7" t="s">
        <v>440</v>
      </c>
      <c r="D171" s="7" t="s">
        <v>442</v>
      </c>
      <c r="E171" s="7" t="s">
        <v>826</v>
      </c>
      <c r="F171" s="8">
        <v>77.775360000000376</v>
      </c>
      <c r="G171" s="7" t="s">
        <v>566</v>
      </c>
      <c r="H171" s="7" t="s">
        <v>567</v>
      </c>
      <c r="I171" s="10">
        <v>395.65</v>
      </c>
      <c r="J171" s="10">
        <v>83350.47</v>
      </c>
      <c r="K171" s="6">
        <v>260160.8200000003</v>
      </c>
    </row>
    <row r="172" spans="1:11" x14ac:dyDescent="0.25">
      <c r="A172" s="5" t="s">
        <v>706</v>
      </c>
      <c r="B172" s="42">
        <f t="shared" si="2"/>
        <v>83.746119999999991</v>
      </c>
      <c r="C172" s="7" t="s">
        <v>442</v>
      </c>
      <c r="D172" s="7" t="s">
        <v>444</v>
      </c>
      <c r="E172" s="7" t="s">
        <v>826</v>
      </c>
      <c r="F172" s="8">
        <v>78.135360000000375</v>
      </c>
      <c r="G172" s="7" t="s">
        <v>567</v>
      </c>
      <c r="H172" s="7" t="s">
        <v>568</v>
      </c>
      <c r="I172" s="10">
        <v>516.34</v>
      </c>
      <c r="J172" s="10">
        <v>83746.12</v>
      </c>
      <c r="K172" s="6">
        <v>259765.1700000003</v>
      </c>
    </row>
    <row r="173" spans="1:11" x14ac:dyDescent="0.25">
      <c r="A173" s="5" t="s">
        <v>706</v>
      </c>
      <c r="B173" s="42">
        <f t="shared" si="2"/>
        <v>84.26245999999999</v>
      </c>
      <c r="C173" s="7" t="s">
        <v>444</v>
      </c>
      <c r="D173" s="7" t="s">
        <v>446</v>
      </c>
      <c r="E173" s="7" t="s">
        <v>826</v>
      </c>
      <c r="F173" s="8">
        <v>78.711960000000389</v>
      </c>
      <c r="G173" s="7" t="s">
        <v>568</v>
      </c>
      <c r="H173" s="7" t="s">
        <v>569</v>
      </c>
      <c r="I173" s="10">
        <v>637.79999999999995</v>
      </c>
      <c r="J173" s="10">
        <v>84262.459999999992</v>
      </c>
      <c r="K173" s="6">
        <v>259248.83000000031</v>
      </c>
    </row>
    <row r="174" spans="1:11" x14ac:dyDescent="0.25">
      <c r="A174" s="5" t="s">
        <v>706</v>
      </c>
      <c r="B174" s="42">
        <f t="shared" si="2"/>
        <v>84.900259999999989</v>
      </c>
      <c r="C174" s="7" t="s">
        <v>446</v>
      </c>
      <c r="D174" s="7" t="s">
        <v>448</v>
      </c>
      <c r="E174" s="7" t="s">
        <v>826</v>
      </c>
      <c r="F174" s="8">
        <v>79.272360000000376</v>
      </c>
      <c r="G174" s="7" t="s">
        <v>569</v>
      </c>
      <c r="H174" s="7" t="s">
        <v>570</v>
      </c>
      <c r="I174" s="10">
        <v>562.25</v>
      </c>
      <c r="J174" s="10">
        <v>84900.26</v>
      </c>
      <c r="K174" s="6">
        <v>258611.03000000032</v>
      </c>
    </row>
    <row r="175" spans="1:11" x14ac:dyDescent="0.25">
      <c r="A175" s="5" t="s">
        <v>706</v>
      </c>
      <c r="B175" s="42">
        <f t="shared" si="2"/>
        <v>85.462509999999995</v>
      </c>
      <c r="C175" s="7" t="s">
        <v>448</v>
      </c>
      <c r="D175" s="7" t="s">
        <v>450</v>
      </c>
      <c r="E175" s="7" t="s">
        <v>826</v>
      </c>
      <c r="F175" s="8">
        <v>79.852360000000374</v>
      </c>
      <c r="G175" s="7" t="s">
        <v>570</v>
      </c>
      <c r="H175" s="7" t="s">
        <v>571</v>
      </c>
      <c r="I175" s="10">
        <v>423</v>
      </c>
      <c r="J175" s="10">
        <v>85462.51</v>
      </c>
      <c r="K175" s="6">
        <v>258048.78000000032</v>
      </c>
    </row>
    <row r="176" spans="1:11" x14ac:dyDescent="0.25">
      <c r="A176" s="5" t="s">
        <v>706</v>
      </c>
      <c r="B176" s="42">
        <f t="shared" si="2"/>
        <v>85.885509999999996</v>
      </c>
      <c r="C176" s="7" t="s">
        <v>450</v>
      </c>
      <c r="D176" s="7" t="s">
        <v>452</v>
      </c>
      <c r="E176" s="7" t="s">
        <v>826</v>
      </c>
      <c r="F176" s="8">
        <v>80.374960000000385</v>
      </c>
      <c r="G176" s="7" t="s">
        <v>571</v>
      </c>
      <c r="H176" s="7" t="s">
        <v>572</v>
      </c>
      <c r="I176" s="10">
        <v>472.97</v>
      </c>
      <c r="J176" s="10">
        <v>85885.51</v>
      </c>
      <c r="K176" s="6">
        <v>257625.78000000032</v>
      </c>
    </row>
    <row r="177" spans="1:11" x14ac:dyDescent="0.25">
      <c r="A177" s="5" t="s">
        <v>706</v>
      </c>
      <c r="B177" s="42">
        <f t="shared" si="2"/>
        <v>86.35848</v>
      </c>
      <c r="C177" s="7" t="s">
        <v>452</v>
      </c>
      <c r="D177" s="7" t="s">
        <v>454</v>
      </c>
      <c r="E177" s="7" t="s">
        <v>826</v>
      </c>
      <c r="F177" s="8">
        <v>80.913260000000392</v>
      </c>
      <c r="G177" s="7" t="s">
        <v>572</v>
      </c>
      <c r="H177" s="7" t="s">
        <v>573</v>
      </c>
      <c r="I177" s="10">
        <v>440.61</v>
      </c>
      <c r="J177" s="10">
        <v>86358.48</v>
      </c>
      <c r="K177" s="6">
        <v>257152.81000000032</v>
      </c>
    </row>
    <row r="178" spans="1:11" x14ac:dyDescent="0.25">
      <c r="A178" s="5" t="s">
        <v>706</v>
      </c>
      <c r="B178" s="42">
        <f t="shared" si="2"/>
        <v>86.799089999999993</v>
      </c>
      <c r="C178" s="7" t="s">
        <v>454</v>
      </c>
      <c r="D178" s="7" t="s">
        <v>456</v>
      </c>
      <c r="E178" s="7" t="s">
        <v>826</v>
      </c>
      <c r="F178" s="8">
        <v>81.496160000000387</v>
      </c>
      <c r="G178" s="7" t="s">
        <v>573</v>
      </c>
      <c r="H178" s="7" t="s">
        <v>574</v>
      </c>
      <c r="I178" s="10">
        <v>455.96</v>
      </c>
      <c r="J178" s="10">
        <v>86799.09</v>
      </c>
      <c r="K178" s="6">
        <v>256712.20000000033</v>
      </c>
    </row>
    <row r="179" spans="1:11" x14ac:dyDescent="0.25">
      <c r="A179" s="5" t="s">
        <v>706</v>
      </c>
      <c r="B179" s="42">
        <f t="shared" si="2"/>
        <v>87.255049999999997</v>
      </c>
      <c r="C179" s="7" t="s">
        <v>456</v>
      </c>
      <c r="D179" s="7" t="s">
        <v>458</v>
      </c>
      <c r="E179" s="7" t="s">
        <v>826</v>
      </c>
      <c r="F179" s="8">
        <v>82.07386000000038</v>
      </c>
      <c r="G179" s="7" t="s">
        <v>574</v>
      </c>
      <c r="H179" s="7" t="s">
        <v>575</v>
      </c>
      <c r="I179" s="10">
        <v>549.16</v>
      </c>
      <c r="J179" s="10">
        <v>87255.05</v>
      </c>
      <c r="K179" s="6">
        <v>256256.24000000034</v>
      </c>
    </row>
    <row r="180" spans="1:11" x14ac:dyDescent="0.25">
      <c r="A180" s="5" t="s">
        <v>706</v>
      </c>
      <c r="B180" s="42">
        <f t="shared" si="2"/>
        <v>87.804210000000012</v>
      </c>
      <c r="C180" s="7" t="s">
        <v>458</v>
      </c>
      <c r="D180" s="7" t="s">
        <v>460</v>
      </c>
      <c r="E180" s="7" t="s">
        <v>826</v>
      </c>
      <c r="F180" s="8">
        <v>82.658960000000391</v>
      </c>
      <c r="G180" s="7" t="s">
        <v>575</v>
      </c>
      <c r="H180" s="7" t="s">
        <v>576</v>
      </c>
      <c r="I180" s="10">
        <v>476.16</v>
      </c>
      <c r="J180" s="10">
        <v>87804.21</v>
      </c>
      <c r="K180" s="6">
        <v>255707.08000000034</v>
      </c>
    </row>
    <row r="181" spans="1:11" x14ac:dyDescent="0.25">
      <c r="A181" s="5" t="s">
        <v>706</v>
      </c>
      <c r="B181" s="42">
        <f t="shared" si="2"/>
        <v>88.280370000000005</v>
      </c>
      <c r="C181" s="7" t="s">
        <v>460</v>
      </c>
      <c r="D181" s="7" t="s">
        <v>462</v>
      </c>
      <c r="E181" s="7" t="s">
        <v>826</v>
      </c>
      <c r="F181" s="8">
        <v>83.10896000000038</v>
      </c>
      <c r="G181" s="7" t="s">
        <v>576</v>
      </c>
      <c r="H181" s="7" t="s">
        <v>577</v>
      </c>
      <c r="I181" s="10">
        <v>494.38</v>
      </c>
      <c r="J181" s="10">
        <v>88280.37000000001</v>
      </c>
      <c r="K181" s="6">
        <v>255230.92000000033</v>
      </c>
    </row>
    <row r="182" spans="1:11" x14ac:dyDescent="0.25">
      <c r="A182" s="5" t="s">
        <v>706</v>
      </c>
      <c r="B182" s="42">
        <f t="shared" si="2"/>
        <v>88.774750000000012</v>
      </c>
      <c r="C182" s="7" t="s">
        <v>462</v>
      </c>
      <c r="D182" s="7" t="s">
        <v>464</v>
      </c>
      <c r="E182" s="7" t="s">
        <v>826</v>
      </c>
      <c r="F182" s="8">
        <v>83.517090000000394</v>
      </c>
      <c r="G182" s="7" t="s">
        <v>577</v>
      </c>
      <c r="H182" s="7" t="s">
        <v>578</v>
      </c>
      <c r="I182" s="10">
        <v>528.29999999999995</v>
      </c>
      <c r="J182" s="10">
        <v>88774.750000000015</v>
      </c>
      <c r="K182" s="6">
        <v>254736.54000000033</v>
      </c>
    </row>
    <row r="183" spans="1:11" x14ac:dyDescent="0.25">
      <c r="A183" s="5" t="s">
        <v>706</v>
      </c>
      <c r="B183" s="42">
        <f t="shared" si="2"/>
        <v>89.303050000000013</v>
      </c>
      <c r="C183" s="7" t="s">
        <v>464</v>
      </c>
      <c r="D183" s="7" t="s">
        <v>466</v>
      </c>
      <c r="E183" s="7" t="s">
        <v>826</v>
      </c>
      <c r="F183" s="8">
        <v>83.942760000000391</v>
      </c>
      <c r="G183" s="7" t="s">
        <v>578</v>
      </c>
      <c r="H183" s="7" t="s">
        <v>579</v>
      </c>
      <c r="I183" s="10">
        <v>523.20000000000005</v>
      </c>
      <c r="J183" s="10">
        <v>89303.050000000017</v>
      </c>
      <c r="K183" s="6">
        <v>254208.24000000034</v>
      </c>
    </row>
    <row r="184" spans="1:11" x14ac:dyDescent="0.25">
      <c r="A184" s="5" t="s">
        <v>706</v>
      </c>
      <c r="B184" s="42">
        <f t="shared" si="2"/>
        <v>89.826250000000016</v>
      </c>
      <c r="C184" s="7" t="s">
        <v>466</v>
      </c>
      <c r="D184" s="7" t="s">
        <v>468</v>
      </c>
      <c r="E184" s="7" t="s">
        <v>826</v>
      </c>
      <c r="F184" s="8">
        <v>84.394400000000388</v>
      </c>
      <c r="G184" s="7" t="s">
        <v>579</v>
      </c>
      <c r="H184" s="7" t="s">
        <v>580</v>
      </c>
      <c r="I184" s="10">
        <v>642.1</v>
      </c>
      <c r="J184" s="10">
        <v>89826.250000000015</v>
      </c>
      <c r="K184" s="6">
        <v>253685.04000000033</v>
      </c>
    </row>
    <row r="185" spans="1:11" x14ac:dyDescent="0.25">
      <c r="A185" s="5" t="s">
        <v>706</v>
      </c>
      <c r="B185" s="42">
        <f t="shared" si="2"/>
        <v>90.468350000000015</v>
      </c>
      <c r="C185" s="7" t="s">
        <v>468</v>
      </c>
      <c r="D185" s="7" t="s">
        <v>470</v>
      </c>
      <c r="E185" s="7" t="s">
        <v>826</v>
      </c>
      <c r="F185" s="8">
        <v>84.764020000000386</v>
      </c>
      <c r="G185" s="7" t="s">
        <v>580</v>
      </c>
      <c r="H185" s="7" t="s">
        <v>581</v>
      </c>
      <c r="I185" s="10">
        <v>466</v>
      </c>
      <c r="J185" s="10">
        <v>90468.35000000002</v>
      </c>
      <c r="K185" s="6">
        <v>253042.94000000032</v>
      </c>
    </row>
    <row r="186" spans="1:11" x14ac:dyDescent="0.25">
      <c r="A186" s="5" t="s">
        <v>706</v>
      </c>
      <c r="B186" s="42">
        <f t="shared" si="2"/>
        <v>90.934350000000023</v>
      </c>
      <c r="C186" s="7" t="s">
        <v>470</v>
      </c>
      <c r="D186" s="7" t="s">
        <v>472</v>
      </c>
      <c r="E186" s="7" t="s">
        <v>826</v>
      </c>
      <c r="F186" s="8">
        <v>85.238830000000377</v>
      </c>
      <c r="G186" s="7" t="s">
        <v>581</v>
      </c>
      <c r="H186" s="7" t="s">
        <v>582</v>
      </c>
      <c r="I186" s="10">
        <v>441.8</v>
      </c>
      <c r="J186" s="10">
        <v>90934.35000000002</v>
      </c>
      <c r="K186" s="6">
        <v>252576.94000000032</v>
      </c>
    </row>
    <row r="187" spans="1:11" x14ac:dyDescent="0.25">
      <c r="A187" s="5" t="s">
        <v>706</v>
      </c>
      <c r="B187" s="42">
        <f t="shared" si="2"/>
        <v>91.376150000000024</v>
      </c>
      <c r="C187" s="7" t="s">
        <v>472</v>
      </c>
      <c r="D187" s="7" t="s">
        <v>474</v>
      </c>
      <c r="E187" s="7" t="s">
        <v>826</v>
      </c>
      <c r="F187" s="8">
        <v>85.516940000000375</v>
      </c>
      <c r="G187" s="7" t="s">
        <v>582</v>
      </c>
      <c r="H187" s="7" t="s">
        <v>583</v>
      </c>
      <c r="I187" s="10">
        <v>606.4</v>
      </c>
      <c r="J187" s="10">
        <v>91376.150000000023</v>
      </c>
      <c r="K187" s="6">
        <v>252135.14000000033</v>
      </c>
    </row>
    <row r="188" spans="1:11" x14ac:dyDescent="0.25">
      <c r="A188" s="5" t="s">
        <v>706</v>
      </c>
      <c r="B188" s="42">
        <f t="shared" si="2"/>
        <v>91.982550000000018</v>
      </c>
      <c r="C188" s="7" t="s">
        <v>474</v>
      </c>
      <c r="D188" s="7" t="s">
        <v>476</v>
      </c>
      <c r="E188" s="7" t="s">
        <v>826</v>
      </c>
      <c r="F188" s="8">
        <v>85.912740000000383</v>
      </c>
      <c r="G188" s="7" t="s">
        <v>583</v>
      </c>
      <c r="H188" s="7" t="s">
        <v>584</v>
      </c>
      <c r="I188" s="10">
        <v>512.6</v>
      </c>
      <c r="J188" s="10">
        <v>91982.550000000017</v>
      </c>
      <c r="K188" s="6">
        <v>251528.74000000034</v>
      </c>
    </row>
    <row r="189" spans="1:11" x14ac:dyDescent="0.25">
      <c r="A189" s="5" t="s">
        <v>706</v>
      </c>
      <c r="B189" s="42">
        <f t="shared" si="2"/>
        <v>92.495150000000024</v>
      </c>
      <c r="C189" s="7" t="s">
        <v>476</v>
      </c>
      <c r="D189" s="7" t="s">
        <v>478</v>
      </c>
      <c r="E189" s="7" t="s">
        <v>826</v>
      </c>
      <c r="F189" s="8">
        <v>86.347110000000384</v>
      </c>
      <c r="G189" s="7" t="s">
        <v>584</v>
      </c>
      <c r="H189" s="7" t="s">
        <v>585</v>
      </c>
      <c r="I189" s="10">
        <v>624.20000000000005</v>
      </c>
      <c r="J189" s="10">
        <v>92495.150000000023</v>
      </c>
      <c r="K189" s="6">
        <v>251016.14000000033</v>
      </c>
    </row>
    <row r="190" spans="1:11" x14ac:dyDescent="0.25">
      <c r="A190" s="5" t="s">
        <v>706</v>
      </c>
      <c r="B190" s="42">
        <f t="shared" si="2"/>
        <v>93.119350000000026</v>
      </c>
      <c r="C190" s="7" t="s">
        <v>478</v>
      </c>
      <c r="D190" s="7" t="s">
        <v>480</v>
      </c>
      <c r="E190" s="7" t="s">
        <v>826</v>
      </c>
      <c r="F190" s="8">
        <v>86.796010000000379</v>
      </c>
      <c r="G190" s="7" t="s">
        <v>585</v>
      </c>
      <c r="H190" s="7" t="s">
        <v>586</v>
      </c>
      <c r="I190" s="10">
        <v>539.4</v>
      </c>
      <c r="J190" s="10">
        <v>93119.35000000002</v>
      </c>
      <c r="K190" s="6">
        <v>250391.94000000032</v>
      </c>
    </row>
    <row r="191" spans="1:11" x14ac:dyDescent="0.25">
      <c r="A191" s="5" t="s">
        <v>706</v>
      </c>
      <c r="B191" s="42">
        <f t="shared" si="2"/>
        <v>93.658750000000012</v>
      </c>
      <c r="C191" s="7" t="s">
        <v>480</v>
      </c>
      <c r="D191" s="7" t="s">
        <v>482</v>
      </c>
      <c r="E191" s="7" t="s">
        <v>826</v>
      </c>
      <c r="F191" s="8">
        <v>87.192910000000367</v>
      </c>
      <c r="G191" s="7" t="s">
        <v>586</v>
      </c>
      <c r="H191" s="7" t="s">
        <v>587</v>
      </c>
      <c r="I191" s="10">
        <v>532.29999999999995</v>
      </c>
      <c r="J191" s="10">
        <v>93658.750000000015</v>
      </c>
      <c r="K191" s="6">
        <v>249852.54000000033</v>
      </c>
    </row>
    <row r="192" spans="1:11" x14ac:dyDescent="0.25">
      <c r="A192" s="5" t="s">
        <v>706</v>
      </c>
      <c r="B192" s="42">
        <f t="shared" si="2"/>
        <v>94.191050000000018</v>
      </c>
      <c r="C192" s="7" t="s">
        <v>482</v>
      </c>
      <c r="D192" s="7" t="s">
        <v>484</v>
      </c>
      <c r="E192" s="7" t="s">
        <v>826</v>
      </c>
      <c r="F192" s="8">
        <v>87.678410000000369</v>
      </c>
      <c r="G192" s="7" t="s">
        <v>587</v>
      </c>
      <c r="H192" s="7" t="s">
        <v>588</v>
      </c>
      <c r="I192" s="10">
        <v>600.6</v>
      </c>
      <c r="J192" s="10">
        <v>94191.050000000017</v>
      </c>
      <c r="K192" s="6">
        <v>249320.24000000034</v>
      </c>
    </row>
    <row r="193" spans="1:11" x14ac:dyDescent="0.25">
      <c r="A193" s="5" t="s">
        <v>706</v>
      </c>
      <c r="B193" s="42">
        <f t="shared" si="2"/>
        <v>94.791650000000018</v>
      </c>
      <c r="C193" s="7" t="s">
        <v>484</v>
      </c>
      <c r="D193" s="7" t="s">
        <v>486</v>
      </c>
      <c r="E193" s="7" t="s">
        <v>826</v>
      </c>
      <c r="F193" s="8">
        <v>88.180210000000372</v>
      </c>
      <c r="G193" s="7" t="s">
        <v>588</v>
      </c>
      <c r="H193" s="7" t="s">
        <v>589</v>
      </c>
      <c r="I193" s="10">
        <v>501</v>
      </c>
      <c r="J193" s="10">
        <v>94791.650000000023</v>
      </c>
      <c r="K193" s="6">
        <v>248719.64000000033</v>
      </c>
    </row>
    <row r="194" spans="1:11" x14ac:dyDescent="0.25">
      <c r="A194" s="5" t="s">
        <v>706</v>
      </c>
      <c r="B194" s="42">
        <f t="shared" si="2"/>
        <v>95.292650000000023</v>
      </c>
      <c r="C194" s="7" t="s">
        <v>486</v>
      </c>
      <c r="D194" s="7" t="s">
        <v>488</v>
      </c>
      <c r="E194" s="7" t="s">
        <v>826</v>
      </c>
      <c r="F194" s="8">
        <v>88.555810000000378</v>
      </c>
      <c r="G194" s="7" t="s">
        <v>589</v>
      </c>
      <c r="H194" s="7" t="s">
        <v>590</v>
      </c>
      <c r="I194" s="10">
        <v>565.4</v>
      </c>
      <c r="J194" s="10">
        <v>95292.650000000023</v>
      </c>
      <c r="K194" s="6">
        <v>248218.64000000033</v>
      </c>
    </row>
    <row r="195" spans="1:11" x14ac:dyDescent="0.25">
      <c r="A195" s="5" t="s">
        <v>706</v>
      </c>
      <c r="B195" s="42">
        <f t="shared" ref="B195:B258" si="3">J195/1000</f>
        <v>95.85805000000002</v>
      </c>
      <c r="C195" s="7" t="s">
        <v>488</v>
      </c>
      <c r="D195" s="7" t="s">
        <v>490</v>
      </c>
      <c r="E195" s="7" t="s">
        <v>826</v>
      </c>
      <c r="F195" s="8">
        <v>89.13551000000038</v>
      </c>
      <c r="G195" s="7" t="s">
        <v>590</v>
      </c>
      <c r="H195" s="7" t="s">
        <v>591</v>
      </c>
      <c r="I195" s="10">
        <v>537</v>
      </c>
      <c r="J195" s="10">
        <v>95858.050000000017</v>
      </c>
      <c r="K195" s="6">
        <v>247653.24000000034</v>
      </c>
    </row>
    <row r="196" spans="1:11" x14ac:dyDescent="0.25">
      <c r="A196" s="5" t="s">
        <v>706</v>
      </c>
      <c r="B196" s="42">
        <f t="shared" si="3"/>
        <v>96.395050000000012</v>
      </c>
      <c r="C196" s="7" t="s">
        <v>490</v>
      </c>
      <c r="D196" s="7" t="s">
        <v>492</v>
      </c>
      <c r="E196" s="7" t="s">
        <v>826</v>
      </c>
      <c r="F196" s="8">
        <v>89.671010000000379</v>
      </c>
      <c r="G196" s="7" t="s">
        <v>591</v>
      </c>
      <c r="H196" s="7" t="s">
        <v>592</v>
      </c>
      <c r="I196" s="10">
        <v>518</v>
      </c>
      <c r="J196" s="10">
        <v>96395.050000000017</v>
      </c>
      <c r="K196" s="6">
        <v>247116.24000000034</v>
      </c>
    </row>
    <row r="197" spans="1:11" x14ac:dyDescent="0.25">
      <c r="A197" s="5" t="s">
        <v>706</v>
      </c>
      <c r="B197" s="42">
        <f t="shared" si="3"/>
        <v>96.913050000000013</v>
      </c>
      <c r="C197" s="7" t="s">
        <v>492</v>
      </c>
      <c r="D197" s="7" t="s">
        <v>494</v>
      </c>
      <c r="E197" s="7" t="s">
        <v>826</v>
      </c>
      <c r="F197" s="8">
        <v>90.258010000000368</v>
      </c>
      <c r="G197" s="7" t="s">
        <v>592</v>
      </c>
      <c r="H197" s="7" t="s">
        <v>593</v>
      </c>
      <c r="I197" s="10">
        <v>533.5</v>
      </c>
      <c r="J197" s="10">
        <v>96913.050000000017</v>
      </c>
      <c r="K197" s="6">
        <v>246598.24000000034</v>
      </c>
    </row>
    <row r="198" spans="1:11" x14ac:dyDescent="0.25">
      <c r="A198" s="5" t="s">
        <v>706</v>
      </c>
      <c r="B198" s="42">
        <f t="shared" si="3"/>
        <v>97.446550000000016</v>
      </c>
      <c r="C198" s="7" t="s">
        <v>494</v>
      </c>
      <c r="D198" s="7" t="s">
        <v>496</v>
      </c>
      <c r="E198" s="7" t="s">
        <v>826</v>
      </c>
      <c r="F198" s="8">
        <v>90.834210000000368</v>
      </c>
      <c r="G198" s="7" t="s">
        <v>593</v>
      </c>
      <c r="H198" s="7" t="s">
        <v>594</v>
      </c>
      <c r="I198" s="10">
        <v>504</v>
      </c>
      <c r="J198" s="10">
        <v>97446.550000000017</v>
      </c>
      <c r="K198" s="6">
        <v>246064.74000000034</v>
      </c>
    </row>
    <row r="199" spans="1:11" x14ac:dyDescent="0.25">
      <c r="A199" s="5" t="s">
        <v>706</v>
      </c>
      <c r="B199" s="42">
        <f t="shared" si="3"/>
        <v>97.950550000000021</v>
      </c>
      <c r="C199" s="7" t="s">
        <v>496</v>
      </c>
      <c r="D199" s="7" t="s">
        <v>498</v>
      </c>
      <c r="E199" s="7" t="s">
        <v>826</v>
      </c>
      <c r="F199" s="8">
        <v>91.40061000000037</v>
      </c>
      <c r="G199" s="7" t="s">
        <v>594</v>
      </c>
      <c r="H199" s="7" t="s">
        <v>595</v>
      </c>
      <c r="I199" s="10">
        <v>421.2</v>
      </c>
      <c r="J199" s="10">
        <v>97950.550000000017</v>
      </c>
      <c r="K199" s="6">
        <v>245560.74000000034</v>
      </c>
    </row>
    <row r="200" spans="1:11" x14ac:dyDescent="0.25">
      <c r="A200" s="5" t="s">
        <v>706</v>
      </c>
      <c r="B200" s="42">
        <f t="shared" si="3"/>
        <v>98.37175000000002</v>
      </c>
      <c r="C200" s="7" t="s">
        <v>498</v>
      </c>
      <c r="D200" s="7" t="s">
        <v>500</v>
      </c>
      <c r="E200" s="7" t="s">
        <v>826</v>
      </c>
      <c r="F200" s="8">
        <v>91.842610000000363</v>
      </c>
      <c r="G200" s="7" t="s">
        <v>595</v>
      </c>
      <c r="H200" s="7" t="s">
        <v>596</v>
      </c>
      <c r="I200" s="10">
        <v>303.89999999999998</v>
      </c>
      <c r="J200" s="10">
        <v>98371.750000000015</v>
      </c>
      <c r="K200" s="6">
        <v>245139.54000000033</v>
      </c>
    </row>
    <row r="201" spans="1:11" x14ac:dyDescent="0.25">
      <c r="A201" s="5" t="s">
        <v>706</v>
      </c>
      <c r="B201" s="42">
        <f t="shared" si="3"/>
        <v>98.675650000000005</v>
      </c>
      <c r="C201" s="7" t="s">
        <v>500</v>
      </c>
      <c r="D201" s="7" t="s">
        <v>502</v>
      </c>
      <c r="E201" s="7" t="s">
        <v>826</v>
      </c>
      <c r="F201" s="8">
        <v>92.32541000000036</v>
      </c>
      <c r="G201" s="7" t="s">
        <v>596</v>
      </c>
      <c r="H201" s="7" t="s">
        <v>597</v>
      </c>
      <c r="I201" s="10">
        <v>386.5</v>
      </c>
      <c r="J201" s="10">
        <v>98675.650000000009</v>
      </c>
      <c r="K201" s="6">
        <v>244835.64000000033</v>
      </c>
    </row>
    <row r="202" spans="1:11" x14ac:dyDescent="0.25">
      <c r="A202" s="5" t="s">
        <v>706</v>
      </c>
      <c r="B202" s="42">
        <f t="shared" si="3"/>
        <v>99.062150000000003</v>
      </c>
      <c r="C202" s="7" t="s">
        <v>502</v>
      </c>
      <c r="D202" s="7" t="s">
        <v>503</v>
      </c>
      <c r="E202" s="7" t="s">
        <v>826</v>
      </c>
      <c r="F202" s="8">
        <v>92.809310000000366</v>
      </c>
      <c r="G202" s="7" t="s">
        <v>597</v>
      </c>
      <c r="H202" s="7" t="s">
        <v>598</v>
      </c>
      <c r="I202" s="10">
        <v>512.5</v>
      </c>
      <c r="J202" s="10">
        <v>99062.150000000009</v>
      </c>
      <c r="K202" s="6">
        <v>244449.14000000033</v>
      </c>
    </row>
    <row r="203" spans="1:11" x14ac:dyDescent="0.25">
      <c r="A203" s="5" t="s">
        <v>706</v>
      </c>
      <c r="B203" s="42">
        <f t="shared" si="3"/>
        <v>99.574650000000005</v>
      </c>
      <c r="C203" s="7" t="s">
        <v>503</v>
      </c>
      <c r="D203" s="7" t="s">
        <v>501</v>
      </c>
      <c r="E203" s="7" t="s">
        <v>826</v>
      </c>
      <c r="F203" s="8">
        <v>93.328310000000357</v>
      </c>
      <c r="G203" s="7" t="s">
        <v>598</v>
      </c>
      <c r="H203" s="7" t="s">
        <v>599</v>
      </c>
      <c r="I203" s="10">
        <v>469.9</v>
      </c>
      <c r="J203" s="10">
        <v>99574.650000000009</v>
      </c>
      <c r="K203" s="6">
        <v>243936.64000000033</v>
      </c>
    </row>
    <row r="204" spans="1:11" x14ac:dyDescent="0.25">
      <c r="A204" s="5" t="s">
        <v>706</v>
      </c>
      <c r="B204" s="42">
        <f t="shared" si="3"/>
        <v>100.04455</v>
      </c>
      <c r="C204" s="7" t="s">
        <v>501</v>
      </c>
      <c r="D204" s="7" t="s">
        <v>499</v>
      </c>
      <c r="E204" s="7" t="s">
        <v>826</v>
      </c>
      <c r="F204" s="8">
        <v>93.799910000000366</v>
      </c>
      <c r="G204" s="7" t="s">
        <v>599</v>
      </c>
      <c r="H204" s="7" t="s">
        <v>600</v>
      </c>
      <c r="I204" s="10">
        <v>480</v>
      </c>
      <c r="J204" s="10">
        <v>100044.55</v>
      </c>
      <c r="K204" s="6">
        <v>243466.74000000034</v>
      </c>
    </row>
    <row r="205" spans="1:11" x14ac:dyDescent="0.25">
      <c r="A205" s="5" t="s">
        <v>706</v>
      </c>
      <c r="B205" s="42">
        <f t="shared" si="3"/>
        <v>100.52455</v>
      </c>
      <c r="C205" s="7" t="s">
        <v>499</v>
      </c>
      <c r="D205" s="7" t="s">
        <v>497</v>
      </c>
      <c r="E205" s="7" t="s">
        <v>826</v>
      </c>
      <c r="F205" s="8">
        <v>94.322610000000367</v>
      </c>
      <c r="G205" s="7" t="s">
        <v>600</v>
      </c>
      <c r="H205" s="7" t="s">
        <v>601</v>
      </c>
      <c r="I205" s="10">
        <v>583.6</v>
      </c>
      <c r="J205" s="10">
        <v>100524.55</v>
      </c>
      <c r="K205" s="6">
        <v>242986.74000000034</v>
      </c>
    </row>
    <row r="206" spans="1:11" x14ac:dyDescent="0.25">
      <c r="A206" s="5" t="s">
        <v>706</v>
      </c>
      <c r="B206" s="42">
        <f t="shared" si="3"/>
        <v>101.10815000000001</v>
      </c>
      <c r="C206" s="7" t="s">
        <v>497</v>
      </c>
      <c r="D206" s="7" t="s">
        <v>495</v>
      </c>
      <c r="E206" s="7" t="s">
        <v>826</v>
      </c>
      <c r="F206" s="8">
        <v>94.796710000000374</v>
      </c>
      <c r="G206" s="7" t="s">
        <v>601</v>
      </c>
      <c r="H206" s="7" t="s">
        <v>602</v>
      </c>
      <c r="I206" s="10">
        <v>437.12</v>
      </c>
      <c r="J206" s="10">
        <v>101108.15000000001</v>
      </c>
      <c r="K206" s="6">
        <v>242403.14000000033</v>
      </c>
    </row>
    <row r="207" spans="1:11" x14ac:dyDescent="0.25">
      <c r="A207" s="5" t="s">
        <v>706</v>
      </c>
      <c r="B207" s="42">
        <f t="shared" si="3"/>
        <v>101.54527</v>
      </c>
      <c r="C207" s="7" t="s">
        <v>495</v>
      </c>
      <c r="D207" s="7" t="s">
        <v>493</v>
      </c>
      <c r="E207" s="7" t="s">
        <v>826</v>
      </c>
      <c r="F207" s="8">
        <v>95.33341000000037</v>
      </c>
      <c r="G207" s="7" t="s">
        <v>602</v>
      </c>
      <c r="H207" s="7" t="s">
        <v>603</v>
      </c>
      <c r="I207" s="10">
        <v>494.9</v>
      </c>
      <c r="J207" s="10">
        <v>101545.27</v>
      </c>
      <c r="K207" s="6">
        <v>241966.02000000034</v>
      </c>
    </row>
    <row r="208" spans="1:11" x14ac:dyDescent="0.25">
      <c r="A208" s="5" t="s">
        <v>706</v>
      </c>
      <c r="B208" s="42">
        <f t="shared" si="3"/>
        <v>102.04017</v>
      </c>
      <c r="C208" s="7" t="s">
        <v>493</v>
      </c>
      <c r="D208" s="7" t="s">
        <v>491</v>
      </c>
      <c r="E208" s="7" t="s">
        <v>826</v>
      </c>
      <c r="F208" s="8">
        <v>95.965410000000361</v>
      </c>
      <c r="G208" s="7" t="s">
        <v>603</v>
      </c>
      <c r="H208" s="7" t="s">
        <v>604</v>
      </c>
      <c r="I208" s="10">
        <v>564.79999999999995</v>
      </c>
      <c r="J208" s="10">
        <v>102040.17</v>
      </c>
      <c r="K208" s="6">
        <v>241471.12000000034</v>
      </c>
    </row>
    <row r="209" spans="1:11" x14ac:dyDescent="0.25">
      <c r="A209" s="5" t="s">
        <v>706</v>
      </c>
      <c r="B209" s="42">
        <f t="shared" si="3"/>
        <v>102.60496999999999</v>
      </c>
      <c r="C209" s="7" t="s">
        <v>491</v>
      </c>
      <c r="D209" s="7" t="s">
        <v>489</v>
      </c>
      <c r="E209" s="7" t="s">
        <v>826</v>
      </c>
      <c r="F209" s="8">
        <v>96.40931000000036</v>
      </c>
      <c r="G209" s="7" t="s">
        <v>604</v>
      </c>
      <c r="H209" s="7" t="s">
        <v>605</v>
      </c>
      <c r="I209" s="10">
        <v>557.9</v>
      </c>
      <c r="J209" s="10">
        <v>102604.97</v>
      </c>
      <c r="K209" s="6">
        <v>240906.32000000036</v>
      </c>
    </row>
    <row r="210" spans="1:11" x14ac:dyDescent="0.25">
      <c r="A210" s="5" t="s">
        <v>706</v>
      </c>
      <c r="B210" s="42">
        <f t="shared" si="3"/>
        <v>103.16287</v>
      </c>
      <c r="C210" s="7" t="s">
        <v>489</v>
      </c>
      <c r="D210" s="7" t="s">
        <v>487</v>
      </c>
      <c r="E210" s="7" t="s">
        <v>826</v>
      </c>
      <c r="F210" s="8">
        <v>96.927410000000364</v>
      </c>
      <c r="G210" s="7" t="s">
        <v>605</v>
      </c>
      <c r="H210" s="7" t="s">
        <v>606</v>
      </c>
      <c r="I210" s="10">
        <v>586.20000000000005</v>
      </c>
      <c r="J210" s="10">
        <v>103162.87</v>
      </c>
      <c r="K210" s="6">
        <v>240348.42000000036</v>
      </c>
    </row>
    <row r="211" spans="1:11" x14ac:dyDescent="0.25">
      <c r="A211" s="5" t="s">
        <v>706</v>
      </c>
      <c r="B211" s="42">
        <f t="shared" si="3"/>
        <v>103.74906999999999</v>
      </c>
      <c r="C211" s="7" t="s">
        <v>487</v>
      </c>
      <c r="D211" s="7" t="s">
        <v>485</v>
      </c>
      <c r="E211" s="7" t="s">
        <v>826</v>
      </c>
      <c r="F211" s="8">
        <v>97.50891000000037</v>
      </c>
      <c r="G211" s="7" t="s">
        <v>606</v>
      </c>
      <c r="H211" s="7" t="s">
        <v>607</v>
      </c>
      <c r="I211" s="10">
        <v>477.9</v>
      </c>
      <c r="J211" s="10">
        <v>103749.06999999999</v>
      </c>
      <c r="K211" s="6">
        <v>239762.22000000035</v>
      </c>
    </row>
    <row r="212" spans="1:11" x14ac:dyDescent="0.25">
      <c r="A212" s="5" t="s">
        <v>706</v>
      </c>
      <c r="B212" s="42">
        <f t="shared" si="3"/>
        <v>104.22696999999998</v>
      </c>
      <c r="C212" s="7" t="s">
        <v>485</v>
      </c>
      <c r="D212" s="7" t="s">
        <v>483</v>
      </c>
      <c r="E212" s="7" t="s">
        <v>826</v>
      </c>
      <c r="F212" s="8">
        <v>97.995110000000366</v>
      </c>
      <c r="G212" s="7" t="s">
        <v>607</v>
      </c>
      <c r="H212" s="7" t="s">
        <v>608</v>
      </c>
      <c r="I212" s="10">
        <v>497.1</v>
      </c>
      <c r="J212" s="10">
        <v>104226.96999999999</v>
      </c>
      <c r="K212" s="6">
        <v>239284.32000000036</v>
      </c>
    </row>
    <row r="213" spans="1:11" x14ac:dyDescent="0.25">
      <c r="A213" s="5" t="s">
        <v>706</v>
      </c>
      <c r="B213" s="42">
        <f t="shared" si="3"/>
        <v>104.72407</v>
      </c>
      <c r="C213" s="7" t="s">
        <v>483</v>
      </c>
      <c r="D213" s="7" t="s">
        <v>481</v>
      </c>
      <c r="E213" s="7" t="s">
        <v>826</v>
      </c>
      <c r="F213" s="8">
        <v>98.355610000000368</v>
      </c>
      <c r="G213" s="7" t="s">
        <v>608</v>
      </c>
      <c r="H213" s="7" t="s">
        <v>609</v>
      </c>
      <c r="I213" s="10">
        <v>426.4</v>
      </c>
      <c r="J213" s="10">
        <v>104724.06999999999</v>
      </c>
      <c r="K213" s="6">
        <v>238787.22000000035</v>
      </c>
    </row>
    <row r="214" spans="1:11" x14ac:dyDescent="0.25">
      <c r="A214" s="5" t="s">
        <v>706</v>
      </c>
      <c r="B214" s="42">
        <f t="shared" si="3"/>
        <v>105.15046999999998</v>
      </c>
      <c r="C214" s="7" t="s">
        <v>481</v>
      </c>
      <c r="D214" s="7" t="s">
        <v>479</v>
      </c>
      <c r="E214" s="7" t="s">
        <v>826</v>
      </c>
      <c r="F214" s="8">
        <v>98.80471000000037</v>
      </c>
      <c r="G214" s="7" t="s">
        <v>609</v>
      </c>
      <c r="H214" s="7" t="s">
        <v>610</v>
      </c>
      <c r="I214" s="10">
        <v>504</v>
      </c>
      <c r="J214" s="10">
        <v>105150.46999999999</v>
      </c>
      <c r="K214" s="6">
        <v>238360.82000000036</v>
      </c>
    </row>
    <row r="215" spans="1:11" x14ac:dyDescent="0.25">
      <c r="A215" s="5" t="s">
        <v>706</v>
      </c>
      <c r="B215" s="42">
        <f t="shared" si="3"/>
        <v>105.65446999999999</v>
      </c>
      <c r="C215" s="7" t="s">
        <v>479</v>
      </c>
      <c r="D215" s="7" t="s">
        <v>477</v>
      </c>
      <c r="E215" s="7" t="s">
        <v>826</v>
      </c>
      <c r="F215" s="8">
        <v>99.282410000000368</v>
      </c>
      <c r="G215" s="7" t="s">
        <v>610</v>
      </c>
      <c r="H215" s="7" t="s">
        <v>611</v>
      </c>
      <c r="I215" s="10">
        <v>578.6</v>
      </c>
      <c r="J215" s="10">
        <v>105654.46999999999</v>
      </c>
      <c r="K215" s="6">
        <v>237856.82000000036</v>
      </c>
    </row>
    <row r="216" spans="1:11" x14ac:dyDescent="0.25">
      <c r="A216" s="5" t="s">
        <v>706</v>
      </c>
      <c r="B216" s="42">
        <f t="shared" si="3"/>
        <v>106.23307</v>
      </c>
      <c r="C216" s="7" t="s">
        <v>477</v>
      </c>
      <c r="D216" s="7" t="s">
        <v>475</v>
      </c>
      <c r="E216" s="7" t="s">
        <v>826</v>
      </c>
      <c r="F216" s="8">
        <v>99.76591000000036</v>
      </c>
      <c r="G216" s="7" t="s">
        <v>611</v>
      </c>
      <c r="H216" s="7" t="s">
        <v>612</v>
      </c>
      <c r="I216" s="10">
        <v>620.21</v>
      </c>
      <c r="J216" s="10">
        <v>106233.06999999999</v>
      </c>
      <c r="K216" s="6">
        <v>237278.22000000035</v>
      </c>
    </row>
    <row r="217" spans="1:11" x14ac:dyDescent="0.25">
      <c r="A217" s="5" t="s">
        <v>706</v>
      </c>
      <c r="B217" s="42">
        <f t="shared" si="3"/>
        <v>106.85328</v>
      </c>
      <c r="C217" s="7" t="s">
        <v>475</v>
      </c>
      <c r="D217" s="7" t="s">
        <v>473</v>
      </c>
      <c r="E217" s="7" t="s">
        <v>826</v>
      </c>
      <c r="F217" s="8">
        <v>100.17971000000037</v>
      </c>
      <c r="G217" s="7" t="s">
        <v>612</v>
      </c>
      <c r="H217" s="7" t="s">
        <v>613</v>
      </c>
      <c r="I217" s="10">
        <v>558.29</v>
      </c>
      <c r="J217" s="10">
        <v>106853.28</v>
      </c>
      <c r="K217" s="6">
        <v>236658.01000000036</v>
      </c>
    </row>
    <row r="218" spans="1:11" x14ac:dyDescent="0.25">
      <c r="A218" s="5" t="s">
        <v>706</v>
      </c>
      <c r="B218" s="42">
        <f t="shared" si="3"/>
        <v>107.41157</v>
      </c>
      <c r="C218" s="7" t="s">
        <v>473</v>
      </c>
      <c r="D218" s="7" t="s">
        <v>471</v>
      </c>
      <c r="E218" s="7" t="s">
        <v>826</v>
      </c>
      <c r="F218" s="8">
        <v>100.62679000000037</v>
      </c>
      <c r="G218" s="7" t="s">
        <v>613</v>
      </c>
      <c r="H218" s="7" t="s">
        <v>614</v>
      </c>
      <c r="I218" s="10">
        <v>495.4</v>
      </c>
      <c r="J218" s="10">
        <v>107411.56999999999</v>
      </c>
      <c r="K218" s="6">
        <v>236099.72000000035</v>
      </c>
    </row>
    <row r="219" spans="1:11" x14ac:dyDescent="0.25">
      <c r="A219" s="5" t="s">
        <v>706</v>
      </c>
      <c r="B219" s="42">
        <f t="shared" si="3"/>
        <v>107.90696999999999</v>
      </c>
      <c r="C219" s="7" t="s">
        <v>471</v>
      </c>
      <c r="D219" s="7" t="s">
        <v>469</v>
      </c>
      <c r="E219" s="7" t="s">
        <v>826</v>
      </c>
      <c r="F219" s="8">
        <v>101.13399000000037</v>
      </c>
      <c r="G219" s="7" t="s">
        <v>614</v>
      </c>
      <c r="H219" s="7" t="s">
        <v>615</v>
      </c>
      <c r="I219" s="10">
        <v>437.3</v>
      </c>
      <c r="J219" s="10">
        <v>107906.96999999999</v>
      </c>
      <c r="K219" s="6">
        <v>235604.32000000036</v>
      </c>
    </row>
    <row r="220" spans="1:11" x14ac:dyDescent="0.25">
      <c r="A220" s="5" t="s">
        <v>706</v>
      </c>
      <c r="B220" s="42">
        <f t="shared" si="3"/>
        <v>108.34426999999999</v>
      </c>
      <c r="C220" s="7" t="s">
        <v>469</v>
      </c>
      <c r="D220" s="7" t="s">
        <v>467</v>
      </c>
      <c r="E220" s="7" t="s">
        <v>826</v>
      </c>
      <c r="F220" s="8">
        <v>101.55399000000037</v>
      </c>
      <c r="G220" s="7" t="s">
        <v>615</v>
      </c>
      <c r="H220" s="7" t="s">
        <v>616</v>
      </c>
      <c r="I220" s="10">
        <v>454.2</v>
      </c>
      <c r="J220" s="10">
        <v>108344.26999999999</v>
      </c>
      <c r="K220" s="6">
        <v>235167.02000000037</v>
      </c>
    </row>
    <row r="221" spans="1:11" x14ac:dyDescent="0.25">
      <c r="A221" s="5" t="s">
        <v>706</v>
      </c>
      <c r="B221" s="42">
        <f t="shared" si="3"/>
        <v>108.79846999999998</v>
      </c>
      <c r="C221" s="7" t="s">
        <v>467</v>
      </c>
      <c r="D221" s="7" t="s">
        <v>465</v>
      </c>
      <c r="E221" s="7" t="s">
        <v>826</v>
      </c>
      <c r="F221" s="8">
        <v>101.95399000000037</v>
      </c>
      <c r="G221" s="7" t="s">
        <v>616</v>
      </c>
      <c r="H221" s="7" t="s">
        <v>617</v>
      </c>
      <c r="I221" s="10">
        <v>635.1</v>
      </c>
      <c r="J221" s="10">
        <v>108798.46999999999</v>
      </c>
      <c r="K221" s="6">
        <v>234712.82000000036</v>
      </c>
    </row>
    <row r="222" spans="1:11" x14ac:dyDescent="0.25">
      <c r="A222" s="5" t="s">
        <v>706</v>
      </c>
      <c r="B222" s="42">
        <f t="shared" si="3"/>
        <v>109.43356999999999</v>
      </c>
      <c r="C222" s="7" t="s">
        <v>465</v>
      </c>
      <c r="D222" s="7" t="s">
        <v>463</v>
      </c>
      <c r="E222" s="7" t="s">
        <v>826</v>
      </c>
      <c r="F222" s="8">
        <v>102.46209000000037</v>
      </c>
      <c r="G222" s="7" t="s">
        <v>617</v>
      </c>
      <c r="H222" s="7" t="s">
        <v>618</v>
      </c>
      <c r="I222" s="10">
        <v>565.29999999999995</v>
      </c>
      <c r="J222" s="10">
        <v>109433.56999999999</v>
      </c>
      <c r="K222" s="6">
        <v>234077.72000000035</v>
      </c>
    </row>
    <row r="223" spans="1:11" x14ac:dyDescent="0.25">
      <c r="A223" s="5" t="s">
        <v>706</v>
      </c>
      <c r="B223" s="42">
        <f t="shared" si="3"/>
        <v>109.99887</v>
      </c>
      <c r="C223" s="7" t="s">
        <v>463</v>
      </c>
      <c r="D223" s="7" t="s">
        <v>461</v>
      </c>
      <c r="E223" s="7" t="s">
        <v>826</v>
      </c>
      <c r="F223" s="8">
        <v>102.99209000000037</v>
      </c>
      <c r="G223" s="7" t="s">
        <v>618</v>
      </c>
      <c r="H223" s="7" t="s">
        <v>619</v>
      </c>
      <c r="I223" s="10">
        <v>273.20999999999998</v>
      </c>
      <c r="J223" s="10">
        <v>109998.87</v>
      </c>
      <c r="K223" s="6">
        <v>233512.42000000036</v>
      </c>
    </row>
    <row r="224" spans="1:11" x14ac:dyDescent="0.25">
      <c r="A224" s="5" t="s">
        <v>706</v>
      </c>
      <c r="B224" s="42">
        <f t="shared" si="3"/>
        <v>110.27208</v>
      </c>
      <c r="C224" s="7" t="s">
        <v>461</v>
      </c>
      <c r="D224" s="7" t="s">
        <v>459</v>
      </c>
      <c r="E224" s="7" t="s">
        <v>826</v>
      </c>
      <c r="F224" s="8">
        <v>103.51239000000038</v>
      </c>
      <c r="G224" s="7" t="s">
        <v>619</v>
      </c>
      <c r="H224" s="7" t="s">
        <v>620</v>
      </c>
      <c r="I224" s="10">
        <v>382</v>
      </c>
      <c r="J224" s="10">
        <v>110272.08</v>
      </c>
      <c r="K224" s="6">
        <v>233239.21000000037</v>
      </c>
    </row>
    <row r="225" spans="1:11" x14ac:dyDescent="0.25">
      <c r="A225" s="5" t="s">
        <v>706</v>
      </c>
      <c r="B225" s="42">
        <f t="shared" si="3"/>
        <v>110.65408000000001</v>
      </c>
      <c r="C225" s="7" t="s">
        <v>459</v>
      </c>
      <c r="D225" s="7" t="s">
        <v>457</v>
      </c>
      <c r="E225" s="7" t="s">
        <v>826</v>
      </c>
      <c r="F225" s="8">
        <v>104.04209000000037</v>
      </c>
      <c r="G225" s="7" t="s">
        <v>620</v>
      </c>
      <c r="H225" s="7" t="s">
        <v>621</v>
      </c>
      <c r="I225" s="10">
        <v>448</v>
      </c>
      <c r="J225" s="10">
        <v>110654.08</v>
      </c>
      <c r="K225" s="6">
        <v>232857.21000000037</v>
      </c>
    </row>
    <row r="226" spans="1:11" x14ac:dyDescent="0.25">
      <c r="A226" s="5" t="s">
        <v>706</v>
      </c>
      <c r="B226" s="42">
        <f t="shared" si="3"/>
        <v>111.10208</v>
      </c>
      <c r="C226" s="7" t="s">
        <v>457</v>
      </c>
      <c r="D226" s="7" t="s">
        <v>455</v>
      </c>
      <c r="E226" s="7" t="s">
        <v>826</v>
      </c>
      <c r="F226" s="8">
        <v>104.50189000000037</v>
      </c>
      <c r="G226" s="7" t="s">
        <v>621</v>
      </c>
      <c r="H226" s="7" t="s">
        <v>622</v>
      </c>
      <c r="I226" s="10">
        <v>468.5</v>
      </c>
      <c r="J226" s="10">
        <v>111102.08</v>
      </c>
      <c r="K226" s="6">
        <v>232409.21000000037</v>
      </c>
    </row>
    <row r="227" spans="1:11" x14ac:dyDescent="0.25">
      <c r="A227" s="5" t="s">
        <v>706</v>
      </c>
      <c r="B227" s="42">
        <f t="shared" si="3"/>
        <v>111.57058000000001</v>
      </c>
      <c r="C227" s="7" t="s">
        <v>455</v>
      </c>
      <c r="D227" s="7" t="s">
        <v>453</v>
      </c>
      <c r="E227" s="7" t="s">
        <v>826</v>
      </c>
      <c r="F227" s="8">
        <v>105.00419000000038</v>
      </c>
      <c r="G227" s="7" t="s">
        <v>622</v>
      </c>
      <c r="H227" s="7" t="s">
        <v>623</v>
      </c>
      <c r="I227" s="10">
        <v>529.20000000000005</v>
      </c>
      <c r="J227" s="10">
        <v>111570.58</v>
      </c>
      <c r="K227" s="6">
        <v>231940.71000000037</v>
      </c>
    </row>
    <row r="228" spans="1:11" x14ac:dyDescent="0.25">
      <c r="A228" s="5" t="s">
        <v>706</v>
      </c>
      <c r="B228" s="42">
        <f t="shared" si="3"/>
        <v>112.09978</v>
      </c>
      <c r="C228" s="7" t="s">
        <v>453</v>
      </c>
      <c r="D228" s="7" t="s">
        <v>451</v>
      </c>
      <c r="E228" s="7" t="s">
        <v>826</v>
      </c>
      <c r="F228" s="8">
        <v>105.49149000000038</v>
      </c>
      <c r="G228" s="7" t="s">
        <v>623</v>
      </c>
      <c r="H228" s="7" t="s">
        <v>624</v>
      </c>
      <c r="I228" s="10">
        <v>532.4</v>
      </c>
      <c r="J228" s="10">
        <v>112099.78</v>
      </c>
      <c r="K228" s="6">
        <v>231411.51000000036</v>
      </c>
    </row>
    <row r="229" spans="1:11" x14ac:dyDescent="0.25">
      <c r="A229" s="5" t="s">
        <v>706</v>
      </c>
      <c r="B229" s="42">
        <f t="shared" si="3"/>
        <v>112.63217999999999</v>
      </c>
      <c r="C229" s="7" t="s">
        <v>451</v>
      </c>
      <c r="D229" s="7" t="s">
        <v>449</v>
      </c>
      <c r="E229" s="7" t="s">
        <v>826</v>
      </c>
      <c r="F229" s="8">
        <v>106.03019000000037</v>
      </c>
      <c r="G229" s="7" t="s">
        <v>624</v>
      </c>
      <c r="H229" s="7" t="s">
        <v>625</v>
      </c>
      <c r="I229" s="10">
        <v>519.4</v>
      </c>
      <c r="J229" s="10">
        <v>112632.18</v>
      </c>
      <c r="K229" s="6">
        <v>230879.11000000036</v>
      </c>
    </row>
    <row r="230" spans="1:11" x14ac:dyDescent="0.25">
      <c r="A230" s="5" t="s">
        <v>706</v>
      </c>
      <c r="B230" s="42">
        <f t="shared" si="3"/>
        <v>113.15157999999998</v>
      </c>
      <c r="C230" s="7" t="s">
        <v>449</v>
      </c>
      <c r="D230" s="7" t="s">
        <v>447</v>
      </c>
      <c r="E230" s="7" t="s">
        <v>826</v>
      </c>
      <c r="F230" s="8">
        <v>106.54979000000039</v>
      </c>
      <c r="G230" s="7" t="s">
        <v>625</v>
      </c>
      <c r="H230" s="7" t="s">
        <v>626</v>
      </c>
      <c r="I230" s="10">
        <v>558.4</v>
      </c>
      <c r="J230" s="10">
        <v>113151.57999999999</v>
      </c>
      <c r="K230" s="6">
        <v>230359.71000000037</v>
      </c>
    </row>
    <row r="231" spans="1:11" x14ac:dyDescent="0.25">
      <c r="A231" s="5" t="s">
        <v>706</v>
      </c>
      <c r="B231" s="42">
        <f t="shared" si="3"/>
        <v>113.70997999999999</v>
      </c>
      <c r="C231" s="7" t="s">
        <v>447</v>
      </c>
      <c r="D231" s="7" t="s">
        <v>445</v>
      </c>
      <c r="E231" s="7" t="s">
        <v>826</v>
      </c>
      <c r="F231" s="8">
        <v>107.06839000000039</v>
      </c>
      <c r="G231" s="7" t="s">
        <v>626</v>
      </c>
      <c r="H231" s="7" t="s">
        <v>627</v>
      </c>
      <c r="I231" s="10">
        <v>631.79999999999995</v>
      </c>
      <c r="J231" s="10">
        <v>113709.97999999998</v>
      </c>
      <c r="K231" s="6">
        <v>229801.31000000038</v>
      </c>
    </row>
    <row r="232" spans="1:11" x14ac:dyDescent="0.25">
      <c r="A232" s="5" t="s">
        <v>706</v>
      </c>
      <c r="B232" s="42">
        <f t="shared" si="3"/>
        <v>114.34177999999999</v>
      </c>
      <c r="C232" s="7" t="s">
        <v>445</v>
      </c>
      <c r="D232" s="7" t="s">
        <v>443</v>
      </c>
      <c r="E232" s="7" t="s">
        <v>826</v>
      </c>
      <c r="F232" s="8">
        <v>107.48739000000039</v>
      </c>
      <c r="G232" s="7" t="s">
        <v>627</v>
      </c>
      <c r="H232" s="7" t="s">
        <v>628</v>
      </c>
      <c r="I232" s="10">
        <v>496.2</v>
      </c>
      <c r="J232" s="10">
        <v>114341.77999999998</v>
      </c>
      <c r="K232" s="6">
        <v>229169.51000000039</v>
      </c>
    </row>
    <row r="233" spans="1:11" x14ac:dyDescent="0.25">
      <c r="A233" s="5" t="s">
        <v>706</v>
      </c>
      <c r="B233" s="42">
        <f t="shared" si="3"/>
        <v>114.83797999999999</v>
      </c>
      <c r="C233" s="7" t="s">
        <v>443</v>
      </c>
      <c r="D233" s="7" t="s">
        <v>441</v>
      </c>
      <c r="E233" s="7" t="s">
        <v>826</v>
      </c>
      <c r="F233" s="8">
        <v>108.07807000000038</v>
      </c>
      <c r="G233" s="7" t="s">
        <v>628</v>
      </c>
      <c r="H233" s="7" t="s">
        <v>629</v>
      </c>
      <c r="I233" s="10">
        <v>554.29999999999995</v>
      </c>
      <c r="J233" s="10">
        <v>114837.97999999998</v>
      </c>
      <c r="K233" s="6">
        <v>228673.31000000038</v>
      </c>
    </row>
    <row r="234" spans="1:11" x14ac:dyDescent="0.25">
      <c r="A234" s="5" t="s">
        <v>706</v>
      </c>
      <c r="B234" s="42">
        <f t="shared" si="3"/>
        <v>115.39227999999999</v>
      </c>
      <c r="C234" s="7" t="s">
        <v>441</v>
      </c>
      <c r="D234" s="7" t="s">
        <v>439</v>
      </c>
      <c r="E234" s="7" t="s">
        <v>826</v>
      </c>
      <c r="F234" s="8">
        <v>108.55547000000038</v>
      </c>
      <c r="G234" s="7" t="s">
        <v>629</v>
      </c>
      <c r="H234" s="7" t="s">
        <v>630</v>
      </c>
      <c r="I234" s="10">
        <v>519.1</v>
      </c>
      <c r="J234" s="10">
        <v>115392.27999999998</v>
      </c>
      <c r="K234" s="6">
        <v>228119.01000000039</v>
      </c>
    </row>
    <row r="235" spans="1:11" x14ac:dyDescent="0.25">
      <c r="A235" s="5" t="s">
        <v>706</v>
      </c>
      <c r="B235" s="42">
        <f t="shared" si="3"/>
        <v>115.91137999999999</v>
      </c>
      <c r="C235" s="7" t="s">
        <v>439</v>
      </c>
      <c r="D235" s="7" t="s">
        <v>437</v>
      </c>
      <c r="E235" s="7" t="s">
        <v>826</v>
      </c>
      <c r="F235" s="8">
        <v>109.07407000000039</v>
      </c>
      <c r="G235" s="7" t="s">
        <v>630</v>
      </c>
      <c r="H235" s="7" t="s">
        <v>631</v>
      </c>
      <c r="I235" s="10">
        <v>547.26</v>
      </c>
      <c r="J235" s="10">
        <v>115911.37999999999</v>
      </c>
      <c r="K235" s="6">
        <v>227599.91000000038</v>
      </c>
    </row>
    <row r="236" spans="1:11" x14ac:dyDescent="0.25">
      <c r="A236" s="5" t="s">
        <v>706</v>
      </c>
      <c r="B236" s="42">
        <f t="shared" si="3"/>
        <v>116.45863999999999</v>
      </c>
      <c r="C236" s="7" t="s">
        <v>437</v>
      </c>
      <c r="D236" s="7" t="s">
        <v>435</v>
      </c>
      <c r="E236" s="7" t="s">
        <v>826</v>
      </c>
      <c r="F236" s="8">
        <v>109.66047000000037</v>
      </c>
      <c r="G236" s="7" t="s">
        <v>631</v>
      </c>
      <c r="H236" s="7" t="s">
        <v>632</v>
      </c>
      <c r="I236" s="10">
        <v>570.29</v>
      </c>
      <c r="J236" s="10">
        <v>116458.63999999998</v>
      </c>
      <c r="K236" s="6">
        <v>227052.65000000037</v>
      </c>
    </row>
    <row r="237" spans="1:11" x14ac:dyDescent="0.25">
      <c r="A237" s="5" t="s">
        <v>706</v>
      </c>
      <c r="B237" s="42">
        <f t="shared" si="3"/>
        <v>117.02892999999997</v>
      </c>
      <c r="C237" s="7" t="s">
        <v>435</v>
      </c>
      <c r="D237" s="7" t="s">
        <v>433</v>
      </c>
      <c r="E237" s="7" t="s">
        <v>826</v>
      </c>
      <c r="F237" s="8">
        <v>110.18037000000038</v>
      </c>
      <c r="G237" s="7" t="s">
        <v>632</v>
      </c>
      <c r="H237" s="7" t="s">
        <v>633</v>
      </c>
      <c r="I237" s="10">
        <v>601.20000000000005</v>
      </c>
      <c r="J237" s="10">
        <v>117028.92999999998</v>
      </c>
      <c r="K237" s="6">
        <v>226482.36000000036</v>
      </c>
    </row>
    <row r="238" spans="1:11" x14ac:dyDescent="0.25">
      <c r="A238" s="5" t="s">
        <v>706</v>
      </c>
      <c r="B238" s="42">
        <f t="shared" si="3"/>
        <v>117.63012999999998</v>
      </c>
      <c r="C238" s="7" t="s">
        <v>433</v>
      </c>
      <c r="D238" s="7" t="s">
        <v>431</v>
      </c>
      <c r="E238" s="7" t="s">
        <v>826</v>
      </c>
      <c r="F238" s="8">
        <v>110.46107000000038</v>
      </c>
      <c r="G238" s="7" t="s">
        <v>633</v>
      </c>
      <c r="H238" s="7" t="s">
        <v>634</v>
      </c>
      <c r="I238" s="10">
        <v>561.63</v>
      </c>
      <c r="J238" s="10">
        <v>117630.12999999998</v>
      </c>
      <c r="K238" s="6">
        <v>225881.16000000035</v>
      </c>
    </row>
    <row r="239" spans="1:11" x14ac:dyDescent="0.25">
      <c r="A239" s="5" t="s">
        <v>706</v>
      </c>
      <c r="B239" s="42">
        <f t="shared" si="3"/>
        <v>118.19175999999997</v>
      </c>
      <c r="C239" s="7" t="s">
        <v>431</v>
      </c>
      <c r="D239" s="7" t="s">
        <v>429</v>
      </c>
      <c r="E239" s="7" t="s">
        <v>826</v>
      </c>
      <c r="F239" s="8">
        <v>110.95827000000037</v>
      </c>
      <c r="G239" s="7" t="s">
        <v>634</v>
      </c>
      <c r="H239" s="7" t="s">
        <v>635</v>
      </c>
      <c r="I239" s="10">
        <v>415.01</v>
      </c>
      <c r="J239" s="10">
        <v>118191.75999999998</v>
      </c>
      <c r="K239" s="6">
        <v>225319.53000000035</v>
      </c>
    </row>
    <row r="240" spans="1:11" x14ac:dyDescent="0.25">
      <c r="A240" s="5" t="s">
        <v>706</v>
      </c>
      <c r="B240" s="42">
        <f t="shared" si="3"/>
        <v>118.60676999999997</v>
      </c>
      <c r="C240" s="7" t="s">
        <v>429</v>
      </c>
      <c r="D240" s="7" t="s">
        <v>427</v>
      </c>
      <c r="E240" s="7" t="s">
        <v>826</v>
      </c>
      <c r="F240" s="8">
        <v>111.41087000000037</v>
      </c>
      <c r="G240" s="7" t="s">
        <v>635</v>
      </c>
      <c r="H240" s="7" t="s">
        <v>636</v>
      </c>
      <c r="I240" s="10">
        <v>407.1</v>
      </c>
      <c r="J240" s="10">
        <v>118606.76999999997</v>
      </c>
      <c r="K240" s="6">
        <v>224904.52000000034</v>
      </c>
    </row>
    <row r="241" spans="1:11" x14ac:dyDescent="0.25">
      <c r="A241" s="5" t="s">
        <v>706</v>
      </c>
      <c r="B241" s="42">
        <f t="shared" si="3"/>
        <v>119.01386999999998</v>
      </c>
      <c r="C241" s="7" t="s">
        <v>427</v>
      </c>
      <c r="D241" s="7" t="s">
        <v>425</v>
      </c>
      <c r="E241" s="7" t="s">
        <v>826</v>
      </c>
      <c r="F241" s="8">
        <v>111.92914000000037</v>
      </c>
      <c r="G241" s="7" t="s">
        <v>636</v>
      </c>
      <c r="H241" s="7" t="s">
        <v>637</v>
      </c>
      <c r="I241" s="10">
        <v>549.79999999999995</v>
      </c>
      <c r="J241" s="10">
        <v>119013.86999999998</v>
      </c>
      <c r="K241" s="6">
        <v>224497.42000000033</v>
      </c>
    </row>
    <row r="242" spans="1:11" x14ac:dyDescent="0.25">
      <c r="A242" s="5" t="s">
        <v>706</v>
      </c>
      <c r="B242" s="42">
        <f t="shared" si="3"/>
        <v>119.56366999999999</v>
      </c>
      <c r="C242" s="7" t="s">
        <v>425</v>
      </c>
      <c r="D242" s="7" t="s">
        <v>423</v>
      </c>
      <c r="E242" s="7" t="s">
        <v>826</v>
      </c>
      <c r="F242" s="8">
        <v>112.50004000000037</v>
      </c>
      <c r="G242" s="7" t="s">
        <v>637</v>
      </c>
      <c r="H242" s="7" t="s">
        <v>638</v>
      </c>
      <c r="I242" s="10">
        <v>603.54999999999995</v>
      </c>
      <c r="J242" s="10">
        <v>119563.66999999998</v>
      </c>
      <c r="K242" s="6">
        <v>223947.62000000034</v>
      </c>
    </row>
    <row r="243" spans="1:11" x14ac:dyDescent="0.25">
      <c r="A243" s="5" t="s">
        <v>706</v>
      </c>
      <c r="B243" s="42">
        <f t="shared" si="3"/>
        <v>120.16721999999999</v>
      </c>
      <c r="C243" s="7" t="s">
        <v>423</v>
      </c>
      <c r="D243" s="7" t="s">
        <v>421</v>
      </c>
      <c r="E243" s="7" t="s">
        <v>826</v>
      </c>
      <c r="F243" s="8">
        <v>113.05004000000037</v>
      </c>
      <c r="G243" s="7" t="s">
        <v>638</v>
      </c>
      <c r="H243" s="7" t="s">
        <v>639</v>
      </c>
      <c r="I243" s="10">
        <v>561.1</v>
      </c>
      <c r="J243" s="10">
        <v>120167.21999999999</v>
      </c>
      <c r="K243" s="6">
        <v>223344.07000000036</v>
      </c>
    </row>
    <row r="244" spans="1:11" x14ac:dyDescent="0.25">
      <c r="A244" s="5" t="s">
        <v>706</v>
      </c>
      <c r="B244" s="42">
        <f t="shared" si="3"/>
        <v>120.72832</v>
      </c>
      <c r="C244" s="7" t="s">
        <v>421</v>
      </c>
      <c r="D244" s="7" t="s">
        <v>419</v>
      </c>
      <c r="E244" s="7" t="s">
        <v>826</v>
      </c>
      <c r="F244" s="8">
        <v>113.56843000000038</v>
      </c>
      <c r="G244" s="7" t="s">
        <v>639</v>
      </c>
      <c r="H244" s="7" t="s">
        <v>640</v>
      </c>
      <c r="I244" s="10">
        <v>468.6</v>
      </c>
      <c r="J244" s="10">
        <v>120728.31999999999</v>
      </c>
      <c r="K244" s="6">
        <v>222782.97000000035</v>
      </c>
    </row>
    <row r="245" spans="1:11" x14ac:dyDescent="0.25">
      <c r="A245" s="5" t="s">
        <v>706</v>
      </c>
      <c r="B245" s="42">
        <f t="shared" si="3"/>
        <v>121.19691999999999</v>
      </c>
      <c r="C245" s="7" t="s">
        <v>419</v>
      </c>
      <c r="D245" s="7" t="s">
        <v>417</v>
      </c>
      <c r="E245" s="7" t="s">
        <v>826</v>
      </c>
      <c r="F245" s="8">
        <v>114.08934000000038</v>
      </c>
      <c r="G245" s="7" t="s">
        <v>640</v>
      </c>
      <c r="H245" s="7" t="s">
        <v>641</v>
      </c>
      <c r="I245" s="10">
        <v>446.4</v>
      </c>
      <c r="J245" s="10">
        <v>121196.92</v>
      </c>
      <c r="K245" s="6">
        <v>222314.37000000034</v>
      </c>
    </row>
    <row r="246" spans="1:11" x14ac:dyDescent="0.25">
      <c r="A246" s="5" t="s">
        <v>706</v>
      </c>
      <c r="B246" s="42">
        <f t="shared" si="3"/>
        <v>121.64331999999999</v>
      </c>
      <c r="C246" s="7" t="s">
        <v>417</v>
      </c>
      <c r="D246" s="7" t="s">
        <v>415</v>
      </c>
      <c r="E246" s="7" t="s">
        <v>826</v>
      </c>
      <c r="F246" s="8">
        <v>114.59609000000037</v>
      </c>
      <c r="G246" s="7" t="s">
        <v>641</v>
      </c>
      <c r="H246" s="7" t="s">
        <v>642</v>
      </c>
      <c r="I246" s="10">
        <v>487</v>
      </c>
      <c r="J246" s="10">
        <v>121643.31999999999</v>
      </c>
      <c r="K246" s="6">
        <v>221867.97000000035</v>
      </c>
    </row>
    <row r="247" spans="1:11" x14ac:dyDescent="0.25">
      <c r="A247" s="5" t="s">
        <v>706</v>
      </c>
      <c r="B247" s="42">
        <f t="shared" si="3"/>
        <v>122.13032</v>
      </c>
      <c r="C247" s="7" t="s">
        <v>415</v>
      </c>
      <c r="D247" s="7" t="s">
        <v>413</v>
      </c>
      <c r="E247" s="7" t="s">
        <v>826</v>
      </c>
      <c r="F247" s="8">
        <v>115.04064000000038</v>
      </c>
      <c r="G247" s="7" t="s">
        <v>642</v>
      </c>
      <c r="H247" s="7" t="s">
        <v>643</v>
      </c>
      <c r="I247" s="10">
        <v>463.5</v>
      </c>
      <c r="J247" s="10">
        <v>122130.31999999999</v>
      </c>
      <c r="K247" s="6">
        <v>221380.97000000035</v>
      </c>
    </row>
    <row r="248" spans="1:11" x14ac:dyDescent="0.25">
      <c r="A248" s="5" t="s">
        <v>706</v>
      </c>
      <c r="B248" s="42">
        <f t="shared" si="3"/>
        <v>122.59381999999999</v>
      </c>
      <c r="C248" s="7" t="s">
        <v>413</v>
      </c>
      <c r="D248" s="7" t="s">
        <v>411</v>
      </c>
      <c r="E248" s="7" t="s">
        <v>826</v>
      </c>
      <c r="F248" s="8">
        <v>115.66320000000037</v>
      </c>
      <c r="G248" s="7" t="s">
        <v>643</v>
      </c>
      <c r="H248" s="7" t="s">
        <v>644</v>
      </c>
      <c r="I248" s="10">
        <v>510.8</v>
      </c>
      <c r="J248" s="10">
        <v>122593.81999999999</v>
      </c>
      <c r="K248" s="6">
        <v>220917.47000000035</v>
      </c>
    </row>
    <row r="249" spans="1:11" x14ac:dyDescent="0.25">
      <c r="A249" s="5" t="s">
        <v>706</v>
      </c>
      <c r="B249" s="42">
        <f t="shared" si="3"/>
        <v>123.10462</v>
      </c>
      <c r="C249" s="7" t="s">
        <v>411</v>
      </c>
      <c r="D249" s="7" t="s">
        <v>409</v>
      </c>
      <c r="E249" s="7" t="s">
        <v>826</v>
      </c>
      <c r="F249" s="8">
        <v>116.14810000000037</v>
      </c>
      <c r="G249" s="7" t="s">
        <v>644</v>
      </c>
      <c r="H249" s="7" t="s">
        <v>645</v>
      </c>
      <c r="I249" s="10">
        <v>570.1</v>
      </c>
      <c r="J249" s="10">
        <v>123104.62</v>
      </c>
      <c r="K249" s="6">
        <v>220406.67000000036</v>
      </c>
    </row>
    <row r="250" spans="1:11" x14ac:dyDescent="0.25">
      <c r="A250" s="5" t="s">
        <v>706</v>
      </c>
      <c r="B250" s="42">
        <f t="shared" si="3"/>
        <v>123.67472000000001</v>
      </c>
      <c r="C250" s="7" t="s">
        <v>409</v>
      </c>
      <c r="D250" s="7" t="s">
        <v>407</v>
      </c>
      <c r="E250" s="7" t="s">
        <v>826</v>
      </c>
      <c r="F250" s="8">
        <v>116.69760000000036</v>
      </c>
      <c r="G250" s="7" t="s">
        <v>645</v>
      </c>
      <c r="H250" s="7" t="s">
        <v>646</v>
      </c>
      <c r="I250" s="10">
        <v>599.20000000000005</v>
      </c>
      <c r="J250" s="10">
        <v>123674.72</v>
      </c>
      <c r="K250" s="6">
        <v>219836.57000000036</v>
      </c>
    </row>
    <row r="251" spans="1:11" x14ac:dyDescent="0.25">
      <c r="A251" s="5" t="s">
        <v>706</v>
      </c>
      <c r="B251" s="42">
        <f t="shared" si="3"/>
        <v>124.27392</v>
      </c>
      <c r="C251" s="7" t="s">
        <v>407</v>
      </c>
      <c r="D251" s="7" t="s">
        <v>405</v>
      </c>
      <c r="E251" s="7" t="s">
        <v>826</v>
      </c>
      <c r="F251" s="8">
        <v>117.24680000000036</v>
      </c>
      <c r="G251" s="7" t="s">
        <v>646</v>
      </c>
      <c r="H251" s="7" t="s">
        <v>647</v>
      </c>
      <c r="I251" s="10">
        <v>568.15</v>
      </c>
      <c r="J251" s="10">
        <v>124273.92</v>
      </c>
      <c r="K251" s="6">
        <v>219237.37000000034</v>
      </c>
    </row>
    <row r="252" spans="1:11" x14ac:dyDescent="0.25">
      <c r="A252" s="5" t="s">
        <v>706</v>
      </c>
      <c r="B252" s="42">
        <f t="shared" si="3"/>
        <v>124.84206999999999</v>
      </c>
      <c r="C252" s="7" t="s">
        <v>405</v>
      </c>
      <c r="D252" s="7" t="s">
        <v>403</v>
      </c>
      <c r="E252" s="7" t="s">
        <v>826</v>
      </c>
      <c r="F252" s="8">
        <v>117.79950000000036</v>
      </c>
      <c r="G252" s="7" t="s">
        <v>647</v>
      </c>
      <c r="H252" s="7" t="s">
        <v>648</v>
      </c>
      <c r="I252" s="10">
        <v>598.21</v>
      </c>
      <c r="J252" s="10">
        <v>124842.06999999999</v>
      </c>
      <c r="K252" s="6">
        <v>218669.22000000035</v>
      </c>
    </row>
    <row r="253" spans="1:11" x14ac:dyDescent="0.25">
      <c r="A253" s="5" t="s">
        <v>706</v>
      </c>
      <c r="B253" s="42">
        <f t="shared" si="3"/>
        <v>125.44028</v>
      </c>
      <c r="C253" s="7" t="s">
        <v>403</v>
      </c>
      <c r="D253" s="7" t="s">
        <v>401</v>
      </c>
      <c r="E253" s="7" t="s">
        <v>826</v>
      </c>
      <c r="F253" s="8">
        <v>118.26470000000036</v>
      </c>
      <c r="G253" s="7" t="s">
        <v>648</v>
      </c>
      <c r="H253" s="7" t="s">
        <v>649</v>
      </c>
      <c r="I253" s="10">
        <v>722.79</v>
      </c>
      <c r="J253" s="10">
        <v>125440.28</v>
      </c>
      <c r="K253" s="6">
        <v>218071.01000000036</v>
      </c>
    </row>
    <row r="254" spans="1:11" x14ac:dyDescent="0.25">
      <c r="A254" s="5" t="s">
        <v>706</v>
      </c>
      <c r="B254" s="42">
        <f t="shared" si="3"/>
        <v>126.16306999999999</v>
      </c>
      <c r="C254" s="7" t="s">
        <v>401</v>
      </c>
      <c r="D254" s="7" t="s">
        <v>399</v>
      </c>
      <c r="E254" s="7" t="s">
        <v>826</v>
      </c>
      <c r="F254" s="8">
        <v>118.87040000000036</v>
      </c>
      <c r="G254" s="7" t="s">
        <v>649</v>
      </c>
      <c r="H254" s="7" t="s">
        <v>650</v>
      </c>
      <c r="I254" s="10">
        <v>471.01</v>
      </c>
      <c r="J254" s="10">
        <v>126163.06999999999</v>
      </c>
      <c r="K254" s="6">
        <v>217348.22000000035</v>
      </c>
    </row>
    <row r="255" spans="1:11" x14ac:dyDescent="0.25">
      <c r="A255" s="5" t="s">
        <v>706</v>
      </c>
      <c r="B255" s="42">
        <f t="shared" si="3"/>
        <v>126.63407999999998</v>
      </c>
      <c r="C255" s="7" t="s">
        <v>399</v>
      </c>
      <c r="D255" s="7" t="s">
        <v>397</v>
      </c>
      <c r="E255" s="7" t="s">
        <v>826</v>
      </c>
      <c r="F255" s="8">
        <v>119.39290000000035</v>
      </c>
      <c r="G255" s="7" t="s">
        <v>650</v>
      </c>
      <c r="H255" s="7" t="s">
        <v>651</v>
      </c>
      <c r="I255" s="10">
        <v>484.1</v>
      </c>
      <c r="J255" s="10">
        <v>126634.07999999999</v>
      </c>
      <c r="K255" s="6">
        <v>216877.21000000034</v>
      </c>
    </row>
    <row r="256" spans="1:11" x14ac:dyDescent="0.25">
      <c r="A256" s="5" t="s">
        <v>706</v>
      </c>
      <c r="B256" s="42">
        <f t="shared" si="3"/>
        <v>127.11818</v>
      </c>
      <c r="C256" s="7" t="s">
        <v>397</v>
      </c>
      <c r="D256" s="7" t="s">
        <v>395</v>
      </c>
      <c r="E256" s="7" t="s">
        <v>826</v>
      </c>
      <c r="F256" s="8">
        <v>119.86760000000035</v>
      </c>
      <c r="G256" s="7" t="s">
        <v>651</v>
      </c>
      <c r="H256" s="7" t="s">
        <v>652</v>
      </c>
      <c r="I256" s="10">
        <v>597.4</v>
      </c>
      <c r="J256" s="10">
        <v>127118.18</v>
      </c>
      <c r="K256" s="6">
        <v>216393.11000000034</v>
      </c>
    </row>
    <row r="257" spans="1:11" x14ac:dyDescent="0.25">
      <c r="A257" s="5" t="s">
        <v>706</v>
      </c>
      <c r="B257" s="42">
        <f t="shared" si="3"/>
        <v>127.71557999999999</v>
      </c>
      <c r="C257" s="7" t="s">
        <v>395</v>
      </c>
      <c r="D257" s="7" t="s">
        <v>393</v>
      </c>
      <c r="E257" s="7" t="s">
        <v>826</v>
      </c>
      <c r="F257" s="8">
        <v>120.35570000000035</v>
      </c>
      <c r="G257" s="7" t="s">
        <v>652</v>
      </c>
      <c r="H257" s="7" t="s">
        <v>653</v>
      </c>
      <c r="I257" s="10">
        <v>488.96</v>
      </c>
      <c r="J257" s="10">
        <v>127715.57999999999</v>
      </c>
      <c r="K257" s="6">
        <v>215795.71000000034</v>
      </c>
    </row>
    <row r="258" spans="1:11" x14ac:dyDescent="0.25">
      <c r="A258" s="5" t="s">
        <v>706</v>
      </c>
      <c r="B258" s="42">
        <f t="shared" si="3"/>
        <v>128.20453999999998</v>
      </c>
      <c r="C258" s="7" t="s">
        <v>393</v>
      </c>
      <c r="D258" s="7" t="s">
        <v>391</v>
      </c>
      <c r="E258" s="7" t="s">
        <v>826</v>
      </c>
      <c r="F258" s="8">
        <v>120.83920000000036</v>
      </c>
      <c r="G258" s="7" t="s">
        <v>653</v>
      </c>
      <c r="H258" s="7" t="s">
        <v>654</v>
      </c>
      <c r="I258" s="10">
        <v>512.91999999999996</v>
      </c>
      <c r="J258" s="10">
        <v>128204.54</v>
      </c>
      <c r="K258" s="6">
        <v>215306.75000000035</v>
      </c>
    </row>
    <row r="259" spans="1:11" x14ac:dyDescent="0.25">
      <c r="A259" s="5" t="s">
        <v>706</v>
      </c>
      <c r="B259" s="42">
        <f t="shared" ref="B259:B322" si="4">J259/1000</f>
        <v>128.71745999999999</v>
      </c>
      <c r="C259" s="7" t="s">
        <v>391</v>
      </c>
      <c r="D259" s="7" t="s">
        <v>389</v>
      </c>
      <c r="E259" s="7" t="s">
        <v>826</v>
      </c>
      <c r="F259" s="8">
        <v>121.23260000000036</v>
      </c>
      <c r="G259" s="7" t="s">
        <v>654</v>
      </c>
      <c r="H259" s="7" t="s">
        <v>655</v>
      </c>
      <c r="I259" s="10">
        <v>489.9</v>
      </c>
      <c r="J259" s="10">
        <v>128717.45999999999</v>
      </c>
      <c r="K259" s="6">
        <v>214793.83000000034</v>
      </c>
    </row>
    <row r="260" spans="1:11" x14ac:dyDescent="0.25">
      <c r="A260" s="5" t="s">
        <v>706</v>
      </c>
      <c r="B260" s="42">
        <f t="shared" si="4"/>
        <v>129.20735999999999</v>
      </c>
      <c r="C260" s="7" t="s">
        <v>389</v>
      </c>
      <c r="D260" s="7" t="s">
        <v>387</v>
      </c>
      <c r="E260" s="7" t="s">
        <v>826</v>
      </c>
      <c r="F260" s="8">
        <v>121.65750000000035</v>
      </c>
      <c r="G260" s="7" t="s">
        <v>655</v>
      </c>
      <c r="H260" s="7" t="s">
        <v>656</v>
      </c>
      <c r="I260" s="10">
        <v>469.44</v>
      </c>
      <c r="J260" s="10">
        <v>129207.35999999999</v>
      </c>
      <c r="K260" s="6">
        <v>214303.93000000034</v>
      </c>
    </row>
    <row r="261" spans="1:11" x14ac:dyDescent="0.25">
      <c r="A261" s="5" t="s">
        <v>706</v>
      </c>
      <c r="B261" s="42">
        <f t="shared" si="4"/>
        <v>129.67679999999999</v>
      </c>
      <c r="C261" s="7" t="s">
        <v>387</v>
      </c>
      <c r="D261" s="7" t="s">
        <v>385</v>
      </c>
      <c r="E261" s="7" t="s">
        <v>826</v>
      </c>
      <c r="F261" s="8">
        <v>122.02000000000035</v>
      </c>
      <c r="G261" s="7" t="s">
        <v>656</v>
      </c>
      <c r="H261" s="7" t="s">
        <v>657</v>
      </c>
      <c r="I261" s="10">
        <v>491.55</v>
      </c>
      <c r="J261" s="10">
        <v>129676.79999999999</v>
      </c>
      <c r="K261" s="6">
        <v>213834.49000000034</v>
      </c>
    </row>
    <row r="262" spans="1:11" x14ac:dyDescent="0.25">
      <c r="A262" s="5" t="s">
        <v>706</v>
      </c>
      <c r="B262" s="42">
        <f t="shared" si="4"/>
        <v>130.16835</v>
      </c>
      <c r="C262" s="7" t="s">
        <v>385</v>
      </c>
      <c r="D262" s="7" t="s">
        <v>383</v>
      </c>
      <c r="E262" s="7" t="s">
        <v>826</v>
      </c>
      <c r="F262" s="8">
        <v>122.61316000000035</v>
      </c>
      <c r="G262" s="7" t="s">
        <v>657</v>
      </c>
      <c r="H262" s="7" t="s">
        <v>658</v>
      </c>
      <c r="I262" s="10">
        <v>510.64</v>
      </c>
      <c r="J262" s="10">
        <v>130168.34999999999</v>
      </c>
      <c r="K262" s="6">
        <v>213342.94000000035</v>
      </c>
    </row>
    <row r="263" spans="1:11" x14ac:dyDescent="0.25">
      <c r="A263" s="5" t="s">
        <v>706</v>
      </c>
      <c r="B263" s="42">
        <f t="shared" si="4"/>
        <v>130.67899</v>
      </c>
      <c r="C263" s="7" t="s">
        <v>383</v>
      </c>
      <c r="D263" s="7" t="s">
        <v>381</v>
      </c>
      <c r="E263" s="7" t="s">
        <v>826</v>
      </c>
      <c r="F263" s="8">
        <v>123.17174000000036</v>
      </c>
      <c r="G263" s="7" t="s">
        <v>658</v>
      </c>
      <c r="H263" s="7" t="s">
        <v>659</v>
      </c>
      <c r="I263" s="10">
        <v>550</v>
      </c>
      <c r="J263" s="10">
        <v>130678.98999999999</v>
      </c>
      <c r="K263" s="6">
        <v>212832.30000000034</v>
      </c>
    </row>
    <row r="264" spans="1:11" x14ac:dyDescent="0.25">
      <c r="A264" s="5" t="s">
        <v>706</v>
      </c>
      <c r="B264" s="42">
        <f t="shared" si="4"/>
        <v>131.22898999999998</v>
      </c>
      <c r="C264" s="7" t="s">
        <v>381</v>
      </c>
      <c r="D264" s="7" t="s">
        <v>379</v>
      </c>
      <c r="E264" s="7" t="s">
        <v>826</v>
      </c>
      <c r="F264" s="8">
        <v>123.68624000000035</v>
      </c>
      <c r="G264" s="7" t="s">
        <v>659</v>
      </c>
      <c r="H264" s="7" t="s">
        <v>660</v>
      </c>
      <c r="I264" s="10">
        <v>484.9</v>
      </c>
      <c r="J264" s="10">
        <v>131228.99</v>
      </c>
      <c r="K264" s="6">
        <v>212282.30000000034</v>
      </c>
    </row>
    <row r="265" spans="1:11" x14ac:dyDescent="0.25">
      <c r="A265" s="5" t="s">
        <v>706</v>
      </c>
      <c r="B265" s="42">
        <f t="shared" si="4"/>
        <v>131.71388999999999</v>
      </c>
      <c r="C265" s="7" t="s">
        <v>379</v>
      </c>
      <c r="D265" s="7" t="s">
        <v>377</v>
      </c>
      <c r="E265" s="7" t="s">
        <v>826</v>
      </c>
      <c r="F265" s="8">
        <v>124.16604000000035</v>
      </c>
      <c r="G265" s="7" t="s">
        <v>660</v>
      </c>
      <c r="H265" s="7" t="s">
        <v>661</v>
      </c>
      <c r="I265" s="10">
        <v>705.2</v>
      </c>
      <c r="J265" s="10">
        <v>131713.88999999998</v>
      </c>
      <c r="K265" s="6">
        <v>211797.40000000034</v>
      </c>
    </row>
    <row r="266" spans="1:11" x14ac:dyDescent="0.25">
      <c r="A266" s="5" t="s">
        <v>706</v>
      </c>
      <c r="B266" s="42">
        <f t="shared" si="4"/>
        <v>132.41908999999998</v>
      </c>
      <c r="C266" s="7" t="s">
        <v>377</v>
      </c>
      <c r="D266" s="7" t="s">
        <v>375</v>
      </c>
      <c r="E266" s="7" t="s">
        <v>826</v>
      </c>
      <c r="F266" s="8">
        <v>124.69931000000037</v>
      </c>
      <c r="G266" s="7" t="s">
        <v>661</v>
      </c>
      <c r="H266" s="7" t="s">
        <v>662</v>
      </c>
      <c r="I266" s="10">
        <v>393.8</v>
      </c>
      <c r="J266" s="10">
        <v>132419.09</v>
      </c>
      <c r="K266" s="6">
        <v>211092.20000000033</v>
      </c>
    </row>
    <row r="267" spans="1:11" x14ac:dyDescent="0.25">
      <c r="A267" s="5" t="s">
        <v>706</v>
      </c>
      <c r="B267" s="42">
        <f t="shared" si="4"/>
        <v>132.81288999999998</v>
      </c>
      <c r="C267" s="7" t="s">
        <v>375</v>
      </c>
      <c r="D267" s="7" t="s">
        <v>373</v>
      </c>
      <c r="E267" s="7" t="s">
        <v>826</v>
      </c>
      <c r="F267" s="8">
        <v>125.32149000000035</v>
      </c>
      <c r="G267" s="7" t="s">
        <v>662</v>
      </c>
      <c r="H267" s="7" t="s">
        <v>663</v>
      </c>
      <c r="I267" s="10">
        <v>552</v>
      </c>
      <c r="J267" s="10">
        <v>132812.88999999998</v>
      </c>
      <c r="K267" s="6">
        <v>210698.40000000034</v>
      </c>
    </row>
    <row r="268" spans="1:11" x14ac:dyDescent="0.25">
      <c r="A268" s="5" t="s">
        <v>706</v>
      </c>
      <c r="B268" s="42">
        <f t="shared" si="4"/>
        <v>133.36488999999997</v>
      </c>
      <c r="C268" s="7" t="s">
        <v>373</v>
      </c>
      <c r="D268" s="7" t="s">
        <v>371</v>
      </c>
      <c r="E268" s="7" t="s">
        <v>826</v>
      </c>
      <c r="F268" s="8">
        <v>125.83579000000036</v>
      </c>
      <c r="G268" s="7" t="s">
        <v>663</v>
      </c>
      <c r="H268" s="7" t="s">
        <v>664</v>
      </c>
      <c r="I268" s="10">
        <v>450.8</v>
      </c>
      <c r="J268" s="10">
        <v>133364.88999999998</v>
      </c>
      <c r="K268" s="6">
        <v>210146.40000000034</v>
      </c>
    </row>
    <row r="269" spans="1:11" x14ac:dyDescent="0.25">
      <c r="A269" s="5" t="s">
        <v>706</v>
      </c>
      <c r="B269" s="42">
        <f t="shared" si="4"/>
        <v>133.81568999999996</v>
      </c>
      <c r="C269" s="7" t="s">
        <v>371</v>
      </c>
      <c r="D269" s="7" t="s">
        <v>369</v>
      </c>
      <c r="E269" s="7" t="s">
        <v>826</v>
      </c>
      <c r="F269" s="8">
        <v>126.33919000000036</v>
      </c>
      <c r="G269" s="7" t="s">
        <v>664</v>
      </c>
      <c r="H269" s="7" t="s">
        <v>665</v>
      </c>
      <c r="I269" s="10">
        <v>566.9</v>
      </c>
      <c r="J269" s="10">
        <v>133815.68999999997</v>
      </c>
      <c r="K269" s="6">
        <v>209695.60000000036</v>
      </c>
    </row>
    <row r="270" spans="1:11" x14ac:dyDescent="0.25">
      <c r="A270" s="5" t="s">
        <v>706</v>
      </c>
      <c r="B270" s="42">
        <f t="shared" si="4"/>
        <v>134.38258999999996</v>
      </c>
      <c r="C270" s="7" t="s">
        <v>369</v>
      </c>
      <c r="D270" s="7" t="s">
        <v>367</v>
      </c>
      <c r="E270" s="7" t="s">
        <v>826</v>
      </c>
      <c r="F270" s="8">
        <v>126.87639000000034</v>
      </c>
      <c r="G270" s="7" t="s">
        <v>665</v>
      </c>
      <c r="H270" s="7" t="s">
        <v>666</v>
      </c>
      <c r="I270" s="10">
        <v>633.20000000000005</v>
      </c>
      <c r="J270" s="10">
        <v>134382.58999999997</v>
      </c>
      <c r="K270" s="6">
        <v>209128.70000000036</v>
      </c>
    </row>
    <row r="271" spans="1:11" x14ac:dyDescent="0.25">
      <c r="A271" s="5" t="s">
        <v>706</v>
      </c>
      <c r="B271" s="42">
        <f t="shared" si="4"/>
        <v>135.01578999999998</v>
      </c>
      <c r="C271" s="7" t="s">
        <v>367</v>
      </c>
      <c r="D271" s="7" t="s">
        <v>365</v>
      </c>
      <c r="E271" s="7" t="s">
        <v>826</v>
      </c>
      <c r="F271" s="8">
        <v>127.40589000000035</v>
      </c>
      <c r="G271" s="7" t="s">
        <v>666</v>
      </c>
      <c r="H271" s="7" t="s">
        <v>667</v>
      </c>
      <c r="I271" s="10">
        <v>519.86</v>
      </c>
      <c r="J271" s="10">
        <v>135015.78999999998</v>
      </c>
      <c r="K271" s="6">
        <v>208495.50000000035</v>
      </c>
    </row>
    <row r="272" spans="1:11" x14ac:dyDescent="0.25">
      <c r="A272" s="5" t="s">
        <v>706</v>
      </c>
      <c r="B272" s="42">
        <f t="shared" si="4"/>
        <v>135.53564999999998</v>
      </c>
      <c r="C272" s="7" t="s">
        <v>365</v>
      </c>
      <c r="D272" s="7" t="s">
        <v>363</v>
      </c>
      <c r="E272" s="7" t="s">
        <v>826</v>
      </c>
      <c r="F272" s="8">
        <v>127.95059000000035</v>
      </c>
      <c r="G272" s="7" t="s">
        <v>667</v>
      </c>
      <c r="H272" s="7" t="s">
        <v>668</v>
      </c>
      <c r="I272" s="10">
        <v>577.29</v>
      </c>
      <c r="J272" s="10">
        <v>135535.64999999997</v>
      </c>
      <c r="K272" s="6">
        <v>207975.64000000036</v>
      </c>
    </row>
    <row r="273" spans="1:11" x14ac:dyDescent="0.25">
      <c r="A273" s="5" t="s">
        <v>706</v>
      </c>
      <c r="B273" s="42">
        <f t="shared" si="4"/>
        <v>136.11293999999998</v>
      </c>
      <c r="C273" s="7" t="s">
        <v>363</v>
      </c>
      <c r="D273" s="7" t="s">
        <v>361</v>
      </c>
      <c r="E273" s="7" t="s">
        <v>826</v>
      </c>
      <c r="F273" s="8">
        <v>128.53859000000034</v>
      </c>
      <c r="G273" s="7" t="s">
        <v>668</v>
      </c>
      <c r="H273" s="7" t="s">
        <v>669</v>
      </c>
      <c r="I273" s="10">
        <v>499.3</v>
      </c>
      <c r="J273" s="10">
        <v>136112.93999999997</v>
      </c>
      <c r="K273" s="6">
        <v>207398.35000000036</v>
      </c>
    </row>
    <row r="274" spans="1:11" x14ac:dyDescent="0.25">
      <c r="A274" s="5" t="s">
        <v>706</v>
      </c>
      <c r="B274" s="42">
        <f t="shared" si="4"/>
        <v>136.61223999999996</v>
      </c>
      <c r="C274" s="7" t="s">
        <v>361</v>
      </c>
      <c r="D274" s="7" t="s">
        <v>359</v>
      </c>
      <c r="E274" s="7" t="s">
        <v>826</v>
      </c>
      <c r="F274" s="8">
        <v>129.10429000000033</v>
      </c>
      <c r="G274" s="7" t="s">
        <v>669</v>
      </c>
      <c r="H274" s="7" t="s">
        <v>670</v>
      </c>
      <c r="I274" s="10">
        <v>526.29999999999995</v>
      </c>
      <c r="J274" s="10">
        <v>136612.23999999996</v>
      </c>
      <c r="K274" s="6">
        <v>206899.05000000037</v>
      </c>
    </row>
    <row r="275" spans="1:11" x14ac:dyDescent="0.25">
      <c r="A275" s="5" t="s">
        <v>706</v>
      </c>
      <c r="B275" s="42">
        <f t="shared" si="4"/>
        <v>137.13853999999995</v>
      </c>
      <c r="C275" s="7" t="s">
        <v>359</v>
      </c>
      <c r="D275" s="7" t="s">
        <v>357</v>
      </c>
      <c r="E275" s="7" t="s">
        <v>826</v>
      </c>
      <c r="F275" s="8">
        <v>129.62924000000035</v>
      </c>
      <c r="G275" s="7" t="s">
        <v>670</v>
      </c>
      <c r="H275" s="7" t="s">
        <v>671</v>
      </c>
      <c r="I275" s="10">
        <v>521.9</v>
      </c>
      <c r="J275" s="10">
        <v>137138.53999999995</v>
      </c>
      <c r="K275" s="6">
        <v>206372.75000000038</v>
      </c>
    </row>
    <row r="276" spans="1:11" x14ac:dyDescent="0.25">
      <c r="A276" s="5" t="s">
        <v>706</v>
      </c>
      <c r="B276" s="42">
        <f t="shared" si="4"/>
        <v>137.66043999999994</v>
      </c>
      <c r="C276" s="7" t="s">
        <v>357</v>
      </c>
      <c r="D276" s="7" t="s">
        <v>355</v>
      </c>
      <c r="E276" s="7" t="s">
        <v>826</v>
      </c>
      <c r="F276" s="8">
        <v>130.19129000000035</v>
      </c>
      <c r="G276" s="7" t="s">
        <v>671</v>
      </c>
      <c r="H276" s="7" t="s">
        <v>672</v>
      </c>
      <c r="I276" s="10">
        <v>514</v>
      </c>
      <c r="J276" s="10">
        <v>137660.43999999994</v>
      </c>
      <c r="K276" s="6">
        <v>205850.85000000038</v>
      </c>
    </row>
    <row r="277" spans="1:11" x14ac:dyDescent="0.25">
      <c r="A277" s="5" t="s">
        <v>706</v>
      </c>
      <c r="B277" s="42">
        <f t="shared" si="4"/>
        <v>138.17443999999995</v>
      </c>
      <c r="C277" s="7" t="s">
        <v>355</v>
      </c>
      <c r="D277" s="7" t="s">
        <v>353</v>
      </c>
      <c r="E277" s="7" t="s">
        <v>826</v>
      </c>
      <c r="F277" s="8">
        <v>130.74859000000035</v>
      </c>
      <c r="G277" s="7" t="s">
        <v>672</v>
      </c>
      <c r="H277" s="7" t="s">
        <v>673</v>
      </c>
      <c r="I277" s="10">
        <v>425.1</v>
      </c>
      <c r="J277" s="10">
        <v>138174.43999999994</v>
      </c>
      <c r="K277" s="6">
        <v>205336.85000000038</v>
      </c>
    </row>
    <row r="278" spans="1:11" x14ac:dyDescent="0.25">
      <c r="A278" s="5" t="s">
        <v>706</v>
      </c>
      <c r="B278" s="42">
        <f t="shared" si="4"/>
        <v>138.59953999999996</v>
      </c>
      <c r="C278" s="7" t="s">
        <v>353</v>
      </c>
      <c r="D278" s="7" t="s">
        <v>351</v>
      </c>
      <c r="E278" s="7" t="s">
        <v>826</v>
      </c>
      <c r="F278" s="8">
        <v>131.36249000000035</v>
      </c>
      <c r="G278" s="7" t="s">
        <v>673</v>
      </c>
      <c r="H278" s="7" t="s">
        <v>674</v>
      </c>
      <c r="I278" s="10">
        <v>346.04</v>
      </c>
      <c r="J278" s="10">
        <v>138599.53999999995</v>
      </c>
      <c r="K278" s="6">
        <v>204911.75000000038</v>
      </c>
    </row>
    <row r="279" spans="1:11" x14ac:dyDescent="0.25">
      <c r="A279" s="5" t="s">
        <v>706</v>
      </c>
      <c r="B279" s="42">
        <f t="shared" si="4"/>
        <v>138.94557999999995</v>
      </c>
      <c r="C279" s="7" t="s">
        <v>351</v>
      </c>
      <c r="D279" s="7" t="s">
        <v>349</v>
      </c>
      <c r="E279" s="7" t="s">
        <v>826</v>
      </c>
      <c r="F279" s="8">
        <v>131.87629000000032</v>
      </c>
      <c r="G279" s="7" t="s">
        <v>674</v>
      </c>
      <c r="H279" s="7" t="s">
        <v>675</v>
      </c>
      <c r="I279" s="10">
        <v>585.5</v>
      </c>
      <c r="J279" s="10">
        <v>138945.57999999996</v>
      </c>
      <c r="K279" s="6">
        <v>204565.71000000037</v>
      </c>
    </row>
    <row r="280" spans="1:11" x14ac:dyDescent="0.25">
      <c r="A280" s="5" t="s">
        <v>706</v>
      </c>
      <c r="B280" s="42">
        <f t="shared" si="4"/>
        <v>139.53107999999995</v>
      </c>
      <c r="C280" s="7" t="s">
        <v>349</v>
      </c>
      <c r="D280" s="7" t="s">
        <v>347</v>
      </c>
      <c r="E280" s="7" t="s">
        <v>826</v>
      </c>
      <c r="F280" s="8">
        <v>132.36619000000033</v>
      </c>
      <c r="G280" s="7" t="s">
        <v>675</v>
      </c>
      <c r="H280" s="7" t="s">
        <v>676</v>
      </c>
      <c r="I280" s="10">
        <v>565.1</v>
      </c>
      <c r="J280" s="10">
        <v>139531.07999999996</v>
      </c>
      <c r="K280" s="6">
        <v>203980.21000000037</v>
      </c>
    </row>
    <row r="281" spans="1:11" x14ac:dyDescent="0.25">
      <c r="A281" s="5" t="s">
        <v>706</v>
      </c>
      <c r="B281" s="42">
        <f t="shared" si="4"/>
        <v>140.09617999999998</v>
      </c>
      <c r="C281" s="7" t="s">
        <v>347</v>
      </c>
      <c r="D281" s="7" t="s">
        <v>345</v>
      </c>
      <c r="E281" s="7" t="s">
        <v>826</v>
      </c>
      <c r="F281" s="8">
        <v>132.72089000000034</v>
      </c>
      <c r="G281" s="7" t="s">
        <v>676</v>
      </c>
      <c r="H281" s="7" t="s">
        <v>677</v>
      </c>
      <c r="I281" s="10">
        <v>572.9</v>
      </c>
      <c r="J281" s="10">
        <v>140096.17999999996</v>
      </c>
      <c r="K281" s="6">
        <v>203415.11000000036</v>
      </c>
    </row>
    <row r="282" spans="1:11" x14ac:dyDescent="0.25">
      <c r="A282" s="5" t="s">
        <v>706</v>
      </c>
      <c r="B282" s="42">
        <f t="shared" si="4"/>
        <v>140.66907999999995</v>
      </c>
      <c r="C282" s="7" t="s">
        <v>345</v>
      </c>
      <c r="D282" s="7" t="s">
        <v>343</v>
      </c>
      <c r="E282" s="7" t="s">
        <v>826</v>
      </c>
      <c r="F282" s="8">
        <v>133.09709000000035</v>
      </c>
      <c r="G282" s="7" t="s">
        <v>677</v>
      </c>
      <c r="H282" s="7" t="s">
        <v>678</v>
      </c>
      <c r="I282" s="10">
        <v>565.70000000000005</v>
      </c>
      <c r="J282" s="10">
        <v>140669.07999999996</v>
      </c>
      <c r="K282" s="6">
        <v>202842.21000000037</v>
      </c>
    </row>
    <row r="283" spans="1:11" x14ac:dyDescent="0.25">
      <c r="A283" s="5" t="s">
        <v>706</v>
      </c>
      <c r="B283" s="42">
        <f t="shared" si="4"/>
        <v>141.23477999999997</v>
      </c>
      <c r="C283" s="7" t="s">
        <v>343</v>
      </c>
      <c r="D283" s="7" t="s">
        <v>341</v>
      </c>
      <c r="E283" s="7" t="s">
        <v>826</v>
      </c>
      <c r="F283" s="8">
        <v>133.62335000000036</v>
      </c>
      <c r="G283" s="7" t="s">
        <v>678</v>
      </c>
      <c r="H283" s="7" t="s">
        <v>679</v>
      </c>
      <c r="I283" s="10">
        <v>609</v>
      </c>
      <c r="J283" s="10">
        <v>141234.77999999997</v>
      </c>
      <c r="K283" s="6">
        <v>202276.51000000036</v>
      </c>
    </row>
    <row r="284" spans="1:11" x14ac:dyDescent="0.25">
      <c r="A284" s="5" t="s">
        <v>706</v>
      </c>
      <c r="B284" s="42">
        <f t="shared" si="4"/>
        <v>141.84377999999998</v>
      </c>
      <c r="C284" s="7" t="s">
        <v>341</v>
      </c>
      <c r="D284" s="7" t="s">
        <v>339</v>
      </c>
      <c r="E284" s="7" t="s">
        <v>826</v>
      </c>
      <c r="F284" s="8">
        <v>134.08325000000036</v>
      </c>
      <c r="G284" s="7" t="s">
        <v>679</v>
      </c>
      <c r="H284" s="7" t="s">
        <v>680</v>
      </c>
      <c r="I284" s="10">
        <v>578.29999999999995</v>
      </c>
      <c r="J284" s="10">
        <v>141843.77999999997</v>
      </c>
      <c r="K284" s="6">
        <v>201667.51000000036</v>
      </c>
    </row>
    <row r="285" spans="1:11" x14ac:dyDescent="0.25">
      <c r="A285" s="5" t="s">
        <v>706</v>
      </c>
      <c r="B285" s="42">
        <f t="shared" si="4"/>
        <v>142.42207999999997</v>
      </c>
      <c r="C285" s="7" t="s">
        <v>339</v>
      </c>
      <c r="D285" s="7" t="s">
        <v>337</v>
      </c>
      <c r="E285" s="7" t="s">
        <v>826</v>
      </c>
      <c r="F285" s="8">
        <v>134.50185000000036</v>
      </c>
      <c r="G285" s="7" t="s">
        <v>680</v>
      </c>
      <c r="H285" s="7" t="s">
        <v>681</v>
      </c>
      <c r="I285" s="10">
        <v>618.79999999999995</v>
      </c>
      <c r="J285" s="10">
        <v>142422.07999999996</v>
      </c>
      <c r="K285" s="6">
        <v>201089.21000000037</v>
      </c>
    </row>
    <row r="286" spans="1:11" x14ac:dyDescent="0.25">
      <c r="A286" s="5" t="s">
        <v>706</v>
      </c>
      <c r="B286" s="42">
        <f t="shared" si="4"/>
        <v>143.04087999999996</v>
      </c>
      <c r="C286" s="7" t="s">
        <v>337</v>
      </c>
      <c r="D286" s="7" t="s">
        <v>335</v>
      </c>
      <c r="E286" s="7" t="s">
        <v>826</v>
      </c>
      <c r="F286" s="8">
        <v>134.97275000000036</v>
      </c>
      <c r="G286" s="7" t="s">
        <v>681</v>
      </c>
      <c r="H286" s="7" t="s">
        <v>682</v>
      </c>
      <c r="I286" s="10">
        <v>627.4</v>
      </c>
      <c r="J286" s="10">
        <v>143040.87999999995</v>
      </c>
      <c r="K286" s="6">
        <v>200470.41000000038</v>
      </c>
    </row>
    <row r="287" spans="1:11" x14ac:dyDescent="0.25">
      <c r="A287" s="5" t="s">
        <v>706</v>
      </c>
      <c r="B287" s="42">
        <f t="shared" si="4"/>
        <v>143.66827999999995</v>
      </c>
      <c r="C287" s="7" t="s">
        <v>335</v>
      </c>
      <c r="D287" s="7" t="s">
        <v>333</v>
      </c>
      <c r="E287" s="7" t="s">
        <v>826</v>
      </c>
      <c r="F287" s="8">
        <v>135.39100000000036</v>
      </c>
      <c r="G287" s="7" t="s">
        <v>682</v>
      </c>
      <c r="H287" s="7" t="s">
        <v>683</v>
      </c>
      <c r="I287" s="10">
        <v>409.3</v>
      </c>
      <c r="J287" s="10">
        <v>143668.27999999994</v>
      </c>
      <c r="K287" s="6">
        <v>199843.01000000039</v>
      </c>
    </row>
    <row r="288" spans="1:11" x14ac:dyDescent="0.25">
      <c r="A288" s="5" t="s">
        <v>706</v>
      </c>
      <c r="B288" s="42">
        <f t="shared" si="4"/>
        <v>144.07757999999993</v>
      </c>
      <c r="C288" s="7" t="s">
        <v>333</v>
      </c>
      <c r="D288" s="7" t="s">
        <v>331</v>
      </c>
      <c r="E288" s="7" t="s">
        <v>826</v>
      </c>
      <c r="F288" s="8">
        <v>135.78340000000034</v>
      </c>
      <c r="G288" s="7" t="s">
        <v>683</v>
      </c>
      <c r="H288" s="7" t="s">
        <v>684</v>
      </c>
      <c r="I288" s="10">
        <v>619.20000000000005</v>
      </c>
      <c r="J288" s="10">
        <v>144077.57999999993</v>
      </c>
      <c r="K288" s="6">
        <v>199433.7100000004</v>
      </c>
    </row>
    <row r="289" spans="1:11" x14ac:dyDescent="0.25">
      <c r="A289" s="5" t="s">
        <v>706</v>
      </c>
      <c r="B289" s="42">
        <f t="shared" si="4"/>
        <v>144.69677999999993</v>
      </c>
      <c r="C289" s="7" t="s">
        <v>331</v>
      </c>
      <c r="D289" s="7" t="s">
        <v>329</v>
      </c>
      <c r="E289" s="7" t="s">
        <v>826</v>
      </c>
      <c r="F289" s="8">
        <v>136.25000000000034</v>
      </c>
      <c r="G289" s="7" t="s">
        <v>684</v>
      </c>
      <c r="H289" s="7" t="s">
        <v>685</v>
      </c>
      <c r="I289" s="10">
        <v>571.5</v>
      </c>
      <c r="J289" s="10">
        <v>144696.77999999994</v>
      </c>
      <c r="K289" s="6">
        <v>198814.51000000039</v>
      </c>
    </row>
    <row r="290" spans="1:11" x14ac:dyDescent="0.25">
      <c r="A290" s="5" t="s">
        <v>706</v>
      </c>
      <c r="B290" s="42">
        <f t="shared" si="4"/>
        <v>145.26827999999995</v>
      </c>
      <c r="C290" s="7" t="s">
        <v>329</v>
      </c>
      <c r="D290" s="7" t="s">
        <v>327</v>
      </c>
      <c r="E290" s="7" t="s">
        <v>826</v>
      </c>
      <c r="F290" s="8">
        <v>136.83140000000034</v>
      </c>
      <c r="G290" s="7" t="s">
        <v>685</v>
      </c>
      <c r="H290" s="7" t="s">
        <v>686</v>
      </c>
      <c r="I290" s="10">
        <v>345.7</v>
      </c>
      <c r="J290" s="10">
        <v>145268.27999999994</v>
      </c>
      <c r="K290" s="6">
        <v>198243.01000000039</v>
      </c>
    </row>
    <row r="291" spans="1:11" x14ac:dyDescent="0.25">
      <c r="A291" s="5" t="s">
        <v>706</v>
      </c>
      <c r="B291" s="42">
        <f t="shared" si="4"/>
        <v>145.61397999999994</v>
      </c>
      <c r="C291" s="7" t="s">
        <v>327</v>
      </c>
      <c r="D291" s="7" t="s">
        <v>325</v>
      </c>
      <c r="E291" s="7" t="s">
        <v>826</v>
      </c>
      <c r="F291" s="8">
        <v>137.40143000000035</v>
      </c>
      <c r="G291" s="7" t="s">
        <v>686</v>
      </c>
      <c r="H291" s="7" t="s">
        <v>687</v>
      </c>
      <c r="I291" s="10">
        <v>423.7</v>
      </c>
      <c r="J291" s="10">
        <v>145613.97999999995</v>
      </c>
      <c r="K291" s="6">
        <v>197897.31000000038</v>
      </c>
    </row>
    <row r="292" spans="1:11" x14ac:dyDescent="0.25">
      <c r="A292" s="5" t="s">
        <v>706</v>
      </c>
      <c r="B292" s="42">
        <f t="shared" si="4"/>
        <v>146.03767999999997</v>
      </c>
      <c r="C292" s="7" t="s">
        <v>325</v>
      </c>
      <c r="D292" s="7" t="s">
        <v>323</v>
      </c>
      <c r="E292" s="7" t="s">
        <v>826</v>
      </c>
      <c r="F292" s="8">
        <v>137.89559000000034</v>
      </c>
      <c r="G292" s="7" t="s">
        <v>687</v>
      </c>
      <c r="H292" s="7" t="s">
        <v>688</v>
      </c>
      <c r="I292" s="10">
        <v>380</v>
      </c>
      <c r="J292" s="10">
        <v>146037.67999999996</v>
      </c>
      <c r="K292" s="6">
        <v>197473.61000000036</v>
      </c>
    </row>
    <row r="293" spans="1:11" x14ac:dyDescent="0.25">
      <c r="A293" s="5" t="s">
        <v>706</v>
      </c>
      <c r="B293" s="42">
        <f t="shared" si="4"/>
        <v>146.41767999999996</v>
      </c>
      <c r="C293" s="7" t="s">
        <v>323</v>
      </c>
      <c r="D293" s="7" t="s">
        <v>321</v>
      </c>
      <c r="E293" s="7" t="s">
        <v>826</v>
      </c>
      <c r="F293" s="8">
        <v>138.39829000000034</v>
      </c>
      <c r="G293" s="7" t="s">
        <v>688</v>
      </c>
      <c r="H293" s="7" t="s">
        <v>689</v>
      </c>
      <c r="I293" s="10">
        <v>552.70000000000005</v>
      </c>
      <c r="J293" s="10">
        <v>146417.67999999996</v>
      </c>
      <c r="K293" s="6">
        <v>197093.61000000036</v>
      </c>
    </row>
    <row r="294" spans="1:11" x14ac:dyDescent="0.25">
      <c r="A294" s="5" t="s">
        <v>706</v>
      </c>
      <c r="B294" s="42">
        <f t="shared" si="4"/>
        <v>146.97037999999998</v>
      </c>
      <c r="C294" s="7" t="s">
        <v>321</v>
      </c>
      <c r="D294" s="7" t="s">
        <v>319</v>
      </c>
      <c r="E294" s="7" t="s">
        <v>826</v>
      </c>
      <c r="F294" s="8">
        <v>138.96029000000036</v>
      </c>
      <c r="G294" s="7" t="s">
        <v>689</v>
      </c>
      <c r="H294" s="7" t="s">
        <v>690</v>
      </c>
      <c r="I294" s="10">
        <v>570.6</v>
      </c>
      <c r="J294" s="10">
        <v>146970.37999999998</v>
      </c>
      <c r="K294" s="6">
        <v>196540.91000000035</v>
      </c>
    </row>
    <row r="295" spans="1:11" x14ac:dyDescent="0.25">
      <c r="A295" s="5" t="s">
        <v>706</v>
      </c>
      <c r="B295" s="42">
        <f t="shared" si="4"/>
        <v>147.54097999999999</v>
      </c>
      <c r="C295" s="7" t="s">
        <v>319</v>
      </c>
      <c r="D295" s="7" t="s">
        <v>317</v>
      </c>
      <c r="E295" s="7" t="s">
        <v>826</v>
      </c>
      <c r="F295" s="8">
        <v>139.52851000000035</v>
      </c>
      <c r="G295" s="7" t="s">
        <v>690</v>
      </c>
      <c r="H295" s="7" t="s">
        <v>691</v>
      </c>
      <c r="I295" s="10">
        <v>562.20000000000005</v>
      </c>
      <c r="J295" s="10">
        <v>147540.97999999998</v>
      </c>
      <c r="K295" s="6">
        <v>195970.31000000035</v>
      </c>
    </row>
    <row r="296" spans="1:11" x14ac:dyDescent="0.25">
      <c r="A296" s="5" t="s">
        <v>706</v>
      </c>
      <c r="B296" s="42">
        <f t="shared" si="4"/>
        <v>148.10317999999998</v>
      </c>
      <c r="C296" s="7" t="s">
        <v>317</v>
      </c>
      <c r="D296" s="7" t="s">
        <v>315</v>
      </c>
      <c r="E296" s="7" t="s">
        <v>826</v>
      </c>
      <c r="F296" s="8">
        <v>139.97540000000038</v>
      </c>
      <c r="G296" s="7" t="s">
        <v>691</v>
      </c>
      <c r="H296" s="7" t="s">
        <v>692</v>
      </c>
      <c r="I296" s="10">
        <v>433.2</v>
      </c>
      <c r="J296" s="10">
        <v>148103.18</v>
      </c>
      <c r="K296" s="6">
        <v>195408.11000000034</v>
      </c>
    </row>
    <row r="297" spans="1:11" x14ac:dyDescent="0.25">
      <c r="A297" s="5" t="s">
        <v>706</v>
      </c>
      <c r="B297" s="42">
        <f t="shared" si="4"/>
        <v>148.53638000000001</v>
      </c>
      <c r="C297" s="7" t="s">
        <v>315</v>
      </c>
      <c r="D297" s="7" t="s">
        <v>313</v>
      </c>
      <c r="E297" s="7" t="s">
        <v>826</v>
      </c>
      <c r="F297" s="8">
        <v>140.49380000000036</v>
      </c>
      <c r="G297" s="7" t="s">
        <v>692</v>
      </c>
      <c r="H297" s="7" t="s">
        <v>693</v>
      </c>
      <c r="I297" s="10">
        <v>580.6</v>
      </c>
      <c r="J297" s="10">
        <v>148536.38</v>
      </c>
      <c r="K297" s="6">
        <v>194974.91000000032</v>
      </c>
    </row>
    <row r="298" spans="1:11" x14ac:dyDescent="0.25">
      <c r="A298" s="5" t="s">
        <v>706</v>
      </c>
      <c r="B298" s="42">
        <f t="shared" si="4"/>
        <v>149.11698000000001</v>
      </c>
      <c r="C298" s="7" t="s">
        <v>313</v>
      </c>
      <c r="D298" s="7" t="s">
        <v>311</v>
      </c>
      <c r="E298" s="7" t="s">
        <v>826</v>
      </c>
      <c r="F298" s="8">
        <v>141.08380000000037</v>
      </c>
      <c r="G298" s="7" t="s">
        <v>693</v>
      </c>
      <c r="H298" s="7" t="s">
        <v>694</v>
      </c>
      <c r="I298" s="10">
        <v>607.20000000000005</v>
      </c>
      <c r="J298" s="10">
        <v>149116.98000000001</v>
      </c>
      <c r="K298" s="6">
        <v>194394.31000000032</v>
      </c>
    </row>
    <row r="299" spans="1:11" x14ac:dyDescent="0.25">
      <c r="A299" s="5" t="s">
        <v>706</v>
      </c>
      <c r="B299" s="42">
        <f t="shared" si="4"/>
        <v>149.72418000000002</v>
      </c>
      <c r="C299" s="7" t="s">
        <v>311</v>
      </c>
      <c r="D299" s="7" t="s">
        <v>309</v>
      </c>
      <c r="E299" s="7" t="s">
        <v>826</v>
      </c>
      <c r="F299" s="8">
        <v>141.64380000000037</v>
      </c>
      <c r="G299" s="7" t="s">
        <v>694</v>
      </c>
      <c r="H299" s="7" t="s">
        <v>695</v>
      </c>
      <c r="I299" s="10">
        <v>591.79999999999995</v>
      </c>
      <c r="J299" s="10">
        <v>149724.18000000002</v>
      </c>
      <c r="K299" s="6">
        <v>193787.11000000031</v>
      </c>
    </row>
    <row r="300" spans="1:11" x14ac:dyDescent="0.25">
      <c r="A300" s="5" t="s">
        <v>706</v>
      </c>
      <c r="B300" s="42">
        <f t="shared" si="4"/>
        <v>150.31598000000002</v>
      </c>
      <c r="C300" s="7" t="s">
        <v>309</v>
      </c>
      <c r="D300" s="7" t="s">
        <v>307</v>
      </c>
      <c r="E300" s="7" t="s">
        <v>826</v>
      </c>
      <c r="F300" s="8">
        <v>141.99960000000036</v>
      </c>
      <c r="G300" s="7" t="s">
        <v>695</v>
      </c>
      <c r="H300" s="7" t="s">
        <v>696</v>
      </c>
      <c r="I300" s="10">
        <v>501.6</v>
      </c>
      <c r="J300" s="10">
        <v>150315.98000000001</v>
      </c>
      <c r="K300" s="6">
        <v>193195.31000000032</v>
      </c>
    </row>
    <row r="301" spans="1:11" x14ac:dyDescent="0.25">
      <c r="A301" s="5" t="s">
        <v>706</v>
      </c>
      <c r="B301" s="42">
        <f t="shared" si="4"/>
        <v>150.81758000000002</v>
      </c>
      <c r="C301" s="7" t="s">
        <v>307</v>
      </c>
      <c r="D301" s="7" t="s">
        <v>305</v>
      </c>
      <c r="E301" s="7" t="s">
        <v>826</v>
      </c>
      <c r="F301" s="8">
        <v>142.31941000000035</v>
      </c>
      <c r="G301" s="7" t="s">
        <v>696</v>
      </c>
      <c r="H301" s="7" t="s">
        <v>188</v>
      </c>
      <c r="I301" s="10">
        <v>439.4</v>
      </c>
      <c r="J301" s="10">
        <v>150817.58000000002</v>
      </c>
      <c r="K301" s="6">
        <v>192693.71000000031</v>
      </c>
    </row>
    <row r="302" spans="1:11" x14ac:dyDescent="0.25">
      <c r="A302" s="5" t="s">
        <v>706</v>
      </c>
      <c r="B302" s="42">
        <f t="shared" si="4"/>
        <v>151.25698</v>
      </c>
      <c r="C302" s="7" t="s">
        <v>305</v>
      </c>
      <c r="D302" s="7" t="s">
        <v>303</v>
      </c>
      <c r="E302" s="7" t="s">
        <v>826</v>
      </c>
      <c r="F302" s="8">
        <v>142.64611000000036</v>
      </c>
      <c r="G302" s="7" t="s">
        <v>188</v>
      </c>
      <c r="H302" s="7" t="s">
        <v>189</v>
      </c>
      <c r="I302" s="10">
        <v>467.93</v>
      </c>
      <c r="J302" s="10">
        <v>151256.98000000001</v>
      </c>
      <c r="K302" s="6">
        <v>192254.31000000032</v>
      </c>
    </row>
    <row r="303" spans="1:11" x14ac:dyDescent="0.25">
      <c r="A303" s="5" t="s">
        <v>706</v>
      </c>
      <c r="B303" s="42">
        <f t="shared" si="4"/>
        <v>151.72490999999999</v>
      </c>
      <c r="C303" s="7" t="s">
        <v>303</v>
      </c>
      <c r="D303" s="7" t="s">
        <v>301</v>
      </c>
      <c r="E303" s="7" t="s">
        <v>826</v>
      </c>
      <c r="F303" s="8">
        <v>143.11851000000036</v>
      </c>
      <c r="G303" s="7" t="s">
        <v>189</v>
      </c>
      <c r="H303" s="7" t="s">
        <v>190</v>
      </c>
      <c r="I303" s="10">
        <v>637.20000000000005</v>
      </c>
      <c r="J303" s="10">
        <v>151724.91</v>
      </c>
      <c r="K303" s="6">
        <v>191786.38000000032</v>
      </c>
    </row>
    <row r="304" spans="1:11" x14ac:dyDescent="0.25">
      <c r="A304" s="5" t="s">
        <v>706</v>
      </c>
      <c r="B304" s="42">
        <f t="shared" si="4"/>
        <v>152.36211</v>
      </c>
      <c r="C304" s="7" t="s">
        <v>301</v>
      </c>
      <c r="D304" s="7" t="s">
        <v>299</v>
      </c>
      <c r="E304" s="7" t="s">
        <v>826</v>
      </c>
      <c r="F304" s="8">
        <v>143.71967000000035</v>
      </c>
      <c r="G304" s="7" t="s">
        <v>190</v>
      </c>
      <c r="H304" s="7" t="s">
        <v>191</v>
      </c>
      <c r="I304" s="10">
        <v>586</v>
      </c>
      <c r="J304" s="10">
        <v>152362.11000000002</v>
      </c>
      <c r="K304" s="6">
        <v>191149.18000000031</v>
      </c>
    </row>
    <row r="305" spans="1:11" x14ac:dyDescent="0.25">
      <c r="A305" s="5" t="s">
        <v>706</v>
      </c>
      <c r="B305" s="42">
        <f t="shared" si="4"/>
        <v>152.94811000000001</v>
      </c>
      <c r="C305" s="7" t="s">
        <v>299</v>
      </c>
      <c r="D305" s="7" t="s">
        <v>297</v>
      </c>
      <c r="E305" s="7" t="s">
        <v>826</v>
      </c>
      <c r="F305" s="8">
        <v>144.30887000000038</v>
      </c>
      <c r="G305" s="7" t="s">
        <v>191</v>
      </c>
      <c r="H305" s="7" t="s">
        <v>192</v>
      </c>
      <c r="I305" s="10">
        <v>580.04</v>
      </c>
      <c r="J305" s="10">
        <v>152948.11000000002</v>
      </c>
      <c r="K305" s="6">
        <v>190563.18000000031</v>
      </c>
    </row>
    <row r="306" spans="1:11" x14ac:dyDescent="0.25">
      <c r="A306" s="5" t="s">
        <v>706</v>
      </c>
      <c r="B306" s="42">
        <f t="shared" si="4"/>
        <v>153.52815000000001</v>
      </c>
      <c r="C306" s="7" t="s">
        <v>297</v>
      </c>
      <c r="D306" s="7" t="s">
        <v>295</v>
      </c>
      <c r="E306" s="7" t="s">
        <v>826</v>
      </c>
      <c r="F306" s="8">
        <v>144.96447000000038</v>
      </c>
      <c r="G306" s="7" t="s">
        <v>192</v>
      </c>
      <c r="H306" s="7" t="s">
        <v>193</v>
      </c>
      <c r="I306" s="10">
        <v>495.95</v>
      </c>
      <c r="J306" s="10">
        <v>153528.15000000002</v>
      </c>
      <c r="K306" s="6">
        <v>189983.14000000031</v>
      </c>
    </row>
    <row r="307" spans="1:11" x14ac:dyDescent="0.25">
      <c r="A307" s="5" t="s">
        <v>706</v>
      </c>
      <c r="B307" s="42">
        <f t="shared" si="4"/>
        <v>154.02410000000003</v>
      </c>
      <c r="C307" s="7" t="s">
        <v>295</v>
      </c>
      <c r="D307" s="7" t="s">
        <v>293</v>
      </c>
      <c r="E307" s="7" t="s">
        <v>826</v>
      </c>
      <c r="F307" s="8">
        <v>145.50435000000039</v>
      </c>
      <c r="G307" s="7" t="s">
        <v>193</v>
      </c>
      <c r="H307" s="7" t="s">
        <v>194</v>
      </c>
      <c r="I307" s="10">
        <v>399.33</v>
      </c>
      <c r="J307" s="10">
        <v>154024.10000000003</v>
      </c>
      <c r="K307" s="6">
        <v>189487.19000000029</v>
      </c>
    </row>
    <row r="308" spans="1:11" x14ac:dyDescent="0.25">
      <c r="A308" s="5" t="s">
        <v>706</v>
      </c>
      <c r="B308" s="42">
        <f t="shared" si="4"/>
        <v>154.42343000000002</v>
      </c>
      <c r="C308" s="7" t="s">
        <v>293</v>
      </c>
      <c r="D308" s="7" t="s">
        <v>291</v>
      </c>
      <c r="E308" s="7" t="s">
        <v>826</v>
      </c>
      <c r="F308" s="8">
        <v>146.02925000000039</v>
      </c>
      <c r="G308" s="7" t="s">
        <v>194</v>
      </c>
      <c r="H308" s="7" t="s">
        <v>195</v>
      </c>
      <c r="I308" s="10">
        <v>328.38</v>
      </c>
      <c r="J308" s="10">
        <v>154423.43000000002</v>
      </c>
      <c r="K308" s="6">
        <v>189087.86000000031</v>
      </c>
    </row>
    <row r="309" spans="1:11" x14ac:dyDescent="0.25">
      <c r="A309" s="5" t="s">
        <v>706</v>
      </c>
      <c r="B309" s="42">
        <f t="shared" si="4"/>
        <v>154.75181000000003</v>
      </c>
      <c r="C309" s="7" t="s">
        <v>291</v>
      </c>
      <c r="D309" s="7" t="s">
        <v>289</v>
      </c>
      <c r="E309" s="7" t="s">
        <v>826</v>
      </c>
      <c r="F309" s="8">
        <v>146.40425000000039</v>
      </c>
      <c r="G309" s="7" t="s">
        <v>195</v>
      </c>
      <c r="H309" s="7" t="s">
        <v>196</v>
      </c>
      <c r="I309" s="10">
        <v>306.5</v>
      </c>
      <c r="J309" s="10">
        <v>154751.81000000003</v>
      </c>
      <c r="K309" s="6">
        <v>188759.4800000003</v>
      </c>
    </row>
    <row r="310" spans="1:11" x14ac:dyDescent="0.25">
      <c r="A310" s="5" t="s">
        <v>706</v>
      </c>
      <c r="B310" s="42">
        <f t="shared" si="4"/>
        <v>155.05831000000003</v>
      </c>
      <c r="C310" s="7" t="s">
        <v>289</v>
      </c>
      <c r="D310" s="7" t="s">
        <v>287</v>
      </c>
      <c r="E310" s="7" t="s">
        <v>826</v>
      </c>
      <c r="F310" s="8">
        <v>146.78575000000038</v>
      </c>
      <c r="G310" s="7" t="s">
        <v>196</v>
      </c>
      <c r="H310" s="7" t="s">
        <v>197</v>
      </c>
      <c r="I310" s="10">
        <v>557.6</v>
      </c>
      <c r="J310" s="10">
        <v>155058.31000000003</v>
      </c>
      <c r="K310" s="6">
        <v>188452.9800000003</v>
      </c>
    </row>
    <row r="311" spans="1:11" x14ac:dyDescent="0.25">
      <c r="A311" s="5" t="s">
        <v>706</v>
      </c>
      <c r="B311" s="42">
        <f t="shared" si="4"/>
        <v>155.61591000000004</v>
      </c>
      <c r="C311" s="7" t="s">
        <v>287</v>
      </c>
      <c r="D311" s="7" t="s">
        <v>285</v>
      </c>
      <c r="E311" s="7" t="s">
        <v>826</v>
      </c>
      <c r="F311" s="8">
        <v>147.25155000000038</v>
      </c>
      <c r="G311" s="7" t="s">
        <v>197</v>
      </c>
      <c r="H311" s="7" t="s">
        <v>198</v>
      </c>
      <c r="I311" s="10">
        <v>490.8</v>
      </c>
      <c r="J311" s="10">
        <v>155615.91000000003</v>
      </c>
      <c r="K311" s="6">
        <v>187895.3800000003</v>
      </c>
    </row>
    <row r="312" spans="1:11" x14ac:dyDescent="0.25">
      <c r="A312" s="5" t="s">
        <v>706</v>
      </c>
      <c r="B312" s="42">
        <f t="shared" si="4"/>
        <v>156.10671000000002</v>
      </c>
      <c r="C312" s="7" t="s">
        <v>285</v>
      </c>
      <c r="D312" s="7" t="s">
        <v>283</v>
      </c>
      <c r="E312" s="7" t="s">
        <v>826</v>
      </c>
      <c r="F312" s="8">
        <v>147.65787000000037</v>
      </c>
      <c r="G312" s="7" t="s">
        <v>198</v>
      </c>
      <c r="H312" s="7" t="s">
        <v>199</v>
      </c>
      <c r="I312" s="10">
        <v>501.5</v>
      </c>
      <c r="J312" s="10">
        <v>156106.71000000002</v>
      </c>
      <c r="K312" s="6">
        <v>187404.58000000031</v>
      </c>
    </row>
    <row r="313" spans="1:11" x14ac:dyDescent="0.25">
      <c r="A313" s="5" t="s">
        <v>706</v>
      </c>
      <c r="B313" s="42">
        <f t="shared" si="4"/>
        <v>156.60821000000001</v>
      </c>
      <c r="C313" s="7" t="s">
        <v>283</v>
      </c>
      <c r="D313" s="7" t="s">
        <v>281</v>
      </c>
      <c r="E313" s="7" t="s">
        <v>826</v>
      </c>
      <c r="F313" s="8">
        <v>148.13105000000036</v>
      </c>
      <c r="G313" s="7" t="s">
        <v>199</v>
      </c>
      <c r="H313" s="7" t="s">
        <v>200</v>
      </c>
      <c r="I313" s="10">
        <v>412.1</v>
      </c>
      <c r="J313" s="10">
        <v>156608.21000000002</v>
      </c>
      <c r="K313" s="6">
        <v>186903.08000000031</v>
      </c>
    </row>
    <row r="314" spans="1:11" x14ac:dyDescent="0.25">
      <c r="A314" s="5" t="s">
        <v>706</v>
      </c>
      <c r="B314" s="42">
        <f t="shared" si="4"/>
        <v>157.02031000000002</v>
      </c>
      <c r="C314" s="7" t="s">
        <v>281</v>
      </c>
      <c r="D314" s="7" t="s">
        <v>279</v>
      </c>
      <c r="E314" s="7" t="s">
        <v>826</v>
      </c>
      <c r="F314" s="8">
        <v>148.64255000000037</v>
      </c>
      <c r="G314" s="7" t="s">
        <v>200</v>
      </c>
      <c r="H314" s="7" t="s">
        <v>201</v>
      </c>
      <c r="I314" s="10">
        <v>483.4</v>
      </c>
      <c r="J314" s="10">
        <v>157020.31000000003</v>
      </c>
      <c r="K314" s="6">
        <v>186490.9800000003</v>
      </c>
    </row>
    <row r="315" spans="1:11" x14ac:dyDescent="0.25">
      <c r="A315" s="5" t="s">
        <v>706</v>
      </c>
      <c r="B315" s="42">
        <f t="shared" si="4"/>
        <v>157.50371000000001</v>
      </c>
      <c r="C315" s="7" t="s">
        <v>279</v>
      </c>
      <c r="D315" s="7" t="s">
        <v>277</v>
      </c>
      <c r="E315" s="7" t="s">
        <v>826</v>
      </c>
      <c r="F315" s="8">
        <v>149.20933000000036</v>
      </c>
      <c r="G315" s="7" t="s">
        <v>201</v>
      </c>
      <c r="H315" s="7" t="s">
        <v>202</v>
      </c>
      <c r="I315" s="10">
        <v>521.1</v>
      </c>
      <c r="J315" s="10">
        <v>157503.71000000002</v>
      </c>
      <c r="K315" s="6">
        <v>186007.58000000031</v>
      </c>
    </row>
    <row r="316" spans="1:11" x14ac:dyDescent="0.25">
      <c r="A316" s="5" t="s">
        <v>706</v>
      </c>
      <c r="B316" s="42">
        <f t="shared" si="4"/>
        <v>158.02481000000003</v>
      </c>
      <c r="C316" s="7" t="s">
        <v>277</v>
      </c>
      <c r="D316" s="7" t="s">
        <v>275</v>
      </c>
      <c r="E316" s="7" t="s">
        <v>826</v>
      </c>
      <c r="F316" s="8">
        <v>149.69204000000036</v>
      </c>
      <c r="G316" s="7" t="s">
        <v>202</v>
      </c>
      <c r="H316" s="7" t="s">
        <v>203</v>
      </c>
      <c r="I316" s="10">
        <v>478.4</v>
      </c>
      <c r="J316" s="10">
        <v>158024.81000000003</v>
      </c>
      <c r="K316" s="6">
        <v>185486.4800000003</v>
      </c>
    </row>
    <row r="317" spans="1:11" x14ac:dyDescent="0.25">
      <c r="A317" s="5" t="s">
        <v>706</v>
      </c>
      <c r="B317" s="42">
        <f t="shared" si="4"/>
        <v>158.50321000000002</v>
      </c>
      <c r="C317" s="7" t="s">
        <v>275</v>
      </c>
      <c r="D317" s="7" t="s">
        <v>273</v>
      </c>
      <c r="E317" s="7" t="s">
        <v>826</v>
      </c>
      <c r="F317" s="8">
        <v>150.12561000000036</v>
      </c>
      <c r="G317" s="7" t="s">
        <v>203</v>
      </c>
      <c r="H317" s="7" t="s">
        <v>204</v>
      </c>
      <c r="I317" s="10">
        <v>522.6</v>
      </c>
      <c r="J317" s="10">
        <v>158503.21000000002</v>
      </c>
      <c r="K317" s="6">
        <v>185008.08000000031</v>
      </c>
    </row>
    <row r="318" spans="1:11" x14ac:dyDescent="0.25">
      <c r="A318" s="5" t="s">
        <v>706</v>
      </c>
      <c r="B318" s="42">
        <f t="shared" si="4"/>
        <v>159.02581000000004</v>
      </c>
      <c r="C318" s="7" t="s">
        <v>273</v>
      </c>
      <c r="D318" s="7" t="s">
        <v>271</v>
      </c>
      <c r="E318" s="7" t="s">
        <v>826</v>
      </c>
      <c r="F318" s="8">
        <v>150.60391000000035</v>
      </c>
      <c r="G318" s="7" t="s">
        <v>204</v>
      </c>
      <c r="H318" s="7" t="s">
        <v>205</v>
      </c>
      <c r="I318" s="10">
        <v>565</v>
      </c>
      <c r="J318" s="10">
        <v>159025.81000000003</v>
      </c>
      <c r="K318" s="6">
        <v>184485.4800000003</v>
      </c>
    </row>
    <row r="319" spans="1:11" x14ac:dyDescent="0.25">
      <c r="A319" s="5" t="s">
        <v>706</v>
      </c>
      <c r="B319" s="42">
        <f t="shared" si="4"/>
        <v>159.59081000000003</v>
      </c>
      <c r="C319" s="7" t="s">
        <v>271</v>
      </c>
      <c r="D319" s="7" t="s">
        <v>270</v>
      </c>
      <c r="E319" s="7" t="s">
        <v>826</v>
      </c>
      <c r="F319" s="8">
        <v>151.18681000000035</v>
      </c>
      <c r="G319" s="7" t="s">
        <v>205</v>
      </c>
      <c r="H319" s="7" t="s">
        <v>206</v>
      </c>
      <c r="I319" s="10">
        <v>410.49</v>
      </c>
      <c r="J319" s="10">
        <v>159590.81000000003</v>
      </c>
      <c r="K319" s="6">
        <v>183920.4800000003</v>
      </c>
    </row>
    <row r="320" spans="1:11" x14ac:dyDescent="0.25">
      <c r="A320" s="5" t="s">
        <v>706</v>
      </c>
      <c r="B320" s="42">
        <f t="shared" si="4"/>
        <v>160.00130000000001</v>
      </c>
      <c r="C320" s="7" t="s">
        <v>270</v>
      </c>
      <c r="D320" s="7" t="s">
        <v>269</v>
      </c>
      <c r="E320" s="7" t="s">
        <v>826</v>
      </c>
      <c r="F320" s="8">
        <v>151.69101000000035</v>
      </c>
      <c r="G320" s="7" t="s">
        <v>206</v>
      </c>
      <c r="H320" s="7" t="s">
        <v>207</v>
      </c>
      <c r="I320" s="10">
        <v>575.20000000000005</v>
      </c>
      <c r="J320" s="10">
        <v>160001.30000000002</v>
      </c>
      <c r="K320" s="6">
        <v>183509.99000000031</v>
      </c>
    </row>
    <row r="321" spans="1:11" x14ac:dyDescent="0.25">
      <c r="A321" s="5" t="s">
        <v>706</v>
      </c>
      <c r="B321" s="42">
        <f t="shared" si="4"/>
        <v>160.57650000000004</v>
      </c>
      <c r="C321" s="7" t="s">
        <v>269</v>
      </c>
      <c r="D321" s="7" t="s">
        <v>268</v>
      </c>
      <c r="E321" s="7" t="s">
        <v>826</v>
      </c>
      <c r="F321" s="8">
        <v>152.19441000000035</v>
      </c>
      <c r="G321" s="7" t="s">
        <v>207</v>
      </c>
      <c r="H321" s="7" t="s">
        <v>208</v>
      </c>
      <c r="I321" s="10">
        <v>585.70000000000005</v>
      </c>
      <c r="J321" s="10">
        <v>160576.50000000003</v>
      </c>
      <c r="K321" s="6">
        <v>182934.7900000003</v>
      </c>
    </row>
    <row r="322" spans="1:11" x14ac:dyDescent="0.25">
      <c r="A322" s="5" t="s">
        <v>706</v>
      </c>
      <c r="B322" s="42">
        <f t="shared" si="4"/>
        <v>161.16220000000004</v>
      </c>
      <c r="C322" s="7" t="s">
        <v>268</v>
      </c>
      <c r="D322" s="7" t="s">
        <v>267</v>
      </c>
      <c r="E322" s="7" t="s">
        <v>826</v>
      </c>
      <c r="F322" s="8">
        <v>152.56212000000033</v>
      </c>
      <c r="G322" s="7" t="s">
        <v>208</v>
      </c>
      <c r="H322" s="7" t="s">
        <v>209</v>
      </c>
      <c r="I322" s="10">
        <v>525.82000000000005</v>
      </c>
      <c r="J322" s="10">
        <v>161162.20000000004</v>
      </c>
      <c r="K322" s="6">
        <v>182349.09000000029</v>
      </c>
    </row>
    <row r="323" spans="1:11" x14ac:dyDescent="0.25">
      <c r="A323" s="5" t="s">
        <v>706</v>
      </c>
      <c r="B323" s="42">
        <f t="shared" ref="B323:B386" si="5">J323/1000</f>
        <v>161.68802000000005</v>
      </c>
      <c r="C323" s="7" t="s">
        <v>267</v>
      </c>
      <c r="D323" s="7" t="s">
        <v>266</v>
      </c>
      <c r="E323" s="7" t="s">
        <v>826</v>
      </c>
      <c r="F323" s="8">
        <v>153.15331000000035</v>
      </c>
      <c r="G323" s="7" t="s">
        <v>209</v>
      </c>
      <c r="H323" s="7" t="s">
        <v>210</v>
      </c>
      <c r="I323" s="10">
        <v>521.59</v>
      </c>
      <c r="J323" s="10">
        <v>161688.02000000005</v>
      </c>
      <c r="K323" s="6">
        <v>181823.27000000028</v>
      </c>
    </row>
    <row r="324" spans="1:11" x14ac:dyDescent="0.25">
      <c r="A324" s="5" t="s">
        <v>706</v>
      </c>
      <c r="B324" s="42">
        <f t="shared" si="5"/>
        <v>162.20961000000005</v>
      </c>
      <c r="C324" s="7" t="s">
        <v>266</v>
      </c>
      <c r="D324" s="7" t="s">
        <v>265</v>
      </c>
      <c r="E324" s="7" t="s">
        <v>826</v>
      </c>
      <c r="F324" s="8">
        <v>153.57565000000034</v>
      </c>
      <c r="G324" s="7" t="s">
        <v>210</v>
      </c>
      <c r="H324" s="7" t="s">
        <v>211</v>
      </c>
      <c r="I324" s="10">
        <v>616.1</v>
      </c>
      <c r="J324" s="10">
        <v>162209.61000000004</v>
      </c>
      <c r="K324" s="6">
        <v>181301.68000000028</v>
      </c>
    </row>
    <row r="325" spans="1:11" x14ac:dyDescent="0.25">
      <c r="A325" s="5" t="s">
        <v>706</v>
      </c>
      <c r="B325" s="42">
        <f t="shared" si="5"/>
        <v>162.82571000000004</v>
      </c>
      <c r="C325" s="7" t="s">
        <v>265</v>
      </c>
      <c r="D325" s="7" t="s">
        <v>264</v>
      </c>
      <c r="E325" s="7" t="s">
        <v>826</v>
      </c>
      <c r="F325" s="8">
        <v>153.96565000000035</v>
      </c>
      <c r="G325" s="7" t="s">
        <v>211</v>
      </c>
      <c r="H325" s="7" t="s">
        <v>212</v>
      </c>
      <c r="I325" s="10">
        <v>539.5</v>
      </c>
      <c r="J325" s="10">
        <v>162825.71000000005</v>
      </c>
      <c r="K325" s="6">
        <v>180685.58000000028</v>
      </c>
    </row>
    <row r="326" spans="1:11" x14ac:dyDescent="0.25">
      <c r="A326" s="5" t="s">
        <v>706</v>
      </c>
      <c r="B326" s="42">
        <f t="shared" si="5"/>
        <v>163.36521000000005</v>
      </c>
      <c r="C326" s="7" t="s">
        <v>264</v>
      </c>
      <c r="D326" s="7" t="s">
        <v>263</v>
      </c>
      <c r="E326" s="7" t="s">
        <v>826</v>
      </c>
      <c r="F326" s="8">
        <v>154.51860000000036</v>
      </c>
      <c r="G326" s="7" t="s">
        <v>212</v>
      </c>
      <c r="H326" s="7" t="s">
        <v>213</v>
      </c>
      <c r="I326" s="10">
        <v>443</v>
      </c>
      <c r="J326" s="10">
        <v>163365.21000000005</v>
      </c>
      <c r="K326" s="6">
        <v>180146.08000000028</v>
      </c>
    </row>
    <row r="327" spans="1:11" x14ac:dyDescent="0.25">
      <c r="A327" s="5" t="s">
        <v>706</v>
      </c>
      <c r="B327" s="42">
        <f t="shared" si="5"/>
        <v>163.80821000000006</v>
      </c>
      <c r="C327" s="7" t="s">
        <v>263</v>
      </c>
      <c r="D327" s="7" t="s">
        <v>262</v>
      </c>
      <c r="E327" s="7" t="s">
        <v>826</v>
      </c>
      <c r="F327" s="8">
        <v>154.96350000000035</v>
      </c>
      <c r="G327" s="7" t="s">
        <v>213</v>
      </c>
      <c r="H327" s="7" t="s">
        <v>214</v>
      </c>
      <c r="I327" s="10">
        <v>586</v>
      </c>
      <c r="J327" s="10">
        <v>163808.21000000005</v>
      </c>
      <c r="K327" s="6">
        <v>179703.08000000028</v>
      </c>
    </row>
    <row r="328" spans="1:11" x14ac:dyDescent="0.25">
      <c r="A328" s="5" t="s">
        <v>706</v>
      </c>
      <c r="B328" s="42">
        <f t="shared" si="5"/>
        <v>164.39421000000004</v>
      </c>
      <c r="C328" s="7" t="s">
        <v>262</v>
      </c>
      <c r="D328" s="7" t="s">
        <v>261</v>
      </c>
      <c r="E328" s="7" t="s">
        <v>826</v>
      </c>
      <c r="F328" s="8">
        <v>155.38760000000036</v>
      </c>
      <c r="G328" s="7" t="s">
        <v>214</v>
      </c>
      <c r="H328" s="7" t="s">
        <v>215</v>
      </c>
      <c r="I328" s="10">
        <v>526.79999999999995</v>
      </c>
      <c r="J328" s="10">
        <v>164394.21000000005</v>
      </c>
      <c r="K328" s="6">
        <v>179117.08000000028</v>
      </c>
    </row>
    <row r="329" spans="1:11" x14ac:dyDescent="0.25">
      <c r="A329" s="5" t="s">
        <v>706</v>
      </c>
      <c r="B329" s="42">
        <f t="shared" si="5"/>
        <v>164.92101000000005</v>
      </c>
      <c r="C329" s="7" t="s">
        <v>261</v>
      </c>
      <c r="D329" s="7" t="s">
        <v>260</v>
      </c>
      <c r="E329" s="7" t="s">
        <v>826</v>
      </c>
      <c r="F329" s="8">
        <v>155.89160000000035</v>
      </c>
      <c r="G329" s="7" t="s">
        <v>215</v>
      </c>
      <c r="H329" s="7" t="s">
        <v>216</v>
      </c>
      <c r="I329" s="10">
        <v>552.9</v>
      </c>
      <c r="J329" s="10">
        <v>164921.01000000004</v>
      </c>
      <c r="K329" s="6">
        <v>178590.28000000029</v>
      </c>
    </row>
    <row r="330" spans="1:11" x14ac:dyDescent="0.25">
      <c r="A330" s="5" t="s">
        <v>706</v>
      </c>
      <c r="B330" s="42">
        <f t="shared" si="5"/>
        <v>165.47391000000005</v>
      </c>
      <c r="C330" s="7" t="s">
        <v>260</v>
      </c>
      <c r="D330" s="7" t="s">
        <v>259</v>
      </c>
      <c r="E330" s="7" t="s">
        <v>826</v>
      </c>
      <c r="F330" s="8">
        <v>156.19290000000035</v>
      </c>
      <c r="G330" s="7" t="s">
        <v>216</v>
      </c>
      <c r="H330" s="7" t="s">
        <v>217</v>
      </c>
      <c r="I330" s="10">
        <v>548.9</v>
      </c>
      <c r="J330" s="10">
        <v>165473.91000000003</v>
      </c>
      <c r="K330" s="6">
        <v>178037.3800000003</v>
      </c>
    </row>
    <row r="331" spans="1:11" x14ac:dyDescent="0.25">
      <c r="A331" s="5" t="s">
        <v>706</v>
      </c>
      <c r="B331" s="42">
        <f t="shared" si="5"/>
        <v>166.02281000000002</v>
      </c>
      <c r="C331" s="7" t="s">
        <v>259</v>
      </c>
      <c r="D331" s="7" t="s">
        <v>258</v>
      </c>
      <c r="E331" s="7" t="s">
        <v>826</v>
      </c>
      <c r="F331" s="8">
        <v>156.56720000000033</v>
      </c>
      <c r="G331" s="7" t="s">
        <v>217</v>
      </c>
      <c r="H331" s="7" t="s">
        <v>218</v>
      </c>
      <c r="I331" s="10">
        <v>567.5</v>
      </c>
      <c r="J331" s="10">
        <v>166022.81000000003</v>
      </c>
      <c r="K331" s="6">
        <v>177488.4800000003</v>
      </c>
    </row>
    <row r="332" spans="1:11" x14ac:dyDescent="0.25">
      <c r="A332" s="5" t="s">
        <v>706</v>
      </c>
      <c r="B332" s="42">
        <f t="shared" si="5"/>
        <v>166.59031000000002</v>
      </c>
      <c r="C332" s="7" t="s">
        <v>258</v>
      </c>
      <c r="D332" s="7" t="s">
        <v>257</v>
      </c>
      <c r="E332" s="7" t="s">
        <v>826</v>
      </c>
      <c r="F332" s="8">
        <v>157.16468000000035</v>
      </c>
      <c r="G332" s="7" t="s">
        <v>218</v>
      </c>
      <c r="H332" s="7" t="s">
        <v>219</v>
      </c>
      <c r="I332" s="10">
        <v>432</v>
      </c>
      <c r="J332" s="10">
        <v>166590.31000000003</v>
      </c>
      <c r="K332" s="6">
        <v>176920.9800000003</v>
      </c>
    </row>
    <row r="333" spans="1:11" x14ac:dyDescent="0.25">
      <c r="A333" s="5" t="s">
        <v>706</v>
      </c>
      <c r="B333" s="42">
        <f t="shared" si="5"/>
        <v>167.02231000000003</v>
      </c>
      <c r="C333" s="7" t="s">
        <v>257</v>
      </c>
      <c r="D333" s="7" t="s">
        <v>256</v>
      </c>
      <c r="E333" s="7" t="s">
        <v>826</v>
      </c>
      <c r="F333" s="8">
        <v>157.70007000000035</v>
      </c>
      <c r="G333" s="7" t="s">
        <v>219</v>
      </c>
      <c r="H333" s="7" t="s">
        <v>220</v>
      </c>
      <c r="I333" s="10">
        <v>485.5</v>
      </c>
      <c r="J333" s="10">
        <v>167022.31000000003</v>
      </c>
      <c r="K333" s="6">
        <v>176488.9800000003</v>
      </c>
    </row>
    <row r="334" spans="1:11" x14ac:dyDescent="0.25">
      <c r="A334" s="5" t="s">
        <v>706</v>
      </c>
      <c r="B334" s="42">
        <f t="shared" si="5"/>
        <v>167.50781000000003</v>
      </c>
      <c r="C334" s="7" t="s">
        <v>256</v>
      </c>
      <c r="D334" s="7" t="s">
        <v>255</v>
      </c>
      <c r="E334" s="7" t="s">
        <v>826</v>
      </c>
      <c r="F334" s="8">
        <v>158.17487000000034</v>
      </c>
      <c r="G334" s="7" t="s">
        <v>220</v>
      </c>
      <c r="H334" s="7" t="s">
        <v>221</v>
      </c>
      <c r="I334" s="10">
        <v>546.70000000000005</v>
      </c>
      <c r="J334" s="10">
        <v>167507.81000000003</v>
      </c>
      <c r="K334" s="6">
        <v>176003.4800000003</v>
      </c>
    </row>
    <row r="335" spans="1:11" x14ac:dyDescent="0.25">
      <c r="A335" s="5" t="s">
        <v>706</v>
      </c>
      <c r="B335" s="42">
        <f t="shared" si="5"/>
        <v>168.05451000000005</v>
      </c>
      <c r="C335" s="7" t="s">
        <v>255</v>
      </c>
      <c r="D335" s="7" t="s">
        <v>254</v>
      </c>
      <c r="E335" s="7" t="s">
        <v>826</v>
      </c>
      <c r="F335" s="8">
        <v>158.65367000000035</v>
      </c>
      <c r="G335" s="7" t="s">
        <v>221</v>
      </c>
      <c r="H335" s="7" t="s">
        <v>222</v>
      </c>
      <c r="I335" s="10">
        <v>515.79999999999995</v>
      </c>
      <c r="J335" s="10">
        <v>168054.51000000004</v>
      </c>
      <c r="K335" s="6">
        <v>175456.78000000029</v>
      </c>
    </row>
    <row r="336" spans="1:11" x14ac:dyDescent="0.25">
      <c r="A336" s="5" t="s">
        <v>706</v>
      </c>
      <c r="B336" s="42">
        <f t="shared" si="5"/>
        <v>168.57031000000003</v>
      </c>
      <c r="C336" s="7" t="s">
        <v>254</v>
      </c>
      <c r="D336" s="7" t="s">
        <v>253</v>
      </c>
      <c r="E336" s="7" t="s">
        <v>826</v>
      </c>
      <c r="F336" s="8">
        <v>159.20397000000031</v>
      </c>
      <c r="G336" s="7" t="s">
        <v>222</v>
      </c>
      <c r="H336" s="7" t="s">
        <v>223</v>
      </c>
      <c r="I336" s="10">
        <v>516.61</v>
      </c>
      <c r="J336" s="10">
        <v>168570.31000000003</v>
      </c>
      <c r="K336" s="6">
        <v>174940.9800000003</v>
      </c>
    </row>
    <row r="337" spans="1:11" x14ac:dyDescent="0.25">
      <c r="A337" s="5" t="s">
        <v>706</v>
      </c>
      <c r="B337" s="42">
        <f t="shared" si="5"/>
        <v>169.08692000000002</v>
      </c>
      <c r="C337" s="7" t="s">
        <v>253</v>
      </c>
      <c r="D337" s="7" t="s">
        <v>252</v>
      </c>
      <c r="E337" s="7" t="s">
        <v>826</v>
      </c>
      <c r="F337" s="8">
        <v>159.70818000000031</v>
      </c>
      <c r="G337" s="7" t="s">
        <v>223</v>
      </c>
      <c r="H337" s="7" t="s">
        <v>224</v>
      </c>
      <c r="I337" s="10">
        <v>495.98</v>
      </c>
      <c r="J337" s="10">
        <v>169086.92</v>
      </c>
      <c r="K337" s="6">
        <v>174424.37000000032</v>
      </c>
    </row>
    <row r="338" spans="1:11" x14ac:dyDescent="0.25">
      <c r="A338" s="5" t="s">
        <v>706</v>
      </c>
      <c r="B338" s="42">
        <f t="shared" si="5"/>
        <v>169.58290000000002</v>
      </c>
      <c r="C338" s="7" t="s">
        <v>252</v>
      </c>
      <c r="D338" s="7" t="s">
        <v>251</v>
      </c>
      <c r="E338" s="7" t="s">
        <v>826</v>
      </c>
      <c r="F338" s="8">
        <v>160.04942000000031</v>
      </c>
      <c r="G338" s="7" t="s">
        <v>224</v>
      </c>
      <c r="H338" s="7" t="s">
        <v>225</v>
      </c>
      <c r="I338" s="10">
        <v>576.29999999999995</v>
      </c>
      <c r="J338" s="10">
        <v>169582.90000000002</v>
      </c>
      <c r="K338" s="6">
        <v>173928.39000000031</v>
      </c>
    </row>
    <row r="339" spans="1:11" x14ac:dyDescent="0.25">
      <c r="A339" s="5" t="s">
        <v>706</v>
      </c>
      <c r="B339" s="42">
        <f t="shared" si="5"/>
        <v>170.1592</v>
      </c>
      <c r="C339" s="7" t="s">
        <v>251</v>
      </c>
      <c r="D339" s="7" t="s">
        <v>250</v>
      </c>
      <c r="E339" s="7" t="s">
        <v>826</v>
      </c>
      <c r="F339" s="8">
        <v>160.43152000000032</v>
      </c>
      <c r="G339" s="7" t="s">
        <v>225</v>
      </c>
      <c r="H339" s="7" t="s">
        <v>226</v>
      </c>
      <c r="I339" s="10">
        <v>618.20000000000005</v>
      </c>
      <c r="J339" s="10">
        <v>170159.2</v>
      </c>
      <c r="K339" s="6">
        <v>173352.09000000032</v>
      </c>
    </row>
    <row r="340" spans="1:11" x14ac:dyDescent="0.25">
      <c r="A340" s="5" t="s">
        <v>706</v>
      </c>
      <c r="B340" s="42">
        <f t="shared" si="5"/>
        <v>170.77740000000003</v>
      </c>
      <c r="C340" s="7" t="s">
        <v>250</v>
      </c>
      <c r="D340" s="7" t="s">
        <v>249</v>
      </c>
      <c r="E340" s="7" t="s">
        <v>826</v>
      </c>
      <c r="F340" s="8">
        <v>161.06216000000032</v>
      </c>
      <c r="G340" s="7" t="s">
        <v>226</v>
      </c>
      <c r="H340" s="7" t="s">
        <v>227</v>
      </c>
      <c r="I340" s="10">
        <v>495</v>
      </c>
      <c r="J340" s="10">
        <v>170777.40000000002</v>
      </c>
      <c r="K340" s="6">
        <v>172733.89000000031</v>
      </c>
    </row>
    <row r="341" spans="1:11" x14ac:dyDescent="0.25">
      <c r="A341" s="5" t="s">
        <v>706</v>
      </c>
      <c r="B341" s="42">
        <f t="shared" si="5"/>
        <v>171.27240000000003</v>
      </c>
      <c r="C341" s="7" t="s">
        <v>249</v>
      </c>
      <c r="D341" s="7" t="s">
        <v>248</v>
      </c>
      <c r="E341" s="7" t="s">
        <v>826</v>
      </c>
      <c r="F341" s="8">
        <v>161.61606000000032</v>
      </c>
      <c r="G341" s="7" t="s">
        <v>227</v>
      </c>
      <c r="H341" s="7" t="s">
        <v>228</v>
      </c>
      <c r="I341" s="10">
        <v>439</v>
      </c>
      <c r="J341" s="10">
        <v>171272.40000000002</v>
      </c>
      <c r="K341" s="6">
        <v>172238.89000000031</v>
      </c>
    </row>
    <row r="342" spans="1:11" x14ac:dyDescent="0.25">
      <c r="A342" s="5" t="s">
        <v>706</v>
      </c>
      <c r="B342" s="42">
        <f t="shared" si="5"/>
        <v>171.71140000000003</v>
      </c>
      <c r="C342" s="7" t="s">
        <v>248</v>
      </c>
      <c r="D342" s="7" t="s">
        <v>247</v>
      </c>
      <c r="E342" s="7" t="s">
        <v>826</v>
      </c>
      <c r="F342" s="8">
        <v>162.22446000000031</v>
      </c>
      <c r="G342" s="7" t="s">
        <v>228</v>
      </c>
      <c r="H342" s="7" t="s">
        <v>229</v>
      </c>
      <c r="I342" s="10">
        <v>392</v>
      </c>
      <c r="J342" s="10">
        <v>171711.40000000002</v>
      </c>
      <c r="K342" s="6">
        <v>171799.89000000031</v>
      </c>
    </row>
    <row r="343" spans="1:11" x14ac:dyDescent="0.25">
      <c r="A343" s="5" t="s">
        <v>706</v>
      </c>
      <c r="B343" s="42">
        <f t="shared" si="5"/>
        <v>172.10340000000002</v>
      </c>
      <c r="C343" s="7" t="s">
        <v>247</v>
      </c>
      <c r="D343" s="7" t="s">
        <v>246</v>
      </c>
      <c r="E343" s="7" t="s">
        <v>826</v>
      </c>
      <c r="F343" s="8">
        <v>162.7923200000003</v>
      </c>
      <c r="G343" s="7" t="s">
        <v>229</v>
      </c>
      <c r="H343" s="7" t="s">
        <v>230</v>
      </c>
      <c r="I343" s="10">
        <v>392</v>
      </c>
      <c r="J343" s="10">
        <v>172103.40000000002</v>
      </c>
      <c r="K343" s="6">
        <v>171407.89000000031</v>
      </c>
    </row>
    <row r="344" spans="1:11" x14ac:dyDescent="0.25">
      <c r="A344" s="5" t="s">
        <v>706</v>
      </c>
      <c r="B344" s="42">
        <f t="shared" si="5"/>
        <v>172.49540000000002</v>
      </c>
      <c r="C344" s="7" t="s">
        <v>246</v>
      </c>
      <c r="D344" s="7" t="s">
        <v>245</v>
      </c>
      <c r="E344" s="7" t="s">
        <v>826</v>
      </c>
      <c r="F344" s="8">
        <v>163.35430000000031</v>
      </c>
      <c r="G344" s="7" t="s">
        <v>230</v>
      </c>
      <c r="H344" s="7" t="s">
        <v>231</v>
      </c>
      <c r="I344" s="10">
        <v>391.84</v>
      </c>
      <c r="J344" s="10">
        <v>172495.40000000002</v>
      </c>
      <c r="K344" s="6">
        <v>171015.89000000031</v>
      </c>
    </row>
    <row r="345" spans="1:11" x14ac:dyDescent="0.25">
      <c r="A345" s="5" t="s">
        <v>706</v>
      </c>
      <c r="B345" s="42">
        <f t="shared" si="5"/>
        <v>172.88724000000002</v>
      </c>
      <c r="C345" s="7" t="s">
        <v>245</v>
      </c>
      <c r="D345" s="7" t="s">
        <v>244</v>
      </c>
      <c r="E345" s="7" t="s">
        <v>826</v>
      </c>
      <c r="F345" s="8">
        <v>163.98020000000031</v>
      </c>
      <c r="G345" s="7" t="s">
        <v>231</v>
      </c>
      <c r="H345" s="7" t="s">
        <v>232</v>
      </c>
      <c r="I345" s="10">
        <v>538.5</v>
      </c>
      <c r="J345" s="10">
        <v>172887.24000000002</v>
      </c>
      <c r="K345" s="6">
        <v>170624.05000000031</v>
      </c>
    </row>
    <row r="346" spans="1:11" x14ac:dyDescent="0.25">
      <c r="A346" s="5" t="s">
        <v>706</v>
      </c>
      <c r="B346" s="42">
        <f t="shared" si="5"/>
        <v>173.42574000000002</v>
      </c>
      <c r="C346" s="7" t="s">
        <v>244</v>
      </c>
      <c r="D346" s="7" t="s">
        <v>243</v>
      </c>
      <c r="E346" s="7" t="s">
        <v>826</v>
      </c>
      <c r="F346" s="8">
        <v>164.39872000000028</v>
      </c>
      <c r="G346" s="7" t="s">
        <v>232</v>
      </c>
      <c r="H346" s="7" t="s">
        <v>233</v>
      </c>
      <c r="I346" s="10">
        <v>279.2</v>
      </c>
      <c r="J346" s="10">
        <v>173425.74000000002</v>
      </c>
      <c r="K346" s="6">
        <v>170085.55000000031</v>
      </c>
    </row>
    <row r="347" spans="1:11" x14ac:dyDescent="0.25">
      <c r="A347" s="5" t="s">
        <v>706</v>
      </c>
      <c r="B347" s="42">
        <f t="shared" si="5"/>
        <v>173.70494000000002</v>
      </c>
      <c r="C347" s="7" t="s">
        <v>243</v>
      </c>
      <c r="D347" s="7" t="s">
        <v>242</v>
      </c>
      <c r="E347" s="7" t="s">
        <v>826</v>
      </c>
      <c r="F347" s="8">
        <v>164.9822200000003</v>
      </c>
      <c r="G347" s="7" t="s">
        <v>233</v>
      </c>
      <c r="H347" s="7" t="s">
        <v>234</v>
      </c>
      <c r="I347" s="10">
        <v>258.64999999999998</v>
      </c>
      <c r="J347" s="10">
        <v>173704.94000000003</v>
      </c>
      <c r="K347" s="6">
        <v>169806.3500000003</v>
      </c>
    </row>
    <row r="348" spans="1:11" x14ac:dyDescent="0.25">
      <c r="A348" s="5" t="s">
        <v>706</v>
      </c>
      <c r="B348" s="42">
        <f t="shared" si="5"/>
        <v>173.96359000000004</v>
      </c>
      <c r="C348" s="7" t="s">
        <v>242</v>
      </c>
      <c r="D348" s="7" t="s">
        <v>241</v>
      </c>
      <c r="E348" s="7" t="s">
        <v>826</v>
      </c>
      <c r="F348" s="8">
        <v>165.5336200000003</v>
      </c>
      <c r="G348" s="7" t="s">
        <v>234</v>
      </c>
      <c r="H348" s="7" t="s">
        <v>235</v>
      </c>
      <c r="I348" s="10">
        <v>526.84</v>
      </c>
      <c r="J348" s="10">
        <v>173963.59000000003</v>
      </c>
      <c r="K348" s="6">
        <v>169547.7000000003</v>
      </c>
    </row>
    <row r="349" spans="1:11" x14ac:dyDescent="0.25">
      <c r="A349" s="5" t="s">
        <v>706</v>
      </c>
      <c r="B349" s="42">
        <f t="shared" si="5"/>
        <v>174.49043000000003</v>
      </c>
      <c r="C349" s="7" t="s">
        <v>241</v>
      </c>
      <c r="D349" s="7" t="s">
        <v>240</v>
      </c>
      <c r="E349" s="7" t="s">
        <v>826</v>
      </c>
      <c r="F349" s="8">
        <v>166.05729000000031</v>
      </c>
      <c r="G349" s="7" t="s">
        <v>235</v>
      </c>
      <c r="H349" s="7" t="s">
        <v>236</v>
      </c>
      <c r="I349" s="10">
        <v>334.2</v>
      </c>
      <c r="J349" s="10">
        <v>174490.43000000002</v>
      </c>
      <c r="K349" s="6">
        <v>169020.86000000031</v>
      </c>
    </row>
    <row r="350" spans="1:11" x14ac:dyDescent="0.25">
      <c r="A350" s="5" t="s">
        <v>706</v>
      </c>
      <c r="B350" s="42">
        <f t="shared" si="5"/>
        <v>174.82463000000004</v>
      </c>
      <c r="C350" s="7" t="s">
        <v>240</v>
      </c>
      <c r="D350" s="7" t="s">
        <v>239</v>
      </c>
      <c r="E350" s="7" t="s">
        <v>826</v>
      </c>
      <c r="F350" s="8">
        <v>166.73579000000029</v>
      </c>
      <c r="G350" s="7" t="s">
        <v>236</v>
      </c>
      <c r="H350" s="7" t="s">
        <v>237</v>
      </c>
      <c r="I350" s="10">
        <v>608.16999999999996</v>
      </c>
      <c r="J350" s="10">
        <v>174824.63000000003</v>
      </c>
      <c r="K350" s="6">
        <v>168686.66000000029</v>
      </c>
    </row>
    <row r="351" spans="1:11" x14ac:dyDescent="0.25">
      <c r="A351" s="5" t="s">
        <v>706</v>
      </c>
      <c r="B351" s="42">
        <f t="shared" si="5"/>
        <v>175.43280000000004</v>
      </c>
      <c r="C351" s="7" t="s">
        <v>239</v>
      </c>
      <c r="D351" s="7" t="s">
        <v>238</v>
      </c>
      <c r="E351" s="7" t="s">
        <v>826</v>
      </c>
      <c r="F351" s="8">
        <v>167.06869000000029</v>
      </c>
      <c r="G351" s="7" t="s">
        <v>237</v>
      </c>
      <c r="H351" s="7" t="s">
        <v>238</v>
      </c>
      <c r="I351" s="10">
        <v>587.5</v>
      </c>
      <c r="J351" s="10">
        <v>175432.80000000005</v>
      </c>
      <c r="K351" s="6">
        <v>168078.49000000028</v>
      </c>
    </row>
    <row r="352" spans="1:11" x14ac:dyDescent="0.25">
      <c r="A352" s="5" t="s">
        <v>706</v>
      </c>
      <c r="B352" s="42">
        <f t="shared" si="5"/>
        <v>176.02030000000005</v>
      </c>
      <c r="C352" s="7" t="s">
        <v>238</v>
      </c>
      <c r="D352" s="7" t="s">
        <v>237</v>
      </c>
      <c r="E352" s="7" t="s">
        <v>826</v>
      </c>
      <c r="F352" s="8">
        <v>167.49099000000029</v>
      </c>
      <c r="G352" s="7" t="s">
        <v>238</v>
      </c>
      <c r="H352" s="7" t="s">
        <v>239</v>
      </c>
      <c r="I352" s="10">
        <v>422.3</v>
      </c>
      <c r="J352" s="10">
        <v>176020.30000000005</v>
      </c>
      <c r="K352" s="6">
        <v>167490.99000000028</v>
      </c>
    </row>
    <row r="353" spans="1:11" x14ac:dyDescent="0.25">
      <c r="A353" s="5" t="s">
        <v>706</v>
      </c>
      <c r="B353" s="42">
        <f t="shared" si="5"/>
        <v>176.44260000000003</v>
      </c>
      <c r="C353" s="7" t="s">
        <v>237</v>
      </c>
      <c r="D353" s="7" t="s">
        <v>236</v>
      </c>
      <c r="E353" s="7" t="s">
        <v>826</v>
      </c>
      <c r="F353" s="8">
        <v>168.07849000000027</v>
      </c>
      <c r="G353" s="7" t="s">
        <v>239</v>
      </c>
      <c r="H353" s="7" t="s">
        <v>240</v>
      </c>
      <c r="I353" s="10">
        <v>332.9</v>
      </c>
      <c r="J353" s="10">
        <v>176442.60000000003</v>
      </c>
      <c r="K353" s="6">
        <v>167068.69000000029</v>
      </c>
    </row>
    <row r="354" spans="1:11" x14ac:dyDescent="0.25">
      <c r="A354" s="5" t="s">
        <v>706</v>
      </c>
      <c r="B354" s="42">
        <f t="shared" si="5"/>
        <v>176.77550000000002</v>
      </c>
      <c r="C354" s="7" t="s">
        <v>236</v>
      </c>
      <c r="D354" s="7" t="s">
        <v>235</v>
      </c>
      <c r="E354" s="7" t="s">
        <v>826</v>
      </c>
      <c r="F354" s="8">
        <v>168.6866600000003</v>
      </c>
      <c r="G354" s="7" t="s">
        <v>240</v>
      </c>
      <c r="H354" s="7" t="s">
        <v>241</v>
      </c>
      <c r="I354" s="10">
        <v>678.5</v>
      </c>
      <c r="J354" s="10">
        <v>176775.50000000003</v>
      </c>
      <c r="K354" s="6">
        <v>166735.7900000003</v>
      </c>
    </row>
    <row r="355" spans="1:11" x14ac:dyDescent="0.25">
      <c r="A355" s="5" t="s">
        <v>706</v>
      </c>
      <c r="B355" s="42">
        <f t="shared" si="5"/>
        <v>177.45400000000004</v>
      </c>
      <c r="C355" s="7" t="s">
        <v>235</v>
      </c>
      <c r="D355" s="7" t="s">
        <v>234</v>
      </c>
      <c r="E355" s="7" t="s">
        <v>826</v>
      </c>
      <c r="F355" s="8">
        <v>169.02086000000031</v>
      </c>
      <c r="G355" s="7" t="s">
        <v>241</v>
      </c>
      <c r="H355" s="7" t="s">
        <v>242</v>
      </c>
      <c r="I355" s="10">
        <v>523.66999999999996</v>
      </c>
      <c r="J355" s="10">
        <v>177454.00000000003</v>
      </c>
      <c r="K355" s="6">
        <v>166057.2900000003</v>
      </c>
    </row>
    <row r="356" spans="1:11" x14ac:dyDescent="0.25">
      <c r="A356" s="5" t="s">
        <v>706</v>
      </c>
      <c r="B356" s="42">
        <f t="shared" si="5"/>
        <v>177.97767000000005</v>
      </c>
      <c r="C356" s="7" t="s">
        <v>234</v>
      </c>
      <c r="D356" s="7" t="s">
        <v>233</v>
      </c>
      <c r="E356" s="7" t="s">
        <v>826</v>
      </c>
      <c r="F356" s="8">
        <v>169.5477000000003</v>
      </c>
      <c r="G356" s="7" t="s">
        <v>242</v>
      </c>
      <c r="H356" s="7" t="s">
        <v>243</v>
      </c>
      <c r="I356" s="10">
        <v>551.4</v>
      </c>
      <c r="J356" s="10">
        <v>177977.67000000004</v>
      </c>
      <c r="K356" s="6">
        <v>165533.62000000029</v>
      </c>
    </row>
    <row r="357" spans="1:11" x14ac:dyDescent="0.25">
      <c r="A357" s="5" t="s">
        <v>706</v>
      </c>
      <c r="B357" s="42">
        <f t="shared" si="5"/>
        <v>178.52907000000005</v>
      </c>
      <c r="C357" s="7" t="s">
        <v>233</v>
      </c>
      <c r="D357" s="7" t="s">
        <v>232</v>
      </c>
      <c r="E357" s="7" t="s">
        <v>826</v>
      </c>
      <c r="F357" s="8">
        <v>169.80635000000029</v>
      </c>
      <c r="G357" s="7" t="s">
        <v>243</v>
      </c>
      <c r="H357" s="7" t="s">
        <v>244</v>
      </c>
      <c r="I357" s="10">
        <v>583.5</v>
      </c>
      <c r="J357" s="10">
        <v>178529.07000000004</v>
      </c>
      <c r="K357" s="6">
        <v>164982.22000000029</v>
      </c>
    </row>
    <row r="358" spans="1:11" x14ac:dyDescent="0.25">
      <c r="A358" s="5" t="s">
        <v>706</v>
      </c>
      <c r="B358" s="42">
        <f t="shared" si="5"/>
        <v>179.11257000000003</v>
      </c>
      <c r="C358" s="7" t="s">
        <v>232</v>
      </c>
      <c r="D358" s="7" t="s">
        <v>231</v>
      </c>
      <c r="E358" s="7" t="s">
        <v>826</v>
      </c>
      <c r="F358" s="8">
        <v>170.0855500000003</v>
      </c>
      <c r="G358" s="7" t="s">
        <v>244</v>
      </c>
      <c r="H358" s="7" t="s">
        <v>245</v>
      </c>
      <c r="I358" s="10">
        <v>418.52</v>
      </c>
      <c r="J358" s="10">
        <v>179112.57000000004</v>
      </c>
      <c r="K358" s="6">
        <v>164398.72000000029</v>
      </c>
    </row>
    <row r="359" spans="1:11" x14ac:dyDescent="0.25">
      <c r="A359" s="5" t="s">
        <v>706</v>
      </c>
      <c r="B359" s="42">
        <f t="shared" si="5"/>
        <v>179.53109000000003</v>
      </c>
      <c r="C359" s="7" t="s">
        <v>231</v>
      </c>
      <c r="D359" s="7" t="s">
        <v>230</v>
      </c>
      <c r="E359" s="7" t="s">
        <v>826</v>
      </c>
      <c r="F359" s="8">
        <v>170.6240500000003</v>
      </c>
      <c r="G359" s="7" t="s">
        <v>245</v>
      </c>
      <c r="H359" s="7" t="s">
        <v>246</v>
      </c>
      <c r="I359" s="10">
        <v>625.9</v>
      </c>
      <c r="J359" s="10">
        <v>179531.09000000003</v>
      </c>
      <c r="K359" s="6">
        <v>163980.2000000003</v>
      </c>
    </row>
    <row r="360" spans="1:11" x14ac:dyDescent="0.25">
      <c r="A360" s="5" t="s">
        <v>706</v>
      </c>
      <c r="B360" s="42">
        <f t="shared" si="5"/>
        <v>180.15699000000001</v>
      </c>
      <c r="C360" s="7" t="s">
        <v>230</v>
      </c>
      <c r="D360" s="7" t="s">
        <v>229</v>
      </c>
      <c r="E360" s="7" t="s">
        <v>826</v>
      </c>
      <c r="F360" s="8">
        <v>171.0158900000003</v>
      </c>
      <c r="G360" s="7" t="s">
        <v>246</v>
      </c>
      <c r="H360" s="7" t="s">
        <v>247</v>
      </c>
      <c r="I360" s="10">
        <v>561.98</v>
      </c>
      <c r="J360" s="10">
        <v>180156.99000000002</v>
      </c>
      <c r="K360" s="6">
        <v>163354.30000000031</v>
      </c>
    </row>
    <row r="361" spans="1:11" x14ac:dyDescent="0.25">
      <c r="A361" s="5" t="s">
        <v>706</v>
      </c>
      <c r="B361" s="42">
        <f t="shared" si="5"/>
        <v>180.71897000000004</v>
      </c>
      <c r="C361" s="7" t="s">
        <v>229</v>
      </c>
      <c r="D361" s="7" t="s">
        <v>228</v>
      </c>
      <c r="E361" s="7" t="s">
        <v>826</v>
      </c>
      <c r="F361" s="8">
        <v>171.40789000000029</v>
      </c>
      <c r="G361" s="7" t="s">
        <v>247</v>
      </c>
      <c r="H361" s="7" t="s">
        <v>248</v>
      </c>
      <c r="I361" s="10">
        <v>567.86</v>
      </c>
      <c r="J361" s="10">
        <v>180718.97000000003</v>
      </c>
      <c r="K361" s="6">
        <v>162792.3200000003</v>
      </c>
    </row>
    <row r="362" spans="1:11" x14ac:dyDescent="0.25">
      <c r="A362" s="5" t="s">
        <v>706</v>
      </c>
      <c r="B362" s="42">
        <f t="shared" si="5"/>
        <v>181.28683000000001</v>
      </c>
      <c r="C362" s="7" t="s">
        <v>228</v>
      </c>
      <c r="D362" s="7" t="s">
        <v>227</v>
      </c>
      <c r="E362" s="7" t="s">
        <v>826</v>
      </c>
      <c r="F362" s="8">
        <v>171.79989000000032</v>
      </c>
      <c r="G362" s="7" t="s">
        <v>248</v>
      </c>
      <c r="H362" s="7" t="s">
        <v>249</v>
      </c>
      <c r="I362" s="10">
        <v>608.4</v>
      </c>
      <c r="J362" s="10">
        <v>181286.83000000002</v>
      </c>
      <c r="K362" s="6">
        <v>162224.46000000031</v>
      </c>
    </row>
    <row r="363" spans="1:11" x14ac:dyDescent="0.25">
      <c r="A363" s="5" t="s">
        <v>706</v>
      </c>
      <c r="B363" s="42">
        <f t="shared" si="5"/>
        <v>181.89523</v>
      </c>
      <c r="C363" s="7" t="s">
        <v>227</v>
      </c>
      <c r="D363" s="7" t="s">
        <v>226</v>
      </c>
      <c r="E363" s="7" t="s">
        <v>826</v>
      </c>
      <c r="F363" s="8">
        <v>172.23889000000031</v>
      </c>
      <c r="G363" s="7" t="s">
        <v>249</v>
      </c>
      <c r="H363" s="7" t="s">
        <v>250</v>
      </c>
      <c r="I363" s="10">
        <v>553.9</v>
      </c>
      <c r="J363" s="10">
        <v>181895.23</v>
      </c>
      <c r="K363" s="6">
        <v>161616.06000000032</v>
      </c>
    </row>
    <row r="364" spans="1:11" x14ac:dyDescent="0.25">
      <c r="A364" s="5" t="s">
        <v>706</v>
      </c>
      <c r="B364" s="42">
        <f t="shared" si="5"/>
        <v>182.44913</v>
      </c>
      <c r="C364" s="7" t="s">
        <v>226</v>
      </c>
      <c r="D364" s="7" t="s">
        <v>225</v>
      </c>
      <c r="E364" s="7" t="s">
        <v>826</v>
      </c>
      <c r="F364" s="8">
        <v>172.73389000000032</v>
      </c>
      <c r="G364" s="7" t="s">
        <v>250</v>
      </c>
      <c r="H364" s="7" t="s">
        <v>251</v>
      </c>
      <c r="I364" s="10">
        <v>630.64</v>
      </c>
      <c r="J364" s="10">
        <v>182449.13</v>
      </c>
      <c r="K364" s="6">
        <v>161062.16000000032</v>
      </c>
    </row>
    <row r="365" spans="1:11" x14ac:dyDescent="0.25">
      <c r="A365" s="5" t="s">
        <v>706</v>
      </c>
      <c r="B365" s="42">
        <f t="shared" si="5"/>
        <v>183.07977000000002</v>
      </c>
      <c r="C365" s="7" t="s">
        <v>225</v>
      </c>
      <c r="D365" s="7" t="s">
        <v>224</v>
      </c>
      <c r="E365" s="7" t="s">
        <v>826</v>
      </c>
      <c r="F365" s="8">
        <v>173.35209000000032</v>
      </c>
      <c r="G365" s="7" t="s">
        <v>251</v>
      </c>
      <c r="H365" s="7" t="s">
        <v>252</v>
      </c>
      <c r="I365" s="10">
        <v>382.1</v>
      </c>
      <c r="J365" s="10">
        <v>183079.77000000002</v>
      </c>
      <c r="K365" s="6">
        <v>160431.52000000031</v>
      </c>
    </row>
    <row r="366" spans="1:11" x14ac:dyDescent="0.25">
      <c r="A366" s="5" t="s">
        <v>706</v>
      </c>
      <c r="B366" s="42">
        <f t="shared" si="5"/>
        <v>183.46187000000003</v>
      </c>
      <c r="C366" s="7" t="s">
        <v>224</v>
      </c>
      <c r="D366" s="7" t="s">
        <v>223</v>
      </c>
      <c r="E366" s="7" t="s">
        <v>826</v>
      </c>
      <c r="F366" s="8">
        <v>173.92839000000029</v>
      </c>
      <c r="G366" s="7" t="s">
        <v>252</v>
      </c>
      <c r="H366" s="7" t="s">
        <v>253</v>
      </c>
      <c r="I366" s="10">
        <v>341.24</v>
      </c>
      <c r="J366" s="10">
        <v>183461.87000000002</v>
      </c>
      <c r="K366" s="6">
        <v>160049.4200000003</v>
      </c>
    </row>
    <row r="367" spans="1:11" x14ac:dyDescent="0.25">
      <c r="A367" s="5" t="s">
        <v>706</v>
      </c>
      <c r="B367" s="42">
        <f t="shared" si="5"/>
        <v>183.80311</v>
      </c>
      <c r="C367" s="7" t="s">
        <v>223</v>
      </c>
      <c r="D367" s="7" t="s">
        <v>222</v>
      </c>
      <c r="E367" s="7" t="s">
        <v>826</v>
      </c>
      <c r="F367" s="8">
        <v>174.42437000000032</v>
      </c>
      <c r="G367" s="7" t="s">
        <v>253</v>
      </c>
      <c r="H367" s="7" t="s">
        <v>254</v>
      </c>
      <c r="I367" s="10">
        <v>504.21</v>
      </c>
      <c r="J367" s="10">
        <v>183803.11000000002</v>
      </c>
      <c r="K367" s="6">
        <v>159708.18000000031</v>
      </c>
    </row>
    <row r="368" spans="1:11" x14ac:dyDescent="0.25">
      <c r="A368" s="5" t="s">
        <v>706</v>
      </c>
      <c r="B368" s="42">
        <f t="shared" si="5"/>
        <v>184.30732</v>
      </c>
      <c r="C368" s="7" t="s">
        <v>222</v>
      </c>
      <c r="D368" s="7" t="s">
        <v>221</v>
      </c>
      <c r="E368" s="7" t="s">
        <v>826</v>
      </c>
      <c r="F368" s="8">
        <v>174.94098000000031</v>
      </c>
      <c r="G368" s="7" t="s">
        <v>254</v>
      </c>
      <c r="H368" s="7" t="s">
        <v>255</v>
      </c>
      <c r="I368" s="10">
        <v>550.29999999999995</v>
      </c>
      <c r="J368" s="10">
        <v>184307.32</v>
      </c>
      <c r="K368" s="6">
        <v>159203.97000000032</v>
      </c>
    </row>
    <row r="369" spans="1:11" x14ac:dyDescent="0.25">
      <c r="A369" s="5" t="s">
        <v>706</v>
      </c>
      <c r="B369" s="42">
        <f t="shared" si="5"/>
        <v>184.85762</v>
      </c>
      <c r="C369" s="7" t="s">
        <v>221</v>
      </c>
      <c r="D369" s="7" t="s">
        <v>220</v>
      </c>
      <c r="E369" s="7" t="s">
        <v>826</v>
      </c>
      <c r="F369" s="8">
        <v>175.45678000000029</v>
      </c>
      <c r="G369" s="7" t="s">
        <v>255</v>
      </c>
      <c r="H369" s="7" t="s">
        <v>256</v>
      </c>
      <c r="I369" s="10">
        <v>478.8</v>
      </c>
      <c r="J369" s="10">
        <v>184857.62</v>
      </c>
      <c r="K369" s="6">
        <v>158653.67000000033</v>
      </c>
    </row>
    <row r="370" spans="1:11" x14ac:dyDescent="0.25">
      <c r="A370" s="5" t="s">
        <v>706</v>
      </c>
      <c r="B370" s="42">
        <f t="shared" si="5"/>
        <v>185.33641999999998</v>
      </c>
      <c r="C370" s="7" t="s">
        <v>220</v>
      </c>
      <c r="D370" s="7" t="s">
        <v>219</v>
      </c>
      <c r="E370" s="7" t="s">
        <v>826</v>
      </c>
      <c r="F370" s="8">
        <v>176.00348000000031</v>
      </c>
      <c r="G370" s="7" t="s">
        <v>256</v>
      </c>
      <c r="H370" s="7" t="s">
        <v>257</v>
      </c>
      <c r="I370" s="10">
        <v>474.8</v>
      </c>
      <c r="J370" s="10">
        <v>185336.41999999998</v>
      </c>
      <c r="K370" s="6">
        <v>158174.87000000034</v>
      </c>
    </row>
    <row r="371" spans="1:11" x14ac:dyDescent="0.25">
      <c r="A371" s="5" t="s">
        <v>706</v>
      </c>
      <c r="B371" s="42">
        <f t="shared" si="5"/>
        <v>185.81121999999996</v>
      </c>
      <c r="C371" s="7" t="s">
        <v>219</v>
      </c>
      <c r="D371" s="7" t="s">
        <v>218</v>
      </c>
      <c r="E371" s="7" t="s">
        <v>826</v>
      </c>
      <c r="F371" s="8">
        <v>176.48898000000031</v>
      </c>
      <c r="G371" s="7" t="s">
        <v>257</v>
      </c>
      <c r="H371" s="7" t="s">
        <v>258</v>
      </c>
      <c r="I371" s="10">
        <v>535.39</v>
      </c>
      <c r="J371" s="10">
        <v>185811.21999999997</v>
      </c>
      <c r="K371" s="6">
        <v>157700.07000000036</v>
      </c>
    </row>
    <row r="372" spans="1:11" x14ac:dyDescent="0.25">
      <c r="A372" s="5" t="s">
        <v>706</v>
      </c>
      <c r="B372" s="42">
        <f t="shared" si="5"/>
        <v>186.34661</v>
      </c>
      <c r="C372" s="7" t="s">
        <v>218</v>
      </c>
      <c r="D372" s="7" t="s">
        <v>217</v>
      </c>
      <c r="E372" s="7" t="s">
        <v>826</v>
      </c>
      <c r="F372" s="8">
        <v>176.9209800000003</v>
      </c>
      <c r="G372" s="7" t="s">
        <v>258</v>
      </c>
      <c r="H372" s="7" t="s">
        <v>259</v>
      </c>
      <c r="I372" s="10">
        <v>597.48</v>
      </c>
      <c r="J372" s="10">
        <v>186346.61</v>
      </c>
      <c r="K372" s="6">
        <v>157164.68000000034</v>
      </c>
    </row>
    <row r="373" spans="1:11" x14ac:dyDescent="0.25">
      <c r="A373" s="5" t="s">
        <v>706</v>
      </c>
      <c r="B373" s="42">
        <f t="shared" si="5"/>
        <v>186.94408999999999</v>
      </c>
      <c r="C373" s="7" t="s">
        <v>217</v>
      </c>
      <c r="D373" s="7" t="s">
        <v>216</v>
      </c>
      <c r="E373" s="7" t="s">
        <v>826</v>
      </c>
      <c r="F373" s="8">
        <v>177.48848000000029</v>
      </c>
      <c r="G373" s="7" t="s">
        <v>259</v>
      </c>
      <c r="H373" s="7" t="s">
        <v>260</v>
      </c>
      <c r="I373" s="10">
        <v>374.3</v>
      </c>
      <c r="J373" s="10">
        <v>186944.09</v>
      </c>
      <c r="K373" s="6">
        <v>156567.20000000033</v>
      </c>
    </row>
    <row r="374" spans="1:11" x14ac:dyDescent="0.25">
      <c r="A374" s="5" t="s">
        <v>706</v>
      </c>
      <c r="B374" s="42">
        <f t="shared" si="5"/>
        <v>187.31838999999999</v>
      </c>
      <c r="C374" s="7" t="s">
        <v>216</v>
      </c>
      <c r="D374" s="7" t="s">
        <v>215</v>
      </c>
      <c r="E374" s="7" t="s">
        <v>826</v>
      </c>
      <c r="F374" s="8">
        <v>178.0373800000003</v>
      </c>
      <c r="G374" s="7" t="s">
        <v>260</v>
      </c>
      <c r="H374" s="7" t="s">
        <v>261</v>
      </c>
      <c r="I374" s="10">
        <v>301.3</v>
      </c>
      <c r="J374" s="10">
        <v>187318.38999999998</v>
      </c>
      <c r="K374" s="6">
        <v>156192.90000000034</v>
      </c>
    </row>
    <row r="375" spans="1:11" x14ac:dyDescent="0.25">
      <c r="A375" s="5" t="s">
        <v>706</v>
      </c>
      <c r="B375" s="42">
        <f t="shared" si="5"/>
        <v>187.61968999999996</v>
      </c>
      <c r="C375" s="7" t="s">
        <v>215</v>
      </c>
      <c r="D375" s="7" t="s">
        <v>214</v>
      </c>
      <c r="E375" s="7" t="s">
        <v>826</v>
      </c>
      <c r="F375" s="8">
        <v>178.59028000000029</v>
      </c>
      <c r="G375" s="7" t="s">
        <v>261</v>
      </c>
      <c r="H375" s="7" t="s">
        <v>262</v>
      </c>
      <c r="I375" s="10">
        <v>504</v>
      </c>
      <c r="J375" s="10">
        <v>187619.68999999997</v>
      </c>
      <c r="K375" s="6">
        <v>155891.60000000036</v>
      </c>
    </row>
    <row r="376" spans="1:11" x14ac:dyDescent="0.25">
      <c r="A376" s="5" t="s">
        <v>706</v>
      </c>
      <c r="B376" s="42">
        <f t="shared" si="5"/>
        <v>188.12368999999998</v>
      </c>
      <c r="C376" s="7" t="s">
        <v>214</v>
      </c>
      <c r="D376" s="7" t="s">
        <v>213</v>
      </c>
      <c r="E376" s="7" t="s">
        <v>826</v>
      </c>
      <c r="F376" s="8">
        <v>179.11708000000027</v>
      </c>
      <c r="G376" s="7" t="s">
        <v>262</v>
      </c>
      <c r="H376" s="7" t="s">
        <v>263</v>
      </c>
      <c r="I376" s="10">
        <v>424.1</v>
      </c>
      <c r="J376" s="10">
        <v>188123.68999999997</v>
      </c>
      <c r="K376" s="6">
        <v>155387.60000000036</v>
      </c>
    </row>
    <row r="377" spans="1:11" x14ac:dyDescent="0.25">
      <c r="A377" s="5" t="s">
        <v>706</v>
      </c>
      <c r="B377" s="42">
        <f t="shared" si="5"/>
        <v>188.54778999999999</v>
      </c>
      <c r="C377" s="7" t="s">
        <v>213</v>
      </c>
      <c r="D377" s="7" t="s">
        <v>212</v>
      </c>
      <c r="E377" s="7" t="s">
        <v>826</v>
      </c>
      <c r="F377" s="8">
        <v>179.70308000000028</v>
      </c>
      <c r="G377" s="7" t="s">
        <v>263</v>
      </c>
      <c r="H377" s="7" t="s">
        <v>264</v>
      </c>
      <c r="I377" s="10">
        <v>444.9</v>
      </c>
      <c r="J377" s="10">
        <v>188547.78999999998</v>
      </c>
      <c r="K377" s="6">
        <v>154963.50000000035</v>
      </c>
    </row>
    <row r="378" spans="1:11" x14ac:dyDescent="0.25">
      <c r="A378" s="5" t="s">
        <v>706</v>
      </c>
      <c r="B378" s="42">
        <f t="shared" si="5"/>
        <v>188.99268999999998</v>
      </c>
      <c r="C378" s="7" t="s">
        <v>212</v>
      </c>
      <c r="D378" s="7" t="s">
        <v>211</v>
      </c>
      <c r="E378" s="7" t="s">
        <v>826</v>
      </c>
      <c r="F378" s="8">
        <v>180.14608000000027</v>
      </c>
      <c r="G378" s="7" t="s">
        <v>264</v>
      </c>
      <c r="H378" s="7" t="s">
        <v>265</v>
      </c>
      <c r="I378" s="10">
        <v>552.95000000000005</v>
      </c>
      <c r="J378" s="10">
        <v>188992.68999999997</v>
      </c>
      <c r="K378" s="6">
        <v>154518.60000000036</v>
      </c>
    </row>
    <row r="379" spans="1:11" x14ac:dyDescent="0.25">
      <c r="A379" s="5" t="s">
        <v>706</v>
      </c>
      <c r="B379" s="42">
        <f t="shared" si="5"/>
        <v>189.54563999999999</v>
      </c>
      <c r="C379" s="7" t="s">
        <v>211</v>
      </c>
      <c r="D379" s="7" t="s">
        <v>210</v>
      </c>
      <c r="E379" s="7" t="s">
        <v>826</v>
      </c>
      <c r="F379" s="8">
        <v>180.68558000000027</v>
      </c>
      <c r="G379" s="7" t="s">
        <v>265</v>
      </c>
      <c r="H379" s="7" t="s">
        <v>266</v>
      </c>
      <c r="I379" s="10">
        <v>390</v>
      </c>
      <c r="J379" s="10">
        <v>189545.63999999998</v>
      </c>
      <c r="K379" s="6">
        <v>153965.65000000034</v>
      </c>
    </row>
    <row r="380" spans="1:11" x14ac:dyDescent="0.25">
      <c r="A380" s="5" t="s">
        <v>706</v>
      </c>
      <c r="B380" s="42">
        <f t="shared" si="5"/>
        <v>189.93563999999998</v>
      </c>
      <c r="C380" s="7" t="s">
        <v>210</v>
      </c>
      <c r="D380" s="7" t="s">
        <v>209</v>
      </c>
      <c r="E380" s="7" t="s">
        <v>826</v>
      </c>
      <c r="F380" s="8">
        <v>181.30168000000029</v>
      </c>
      <c r="G380" s="7" t="s">
        <v>266</v>
      </c>
      <c r="H380" s="7" t="s">
        <v>267</v>
      </c>
      <c r="I380" s="10">
        <v>422.34</v>
      </c>
      <c r="J380" s="10">
        <v>189935.63999999998</v>
      </c>
      <c r="K380" s="6">
        <v>153575.65000000034</v>
      </c>
    </row>
    <row r="381" spans="1:11" x14ac:dyDescent="0.25">
      <c r="A381" s="5" t="s">
        <v>706</v>
      </c>
      <c r="B381" s="42">
        <f t="shared" si="5"/>
        <v>190.35797999999997</v>
      </c>
      <c r="C381" s="7" t="s">
        <v>209</v>
      </c>
      <c r="D381" s="7" t="s">
        <v>208</v>
      </c>
      <c r="E381" s="7" t="s">
        <v>826</v>
      </c>
      <c r="F381" s="8">
        <v>181.82327000000029</v>
      </c>
      <c r="G381" s="7" t="s">
        <v>267</v>
      </c>
      <c r="H381" s="7" t="s">
        <v>268</v>
      </c>
      <c r="I381" s="10">
        <v>591.19000000000005</v>
      </c>
      <c r="J381" s="10">
        <v>190357.97999999998</v>
      </c>
      <c r="K381" s="6">
        <v>153153.31000000035</v>
      </c>
    </row>
    <row r="382" spans="1:11" x14ac:dyDescent="0.25">
      <c r="A382" s="5" t="s">
        <v>706</v>
      </c>
      <c r="B382" s="42">
        <f t="shared" si="5"/>
        <v>190.94916999999998</v>
      </c>
      <c r="C382" s="7" t="s">
        <v>208</v>
      </c>
      <c r="D382" s="7" t="s">
        <v>207</v>
      </c>
      <c r="E382" s="7" t="s">
        <v>826</v>
      </c>
      <c r="F382" s="8">
        <v>182.34909000000027</v>
      </c>
      <c r="G382" s="7" t="s">
        <v>268</v>
      </c>
      <c r="H382" s="7" t="s">
        <v>269</v>
      </c>
      <c r="I382" s="10">
        <v>367.71</v>
      </c>
      <c r="J382" s="10">
        <v>190949.16999999998</v>
      </c>
      <c r="K382" s="6">
        <v>152562.12000000034</v>
      </c>
    </row>
    <row r="383" spans="1:11" x14ac:dyDescent="0.25">
      <c r="A383" s="5" t="s">
        <v>706</v>
      </c>
      <c r="B383" s="42">
        <f t="shared" si="5"/>
        <v>191.31687999999997</v>
      </c>
      <c r="C383" s="7" t="s">
        <v>207</v>
      </c>
      <c r="D383" s="7" t="s">
        <v>206</v>
      </c>
      <c r="E383" s="7" t="s">
        <v>826</v>
      </c>
      <c r="F383" s="8">
        <v>182.93479000000031</v>
      </c>
      <c r="G383" s="7" t="s">
        <v>269</v>
      </c>
      <c r="H383" s="7" t="s">
        <v>270</v>
      </c>
      <c r="I383" s="10">
        <v>503.4</v>
      </c>
      <c r="J383" s="10">
        <v>191316.87999999998</v>
      </c>
      <c r="K383" s="6">
        <v>152194.41000000035</v>
      </c>
    </row>
    <row r="384" spans="1:11" x14ac:dyDescent="0.25">
      <c r="A384" s="5" t="s">
        <v>706</v>
      </c>
      <c r="B384" s="42">
        <f t="shared" si="5"/>
        <v>191.82027999999997</v>
      </c>
      <c r="C384" s="7" t="s">
        <v>206</v>
      </c>
      <c r="D384" s="7" t="s">
        <v>205</v>
      </c>
      <c r="E384" s="7" t="s">
        <v>826</v>
      </c>
      <c r="F384" s="8">
        <v>183.5099900000003</v>
      </c>
      <c r="G384" s="7" t="s">
        <v>270</v>
      </c>
      <c r="H384" s="7" t="s">
        <v>271</v>
      </c>
      <c r="I384" s="10">
        <v>504.2</v>
      </c>
      <c r="J384" s="10">
        <v>191820.27999999997</v>
      </c>
      <c r="K384" s="6">
        <v>151691.01000000036</v>
      </c>
    </row>
    <row r="385" spans="1:11" x14ac:dyDescent="0.25">
      <c r="A385" s="5" t="s">
        <v>706</v>
      </c>
      <c r="B385" s="42">
        <f t="shared" si="5"/>
        <v>192.32447999999999</v>
      </c>
      <c r="C385" s="7" t="s">
        <v>205</v>
      </c>
      <c r="D385" s="7" t="s">
        <v>204</v>
      </c>
      <c r="E385" s="7" t="s">
        <v>826</v>
      </c>
      <c r="F385" s="8">
        <v>183.92048000000031</v>
      </c>
      <c r="G385" s="7" t="s">
        <v>271</v>
      </c>
      <c r="H385" s="7" t="s">
        <v>273</v>
      </c>
      <c r="I385" s="10">
        <v>582.9</v>
      </c>
      <c r="J385" s="10">
        <v>192324.47999999998</v>
      </c>
      <c r="K385" s="6">
        <v>151186.81000000035</v>
      </c>
    </row>
    <row r="386" spans="1:11" x14ac:dyDescent="0.25">
      <c r="A386" s="5" t="s">
        <v>706</v>
      </c>
      <c r="B386" s="42">
        <f t="shared" si="5"/>
        <v>192.90737999999999</v>
      </c>
      <c r="C386" s="7" t="s">
        <v>204</v>
      </c>
      <c r="D386" s="7" t="s">
        <v>203</v>
      </c>
      <c r="E386" s="7" t="s">
        <v>826</v>
      </c>
      <c r="F386" s="8">
        <v>184.48548000000031</v>
      </c>
      <c r="G386" s="7" t="s">
        <v>273</v>
      </c>
      <c r="H386" s="7" t="s">
        <v>275</v>
      </c>
      <c r="I386" s="10">
        <v>478.3</v>
      </c>
      <c r="J386" s="10">
        <v>192907.37999999998</v>
      </c>
      <c r="K386" s="6">
        <v>150603.91000000035</v>
      </c>
    </row>
    <row r="387" spans="1:11" x14ac:dyDescent="0.25">
      <c r="A387" s="5" t="s">
        <v>706</v>
      </c>
      <c r="B387" s="42">
        <f t="shared" ref="B387:B450" si="6">J387/1000</f>
        <v>193.38567999999995</v>
      </c>
      <c r="C387" s="7" t="s">
        <v>203</v>
      </c>
      <c r="D387" s="7" t="s">
        <v>202</v>
      </c>
      <c r="E387" s="7" t="s">
        <v>826</v>
      </c>
      <c r="F387" s="8">
        <v>185.00808000000032</v>
      </c>
      <c r="G387" s="7" t="s">
        <v>275</v>
      </c>
      <c r="H387" s="7" t="s">
        <v>277</v>
      </c>
      <c r="I387" s="10">
        <v>433.57</v>
      </c>
      <c r="J387" s="10">
        <v>193385.67999999996</v>
      </c>
      <c r="K387" s="6">
        <v>150125.61000000036</v>
      </c>
    </row>
    <row r="388" spans="1:11" x14ac:dyDescent="0.25">
      <c r="A388" s="5" t="s">
        <v>706</v>
      </c>
      <c r="B388" s="42">
        <f t="shared" si="6"/>
        <v>193.81924999999998</v>
      </c>
      <c r="C388" s="7" t="s">
        <v>202</v>
      </c>
      <c r="D388" s="7" t="s">
        <v>201</v>
      </c>
      <c r="E388" s="7" t="s">
        <v>826</v>
      </c>
      <c r="F388" s="8">
        <v>185.48648000000031</v>
      </c>
      <c r="G388" s="7" t="s">
        <v>277</v>
      </c>
      <c r="H388" s="7" t="s">
        <v>279</v>
      </c>
      <c r="I388" s="10">
        <v>482.71</v>
      </c>
      <c r="J388" s="10">
        <v>193819.24999999997</v>
      </c>
      <c r="K388" s="6">
        <v>149692.04000000036</v>
      </c>
    </row>
    <row r="389" spans="1:11" x14ac:dyDescent="0.25">
      <c r="A389" s="5" t="s">
        <v>706</v>
      </c>
      <c r="B389" s="42">
        <f t="shared" si="6"/>
        <v>194.30195999999995</v>
      </c>
      <c r="C389" s="7" t="s">
        <v>201</v>
      </c>
      <c r="D389" s="7" t="s">
        <v>200</v>
      </c>
      <c r="E389" s="7" t="s">
        <v>826</v>
      </c>
      <c r="F389" s="8">
        <v>186.0075800000003</v>
      </c>
      <c r="G389" s="7" t="s">
        <v>279</v>
      </c>
      <c r="H389" s="7" t="s">
        <v>281</v>
      </c>
      <c r="I389" s="10">
        <v>566.78</v>
      </c>
      <c r="J389" s="10">
        <v>194301.95999999996</v>
      </c>
      <c r="K389" s="6">
        <v>149209.33000000037</v>
      </c>
    </row>
    <row r="390" spans="1:11" x14ac:dyDescent="0.25">
      <c r="A390" s="5" t="s">
        <v>706</v>
      </c>
      <c r="B390" s="42">
        <f t="shared" si="6"/>
        <v>194.86873999999997</v>
      </c>
      <c r="C390" s="7" t="s">
        <v>200</v>
      </c>
      <c r="D390" s="7" t="s">
        <v>199</v>
      </c>
      <c r="E390" s="7" t="s">
        <v>826</v>
      </c>
      <c r="F390" s="8">
        <v>186.49098000000029</v>
      </c>
      <c r="G390" s="7" t="s">
        <v>281</v>
      </c>
      <c r="H390" s="7" t="s">
        <v>283</v>
      </c>
      <c r="I390" s="10">
        <v>511.5</v>
      </c>
      <c r="J390" s="10">
        <v>194868.73999999996</v>
      </c>
      <c r="K390" s="6">
        <v>148642.55000000037</v>
      </c>
    </row>
    <row r="391" spans="1:11" x14ac:dyDescent="0.25">
      <c r="A391" s="5" t="s">
        <v>706</v>
      </c>
      <c r="B391" s="42">
        <f t="shared" si="6"/>
        <v>195.38023999999996</v>
      </c>
      <c r="C391" s="7" t="s">
        <v>199</v>
      </c>
      <c r="D391" s="7" t="s">
        <v>198</v>
      </c>
      <c r="E391" s="7" t="s">
        <v>826</v>
      </c>
      <c r="F391" s="8">
        <v>186.9030800000003</v>
      </c>
      <c r="G391" s="7" t="s">
        <v>283</v>
      </c>
      <c r="H391" s="7" t="s">
        <v>285</v>
      </c>
      <c r="I391" s="10">
        <v>473.18</v>
      </c>
      <c r="J391" s="10">
        <v>195380.23999999996</v>
      </c>
      <c r="K391" s="6">
        <v>148131.05000000037</v>
      </c>
    </row>
    <row r="392" spans="1:11" x14ac:dyDescent="0.25">
      <c r="A392" s="5" t="s">
        <v>706</v>
      </c>
      <c r="B392" s="42">
        <f t="shared" si="6"/>
        <v>195.85341999999994</v>
      </c>
      <c r="C392" s="7" t="s">
        <v>198</v>
      </c>
      <c r="D392" s="7" t="s">
        <v>197</v>
      </c>
      <c r="E392" s="7" t="s">
        <v>826</v>
      </c>
      <c r="F392" s="8">
        <v>187.40458000000029</v>
      </c>
      <c r="G392" s="7" t="s">
        <v>285</v>
      </c>
      <c r="H392" s="7" t="s">
        <v>287</v>
      </c>
      <c r="I392" s="10">
        <v>406.32</v>
      </c>
      <c r="J392" s="10">
        <v>195853.41999999995</v>
      </c>
      <c r="K392" s="6">
        <v>147657.87000000037</v>
      </c>
    </row>
    <row r="393" spans="1:11" x14ac:dyDescent="0.25">
      <c r="A393" s="5" t="s">
        <v>706</v>
      </c>
      <c r="B393" s="42">
        <f t="shared" si="6"/>
        <v>196.25973999999997</v>
      </c>
      <c r="C393" s="7" t="s">
        <v>197</v>
      </c>
      <c r="D393" s="7" t="s">
        <v>196</v>
      </c>
      <c r="E393" s="7" t="s">
        <v>826</v>
      </c>
      <c r="F393" s="8">
        <v>187.8953800000003</v>
      </c>
      <c r="G393" s="7" t="s">
        <v>287</v>
      </c>
      <c r="H393" s="7" t="s">
        <v>289</v>
      </c>
      <c r="I393" s="10">
        <v>465.8</v>
      </c>
      <c r="J393" s="10">
        <v>196259.73999999996</v>
      </c>
      <c r="K393" s="6">
        <v>147251.55000000037</v>
      </c>
    </row>
    <row r="394" spans="1:11" x14ac:dyDescent="0.25">
      <c r="A394" s="5" t="s">
        <v>706</v>
      </c>
      <c r="B394" s="42">
        <f t="shared" si="6"/>
        <v>196.72553999999994</v>
      </c>
      <c r="C394" s="7" t="s">
        <v>196</v>
      </c>
      <c r="D394" s="7" t="s">
        <v>195</v>
      </c>
      <c r="E394" s="7" t="s">
        <v>826</v>
      </c>
      <c r="F394" s="8">
        <v>188.45298000000031</v>
      </c>
      <c r="G394" s="7" t="s">
        <v>289</v>
      </c>
      <c r="H394" s="7" t="s">
        <v>291</v>
      </c>
      <c r="I394" s="10">
        <v>381.5</v>
      </c>
      <c r="J394" s="10">
        <v>196725.53999999995</v>
      </c>
      <c r="K394" s="6">
        <v>146785.75000000038</v>
      </c>
    </row>
    <row r="395" spans="1:11" x14ac:dyDescent="0.25">
      <c r="A395" s="5" t="s">
        <v>706</v>
      </c>
      <c r="B395" s="42">
        <f t="shared" si="6"/>
        <v>197.10703999999996</v>
      </c>
      <c r="C395" s="7" t="s">
        <v>195</v>
      </c>
      <c r="D395" s="7" t="s">
        <v>194</v>
      </c>
      <c r="E395" s="7" t="s">
        <v>826</v>
      </c>
      <c r="F395" s="8">
        <v>188.75948000000031</v>
      </c>
      <c r="G395" s="7" t="s">
        <v>291</v>
      </c>
      <c r="H395" s="7" t="s">
        <v>293</v>
      </c>
      <c r="I395" s="10">
        <v>375</v>
      </c>
      <c r="J395" s="10">
        <v>197107.03999999995</v>
      </c>
      <c r="K395" s="6">
        <v>146404.25000000038</v>
      </c>
    </row>
    <row r="396" spans="1:11" x14ac:dyDescent="0.25">
      <c r="A396" s="5" t="s">
        <v>706</v>
      </c>
      <c r="B396" s="42">
        <f t="shared" si="6"/>
        <v>197.48203999999996</v>
      </c>
      <c r="C396" s="7" t="s">
        <v>194</v>
      </c>
      <c r="D396" s="7" t="s">
        <v>193</v>
      </c>
      <c r="E396" s="7" t="s">
        <v>826</v>
      </c>
      <c r="F396" s="8">
        <v>189.08786000000032</v>
      </c>
      <c r="G396" s="7" t="s">
        <v>293</v>
      </c>
      <c r="H396" s="7" t="s">
        <v>295</v>
      </c>
      <c r="I396" s="10">
        <v>524.9</v>
      </c>
      <c r="J396" s="10">
        <v>197482.03999999995</v>
      </c>
      <c r="K396" s="6">
        <v>146029.25000000038</v>
      </c>
    </row>
    <row r="397" spans="1:11" x14ac:dyDescent="0.25">
      <c r="A397" s="5" t="s">
        <v>706</v>
      </c>
      <c r="B397" s="42">
        <f t="shared" si="6"/>
        <v>198.00693999999996</v>
      </c>
      <c r="C397" s="7" t="s">
        <v>193</v>
      </c>
      <c r="D397" s="7" t="s">
        <v>192</v>
      </c>
      <c r="E397" s="7" t="s">
        <v>826</v>
      </c>
      <c r="F397" s="8">
        <v>189.48719000000028</v>
      </c>
      <c r="G397" s="7" t="s">
        <v>295</v>
      </c>
      <c r="H397" s="7" t="s">
        <v>297</v>
      </c>
      <c r="I397" s="10">
        <v>539.88</v>
      </c>
      <c r="J397" s="10">
        <v>198006.93999999994</v>
      </c>
      <c r="K397" s="6">
        <v>145504.35000000038</v>
      </c>
    </row>
    <row r="398" spans="1:11" x14ac:dyDescent="0.25">
      <c r="A398" s="5" t="s">
        <v>706</v>
      </c>
      <c r="B398" s="42">
        <f t="shared" si="6"/>
        <v>198.54681999999994</v>
      </c>
      <c r="C398" s="7" t="s">
        <v>192</v>
      </c>
      <c r="D398" s="7" t="s">
        <v>191</v>
      </c>
      <c r="E398" s="7" t="s">
        <v>826</v>
      </c>
      <c r="F398" s="8">
        <v>189.9831400000003</v>
      </c>
      <c r="G398" s="7" t="s">
        <v>297</v>
      </c>
      <c r="H398" s="7" t="s">
        <v>299</v>
      </c>
      <c r="I398" s="10">
        <v>655.6</v>
      </c>
      <c r="J398" s="10">
        <v>198546.81999999995</v>
      </c>
      <c r="K398" s="6">
        <v>144964.47000000038</v>
      </c>
    </row>
    <row r="399" spans="1:11" x14ac:dyDescent="0.25">
      <c r="A399" s="5" t="s">
        <v>706</v>
      </c>
      <c r="B399" s="42">
        <f t="shared" si="6"/>
        <v>199.20241999999996</v>
      </c>
      <c r="C399" s="7" t="s">
        <v>191</v>
      </c>
      <c r="D399" s="7" t="s">
        <v>190</v>
      </c>
      <c r="E399" s="7" t="s">
        <v>826</v>
      </c>
      <c r="F399" s="8">
        <v>190.5631800000003</v>
      </c>
      <c r="G399" s="7" t="s">
        <v>299</v>
      </c>
      <c r="H399" s="7" t="s">
        <v>301</v>
      </c>
      <c r="I399" s="10">
        <v>589.20000000000005</v>
      </c>
      <c r="J399" s="10">
        <v>199202.41999999995</v>
      </c>
      <c r="K399" s="6">
        <v>144308.87000000037</v>
      </c>
    </row>
    <row r="400" spans="1:11" x14ac:dyDescent="0.25">
      <c r="A400" s="5" t="s">
        <v>706</v>
      </c>
      <c r="B400" s="42">
        <f t="shared" si="6"/>
        <v>199.79161999999997</v>
      </c>
      <c r="C400" s="7" t="s">
        <v>190</v>
      </c>
      <c r="D400" s="7" t="s">
        <v>189</v>
      </c>
      <c r="E400" s="7" t="s">
        <v>826</v>
      </c>
      <c r="F400" s="8">
        <v>191.14918000000031</v>
      </c>
      <c r="G400" s="7" t="s">
        <v>301</v>
      </c>
      <c r="H400" s="7" t="s">
        <v>303</v>
      </c>
      <c r="I400" s="10">
        <v>601.16</v>
      </c>
      <c r="J400" s="10">
        <v>199791.61999999997</v>
      </c>
      <c r="K400" s="6">
        <v>143719.67000000036</v>
      </c>
    </row>
    <row r="401" spans="1:11" x14ac:dyDescent="0.25">
      <c r="A401" s="5" t="s">
        <v>706</v>
      </c>
      <c r="B401" s="42">
        <f t="shared" si="6"/>
        <v>200.39277999999996</v>
      </c>
      <c r="C401" s="7" t="s">
        <v>189</v>
      </c>
      <c r="D401" s="7" t="s">
        <v>188</v>
      </c>
      <c r="E401" s="7" t="s">
        <v>826</v>
      </c>
      <c r="F401" s="8">
        <v>191.78638000000032</v>
      </c>
      <c r="G401" s="7" t="s">
        <v>303</v>
      </c>
      <c r="H401" s="7" t="s">
        <v>305</v>
      </c>
      <c r="I401" s="10">
        <v>472.4</v>
      </c>
      <c r="J401" s="10">
        <v>200392.77999999997</v>
      </c>
      <c r="K401" s="6">
        <v>143118.51000000036</v>
      </c>
    </row>
    <row r="402" spans="1:11" x14ac:dyDescent="0.25">
      <c r="A402" s="5" t="s">
        <v>706</v>
      </c>
      <c r="B402" s="42">
        <f t="shared" si="6"/>
        <v>200.86517999999995</v>
      </c>
      <c r="C402" s="7" t="s">
        <v>188</v>
      </c>
      <c r="D402" s="7" t="s">
        <v>696</v>
      </c>
      <c r="E402" s="7" t="s">
        <v>826</v>
      </c>
      <c r="F402" s="8">
        <v>192.25431000000032</v>
      </c>
      <c r="G402" s="7" t="s">
        <v>305</v>
      </c>
      <c r="H402" s="7" t="s">
        <v>307</v>
      </c>
      <c r="I402" s="10">
        <v>326.7</v>
      </c>
      <c r="J402" s="10">
        <v>200865.17999999996</v>
      </c>
      <c r="K402" s="6">
        <v>142646.11000000036</v>
      </c>
    </row>
    <row r="403" spans="1:11" x14ac:dyDescent="0.25">
      <c r="A403" s="5" t="s">
        <v>706</v>
      </c>
      <c r="B403" s="42">
        <f t="shared" si="6"/>
        <v>201.19187999999997</v>
      </c>
      <c r="C403" s="7" t="s">
        <v>696</v>
      </c>
      <c r="D403" s="7" t="s">
        <v>695</v>
      </c>
      <c r="E403" s="7" t="s">
        <v>826</v>
      </c>
      <c r="F403" s="8">
        <v>192.69371000000032</v>
      </c>
      <c r="G403" s="7" t="s">
        <v>307</v>
      </c>
      <c r="H403" s="7" t="s">
        <v>309</v>
      </c>
      <c r="I403" s="10">
        <v>319.81</v>
      </c>
      <c r="J403" s="10">
        <v>201191.87999999998</v>
      </c>
      <c r="K403" s="6">
        <v>142319.41000000035</v>
      </c>
    </row>
    <row r="404" spans="1:11" x14ac:dyDescent="0.25">
      <c r="A404" s="5" t="s">
        <v>706</v>
      </c>
      <c r="B404" s="42">
        <f t="shared" si="6"/>
        <v>201.51168999999999</v>
      </c>
      <c r="C404" s="7" t="s">
        <v>695</v>
      </c>
      <c r="D404" s="7" t="s">
        <v>694</v>
      </c>
      <c r="E404" s="7" t="s">
        <v>826</v>
      </c>
      <c r="F404" s="8">
        <v>193.19531000000032</v>
      </c>
      <c r="G404" s="7" t="s">
        <v>309</v>
      </c>
      <c r="H404" s="7" t="s">
        <v>311</v>
      </c>
      <c r="I404" s="10">
        <v>355.8</v>
      </c>
      <c r="J404" s="10">
        <v>201511.68999999997</v>
      </c>
      <c r="K404" s="6">
        <v>141999.60000000036</v>
      </c>
    </row>
    <row r="405" spans="1:11" x14ac:dyDescent="0.25">
      <c r="A405" s="5" t="s">
        <v>706</v>
      </c>
      <c r="B405" s="42">
        <f t="shared" si="6"/>
        <v>201.86748999999998</v>
      </c>
      <c r="C405" s="7" t="s">
        <v>694</v>
      </c>
      <c r="D405" s="7" t="s">
        <v>693</v>
      </c>
      <c r="E405" s="7" t="s">
        <v>826</v>
      </c>
      <c r="F405" s="8">
        <v>193.7871100000003</v>
      </c>
      <c r="G405" s="7" t="s">
        <v>311</v>
      </c>
      <c r="H405" s="7" t="s">
        <v>313</v>
      </c>
      <c r="I405" s="10">
        <v>560</v>
      </c>
      <c r="J405" s="10">
        <v>201867.48999999996</v>
      </c>
      <c r="K405" s="6">
        <v>141643.80000000037</v>
      </c>
    </row>
    <row r="406" spans="1:11" x14ac:dyDescent="0.25">
      <c r="A406" s="5" t="s">
        <v>706</v>
      </c>
      <c r="B406" s="42">
        <f t="shared" si="6"/>
        <v>202.42748999999995</v>
      </c>
      <c r="C406" s="7" t="s">
        <v>693</v>
      </c>
      <c r="D406" s="7" t="s">
        <v>692</v>
      </c>
      <c r="E406" s="7" t="s">
        <v>826</v>
      </c>
      <c r="F406" s="8">
        <v>194.39431000000033</v>
      </c>
      <c r="G406" s="7" t="s">
        <v>313</v>
      </c>
      <c r="H406" s="7" t="s">
        <v>315</v>
      </c>
      <c r="I406" s="10">
        <v>590</v>
      </c>
      <c r="J406" s="10">
        <v>202427.48999999996</v>
      </c>
      <c r="K406" s="6">
        <v>141083.80000000037</v>
      </c>
    </row>
    <row r="407" spans="1:11" x14ac:dyDescent="0.25">
      <c r="A407" s="5" t="s">
        <v>706</v>
      </c>
      <c r="B407" s="42">
        <f t="shared" si="6"/>
        <v>203.01748999999995</v>
      </c>
      <c r="C407" s="7" t="s">
        <v>692</v>
      </c>
      <c r="D407" s="7" t="s">
        <v>691</v>
      </c>
      <c r="E407" s="7" t="s">
        <v>826</v>
      </c>
      <c r="F407" s="8">
        <v>194.97491000000034</v>
      </c>
      <c r="G407" s="7" t="s">
        <v>315</v>
      </c>
      <c r="H407" s="7" t="s">
        <v>317</v>
      </c>
      <c r="I407" s="10">
        <v>518.4</v>
      </c>
      <c r="J407" s="10">
        <v>203017.48999999996</v>
      </c>
      <c r="K407" s="6">
        <v>140493.80000000037</v>
      </c>
    </row>
    <row r="408" spans="1:11" x14ac:dyDescent="0.25">
      <c r="A408" s="5" t="s">
        <v>706</v>
      </c>
      <c r="B408" s="42">
        <f t="shared" si="6"/>
        <v>203.53588999999997</v>
      </c>
      <c r="C408" s="7" t="s">
        <v>691</v>
      </c>
      <c r="D408" s="7" t="s">
        <v>690</v>
      </c>
      <c r="E408" s="7" t="s">
        <v>826</v>
      </c>
      <c r="F408" s="8">
        <v>195.40811000000033</v>
      </c>
      <c r="G408" s="7" t="s">
        <v>317</v>
      </c>
      <c r="H408" s="7" t="s">
        <v>319</v>
      </c>
      <c r="I408" s="10">
        <v>446.89</v>
      </c>
      <c r="J408" s="10">
        <v>203535.88999999996</v>
      </c>
      <c r="K408" s="6">
        <v>139975.40000000037</v>
      </c>
    </row>
    <row r="409" spans="1:11" x14ac:dyDescent="0.25">
      <c r="A409" s="5" t="s">
        <v>706</v>
      </c>
      <c r="B409" s="42">
        <f t="shared" si="6"/>
        <v>203.98277999999996</v>
      </c>
      <c r="C409" s="7" t="s">
        <v>690</v>
      </c>
      <c r="D409" s="7" t="s">
        <v>689</v>
      </c>
      <c r="E409" s="7" t="s">
        <v>826</v>
      </c>
      <c r="F409" s="8">
        <v>195.97031000000035</v>
      </c>
      <c r="G409" s="7" t="s">
        <v>319</v>
      </c>
      <c r="H409" s="7" t="s">
        <v>321</v>
      </c>
      <c r="I409" s="10">
        <v>568.22</v>
      </c>
      <c r="J409" s="10">
        <v>203982.77999999997</v>
      </c>
      <c r="K409" s="6">
        <v>139528.51000000036</v>
      </c>
    </row>
    <row r="410" spans="1:11" x14ac:dyDescent="0.25">
      <c r="A410" s="5" t="s">
        <v>706</v>
      </c>
      <c r="B410" s="42">
        <f t="shared" si="6"/>
        <v>204.55099999999996</v>
      </c>
      <c r="C410" s="7" t="s">
        <v>689</v>
      </c>
      <c r="D410" s="7" t="s">
        <v>688</v>
      </c>
      <c r="E410" s="7" t="s">
        <v>826</v>
      </c>
      <c r="F410" s="8">
        <v>196.54091000000037</v>
      </c>
      <c r="G410" s="7" t="s">
        <v>321</v>
      </c>
      <c r="H410" s="7" t="s">
        <v>323</v>
      </c>
      <c r="I410" s="10">
        <v>562</v>
      </c>
      <c r="J410" s="10">
        <v>204550.99999999997</v>
      </c>
      <c r="K410" s="6">
        <v>138960.29000000036</v>
      </c>
    </row>
    <row r="411" spans="1:11" x14ac:dyDescent="0.25">
      <c r="A411" s="5" t="s">
        <v>706</v>
      </c>
      <c r="B411" s="42">
        <f t="shared" si="6"/>
        <v>205.11299999999997</v>
      </c>
      <c r="C411" s="7" t="s">
        <v>688</v>
      </c>
      <c r="D411" s="7" t="s">
        <v>687</v>
      </c>
      <c r="E411" s="7" t="s">
        <v>826</v>
      </c>
      <c r="F411" s="8">
        <v>197.09361000000035</v>
      </c>
      <c r="G411" s="7" t="s">
        <v>323</v>
      </c>
      <c r="H411" s="7" t="s">
        <v>325</v>
      </c>
      <c r="I411" s="10">
        <v>502.7</v>
      </c>
      <c r="J411" s="10">
        <v>205112.99999999997</v>
      </c>
      <c r="K411" s="6">
        <v>138398.29000000036</v>
      </c>
    </row>
    <row r="412" spans="1:11" x14ac:dyDescent="0.25">
      <c r="A412" s="5" t="s">
        <v>706</v>
      </c>
      <c r="B412" s="42">
        <f t="shared" si="6"/>
        <v>205.61569999999998</v>
      </c>
      <c r="C412" s="7" t="s">
        <v>687</v>
      </c>
      <c r="D412" s="7" t="s">
        <v>686</v>
      </c>
      <c r="E412" s="7" t="s">
        <v>826</v>
      </c>
      <c r="F412" s="8">
        <v>197.47361000000038</v>
      </c>
      <c r="G412" s="7" t="s">
        <v>325</v>
      </c>
      <c r="H412" s="7" t="s">
        <v>327</v>
      </c>
      <c r="I412" s="10">
        <v>494.16</v>
      </c>
      <c r="J412" s="10">
        <v>205615.69999999998</v>
      </c>
      <c r="K412" s="6">
        <v>137895.59000000035</v>
      </c>
    </row>
    <row r="413" spans="1:11" x14ac:dyDescent="0.25">
      <c r="A413" s="5" t="s">
        <v>706</v>
      </c>
      <c r="B413" s="42">
        <f t="shared" si="6"/>
        <v>206.10986</v>
      </c>
      <c r="C413" s="7" t="s">
        <v>686</v>
      </c>
      <c r="D413" s="7" t="s">
        <v>685</v>
      </c>
      <c r="E413" s="7" t="s">
        <v>826</v>
      </c>
      <c r="F413" s="8">
        <v>197.89731000000037</v>
      </c>
      <c r="G413" s="7" t="s">
        <v>327</v>
      </c>
      <c r="H413" s="7" t="s">
        <v>329</v>
      </c>
      <c r="I413" s="10">
        <v>570.03</v>
      </c>
      <c r="J413" s="10">
        <v>206109.86</v>
      </c>
      <c r="K413" s="6">
        <v>137401.43000000034</v>
      </c>
    </row>
    <row r="414" spans="1:11" x14ac:dyDescent="0.25">
      <c r="A414" s="5" t="s">
        <v>706</v>
      </c>
      <c r="B414" s="42">
        <f t="shared" si="6"/>
        <v>206.67988999999997</v>
      </c>
      <c r="C414" s="7" t="s">
        <v>685</v>
      </c>
      <c r="D414" s="7" t="s">
        <v>684</v>
      </c>
      <c r="E414" s="7" t="s">
        <v>826</v>
      </c>
      <c r="F414" s="8">
        <v>198.2430100000004</v>
      </c>
      <c r="G414" s="7" t="s">
        <v>329</v>
      </c>
      <c r="H414" s="7" t="s">
        <v>331</v>
      </c>
      <c r="I414" s="10">
        <v>581.4</v>
      </c>
      <c r="J414" s="10">
        <v>206679.88999999998</v>
      </c>
      <c r="K414" s="6">
        <v>136831.40000000034</v>
      </c>
    </row>
    <row r="415" spans="1:11" x14ac:dyDescent="0.25">
      <c r="A415" s="5" t="s">
        <v>706</v>
      </c>
      <c r="B415" s="42">
        <f t="shared" si="6"/>
        <v>207.26128999999997</v>
      </c>
      <c r="C415" s="7" t="s">
        <v>684</v>
      </c>
      <c r="D415" s="7" t="s">
        <v>683</v>
      </c>
      <c r="E415" s="7" t="s">
        <v>826</v>
      </c>
      <c r="F415" s="8">
        <v>198.81451000000038</v>
      </c>
      <c r="G415" s="7" t="s">
        <v>331</v>
      </c>
      <c r="H415" s="7" t="s">
        <v>333</v>
      </c>
      <c r="I415" s="10">
        <v>466.6</v>
      </c>
      <c r="J415" s="10">
        <v>207261.28999999998</v>
      </c>
      <c r="K415" s="6">
        <v>136250.00000000035</v>
      </c>
    </row>
    <row r="416" spans="1:11" x14ac:dyDescent="0.25">
      <c r="A416" s="5" t="s">
        <v>706</v>
      </c>
      <c r="B416" s="42">
        <f t="shared" si="6"/>
        <v>207.72788999999997</v>
      </c>
      <c r="C416" s="7" t="s">
        <v>683</v>
      </c>
      <c r="D416" s="7" t="s">
        <v>682</v>
      </c>
      <c r="E416" s="7" t="s">
        <v>826</v>
      </c>
      <c r="F416" s="8">
        <v>199.43371000000039</v>
      </c>
      <c r="G416" s="7" t="s">
        <v>333</v>
      </c>
      <c r="H416" s="7" t="s">
        <v>335</v>
      </c>
      <c r="I416" s="10">
        <v>392.4</v>
      </c>
      <c r="J416" s="10">
        <v>207727.88999999998</v>
      </c>
      <c r="K416" s="6">
        <v>135783.40000000034</v>
      </c>
    </row>
    <row r="417" spans="1:11" x14ac:dyDescent="0.25">
      <c r="A417" s="5" t="s">
        <v>706</v>
      </c>
      <c r="B417" s="42">
        <f t="shared" si="6"/>
        <v>208.12028999999998</v>
      </c>
      <c r="C417" s="7" t="s">
        <v>682</v>
      </c>
      <c r="D417" s="7" t="s">
        <v>681</v>
      </c>
      <c r="E417" s="7" t="s">
        <v>826</v>
      </c>
      <c r="F417" s="8">
        <v>199.84301000000039</v>
      </c>
      <c r="G417" s="7" t="s">
        <v>335</v>
      </c>
      <c r="H417" s="7" t="s">
        <v>337</v>
      </c>
      <c r="I417" s="10">
        <v>418.25</v>
      </c>
      <c r="J417" s="10">
        <v>208120.28999999998</v>
      </c>
      <c r="K417" s="6">
        <v>135391.00000000035</v>
      </c>
    </row>
    <row r="418" spans="1:11" x14ac:dyDescent="0.25">
      <c r="A418" s="5" t="s">
        <v>706</v>
      </c>
      <c r="B418" s="42">
        <f t="shared" si="6"/>
        <v>208.53853999999998</v>
      </c>
      <c r="C418" s="7" t="s">
        <v>681</v>
      </c>
      <c r="D418" s="7" t="s">
        <v>680</v>
      </c>
      <c r="E418" s="7" t="s">
        <v>826</v>
      </c>
      <c r="F418" s="8">
        <v>200.47041000000038</v>
      </c>
      <c r="G418" s="7" t="s">
        <v>337</v>
      </c>
      <c r="H418" s="7" t="s">
        <v>339</v>
      </c>
      <c r="I418" s="10">
        <v>470.9</v>
      </c>
      <c r="J418" s="10">
        <v>208538.53999999998</v>
      </c>
      <c r="K418" s="6">
        <v>134972.75000000035</v>
      </c>
    </row>
    <row r="419" spans="1:11" x14ac:dyDescent="0.25">
      <c r="A419" s="5" t="s">
        <v>706</v>
      </c>
      <c r="B419" s="42">
        <f t="shared" si="6"/>
        <v>209.00943999999998</v>
      </c>
      <c r="C419" s="7" t="s">
        <v>680</v>
      </c>
      <c r="D419" s="7" t="s">
        <v>679</v>
      </c>
      <c r="E419" s="7" t="s">
        <v>826</v>
      </c>
      <c r="F419" s="8">
        <v>201.08921000000038</v>
      </c>
      <c r="G419" s="7" t="s">
        <v>339</v>
      </c>
      <c r="H419" s="7" t="s">
        <v>341</v>
      </c>
      <c r="I419" s="10">
        <v>418.6</v>
      </c>
      <c r="J419" s="10">
        <v>209009.43999999997</v>
      </c>
      <c r="K419" s="6">
        <v>134501.85000000036</v>
      </c>
    </row>
    <row r="420" spans="1:11" x14ac:dyDescent="0.25">
      <c r="A420" s="5" t="s">
        <v>706</v>
      </c>
      <c r="B420" s="42">
        <f t="shared" si="6"/>
        <v>209.42803999999998</v>
      </c>
      <c r="C420" s="7" t="s">
        <v>679</v>
      </c>
      <c r="D420" s="7" t="s">
        <v>678</v>
      </c>
      <c r="E420" s="7" t="s">
        <v>826</v>
      </c>
      <c r="F420" s="8">
        <v>201.66751000000036</v>
      </c>
      <c r="G420" s="7" t="s">
        <v>341</v>
      </c>
      <c r="H420" s="7" t="s">
        <v>343</v>
      </c>
      <c r="I420" s="10">
        <v>459.9</v>
      </c>
      <c r="J420" s="10">
        <v>209428.03999999998</v>
      </c>
      <c r="K420" s="6">
        <v>134083.25000000035</v>
      </c>
    </row>
    <row r="421" spans="1:11" x14ac:dyDescent="0.25">
      <c r="A421" s="5" t="s">
        <v>706</v>
      </c>
      <c r="B421" s="42">
        <f t="shared" si="6"/>
        <v>209.88793999999999</v>
      </c>
      <c r="C421" s="7" t="s">
        <v>678</v>
      </c>
      <c r="D421" s="7" t="s">
        <v>677</v>
      </c>
      <c r="E421" s="7" t="s">
        <v>826</v>
      </c>
      <c r="F421" s="8">
        <v>202.27651000000037</v>
      </c>
      <c r="G421" s="7" t="s">
        <v>343</v>
      </c>
      <c r="H421" s="7" t="s">
        <v>345</v>
      </c>
      <c r="I421" s="10">
        <v>526.26</v>
      </c>
      <c r="J421" s="10">
        <v>209887.93999999997</v>
      </c>
      <c r="K421" s="6">
        <v>133623.35000000036</v>
      </c>
    </row>
    <row r="422" spans="1:11" x14ac:dyDescent="0.25">
      <c r="A422" s="5" t="s">
        <v>706</v>
      </c>
      <c r="B422" s="42">
        <f t="shared" si="6"/>
        <v>210.41419999999999</v>
      </c>
      <c r="C422" s="7" t="s">
        <v>677</v>
      </c>
      <c r="D422" s="7" t="s">
        <v>676</v>
      </c>
      <c r="E422" s="7" t="s">
        <v>826</v>
      </c>
      <c r="F422" s="8">
        <v>202.84221000000036</v>
      </c>
      <c r="G422" s="7" t="s">
        <v>345</v>
      </c>
      <c r="H422" s="7" t="s">
        <v>347</v>
      </c>
      <c r="I422" s="10">
        <v>376.2</v>
      </c>
      <c r="J422" s="10">
        <v>210414.19999999998</v>
      </c>
      <c r="K422" s="6">
        <v>133097.09000000035</v>
      </c>
    </row>
    <row r="423" spans="1:11" x14ac:dyDescent="0.25">
      <c r="A423" s="5" t="s">
        <v>706</v>
      </c>
      <c r="B423" s="42">
        <f t="shared" si="6"/>
        <v>210.79040000000001</v>
      </c>
      <c r="C423" s="7" t="s">
        <v>676</v>
      </c>
      <c r="D423" s="7" t="s">
        <v>675</v>
      </c>
      <c r="E423" s="7" t="s">
        <v>826</v>
      </c>
      <c r="F423" s="8">
        <v>203.41511000000037</v>
      </c>
      <c r="G423" s="7" t="s">
        <v>347</v>
      </c>
      <c r="H423" s="7" t="s">
        <v>349</v>
      </c>
      <c r="I423" s="10">
        <v>354.7</v>
      </c>
      <c r="J423" s="10">
        <v>210790.39999999999</v>
      </c>
      <c r="K423" s="6">
        <v>132720.89000000033</v>
      </c>
    </row>
    <row r="424" spans="1:11" x14ac:dyDescent="0.25">
      <c r="A424" s="5" t="s">
        <v>706</v>
      </c>
      <c r="B424" s="42">
        <f t="shared" si="6"/>
        <v>211.14510000000001</v>
      </c>
      <c r="C424" s="7" t="s">
        <v>675</v>
      </c>
      <c r="D424" s="7" t="s">
        <v>674</v>
      </c>
      <c r="E424" s="7" t="s">
        <v>826</v>
      </c>
      <c r="F424" s="8">
        <v>203.98021000000037</v>
      </c>
      <c r="G424" s="7" t="s">
        <v>349</v>
      </c>
      <c r="H424" s="7" t="s">
        <v>351</v>
      </c>
      <c r="I424" s="10">
        <v>489.9</v>
      </c>
      <c r="J424" s="10">
        <v>211145.1</v>
      </c>
      <c r="K424" s="6">
        <v>132366.19000000032</v>
      </c>
    </row>
    <row r="425" spans="1:11" x14ac:dyDescent="0.25">
      <c r="A425" s="5" t="s">
        <v>706</v>
      </c>
      <c r="B425" s="42">
        <f t="shared" si="6"/>
        <v>211.63499999999999</v>
      </c>
      <c r="C425" s="7" t="s">
        <v>674</v>
      </c>
      <c r="D425" s="7" t="s">
        <v>673</v>
      </c>
      <c r="E425" s="7" t="s">
        <v>826</v>
      </c>
      <c r="F425" s="8">
        <v>204.56571000000037</v>
      </c>
      <c r="G425" s="7" t="s">
        <v>351</v>
      </c>
      <c r="H425" s="7" t="s">
        <v>353</v>
      </c>
      <c r="I425" s="10">
        <v>513.79999999999995</v>
      </c>
      <c r="J425" s="10">
        <v>211635</v>
      </c>
      <c r="K425" s="6">
        <v>131876.29000000033</v>
      </c>
    </row>
    <row r="426" spans="1:11" x14ac:dyDescent="0.25">
      <c r="A426" s="5" t="s">
        <v>706</v>
      </c>
      <c r="B426" s="42">
        <f t="shared" si="6"/>
        <v>212.14879999999999</v>
      </c>
      <c r="C426" s="7" t="s">
        <v>673</v>
      </c>
      <c r="D426" s="7" t="s">
        <v>672</v>
      </c>
      <c r="E426" s="7" t="s">
        <v>826</v>
      </c>
      <c r="F426" s="8">
        <v>204.91175000000038</v>
      </c>
      <c r="G426" s="7" t="s">
        <v>353</v>
      </c>
      <c r="H426" s="7" t="s">
        <v>355</v>
      </c>
      <c r="I426" s="10">
        <v>613.9</v>
      </c>
      <c r="J426" s="10">
        <v>212148.8</v>
      </c>
      <c r="K426" s="6">
        <v>131362.49000000034</v>
      </c>
    </row>
    <row r="427" spans="1:11" x14ac:dyDescent="0.25">
      <c r="A427" s="5" t="s">
        <v>706</v>
      </c>
      <c r="B427" s="42">
        <f t="shared" si="6"/>
        <v>212.7627</v>
      </c>
      <c r="C427" s="7" t="s">
        <v>672</v>
      </c>
      <c r="D427" s="7" t="s">
        <v>671</v>
      </c>
      <c r="E427" s="7" t="s">
        <v>826</v>
      </c>
      <c r="F427" s="8">
        <v>205.3368500000004</v>
      </c>
      <c r="G427" s="7" t="s">
        <v>355</v>
      </c>
      <c r="H427" s="7" t="s">
        <v>357</v>
      </c>
      <c r="I427" s="10">
        <v>557.29999999999995</v>
      </c>
      <c r="J427" s="10">
        <v>212762.69999999998</v>
      </c>
      <c r="K427" s="6">
        <v>130748.59000000035</v>
      </c>
    </row>
    <row r="428" spans="1:11" x14ac:dyDescent="0.25">
      <c r="A428" s="5" t="s">
        <v>706</v>
      </c>
      <c r="B428" s="42">
        <f t="shared" si="6"/>
        <v>213.31999999999996</v>
      </c>
      <c r="C428" s="7" t="s">
        <v>671</v>
      </c>
      <c r="D428" s="7" t="s">
        <v>670</v>
      </c>
      <c r="E428" s="7" t="s">
        <v>826</v>
      </c>
      <c r="F428" s="8">
        <v>205.85085000000038</v>
      </c>
      <c r="G428" s="7" t="s">
        <v>357</v>
      </c>
      <c r="H428" s="7" t="s">
        <v>359</v>
      </c>
      <c r="I428" s="10">
        <v>562.04999999999995</v>
      </c>
      <c r="J428" s="10">
        <v>213319.99999999997</v>
      </c>
      <c r="K428" s="6">
        <v>130191.29000000034</v>
      </c>
    </row>
    <row r="429" spans="1:11" x14ac:dyDescent="0.25">
      <c r="A429" s="5" t="s">
        <v>706</v>
      </c>
      <c r="B429" s="42">
        <f t="shared" si="6"/>
        <v>213.88204999999996</v>
      </c>
      <c r="C429" s="7" t="s">
        <v>670</v>
      </c>
      <c r="D429" s="7" t="s">
        <v>669</v>
      </c>
      <c r="E429" s="7" t="s">
        <v>826</v>
      </c>
      <c r="F429" s="8">
        <v>206.37275000000037</v>
      </c>
      <c r="G429" s="7" t="s">
        <v>359</v>
      </c>
      <c r="H429" s="7" t="s">
        <v>361</v>
      </c>
      <c r="I429" s="10">
        <v>524.95000000000005</v>
      </c>
      <c r="J429" s="10">
        <v>213882.04999999996</v>
      </c>
      <c r="K429" s="6">
        <v>129629.24000000034</v>
      </c>
    </row>
    <row r="430" spans="1:11" x14ac:dyDescent="0.25">
      <c r="A430" s="5" t="s">
        <v>706</v>
      </c>
      <c r="B430" s="42">
        <f t="shared" si="6"/>
        <v>214.40699999999998</v>
      </c>
      <c r="C430" s="7" t="s">
        <v>669</v>
      </c>
      <c r="D430" s="7" t="s">
        <v>668</v>
      </c>
      <c r="E430" s="7" t="s">
        <v>826</v>
      </c>
      <c r="F430" s="8">
        <v>206.89905000000036</v>
      </c>
      <c r="G430" s="7" t="s">
        <v>361</v>
      </c>
      <c r="H430" s="7" t="s">
        <v>363</v>
      </c>
      <c r="I430" s="10">
        <v>565.70000000000005</v>
      </c>
      <c r="J430" s="10">
        <v>214406.99999999997</v>
      </c>
      <c r="K430" s="6">
        <v>129104.29000000034</v>
      </c>
    </row>
    <row r="431" spans="1:11" x14ac:dyDescent="0.25">
      <c r="A431" s="5" t="s">
        <v>706</v>
      </c>
      <c r="B431" s="42">
        <f t="shared" si="6"/>
        <v>214.97269999999997</v>
      </c>
      <c r="C431" s="7" t="s">
        <v>668</v>
      </c>
      <c r="D431" s="7" t="s">
        <v>667</v>
      </c>
      <c r="E431" s="7" t="s">
        <v>826</v>
      </c>
      <c r="F431" s="8">
        <v>207.39835000000036</v>
      </c>
      <c r="G431" s="7" t="s">
        <v>363</v>
      </c>
      <c r="H431" s="7" t="s">
        <v>365</v>
      </c>
      <c r="I431" s="10">
        <v>588</v>
      </c>
      <c r="J431" s="10">
        <v>214972.69999999998</v>
      </c>
      <c r="K431" s="6">
        <v>128538.59000000035</v>
      </c>
    </row>
    <row r="432" spans="1:11" x14ac:dyDescent="0.25">
      <c r="A432" s="5" t="s">
        <v>706</v>
      </c>
      <c r="B432" s="42">
        <f t="shared" si="6"/>
        <v>215.56069999999997</v>
      </c>
      <c r="C432" s="7" t="s">
        <v>667</v>
      </c>
      <c r="D432" s="7" t="s">
        <v>666</v>
      </c>
      <c r="E432" s="7" t="s">
        <v>826</v>
      </c>
      <c r="F432" s="8">
        <v>207.97564000000037</v>
      </c>
      <c r="G432" s="7" t="s">
        <v>365</v>
      </c>
      <c r="H432" s="7" t="s">
        <v>367</v>
      </c>
      <c r="I432" s="10">
        <v>544.70000000000005</v>
      </c>
      <c r="J432" s="10">
        <v>215560.69999999998</v>
      </c>
      <c r="K432" s="6">
        <v>127950.59000000035</v>
      </c>
    </row>
    <row r="433" spans="1:11" x14ac:dyDescent="0.25">
      <c r="A433" s="5" t="s">
        <v>706</v>
      </c>
      <c r="B433" s="42">
        <f t="shared" si="6"/>
        <v>216.1054</v>
      </c>
      <c r="C433" s="7" t="s">
        <v>666</v>
      </c>
      <c r="D433" s="7" t="s">
        <v>665</v>
      </c>
      <c r="E433" s="7" t="s">
        <v>826</v>
      </c>
      <c r="F433" s="8">
        <v>208.49550000000036</v>
      </c>
      <c r="G433" s="7" t="s">
        <v>367</v>
      </c>
      <c r="H433" s="7" t="s">
        <v>369</v>
      </c>
      <c r="I433" s="10">
        <v>529.5</v>
      </c>
      <c r="J433" s="10">
        <v>216105.4</v>
      </c>
      <c r="K433" s="6">
        <v>127405.89000000035</v>
      </c>
    </row>
    <row r="434" spans="1:11" x14ac:dyDescent="0.25">
      <c r="A434" s="5" t="s">
        <v>706</v>
      </c>
      <c r="B434" s="42">
        <f t="shared" si="6"/>
        <v>216.63489999999999</v>
      </c>
      <c r="C434" s="7" t="s">
        <v>665</v>
      </c>
      <c r="D434" s="7" t="s">
        <v>664</v>
      </c>
      <c r="E434" s="7" t="s">
        <v>826</v>
      </c>
      <c r="F434" s="8">
        <v>209.12870000000035</v>
      </c>
      <c r="G434" s="7" t="s">
        <v>369</v>
      </c>
      <c r="H434" s="7" t="s">
        <v>371</v>
      </c>
      <c r="I434" s="10">
        <v>537.20000000000005</v>
      </c>
      <c r="J434" s="10">
        <v>216634.9</v>
      </c>
      <c r="K434" s="6">
        <v>126876.39000000035</v>
      </c>
    </row>
    <row r="435" spans="1:11" x14ac:dyDescent="0.25">
      <c r="A435" s="5" t="s">
        <v>706</v>
      </c>
      <c r="B435" s="42">
        <f t="shared" si="6"/>
        <v>217.1721</v>
      </c>
      <c r="C435" s="7" t="s">
        <v>664</v>
      </c>
      <c r="D435" s="7" t="s">
        <v>663</v>
      </c>
      <c r="E435" s="7" t="s">
        <v>826</v>
      </c>
      <c r="F435" s="8">
        <v>209.69560000000035</v>
      </c>
      <c r="G435" s="7" t="s">
        <v>371</v>
      </c>
      <c r="H435" s="7" t="s">
        <v>373</v>
      </c>
      <c r="I435" s="10">
        <v>503.4</v>
      </c>
      <c r="J435" s="10">
        <v>217172.1</v>
      </c>
      <c r="K435" s="6">
        <v>126339.19000000035</v>
      </c>
    </row>
    <row r="436" spans="1:11" x14ac:dyDescent="0.25">
      <c r="A436" s="5" t="s">
        <v>706</v>
      </c>
      <c r="B436" s="42">
        <f t="shared" si="6"/>
        <v>217.6755</v>
      </c>
      <c r="C436" s="7" t="s">
        <v>663</v>
      </c>
      <c r="D436" s="7" t="s">
        <v>662</v>
      </c>
      <c r="E436" s="7" t="s">
        <v>826</v>
      </c>
      <c r="F436" s="8">
        <v>210.14640000000034</v>
      </c>
      <c r="G436" s="7" t="s">
        <v>373</v>
      </c>
      <c r="H436" s="7" t="s">
        <v>375</v>
      </c>
      <c r="I436" s="10">
        <v>514.29999999999995</v>
      </c>
      <c r="J436" s="10">
        <v>217675.5</v>
      </c>
      <c r="K436" s="6">
        <v>125835.79000000036</v>
      </c>
    </row>
    <row r="437" spans="1:11" x14ac:dyDescent="0.25">
      <c r="A437" s="5" t="s">
        <v>706</v>
      </c>
      <c r="B437" s="42">
        <f t="shared" si="6"/>
        <v>218.18979999999999</v>
      </c>
      <c r="C437" s="7" t="s">
        <v>662</v>
      </c>
      <c r="D437" s="7" t="s">
        <v>661</v>
      </c>
      <c r="E437" s="7" t="s">
        <v>826</v>
      </c>
      <c r="F437" s="8">
        <v>210.69840000000033</v>
      </c>
      <c r="G437" s="7" t="s">
        <v>375</v>
      </c>
      <c r="H437" s="7" t="s">
        <v>377</v>
      </c>
      <c r="I437" s="10">
        <v>622.17999999999995</v>
      </c>
      <c r="J437" s="10">
        <v>218189.8</v>
      </c>
      <c r="K437" s="6">
        <v>125321.49000000035</v>
      </c>
    </row>
    <row r="438" spans="1:11" x14ac:dyDescent="0.25">
      <c r="A438" s="5" t="s">
        <v>706</v>
      </c>
      <c r="B438" s="42">
        <f t="shared" si="6"/>
        <v>218.81197999999998</v>
      </c>
      <c r="C438" s="7" t="s">
        <v>661</v>
      </c>
      <c r="D438" s="7" t="s">
        <v>660</v>
      </c>
      <c r="E438" s="7" t="s">
        <v>826</v>
      </c>
      <c r="F438" s="8">
        <v>211.09220000000033</v>
      </c>
      <c r="G438" s="7" t="s">
        <v>377</v>
      </c>
      <c r="H438" s="7" t="s">
        <v>379</v>
      </c>
      <c r="I438" s="10">
        <v>533.27</v>
      </c>
      <c r="J438" s="10">
        <v>218811.97999999998</v>
      </c>
      <c r="K438" s="6">
        <v>124699.31000000036</v>
      </c>
    </row>
    <row r="439" spans="1:11" x14ac:dyDescent="0.25">
      <c r="A439" s="5" t="s">
        <v>706</v>
      </c>
      <c r="B439" s="42">
        <f t="shared" si="6"/>
        <v>219.34524999999996</v>
      </c>
      <c r="C439" s="7" t="s">
        <v>660</v>
      </c>
      <c r="D439" s="7" t="s">
        <v>659</v>
      </c>
      <c r="E439" s="7" t="s">
        <v>826</v>
      </c>
      <c r="F439" s="8">
        <v>211.79740000000035</v>
      </c>
      <c r="G439" s="7" t="s">
        <v>379</v>
      </c>
      <c r="H439" s="7" t="s">
        <v>381</v>
      </c>
      <c r="I439" s="10">
        <v>479.8</v>
      </c>
      <c r="J439" s="10">
        <v>219345.24999999997</v>
      </c>
      <c r="K439" s="6">
        <v>124166.04000000036</v>
      </c>
    </row>
    <row r="440" spans="1:11" x14ac:dyDescent="0.25">
      <c r="A440" s="5" t="s">
        <v>706</v>
      </c>
      <c r="B440" s="42">
        <f t="shared" si="6"/>
        <v>219.82504999999995</v>
      </c>
      <c r="C440" s="7" t="s">
        <v>659</v>
      </c>
      <c r="D440" s="7" t="s">
        <v>658</v>
      </c>
      <c r="E440" s="7" t="s">
        <v>826</v>
      </c>
      <c r="F440" s="8">
        <v>212.28230000000033</v>
      </c>
      <c r="G440" s="7" t="s">
        <v>381</v>
      </c>
      <c r="H440" s="7" t="s">
        <v>383</v>
      </c>
      <c r="I440" s="10">
        <v>514.5</v>
      </c>
      <c r="J440" s="10">
        <v>219825.04999999996</v>
      </c>
      <c r="K440" s="6">
        <v>123686.24000000035</v>
      </c>
    </row>
    <row r="441" spans="1:11" x14ac:dyDescent="0.25">
      <c r="A441" s="5" t="s">
        <v>706</v>
      </c>
      <c r="B441" s="42">
        <f t="shared" si="6"/>
        <v>220.33954999999995</v>
      </c>
      <c r="C441" s="7" t="s">
        <v>658</v>
      </c>
      <c r="D441" s="7" t="s">
        <v>657</v>
      </c>
      <c r="E441" s="7" t="s">
        <v>826</v>
      </c>
      <c r="F441" s="8">
        <v>212.83230000000034</v>
      </c>
      <c r="G441" s="7" t="s">
        <v>383</v>
      </c>
      <c r="H441" s="7" t="s">
        <v>385</v>
      </c>
      <c r="I441" s="10">
        <v>558.58000000000004</v>
      </c>
      <c r="J441" s="10">
        <v>220339.54999999996</v>
      </c>
      <c r="K441" s="6">
        <v>123171.74000000035</v>
      </c>
    </row>
    <row r="442" spans="1:11" x14ac:dyDescent="0.25">
      <c r="A442" s="5" t="s">
        <v>706</v>
      </c>
      <c r="B442" s="42">
        <f t="shared" si="6"/>
        <v>220.89812999999995</v>
      </c>
      <c r="C442" s="7" t="s">
        <v>657</v>
      </c>
      <c r="D442" s="7" t="s">
        <v>656</v>
      </c>
      <c r="E442" s="7" t="s">
        <v>826</v>
      </c>
      <c r="F442" s="8">
        <v>213.34294000000034</v>
      </c>
      <c r="G442" s="7" t="s">
        <v>385</v>
      </c>
      <c r="H442" s="7" t="s">
        <v>387</v>
      </c>
      <c r="I442" s="10">
        <v>593.16</v>
      </c>
      <c r="J442" s="10">
        <v>220898.12999999995</v>
      </c>
      <c r="K442" s="6">
        <v>122613.16000000035</v>
      </c>
    </row>
    <row r="443" spans="1:11" x14ac:dyDescent="0.25">
      <c r="A443" s="5" t="s">
        <v>706</v>
      </c>
      <c r="B443" s="42">
        <f t="shared" si="6"/>
        <v>221.49128999999996</v>
      </c>
      <c r="C443" s="7" t="s">
        <v>656</v>
      </c>
      <c r="D443" s="7" t="s">
        <v>655</v>
      </c>
      <c r="E443" s="7" t="s">
        <v>826</v>
      </c>
      <c r="F443" s="8">
        <v>213.83449000000033</v>
      </c>
      <c r="G443" s="7" t="s">
        <v>387</v>
      </c>
      <c r="H443" s="7" t="s">
        <v>389</v>
      </c>
      <c r="I443" s="10">
        <v>362.5</v>
      </c>
      <c r="J443" s="10">
        <v>221491.28999999995</v>
      </c>
      <c r="K443" s="6">
        <v>122020.00000000035</v>
      </c>
    </row>
    <row r="444" spans="1:11" x14ac:dyDescent="0.25">
      <c r="A444" s="5" t="s">
        <v>706</v>
      </c>
      <c r="B444" s="42">
        <f t="shared" si="6"/>
        <v>221.85378999999995</v>
      </c>
      <c r="C444" s="7" t="s">
        <v>655</v>
      </c>
      <c r="D444" s="7" t="s">
        <v>654</v>
      </c>
      <c r="E444" s="7" t="s">
        <v>826</v>
      </c>
      <c r="F444" s="8">
        <v>214.30393000000035</v>
      </c>
      <c r="G444" s="7" t="s">
        <v>389</v>
      </c>
      <c r="H444" s="7" t="s">
        <v>391</v>
      </c>
      <c r="I444" s="10">
        <v>424.9</v>
      </c>
      <c r="J444" s="10">
        <v>221853.78999999995</v>
      </c>
      <c r="K444" s="6">
        <v>121657.50000000035</v>
      </c>
    </row>
    <row r="445" spans="1:11" x14ac:dyDescent="0.25">
      <c r="A445" s="5" t="s">
        <v>706</v>
      </c>
      <c r="B445" s="42">
        <f t="shared" si="6"/>
        <v>222.27868999999995</v>
      </c>
      <c r="C445" s="7" t="s">
        <v>654</v>
      </c>
      <c r="D445" s="7" t="s">
        <v>653</v>
      </c>
      <c r="E445" s="7" t="s">
        <v>826</v>
      </c>
      <c r="F445" s="8">
        <v>214.79383000000033</v>
      </c>
      <c r="G445" s="7" t="s">
        <v>391</v>
      </c>
      <c r="H445" s="7" t="s">
        <v>393</v>
      </c>
      <c r="I445" s="10">
        <v>393.4</v>
      </c>
      <c r="J445" s="10">
        <v>222278.68999999994</v>
      </c>
      <c r="K445" s="6">
        <v>121232.60000000036</v>
      </c>
    </row>
    <row r="446" spans="1:11" x14ac:dyDescent="0.25">
      <c r="A446" s="5" t="s">
        <v>706</v>
      </c>
      <c r="B446" s="42">
        <f t="shared" si="6"/>
        <v>222.67208999999994</v>
      </c>
      <c r="C446" s="7" t="s">
        <v>653</v>
      </c>
      <c r="D446" s="7" t="s">
        <v>652</v>
      </c>
      <c r="E446" s="7" t="s">
        <v>826</v>
      </c>
      <c r="F446" s="8">
        <v>215.30675000000036</v>
      </c>
      <c r="G446" s="7" t="s">
        <v>393</v>
      </c>
      <c r="H446" s="7" t="s">
        <v>395</v>
      </c>
      <c r="I446" s="10">
        <v>483.5</v>
      </c>
      <c r="J446" s="10">
        <v>222672.08999999994</v>
      </c>
      <c r="K446" s="6">
        <v>120839.20000000036</v>
      </c>
    </row>
    <row r="447" spans="1:11" x14ac:dyDescent="0.25">
      <c r="A447" s="5" t="s">
        <v>706</v>
      </c>
      <c r="B447" s="42">
        <f t="shared" si="6"/>
        <v>223.15558999999993</v>
      </c>
      <c r="C447" s="7" t="s">
        <v>652</v>
      </c>
      <c r="D447" s="7" t="s">
        <v>651</v>
      </c>
      <c r="E447" s="7" t="s">
        <v>826</v>
      </c>
      <c r="F447" s="8">
        <v>215.79571000000035</v>
      </c>
      <c r="G447" s="7" t="s">
        <v>395</v>
      </c>
      <c r="H447" s="7" t="s">
        <v>397</v>
      </c>
      <c r="I447" s="10">
        <v>488.1</v>
      </c>
      <c r="J447" s="10">
        <v>223155.58999999994</v>
      </c>
      <c r="K447" s="6">
        <v>120355.70000000036</v>
      </c>
    </row>
    <row r="448" spans="1:11" x14ac:dyDescent="0.25">
      <c r="A448" s="5" t="s">
        <v>706</v>
      </c>
      <c r="B448" s="42">
        <f t="shared" si="6"/>
        <v>223.64368999999994</v>
      </c>
      <c r="C448" s="7" t="s">
        <v>651</v>
      </c>
      <c r="D448" s="7" t="s">
        <v>650</v>
      </c>
      <c r="E448" s="7" t="s">
        <v>826</v>
      </c>
      <c r="F448" s="8">
        <v>216.39311000000035</v>
      </c>
      <c r="G448" s="7" t="s">
        <v>397</v>
      </c>
      <c r="H448" s="7" t="s">
        <v>399</v>
      </c>
      <c r="I448" s="10">
        <v>474.7</v>
      </c>
      <c r="J448" s="10">
        <v>223643.68999999994</v>
      </c>
      <c r="K448" s="6">
        <v>119867.60000000036</v>
      </c>
    </row>
    <row r="449" spans="1:11" x14ac:dyDescent="0.25">
      <c r="A449" s="5" t="s">
        <v>706</v>
      </c>
      <c r="B449" s="42">
        <f t="shared" si="6"/>
        <v>224.11838999999995</v>
      </c>
      <c r="C449" s="7" t="s">
        <v>650</v>
      </c>
      <c r="D449" s="7" t="s">
        <v>649</v>
      </c>
      <c r="E449" s="7" t="s">
        <v>826</v>
      </c>
      <c r="F449" s="8">
        <v>216.87721000000033</v>
      </c>
      <c r="G449" s="7" t="s">
        <v>399</v>
      </c>
      <c r="H449" s="7" t="s">
        <v>401</v>
      </c>
      <c r="I449" s="10">
        <v>522.5</v>
      </c>
      <c r="J449" s="10">
        <v>224118.38999999996</v>
      </c>
      <c r="K449" s="6">
        <v>119392.90000000036</v>
      </c>
    </row>
    <row r="450" spans="1:11" x14ac:dyDescent="0.25">
      <c r="A450" s="5" t="s">
        <v>706</v>
      </c>
      <c r="B450" s="42">
        <f t="shared" si="6"/>
        <v>224.64088999999996</v>
      </c>
      <c r="C450" s="7" t="s">
        <v>649</v>
      </c>
      <c r="D450" s="7" t="s">
        <v>648</v>
      </c>
      <c r="E450" s="7" t="s">
        <v>826</v>
      </c>
      <c r="F450" s="8">
        <v>217.34822000000034</v>
      </c>
      <c r="G450" s="7" t="s">
        <v>401</v>
      </c>
      <c r="H450" s="7" t="s">
        <v>403</v>
      </c>
      <c r="I450" s="10">
        <v>605.70000000000005</v>
      </c>
      <c r="J450" s="10">
        <v>224640.88999999996</v>
      </c>
      <c r="K450" s="6">
        <v>118870.40000000036</v>
      </c>
    </row>
    <row r="451" spans="1:11" x14ac:dyDescent="0.25">
      <c r="A451" s="5" t="s">
        <v>706</v>
      </c>
      <c r="B451" s="42">
        <f t="shared" ref="B451:B514" si="7">J451/1000</f>
        <v>225.24658999999997</v>
      </c>
      <c r="C451" s="7" t="s">
        <v>648</v>
      </c>
      <c r="D451" s="7" t="s">
        <v>647</v>
      </c>
      <c r="E451" s="7" t="s">
        <v>826</v>
      </c>
      <c r="F451" s="8">
        <v>218.07101000000037</v>
      </c>
      <c r="G451" s="7" t="s">
        <v>403</v>
      </c>
      <c r="H451" s="7" t="s">
        <v>405</v>
      </c>
      <c r="I451" s="10">
        <v>465.2</v>
      </c>
      <c r="J451" s="10">
        <v>225246.58999999997</v>
      </c>
      <c r="K451" s="6">
        <v>118264.70000000036</v>
      </c>
    </row>
    <row r="452" spans="1:11" x14ac:dyDescent="0.25">
      <c r="A452" s="5" t="s">
        <v>706</v>
      </c>
      <c r="B452" s="42">
        <f t="shared" si="7"/>
        <v>225.71178999999998</v>
      </c>
      <c r="C452" s="7" t="s">
        <v>647</v>
      </c>
      <c r="D452" s="7" t="s">
        <v>646</v>
      </c>
      <c r="E452" s="7" t="s">
        <v>826</v>
      </c>
      <c r="F452" s="8">
        <v>218.66922000000034</v>
      </c>
      <c r="G452" s="7" t="s">
        <v>405</v>
      </c>
      <c r="H452" s="7" t="s">
        <v>407</v>
      </c>
      <c r="I452" s="10">
        <v>552.70000000000005</v>
      </c>
      <c r="J452" s="10">
        <v>225711.78999999998</v>
      </c>
      <c r="K452" s="6">
        <v>117799.50000000036</v>
      </c>
    </row>
    <row r="453" spans="1:11" x14ac:dyDescent="0.25">
      <c r="A453" s="5" t="s">
        <v>706</v>
      </c>
      <c r="B453" s="42">
        <f t="shared" si="7"/>
        <v>226.26449</v>
      </c>
      <c r="C453" s="7" t="s">
        <v>646</v>
      </c>
      <c r="D453" s="7" t="s">
        <v>645</v>
      </c>
      <c r="E453" s="7" t="s">
        <v>826</v>
      </c>
      <c r="F453" s="8">
        <v>219.23737000000034</v>
      </c>
      <c r="G453" s="7" t="s">
        <v>407</v>
      </c>
      <c r="H453" s="7" t="s">
        <v>409</v>
      </c>
      <c r="I453" s="10">
        <v>549.20000000000005</v>
      </c>
      <c r="J453" s="10">
        <v>226264.49</v>
      </c>
      <c r="K453" s="6">
        <v>117246.80000000037</v>
      </c>
    </row>
    <row r="454" spans="1:11" x14ac:dyDescent="0.25">
      <c r="A454" s="5" t="s">
        <v>706</v>
      </c>
      <c r="B454" s="42">
        <f t="shared" si="7"/>
        <v>226.81369000000001</v>
      </c>
      <c r="C454" s="7" t="s">
        <v>645</v>
      </c>
      <c r="D454" s="7" t="s">
        <v>644</v>
      </c>
      <c r="E454" s="7" t="s">
        <v>826</v>
      </c>
      <c r="F454" s="8">
        <v>219.83657000000036</v>
      </c>
      <c r="G454" s="7" t="s">
        <v>409</v>
      </c>
      <c r="H454" s="7" t="s">
        <v>411</v>
      </c>
      <c r="I454" s="10">
        <v>549.5</v>
      </c>
      <c r="J454" s="10">
        <v>226813.69</v>
      </c>
      <c r="K454" s="6">
        <v>116697.60000000037</v>
      </c>
    </row>
    <row r="455" spans="1:11" x14ac:dyDescent="0.25">
      <c r="A455" s="5" t="s">
        <v>706</v>
      </c>
      <c r="B455" s="42">
        <f t="shared" si="7"/>
        <v>227.36319</v>
      </c>
      <c r="C455" s="7" t="s">
        <v>644</v>
      </c>
      <c r="D455" s="7" t="s">
        <v>643</v>
      </c>
      <c r="E455" s="7" t="s">
        <v>826</v>
      </c>
      <c r="F455" s="8">
        <v>220.40667000000036</v>
      </c>
      <c r="G455" s="7" t="s">
        <v>411</v>
      </c>
      <c r="H455" s="7" t="s">
        <v>413</v>
      </c>
      <c r="I455" s="10">
        <v>484.9</v>
      </c>
      <c r="J455" s="10">
        <v>227363.19</v>
      </c>
      <c r="K455" s="6">
        <v>116148.10000000037</v>
      </c>
    </row>
    <row r="456" spans="1:11" x14ac:dyDescent="0.25">
      <c r="A456" s="5" t="s">
        <v>706</v>
      </c>
      <c r="B456" s="42">
        <f t="shared" si="7"/>
        <v>227.84808999999998</v>
      </c>
      <c r="C456" s="7" t="s">
        <v>643</v>
      </c>
      <c r="D456" s="7" t="s">
        <v>642</v>
      </c>
      <c r="E456" s="7" t="s">
        <v>826</v>
      </c>
      <c r="F456" s="8">
        <v>220.91747000000035</v>
      </c>
      <c r="G456" s="7" t="s">
        <v>413</v>
      </c>
      <c r="H456" s="7" t="s">
        <v>415</v>
      </c>
      <c r="I456" s="10">
        <v>622.55999999999995</v>
      </c>
      <c r="J456" s="10">
        <v>227848.09</v>
      </c>
      <c r="K456" s="6">
        <v>115663.20000000038</v>
      </c>
    </row>
    <row r="457" spans="1:11" x14ac:dyDescent="0.25">
      <c r="A457" s="5" t="s">
        <v>706</v>
      </c>
      <c r="B457" s="42">
        <f t="shared" si="7"/>
        <v>228.47065000000001</v>
      </c>
      <c r="C457" s="7" t="s">
        <v>642</v>
      </c>
      <c r="D457" s="7" t="s">
        <v>641</v>
      </c>
      <c r="E457" s="7" t="s">
        <v>826</v>
      </c>
      <c r="F457" s="8">
        <v>221.38097000000036</v>
      </c>
      <c r="G457" s="7" t="s">
        <v>415</v>
      </c>
      <c r="H457" s="7" t="s">
        <v>417</v>
      </c>
      <c r="I457" s="10">
        <v>444.55</v>
      </c>
      <c r="J457" s="10">
        <v>228470.65</v>
      </c>
      <c r="K457" s="6">
        <v>115040.64000000038</v>
      </c>
    </row>
    <row r="458" spans="1:11" x14ac:dyDescent="0.25">
      <c r="A458" s="5" t="s">
        <v>706</v>
      </c>
      <c r="B458" s="42">
        <f t="shared" si="7"/>
        <v>228.91519999999997</v>
      </c>
      <c r="C458" s="7" t="s">
        <v>641</v>
      </c>
      <c r="D458" s="7" t="s">
        <v>640</v>
      </c>
      <c r="E458" s="7" t="s">
        <v>826</v>
      </c>
      <c r="F458" s="8">
        <v>221.86797000000035</v>
      </c>
      <c r="G458" s="7" t="s">
        <v>417</v>
      </c>
      <c r="H458" s="7" t="s">
        <v>419</v>
      </c>
      <c r="I458" s="10">
        <v>506.75</v>
      </c>
      <c r="J458" s="10">
        <v>228915.19999999998</v>
      </c>
      <c r="K458" s="6">
        <v>114596.09000000037</v>
      </c>
    </row>
    <row r="459" spans="1:11" x14ac:dyDescent="0.25">
      <c r="A459" s="5" t="s">
        <v>706</v>
      </c>
      <c r="B459" s="42">
        <f t="shared" si="7"/>
        <v>229.42194999999998</v>
      </c>
      <c r="C459" s="7" t="s">
        <v>640</v>
      </c>
      <c r="D459" s="7" t="s">
        <v>639</v>
      </c>
      <c r="E459" s="7" t="s">
        <v>826</v>
      </c>
      <c r="F459" s="8">
        <v>222.31437000000034</v>
      </c>
      <c r="G459" s="7" t="s">
        <v>419</v>
      </c>
      <c r="H459" s="7" t="s">
        <v>421</v>
      </c>
      <c r="I459" s="10">
        <v>520.91</v>
      </c>
      <c r="J459" s="10">
        <v>229421.94999999998</v>
      </c>
      <c r="K459" s="6">
        <v>114089.34000000037</v>
      </c>
    </row>
    <row r="460" spans="1:11" x14ac:dyDescent="0.25">
      <c r="A460" s="5" t="s">
        <v>706</v>
      </c>
      <c r="B460" s="42">
        <f t="shared" si="7"/>
        <v>229.94286</v>
      </c>
      <c r="C460" s="7" t="s">
        <v>639</v>
      </c>
      <c r="D460" s="7" t="s">
        <v>638</v>
      </c>
      <c r="E460" s="7" t="s">
        <v>826</v>
      </c>
      <c r="F460" s="8">
        <v>222.78297000000035</v>
      </c>
      <c r="G460" s="7" t="s">
        <v>421</v>
      </c>
      <c r="H460" s="7" t="s">
        <v>423</v>
      </c>
      <c r="I460" s="10">
        <v>518.39</v>
      </c>
      <c r="J460" s="10">
        <v>229942.86</v>
      </c>
      <c r="K460" s="6">
        <v>113568.43000000037</v>
      </c>
    </row>
    <row r="461" spans="1:11" x14ac:dyDescent="0.25">
      <c r="A461" s="5" t="s">
        <v>706</v>
      </c>
      <c r="B461" s="42">
        <f t="shared" si="7"/>
        <v>230.46125000000001</v>
      </c>
      <c r="C461" s="7" t="s">
        <v>638</v>
      </c>
      <c r="D461" s="7" t="s">
        <v>637</v>
      </c>
      <c r="E461" s="7" t="s">
        <v>826</v>
      </c>
      <c r="F461" s="8">
        <v>223.34407000000036</v>
      </c>
      <c r="G461" s="7" t="s">
        <v>423</v>
      </c>
      <c r="H461" s="7" t="s">
        <v>425</v>
      </c>
      <c r="I461" s="10">
        <v>550</v>
      </c>
      <c r="J461" s="10">
        <v>230461.25</v>
      </c>
      <c r="K461" s="6">
        <v>113050.04000000037</v>
      </c>
    </row>
    <row r="462" spans="1:11" x14ac:dyDescent="0.25">
      <c r="A462" s="5" t="s">
        <v>706</v>
      </c>
      <c r="B462" s="42">
        <f t="shared" si="7"/>
        <v>231.01124999999999</v>
      </c>
      <c r="C462" s="7" t="s">
        <v>637</v>
      </c>
      <c r="D462" s="7" t="s">
        <v>636</v>
      </c>
      <c r="E462" s="7" t="s">
        <v>826</v>
      </c>
      <c r="F462" s="8">
        <v>223.94762000000034</v>
      </c>
      <c r="G462" s="7" t="s">
        <v>425</v>
      </c>
      <c r="H462" s="7" t="s">
        <v>427</v>
      </c>
      <c r="I462" s="10">
        <v>570.9</v>
      </c>
      <c r="J462" s="10">
        <v>231011.25</v>
      </c>
      <c r="K462" s="6">
        <v>112500.04000000037</v>
      </c>
    </row>
    <row r="463" spans="1:11" x14ac:dyDescent="0.25">
      <c r="A463" s="5" t="s">
        <v>706</v>
      </c>
      <c r="B463" s="42">
        <f t="shared" si="7"/>
        <v>231.58214999999998</v>
      </c>
      <c r="C463" s="7" t="s">
        <v>636</v>
      </c>
      <c r="D463" s="7" t="s">
        <v>635</v>
      </c>
      <c r="E463" s="7" t="s">
        <v>826</v>
      </c>
      <c r="F463" s="8">
        <v>224.49742000000035</v>
      </c>
      <c r="G463" s="7" t="s">
        <v>427</v>
      </c>
      <c r="H463" s="7" t="s">
        <v>429</v>
      </c>
      <c r="I463" s="10">
        <v>518.27</v>
      </c>
      <c r="J463" s="10">
        <v>231582.15</v>
      </c>
      <c r="K463" s="6">
        <v>111929.14000000038</v>
      </c>
    </row>
    <row r="464" spans="1:11" x14ac:dyDescent="0.25">
      <c r="A464" s="5" t="s">
        <v>706</v>
      </c>
      <c r="B464" s="42">
        <f t="shared" si="7"/>
        <v>232.10041999999999</v>
      </c>
      <c r="C464" s="7" t="s">
        <v>635</v>
      </c>
      <c r="D464" s="7" t="s">
        <v>634</v>
      </c>
      <c r="E464" s="7" t="s">
        <v>826</v>
      </c>
      <c r="F464" s="8">
        <v>224.90452000000033</v>
      </c>
      <c r="G464" s="7" t="s">
        <v>429</v>
      </c>
      <c r="H464" s="7" t="s">
        <v>431</v>
      </c>
      <c r="I464" s="10">
        <v>452.6</v>
      </c>
      <c r="J464" s="10">
        <v>232100.41999999998</v>
      </c>
      <c r="K464" s="6">
        <v>111410.87000000037</v>
      </c>
    </row>
    <row r="465" spans="1:11" x14ac:dyDescent="0.25">
      <c r="A465" s="5" t="s">
        <v>706</v>
      </c>
      <c r="B465" s="42">
        <f t="shared" si="7"/>
        <v>232.55302</v>
      </c>
      <c r="C465" s="7" t="s">
        <v>634</v>
      </c>
      <c r="D465" s="7" t="s">
        <v>633</v>
      </c>
      <c r="E465" s="7" t="s">
        <v>826</v>
      </c>
      <c r="F465" s="8">
        <v>225.31953000000036</v>
      </c>
      <c r="G465" s="7" t="s">
        <v>431</v>
      </c>
      <c r="H465" s="7" t="s">
        <v>433</v>
      </c>
      <c r="I465" s="10">
        <v>497.2</v>
      </c>
      <c r="J465" s="10">
        <v>232553.02</v>
      </c>
      <c r="K465" s="6">
        <v>110958.27000000037</v>
      </c>
    </row>
    <row r="466" spans="1:11" x14ac:dyDescent="0.25">
      <c r="A466" s="5" t="s">
        <v>706</v>
      </c>
      <c r="B466" s="42">
        <f t="shared" si="7"/>
        <v>233.05022</v>
      </c>
      <c r="C466" s="7" t="s">
        <v>633</v>
      </c>
      <c r="D466" s="7" t="s">
        <v>632</v>
      </c>
      <c r="E466" s="7" t="s">
        <v>826</v>
      </c>
      <c r="F466" s="8">
        <v>225.88116000000036</v>
      </c>
      <c r="G466" s="7" t="s">
        <v>433</v>
      </c>
      <c r="H466" s="7" t="s">
        <v>435</v>
      </c>
      <c r="I466" s="10">
        <v>280.7</v>
      </c>
      <c r="J466" s="10">
        <v>233050.22</v>
      </c>
      <c r="K466" s="6">
        <v>110461.07000000037</v>
      </c>
    </row>
    <row r="467" spans="1:11" x14ac:dyDescent="0.25">
      <c r="A467" s="5" t="s">
        <v>706</v>
      </c>
      <c r="B467" s="42">
        <f t="shared" si="7"/>
        <v>233.33092000000002</v>
      </c>
      <c r="C467" s="7" t="s">
        <v>632</v>
      </c>
      <c r="D467" s="7" t="s">
        <v>631</v>
      </c>
      <c r="E467" s="7" t="s">
        <v>826</v>
      </c>
      <c r="F467" s="8">
        <v>226.48236000000037</v>
      </c>
      <c r="G467" s="7" t="s">
        <v>435</v>
      </c>
      <c r="H467" s="7" t="s">
        <v>437</v>
      </c>
      <c r="I467" s="10">
        <v>519.9</v>
      </c>
      <c r="J467" s="10">
        <v>233330.92</v>
      </c>
      <c r="K467" s="6">
        <v>110180.37000000037</v>
      </c>
    </row>
    <row r="468" spans="1:11" x14ac:dyDescent="0.25">
      <c r="A468" s="5" t="s">
        <v>706</v>
      </c>
      <c r="B468" s="42">
        <f t="shared" si="7"/>
        <v>233.85082</v>
      </c>
      <c r="C468" s="7" t="s">
        <v>631</v>
      </c>
      <c r="D468" s="7" t="s">
        <v>630</v>
      </c>
      <c r="E468" s="7" t="s">
        <v>826</v>
      </c>
      <c r="F468" s="8">
        <v>227.05265000000037</v>
      </c>
      <c r="G468" s="7" t="s">
        <v>437</v>
      </c>
      <c r="H468" s="7" t="s">
        <v>439</v>
      </c>
      <c r="I468" s="10">
        <v>586.4</v>
      </c>
      <c r="J468" s="10">
        <v>233850.82</v>
      </c>
      <c r="K468" s="6">
        <v>109660.47000000038</v>
      </c>
    </row>
    <row r="469" spans="1:11" x14ac:dyDescent="0.25">
      <c r="A469" s="5" t="s">
        <v>706</v>
      </c>
      <c r="B469" s="42">
        <f t="shared" si="7"/>
        <v>234.43722</v>
      </c>
      <c r="C469" s="7" t="s">
        <v>630</v>
      </c>
      <c r="D469" s="7" t="s">
        <v>629</v>
      </c>
      <c r="E469" s="7" t="s">
        <v>826</v>
      </c>
      <c r="F469" s="8">
        <v>227.59991000000039</v>
      </c>
      <c r="G469" s="7" t="s">
        <v>439</v>
      </c>
      <c r="H469" s="7" t="s">
        <v>441</v>
      </c>
      <c r="I469" s="10">
        <v>518.6</v>
      </c>
      <c r="J469" s="10">
        <v>234437.22</v>
      </c>
      <c r="K469" s="6">
        <v>109074.07000000039</v>
      </c>
    </row>
    <row r="470" spans="1:11" x14ac:dyDescent="0.25">
      <c r="A470" s="5" t="s">
        <v>706</v>
      </c>
      <c r="B470" s="42">
        <f t="shared" si="7"/>
        <v>234.95582000000002</v>
      </c>
      <c r="C470" s="7" t="s">
        <v>629</v>
      </c>
      <c r="D470" s="7" t="s">
        <v>628</v>
      </c>
      <c r="E470" s="7" t="s">
        <v>826</v>
      </c>
      <c r="F470" s="8">
        <v>228.1190100000004</v>
      </c>
      <c r="G470" s="7" t="s">
        <v>441</v>
      </c>
      <c r="H470" s="7" t="s">
        <v>443</v>
      </c>
      <c r="I470" s="10">
        <v>477.4</v>
      </c>
      <c r="J470" s="10">
        <v>234955.82</v>
      </c>
      <c r="K470" s="6">
        <v>108555.47000000038</v>
      </c>
    </row>
    <row r="471" spans="1:11" x14ac:dyDescent="0.25">
      <c r="A471" s="5" t="s">
        <v>706</v>
      </c>
      <c r="B471" s="42">
        <f t="shared" si="7"/>
        <v>235.43322000000001</v>
      </c>
      <c r="C471" s="7" t="s">
        <v>628</v>
      </c>
      <c r="D471" s="7" t="s">
        <v>627</v>
      </c>
      <c r="E471" s="7" t="s">
        <v>826</v>
      </c>
      <c r="F471" s="8">
        <v>228.67331000000038</v>
      </c>
      <c r="G471" s="7" t="s">
        <v>443</v>
      </c>
      <c r="H471" s="7" t="s">
        <v>445</v>
      </c>
      <c r="I471" s="10">
        <v>590.67999999999995</v>
      </c>
      <c r="J471" s="10">
        <v>235433.22</v>
      </c>
      <c r="K471" s="6">
        <v>108078.07000000039</v>
      </c>
    </row>
    <row r="472" spans="1:11" x14ac:dyDescent="0.25">
      <c r="A472" s="5" t="s">
        <v>706</v>
      </c>
      <c r="B472" s="42">
        <f t="shared" si="7"/>
        <v>236.0239</v>
      </c>
      <c r="C472" s="7" t="s">
        <v>627</v>
      </c>
      <c r="D472" s="7" t="s">
        <v>626</v>
      </c>
      <c r="E472" s="7" t="s">
        <v>826</v>
      </c>
      <c r="F472" s="8">
        <v>229.1695100000004</v>
      </c>
      <c r="G472" s="7" t="s">
        <v>445</v>
      </c>
      <c r="H472" s="7" t="s">
        <v>447</v>
      </c>
      <c r="I472" s="10">
        <v>419</v>
      </c>
      <c r="J472" s="10">
        <v>236023.9</v>
      </c>
      <c r="K472" s="6">
        <v>107487.39000000039</v>
      </c>
    </row>
    <row r="473" spans="1:11" x14ac:dyDescent="0.25">
      <c r="A473" s="5" t="s">
        <v>706</v>
      </c>
      <c r="B473" s="42">
        <f t="shared" si="7"/>
        <v>236.44289999999998</v>
      </c>
      <c r="C473" s="7" t="s">
        <v>626</v>
      </c>
      <c r="D473" s="7" t="s">
        <v>625</v>
      </c>
      <c r="E473" s="7" t="s">
        <v>826</v>
      </c>
      <c r="F473" s="8">
        <v>229.80131000000037</v>
      </c>
      <c r="G473" s="7" t="s">
        <v>447</v>
      </c>
      <c r="H473" s="7" t="s">
        <v>449</v>
      </c>
      <c r="I473" s="10">
        <v>518.6</v>
      </c>
      <c r="J473" s="10">
        <v>236442.9</v>
      </c>
      <c r="K473" s="6">
        <v>107068.39000000039</v>
      </c>
    </row>
    <row r="474" spans="1:11" x14ac:dyDescent="0.25">
      <c r="A474" s="5" t="s">
        <v>706</v>
      </c>
      <c r="B474" s="42">
        <f t="shared" si="7"/>
        <v>236.9615</v>
      </c>
      <c r="C474" s="7" t="s">
        <v>625</v>
      </c>
      <c r="D474" s="7" t="s">
        <v>624</v>
      </c>
      <c r="E474" s="7" t="s">
        <v>826</v>
      </c>
      <c r="F474" s="8">
        <v>230.35971000000038</v>
      </c>
      <c r="G474" s="7" t="s">
        <v>449</v>
      </c>
      <c r="H474" s="7" t="s">
        <v>451</v>
      </c>
      <c r="I474" s="10">
        <v>519.6</v>
      </c>
      <c r="J474" s="10">
        <v>236961.5</v>
      </c>
      <c r="K474" s="6">
        <v>106549.79000000039</v>
      </c>
    </row>
    <row r="475" spans="1:11" x14ac:dyDescent="0.25">
      <c r="A475" s="5" t="s">
        <v>706</v>
      </c>
      <c r="B475" s="42">
        <f t="shared" si="7"/>
        <v>237.4811</v>
      </c>
      <c r="C475" s="7" t="s">
        <v>624</v>
      </c>
      <c r="D475" s="7" t="s">
        <v>623</v>
      </c>
      <c r="E475" s="7" t="s">
        <v>826</v>
      </c>
      <c r="F475" s="8">
        <v>230.87911000000037</v>
      </c>
      <c r="G475" s="7" t="s">
        <v>451</v>
      </c>
      <c r="H475" s="7" t="s">
        <v>453</v>
      </c>
      <c r="I475" s="10">
        <v>538.70000000000005</v>
      </c>
      <c r="J475" s="10">
        <v>237481.1</v>
      </c>
      <c r="K475" s="6">
        <v>106030.19000000038</v>
      </c>
    </row>
    <row r="476" spans="1:11" x14ac:dyDescent="0.25">
      <c r="A476" s="5" t="s">
        <v>706</v>
      </c>
      <c r="B476" s="42">
        <f t="shared" si="7"/>
        <v>238.0198</v>
      </c>
      <c r="C476" s="7" t="s">
        <v>623</v>
      </c>
      <c r="D476" s="7" t="s">
        <v>622</v>
      </c>
      <c r="E476" s="7" t="s">
        <v>826</v>
      </c>
      <c r="F476" s="8">
        <v>231.41151000000036</v>
      </c>
      <c r="G476" s="7" t="s">
        <v>453</v>
      </c>
      <c r="H476" s="7" t="s">
        <v>455</v>
      </c>
      <c r="I476" s="10">
        <v>487.3</v>
      </c>
      <c r="J476" s="10">
        <v>238019.80000000002</v>
      </c>
      <c r="K476" s="6">
        <v>105491.49000000038</v>
      </c>
    </row>
    <row r="477" spans="1:11" x14ac:dyDescent="0.25">
      <c r="A477" s="5" t="s">
        <v>706</v>
      </c>
      <c r="B477" s="42">
        <f t="shared" si="7"/>
        <v>238.50710000000001</v>
      </c>
      <c r="C477" s="7" t="s">
        <v>622</v>
      </c>
      <c r="D477" s="7" t="s">
        <v>621</v>
      </c>
      <c r="E477" s="7" t="s">
        <v>826</v>
      </c>
      <c r="F477" s="8">
        <v>231.94071000000037</v>
      </c>
      <c r="G477" s="7" t="s">
        <v>455</v>
      </c>
      <c r="H477" s="7" t="s">
        <v>457</v>
      </c>
      <c r="I477" s="10">
        <v>502.3</v>
      </c>
      <c r="J477" s="10">
        <v>238507.1</v>
      </c>
      <c r="K477" s="6">
        <v>105004.19000000038</v>
      </c>
    </row>
    <row r="478" spans="1:11" x14ac:dyDescent="0.25">
      <c r="A478" s="5" t="s">
        <v>706</v>
      </c>
      <c r="B478" s="42">
        <f t="shared" si="7"/>
        <v>239.0094</v>
      </c>
      <c r="C478" s="7" t="s">
        <v>621</v>
      </c>
      <c r="D478" s="7" t="s">
        <v>620</v>
      </c>
      <c r="E478" s="7" t="s">
        <v>826</v>
      </c>
      <c r="F478" s="8">
        <v>232.40921000000037</v>
      </c>
      <c r="G478" s="7" t="s">
        <v>457</v>
      </c>
      <c r="H478" s="7" t="s">
        <v>459</v>
      </c>
      <c r="I478" s="10">
        <v>459.8</v>
      </c>
      <c r="J478" s="10">
        <v>239009.4</v>
      </c>
      <c r="K478" s="6">
        <v>104501.89000000038</v>
      </c>
    </row>
    <row r="479" spans="1:11" x14ac:dyDescent="0.25">
      <c r="A479" s="5" t="s">
        <v>706</v>
      </c>
      <c r="B479" s="42">
        <f t="shared" si="7"/>
        <v>239.46919999999997</v>
      </c>
      <c r="C479" s="7" t="s">
        <v>620</v>
      </c>
      <c r="D479" s="7" t="s">
        <v>619</v>
      </c>
      <c r="E479" s="7" t="s">
        <v>826</v>
      </c>
      <c r="F479" s="8">
        <v>232.85721000000038</v>
      </c>
      <c r="G479" s="7" t="s">
        <v>459</v>
      </c>
      <c r="H479" s="7" t="s">
        <v>461</v>
      </c>
      <c r="I479" s="10">
        <v>529.70000000000005</v>
      </c>
      <c r="J479" s="10">
        <v>239469.19999999998</v>
      </c>
      <c r="K479" s="6">
        <v>104042.09000000037</v>
      </c>
    </row>
    <row r="480" spans="1:11" x14ac:dyDescent="0.25">
      <c r="A480" s="5" t="s">
        <v>706</v>
      </c>
      <c r="B480" s="42">
        <f t="shared" si="7"/>
        <v>239.99889999999999</v>
      </c>
      <c r="C480" s="7" t="s">
        <v>619</v>
      </c>
      <c r="D480" s="7" t="s">
        <v>618</v>
      </c>
      <c r="E480" s="7" t="s">
        <v>826</v>
      </c>
      <c r="F480" s="8">
        <v>233.23921000000038</v>
      </c>
      <c r="G480" s="7" t="s">
        <v>461</v>
      </c>
      <c r="H480" s="7" t="s">
        <v>463</v>
      </c>
      <c r="I480" s="10">
        <v>520.29999999999995</v>
      </c>
      <c r="J480" s="10">
        <v>239998.9</v>
      </c>
      <c r="K480" s="6">
        <v>103512.39000000038</v>
      </c>
    </row>
    <row r="481" spans="1:11" x14ac:dyDescent="0.25">
      <c r="A481" s="5" t="s">
        <v>706</v>
      </c>
      <c r="B481" s="42">
        <f t="shared" si="7"/>
        <v>240.51919999999998</v>
      </c>
      <c r="C481" s="7" t="s">
        <v>618</v>
      </c>
      <c r="D481" s="7" t="s">
        <v>617</v>
      </c>
      <c r="E481" s="7" t="s">
        <v>826</v>
      </c>
      <c r="F481" s="8">
        <v>233.51242000000036</v>
      </c>
      <c r="G481" s="7" t="s">
        <v>463</v>
      </c>
      <c r="H481" s="7" t="s">
        <v>465</v>
      </c>
      <c r="I481" s="10">
        <v>530</v>
      </c>
      <c r="J481" s="10">
        <v>240519.19999999998</v>
      </c>
      <c r="K481" s="6">
        <v>102992.09000000037</v>
      </c>
    </row>
    <row r="482" spans="1:11" x14ac:dyDescent="0.25">
      <c r="A482" s="5" t="s">
        <v>706</v>
      </c>
      <c r="B482" s="42">
        <f t="shared" si="7"/>
        <v>241.04919999999998</v>
      </c>
      <c r="C482" s="7" t="s">
        <v>617</v>
      </c>
      <c r="D482" s="7" t="s">
        <v>616</v>
      </c>
      <c r="E482" s="7" t="s">
        <v>826</v>
      </c>
      <c r="F482" s="8">
        <v>234.07772000000034</v>
      </c>
      <c r="G482" s="7" t="s">
        <v>465</v>
      </c>
      <c r="H482" s="7" t="s">
        <v>467</v>
      </c>
      <c r="I482" s="10">
        <v>508.1</v>
      </c>
      <c r="J482" s="10">
        <v>241049.19999999998</v>
      </c>
      <c r="K482" s="6">
        <v>102462.09000000037</v>
      </c>
    </row>
    <row r="483" spans="1:11" x14ac:dyDescent="0.25">
      <c r="A483" s="5" t="s">
        <v>706</v>
      </c>
      <c r="B483" s="42">
        <f t="shared" si="7"/>
        <v>241.5573</v>
      </c>
      <c r="C483" s="7" t="s">
        <v>616</v>
      </c>
      <c r="D483" s="7" t="s">
        <v>615</v>
      </c>
      <c r="E483" s="7" t="s">
        <v>826</v>
      </c>
      <c r="F483" s="8">
        <v>234.71282000000036</v>
      </c>
      <c r="G483" s="7" t="s">
        <v>467</v>
      </c>
      <c r="H483" s="7" t="s">
        <v>469</v>
      </c>
      <c r="I483" s="10">
        <v>400</v>
      </c>
      <c r="J483" s="10">
        <v>241557.3</v>
      </c>
      <c r="K483" s="6">
        <v>101953.99000000037</v>
      </c>
    </row>
    <row r="484" spans="1:11" x14ac:dyDescent="0.25">
      <c r="A484" s="5" t="s">
        <v>706</v>
      </c>
      <c r="B484" s="42">
        <f t="shared" si="7"/>
        <v>241.95729999999998</v>
      </c>
      <c r="C484" s="7" t="s">
        <v>615</v>
      </c>
      <c r="D484" s="7" t="s">
        <v>614</v>
      </c>
      <c r="E484" s="7" t="s">
        <v>826</v>
      </c>
      <c r="F484" s="8">
        <v>235.16702000000038</v>
      </c>
      <c r="G484" s="7" t="s">
        <v>469</v>
      </c>
      <c r="H484" s="7" t="s">
        <v>471</v>
      </c>
      <c r="I484" s="10">
        <v>420</v>
      </c>
      <c r="J484" s="10">
        <v>241957.3</v>
      </c>
      <c r="K484" s="6">
        <v>101553.99000000037</v>
      </c>
    </row>
    <row r="485" spans="1:11" x14ac:dyDescent="0.25">
      <c r="A485" s="5" t="s">
        <v>706</v>
      </c>
      <c r="B485" s="42">
        <f t="shared" si="7"/>
        <v>242.37729999999999</v>
      </c>
      <c r="C485" s="7" t="s">
        <v>614</v>
      </c>
      <c r="D485" s="7" t="s">
        <v>613</v>
      </c>
      <c r="E485" s="7" t="s">
        <v>826</v>
      </c>
      <c r="F485" s="8">
        <v>235.60432000000034</v>
      </c>
      <c r="G485" s="7" t="s">
        <v>471</v>
      </c>
      <c r="H485" s="7" t="s">
        <v>473</v>
      </c>
      <c r="I485" s="10">
        <v>507.2</v>
      </c>
      <c r="J485" s="10">
        <v>242377.3</v>
      </c>
      <c r="K485" s="6">
        <v>101133.99000000037</v>
      </c>
    </row>
    <row r="486" spans="1:11" x14ac:dyDescent="0.25">
      <c r="A486" s="5" t="s">
        <v>706</v>
      </c>
      <c r="B486" s="42">
        <f t="shared" si="7"/>
        <v>242.8845</v>
      </c>
      <c r="C486" s="7" t="s">
        <v>613</v>
      </c>
      <c r="D486" s="7" t="s">
        <v>612</v>
      </c>
      <c r="E486" s="7" t="s">
        <v>826</v>
      </c>
      <c r="F486" s="8">
        <v>236.09972000000036</v>
      </c>
      <c r="G486" s="7" t="s">
        <v>473</v>
      </c>
      <c r="H486" s="7" t="s">
        <v>475</v>
      </c>
      <c r="I486" s="10">
        <v>447.08</v>
      </c>
      <c r="J486" s="10">
        <v>242884.5</v>
      </c>
      <c r="K486" s="6">
        <v>100626.79000000037</v>
      </c>
    </row>
    <row r="487" spans="1:11" x14ac:dyDescent="0.25">
      <c r="A487" s="5" t="s">
        <v>706</v>
      </c>
      <c r="B487" s="42">
        <f t="shared" si="7"/>
        <v>243.33157999999997</v>
      </c>
      <c r="C487" s="7" t="s">
        <v>612</v>
      </c>
      <c r="D487" s="7" t="s">
        <v>611</v>
      </c>
      <c r="E487" s="7" t="s">
        <v>826</v>
      </c>
      <c r="F487" s="8">
        <v>236.65801000000036</v>
      </c>
      <c r="G487" s="7" t="s">
        <v>475</v>
      </c>
      <c r="H487" s="7" t="s">
        <v>477</v>
      </c>
      <c r="I487" s="10">
        <v>413.8</v>
      </c>
      <c r="J487" s="10">
        <v>243331.58</v>
      </c>
      <c r="K487" s="6">
        <v>100179.71000000037</v>
      </c>
    </row>
    <row r="488" spans="1:11" x14ac:dyDescent="0.25">
      <c r="A488" s="5" t="s">
        <v>706</v>
      </c>
      <c r="B488" s="42">
        <f t="shared" si="7"/>
        <v>243.74537999999998</v>
      </c>
      <c r="C488" s="7" t="s">
        <v>611</v>
      </c>
      <c r="D488" s="7" t="s">
        <v>610</v>
      </c>
      <c r="E488" s="7" t="s">
        <v>826</v>
      </c>
      <c r="F488" s="8">
        <v>237.27822000000035</v>
      </c>
      <c r="G488" s="7" t="s">
        <v>477</v>
      </c>
      <c r="H488" s="7" t="s">
        <v>479</v>
      </c>
      <c r="I488" s="10">
        <v>483.5</v>
      </c>
      <c r="J488" s="10">
        <v>243745.37999999998</v>
      </c>
      <c r="K488" s="6">
        <v>99765.910000000367</v>
      </c>
    </row>
    <row r="489" spans="1:11" x14ac:dyDescent="0.25">
      <c r="A489" s="5" t="s">
        <v>706</v>
      </c>
      <c r="B489" s="42">
        <f t="shared" si="7"/>
        <v>244.22887999999998</v>
      </c>
      <c r="C489" s="7" t="s">
        <v>610</v>
      </c>
      <c r="D489" s="7" t="s">
        <v>609</v>
      </c>
      <c r="E489" s="7" t="s">
        <v>826</v>
      </c>
      <c r="F489" s="8">
        <v>237.85682000000037</v>
      </c>
      <c r="G489" s="7" t="s">
        <v>479</v>
      </c>
      <c r="H489" s="7" t="s">
        <v>481</v>
      </c>
      <c r="I489" s="10">
        <v>477.7</v>
      </c>
      <c r="J489" s="10">
        <v>244228.87999999998</v>
      </c>
      <c r="K489" s="6">
        <v>99282.410000000367</v>
      </c>
    </row>
    <row r="490" spans="1:11" x14ac:dyDescent="0.25">
      <c r="A490" s="5" t="s">
        <v>706</v>
      </c>
      <c r="B490" s="42">
        <f t="shared" si="7"/>
        <v>244.70657999999997</v>
      </c>
      <c r="C490" s="7" t="s">
        <v>609</v>
      </c>
      <c r="D490" s="7" t="s">
        <v>608</v>
      </c>
      <c r="E490" s="7" t="s">
        <v>826</v>
      </c>
      <c r="F490" s="8">
        <v>238.36082000000036</v>
      </c>
      <c r="G490" s="7" t="s">
        <v>481</v>
      </c>
      <c r="H490" s="7" t="s">
        <v>483</v>
      </c>
      <c r="I490" s="10">
        <v>449.1</v>
      </c>
      <c r="J490" s="10">
        <v>244706.58</v>
      </c>
      <c r="K490" s="6">
        <v>98804.71000000037</v>
      </c>
    </row>
    <row r="491" spans="1:11" x14ac:dyDescent="0.25">
      <c r="A491" s="5" t="s">
        <v>706</v>
      </c>
      <c r="B491" s="42">
        <f t="shared" si="7"/>
        <v>245.15567999999999</v>
      </c>
      <c r="C491" s="7" t="s">
        <v>608</v>
      </c>
      <c r="D491" s="7" t="s">
        <v>607</v>
      </c>
      <c r="E491" s="7" t="s">
        <v>826</v>
      </c>
      <c r="F491" s="8">
        <v>238.78722000000036</v>
      </c>
      <c r="G491" s="7" t="s">
        <v>483</v>
      </c>
      <c r="H491" s="7" t="s">
        <v>485</v>
      </c>
      <c r="I491" s="10">
        <v>360.5</v>
      </c>
      <c r="J491" s="10">
        <v>245155.68</v>
      </c>
      <c r="K491" s="6">
        <v>98355.610000000364</v>
      </c>
    </row>
    <row r="492" spans="1:11" x14ac:dyDescent="0.25">
      <c r="A492" s="5" t="s">
        <v>706</v>
      </c>
      <c r="B492" s="42">
        <f t="shared" si="7"/>
        <v>245.51617999999999</v>
      </c>
      <c r="C492" s="7" t="s">
        <v>607</v>
      </c>
      <c r="D492" s="7" t="s">
        <v>606</v>
      </c>
      <c r="E492" s="7" t="s">
        <v>826</v>
      </c>
      <c r="F492" s="8">
        <v>239.28432000000035</v>
      </c>
      <c r="G492" s="7" t="s">
        <v>485</v>
      </c>
      <c r="H492" s="7" t="s">
        <v>487</v>
      </c>
      <c r="I492" s="10">
        <v>486.2</v>
      </c>
      <c r="J492" s="10">
        <v>245516.18</v>
      </c>
      <c r="K492" s="6">
        <v>97995.110000000364</v>
      </c>
    </row>
    <row r="493" spans="1:11" x14ac:dyDescent="0.25">
      <c r="A493" s="5" t="s">
        <v>706</v>
      </c>
      <c r="B493" s="42">
        <f t="shared" si="7"/>
        <v>246.00238000000002</v>
      </c>
      <c r="C493" s="7" t="s">
        <v>606</v>
      </c>
      <c r="D493" s="7" t="s">
        <v>605</v>
      </c>
      <c r="E493" s="7" t="s">
        <v>826</v>
      </c>
      <c r="F493" s="8">
        <v>239.76222000000035</v>
      </c>
      <c r="G493" s="7" t="s">
        <v>487</v>
      </c>
      <c r="H493" s="7" t="s">
        <v>489</v>
      </c>
      <c r="I493" s="10">
        <v>581.5</v>
      </c>
      <c r="J493" s="10">
        <v>246002.38</v>
      </c>
      <c r="K493" s="6">
        <v>97508.910000000367</v>
      </c>
    </row>
    <row r="494" spans="1:11" x14ac:dyDescent="0.25">
      <c r="A494" s="5" t="s">
        <v>706</v>
      </c>
      <c r="B494" s="42">
        <f t="shared" si="7"/>
        <v>246.58387999999999</v>
      </c>
      <c r="C494" s="7" t="s">
        <v>605</v>
      </c>
      <c r="D494" s="7" t="s">
        <v>604</v>
      </c>
      <c r="E494" s="7" t="s">
        <v>826</v>
      </c>
      <c r="F494" s="8">
        <v>240.34842000000037</v>
      </c>
      <c r="G494" s="7" t="s">
        <v>489</v>
      </c>
      <c r="H494" s="7" t="s">
        <v>491</v>
      </c>
      <c r="I494" s="10">
        <v>518.1</v>
      </c>
      <c r="J494" s="10">
        <v>246583.88</v>
      </c>
      <c r="K494" s="6">
        <v>96927.410000000367</v>
      </c>
    </row>
    <row r="495" spans="1:11" x14ac:dyDescent="0.25">
      <c r="A495" s="5" t="s">
        <v>706</v>
      </c>
      <c r="B495" s="42">
        <f t="shared" si="7"/>
        <v>247.10198</v>
      </c>
      <c r="C495" s="7" t="s">
        <v>604</v>
      </c>
      <c r="D495" s="7" t="s">
        <v>603</v>
      </c>
      <c r="E495" s="7" t="s">
        <v>826</v>
      </c>
      <c r="F495" s="8">
        <v>240.90632000000036</v>
      </c>
      <c r="G495" s="7" t="s">
        <v>491</v>
      </c>
      <c r="H495" s="7" t="s">
        <v>493</v>
      </c>
      <c r="I495" s="10">
        <v>443.9</v>
      </c>
      <c r="J495" s="10">
        <v>247101.98</v>
      </c>
      <c r="K495" s="6">
        <v>96409.310000000361</v>
      </c>
    </row>
    <row r="496" spans="1:11" x14ac:dyDescent="0.25">
      <c r="A496" s="5" t="s">
        <v>706</v>
      </c>
      <c r="B496" s="42">
        <f t="shared" si="7"/>
        <v>247.54588000000001</v>
      </c>
      <c r="C496" s="7" t="s">
        <v>603</v>
      </c>
      <c r="D496" s="7" t="s">
        <v>602</v>
      </c>
      <c r="E496" s="7" t="s">
        <v>826</v>
      </c>
      <c r="F496" s="8">
        <v>241.47112000000035</v>
      </c>
      <c r="G496" s="7" t="s">
        <v>493</v>
      </c>
      <c r="H496" s="7" t="s">
        <v>495</v>
      </c>
      <c r="I496" s="10">
        <v>632</v>
      </c>
      <c r="J496" s="10">
        <v>247545.88</v>
      </c>
      <c r="K496" s="6">
        <v>95965.410000000367</v>
      </c>
    </row>
    <row r="497" spans="1:11" x14ac:dyDescent="0.25">
      <c r="A497" s="5" t="s">
        <v>706</v>
      </c>
      <c r="B497" s="42">
        <f t="shared" si="7"/>
        <v>248.17788000000002</v>
      </c>
      <c r="C497" s="7" t="s">
        <v>602</v>
      </c>
      <c r="D497" s="7" t="s">
        <v>601</v>
      </c>
      <c r="E497" s="7" t="s">
        <v>826</v>
      </c>
      <c r="F497" s="8">
        <v>241.96602000000033</v>
      </c>
      <c r="G497" s="7" t="s">
        <v>495</v>
      </c>
      <c r="H497" s="7" t="s">
        <v>497</v>
      </c>
      <c r="I497" s="10">
        <v>536.70000000000005</v>
      </c>
      <c r="J497" s="10">
        <v>248177.88</v>
      </c>
      <c r="K497" s="6">
        <v>95333.410000000367</v>
      </c>
    </row>
    <row r="498" spans="1:11" x14ac:dyDescent="0.25">
      <c r="A498" s="5" t="s">
        <v>706</v>
      </c>
      <c r="B498" s="42">
        <f t="shared" si="7"/>
        <v>248.71458000000001</v>
      </c>
      <c r="C498" s="7" t="s">
        <v>601</v>
      </c>
      <c r="D498" s="7" t="s">
        <v>600</v>
      </c>
      <c r="E498" s="7" t="s">
        <v>826</v>
      </c>
      <c r="F498" s="8">
        <v>242.40314000000032</v>
      </c>
      <c r="G498" s="7" t="s">
        <v>497</v>
      </c>
      <c r="H498" s="7" t="s">
        <v>499</v>
      </c>
      <c r="I498" s="10">
        <v>474.1</v>
      </c>
      <c r="J498" s="10">
        <v>248714.58000000002</v>
      </c>
      <c r="K498" s="6">
        <v>94796.71000000037</v>
      </c>
    </row>
    <row r="499" spans="1:11" x14ac:dyDescent="0.25">
      <c r="A499" s="5" t="s">
        <v>706</v>
      </c>
      <c r="B499" s="42">
        <f t="shared" si="7"/>
        <v>249.18868000000003</v>
      </c>
      <c r="C499" s="7" t="s">
        <v>600</v>
      </c>
      <c r="D499" s="7" t="s">
        <v>599</v>
      </c>
      <c r="E499" s="7" t="s">
        <v>826</v>
      </c>
      <c r="F499" s="8">
        <v>242.98674000000034</v>
      </c>
      <c r="G499" s="7" t="s">
        <v>499</v>
      </c>
      <c r="H499" s="7" t="s">
        <v>501</v>
      </c>
      <c r="I499" s="10">
        <v>522.70000000000005</v>
      </c>
      <c r="J499" s="10">
        <v>249188.68000000002</v>
      </c>
      <c r="K499" s="6">
        <v>94322.610000000364</v>
      </c>
    </row>
    <row r="500" spans="1:11" x14ac:dyDescent="0.25">
      <c r="A500" s="5" t="s">
        <v>706</v>
      </c>
      <c r="B500" s="42">
        <f t="shared" si="7"/>
        <v>249.71138000000002</v>
      </c>
      <c r="C500" s="7" t="s">
        <v>599</v>
      </c>
      <c r="D500" s="7" t="s">
        <v>598</v>
      </c>
      <c r="E500" s="7" t="s">
        <v>826</v>
      </c>
      <c r="F500" s="8">
        <v>243.46674000000033</v>
      </c>
      <c r="G500" s="7" t="s">
        <v>501</v>
      </c>
      <c r="H500" s="7" t="s">
        <v>503</v>
      </c>
      <c r="I500" s="10">
        <v>471.6</v>
      </c>
      <c r="J500" s="10">
        <v>249711.38000000003</v>
      </c>
      <c r="K500" s="6">
        <v>93799.910000000367</v>
      </c>
    </row>
    <row r="501" spans="1:11" x14ac:dyDescent="0.25">
      <c r="A501" s="5" t="s">
        <v>706</v>
      </c>
      <c r="B501" s="42">
        <f t="shared" si="7"/>
        <v>250.18298000000004</v>
      </c>
      <c r="C501" s="7" t="s">
        <v>598</v>
      </c>
      <c r="D501" s="7" t="s">
        <v>597</v>
      </c>
      <c r="E501" s="7" t="s">
        <v>826</v>
      </c>
      <c r="F501" s="8">
        <v>243.93664000000032</v>
      </c>
      <c r="G501" s="7" t="s">
        <v>503</v>
      </c>
      <c r="H501" s="7" t="s">
        <v>502</v>
      </c>
      <c r="I501" s="10">
        <v>519</v>
      </c>
      <c r="J501" s="10">
        <v>250182.98000000004</v>
      </c>
      <c r="K501" s="6">
        <v>93328.310000000361</v>
      </c>
    </row>
    <row r="502" spans="1:11" x14ac:dyDescent="0.25">
      <c r="A502" s="5" t="s">
        <v>706</v>
      </c>
      <c r="B502" s="42">
        <f t="shared" si="7"/>
        <v>250.70198000000005</v>
      </c>
      <c r="C502" s="7" t="s">
        <v>597</v>
      </c>
      <c r="D502" s="7" t="s">
        <v>596</v>
      </c>
      <c r="E502" s="7" t="s">
        <v>826</v>
      </c>
      <c r="F502" s="8">
        <v>244.44914000000034</v>
      </c>
      <c r="G502" s="7" t="s">
        <v>502</v>
      </c>
      <c r="H502" s="7" t="s">
        <v>500</v>
      </c>
      <c r="I502" s="10">
        <v>483.9</v>
      </c>
      <c r="J502" s="10">
        <v>250701.98000000004</v>
      </c>
      <c r="K502" s="6">
        <v>92809.310000000361</v>
      </c>
    </row>
    <row r="503" spans="1:11" x14ac:dyDescent="0.25">
      <c r="A503" s="5" t="s">
        <v>706</v>
      </c>
      <c r="B503" s="42">
        <f t="shared" si="7"/>
        <v>251.18588000000003</v>
      </c>
      <c r="C503" s="7" t="s">
        <v>596</v>
      </c>
      <c r="D503" s="7" t="s">
        <v>595</v>
      </c>
      <c r="E503" s="7" t="s">
        <v>826</v>
      </c>
      <c r="F503" s="8">
        <v>244.83564000000032</v>
      </c>
      <c r="G503" s="7" t="s">
        <v>500</v>
      </c>
      <c r="H503" s="7" t="s">
        <v>498</v>
      </c>
      <c r="I503" s="10">
        <v>482.8</v>
      </c>
      <c r="J503" s="10">
        <v>251185.88000000003</v>
      </c>
      <c r="K503" s="6">
        <v>92325.410000000367</v>
      </c>
    </row>
    <row r="504" spans="1:11" x14ac:dyDescent="0.25">
      <c r="A504" s="5" t="s">
        <v>706</v>
      </c>
      <c r="B504" s="42">
        <f t="shared" si="7"/>
        <v>251.66868000000002</v>
      </c>
      <c r="C504" s="7" t="s">
        <v>595</v>
      </c>
      <c r="D504" s="7" t="s">
        <v>594</v>
      </c>
      <c r="E504" s="7" t="s">
        <v>826</v>
      </c>
      <c r="F504" s="8">
        <v>245.13954000000032</v>
      </c>
      <c r="G504" s="7" t="s">
        <v>498</v>
      </c>
      <c r="H504" s="7" t="s">
        <v>496</v>
      </c>
      <c r="I504" s="10">
        <v>442</v>
      </c>
      <c r="J504" s="10">
        <v>251668.68000000002</v>
      </c>
      <c r="K504" s="6">
        <v>91842.610000000364</v>
      </c>
    </row>
    <row r="505" spans="1:11" x14ac:dyDescent="0.25">
      <c r="A505" s="5" t="s">
        <v>706</v>
      </c>
      <c r="B505" s="42">
        <f t="shared" si="7"/>
        <v>252.11068000000003</v>
      </c>
      <c r="C505" s="7" t="s">
        <v>594</v>
      </c>
      <c r="D505" s="7" t="s">
        <v>593</v>
      </c>
      <c r="E505" s="7" t="s">
        <v>826</v>
      </c>
      <c r="F505" s="8">
        <v>245.56074000000035</v>
      </c>
      <c r="G505" s="7" t="s">
        <v>496</v>
      </c>
      <c r="H505" s="7" t="s">
        <v>494</v>
      </c>
      <c r="I505" s="10">
        <v>566.4</v>
      </c>
      <c r="J505" s="10">
        <v>252110.68000000002</v>
      </c>
      <c r="K505" s="6">
        <v>91400.610000000364</v>
      </c>
    </row>
    <row r="506" spans="1:11" x14ac:dyDescent="0.25">
      <c r="A506" s="5" t="s">
        <v>706</v>
      </c>
      <c r="B506" s="42">
        <f t="shared" si="7"/>
        <v>252.67708000000002</v>
      </c>
      <c r="C506" s="7" t="s">
        <v>593</v>
      </c>
      <c r="D506" s="7" t="s">
        <v>592</v>
      </c>
      <c r="E506" s="7" t="s">
        <v>826</v>
      </c>
      <c r="F506" s="8">
        <v>246.06474000000034</v>
      </c>
      <c r="G506" s="7" t="s">
        <v>494</v>
      </c>
      <c r="H506" s="7" t="s">
        <v>492</v>
      </c>
      <c r="I506" s="10">
        <v>576.20000000000005</v>
      </c>
      <c r="J506" s="10">
        <v>252677.08000000002</v>
      </c>
      <c r="K506" s="6">
        <v>90834.21000000037</v>
      </c>
    </row>
    <row r="507" spans="1:11" x14ac:dyDescent="0.25">
      <c r="A507" s="5" t="s">
        <v>706</v>
      </c>
      <c r="B507" s="42">
        <f t="shared" si="7"/>
        <v>253.25328000000002</v>
      </c>
      <c r="C507" s="7" t="s">
        <v>592</v>
      </c>
      <c r="D507" s="7" t="s">
        <v>591</v>
      </c>
      <c r="E507" s="7" t="s">
        <v>826</v>
      </c>
      <c r="F507" s="8">
        <v>246.59824000000035</v>
      </c>
      <c r="G507" s="7" t="s">
        <v>492</v>
      </c>
      <c r="H507" s="7" t="s">
        <v>490</v>
      </c>
      <c r="I507" s="10">
        <v>587</v>
      </c>
      <c r="J507" s="10">
        <v>253253.28000000003</v>
      </c>
      <c r="K507" s="6">
        <v>90258.010000000373</v>
      </c>
    </row>
    <row r="508" spans="1:11" x14ac:dyDescent="0.25">
      <c r="A508" s="5" t="s">
        <v>706</v>
      </c>
      <c r="B508" s="42">
        <f t="shared" si="7"/>
        <v>253.84028000000004</v>
      </c>
      <c r="C508" s="7" t="s">
        <v>591</v>
      </c>
      <c r="D508" s="7" t="s">
        <v>590</v>
      </c>
      <c r="E508" s="7" t="s">
        <v>826</v>
      </c>
      <c r="F508" s="8">
        <v>247.11624000000035</v>
      </c>
      <c r="G508" s="7" t="s">
        <v>490</v>
      </c>
      <c r="H508" s="7" t="s">
        <v>488</v>
      </c>
      <c r="I508" s="10">
        <v>535.5</v>
      </c>
      <c r="J508" s="10">
        <v>253840.28000000003</v>
      </c>
      <c r="K508" s="6">
        <v>89671.010000000373</v>
      </c>
    </row>
    <row r="509" spans="1:11" x14ac:dyDescent="0.25">
      <c r="A509" s="5" t="s">
        <v>706</v>
      </c>
      <c r="B509" s="42">
        <f t="shared" si="7"/>
        <v>254.37578000000002</v>
      </c>
      <c r="C509" s="7" t="s">
        <v>590</v>
      </c>
      <c r="D509" s="7" t="s">
        <v>589</v>
      </c>
      <c r="E509" s="7" t="s">
        <v>826</v>
      </c>
      <c r="F509" s="8">
        <v>247.65324000000035</v>
      </c>
      <c r="G509" s="7" t="s">
        <v>488</v>
      </c>
      <c r="H509" s="7" t="s">
        <v>486</v>
      </c>
      <c r="I509" s="10">
        <v>579.70000000000005</v>
      </c>
      <c r="J509" s="10">
        <v>254375.78000000003</v>
      </c>
      <c r="K509" s="6">
        <v>89135.510000000373</v>
      </c>
    </row>
    <row r="510" spans="1:11" x14ac:dyDescent="0.25">
      <c r="A510" s="5" t="s">
        <v>706</v>
      </c>
      <c r="B510" s="42">
        <f t="shared" si="7"/>
        <v>254.95548000000005</v>
      </c>
      <c r="C510" s="7" t="s">
        <v>589</v>
      </c>
      <c r="D510" s="7" t="s">
        <v>588</v>
      </c>
      <c r="E510" s="7" t="s">
        <v>826</v>
      </c>
      <c r="F510" s="8">
        <v>248.21864000000033</v>
      </c>
      <c r="G510" s="7" t="s">
        <v>486</v>
      </c>
      <c r="H510" s="7" t="s">
        <v>484</v>
      </c>
      <c r="I510" s="10">
        <v>375.6</v>
      </c>
      <c r="J510" s="10">
        <v>254955.48000000004</v>
      </c>
      <c r="K510" s="6">
        <v>88555.810000000376</v>
      </c>
    </row>
    <row r="511" spans="1:11" x14ac:dyDescent="0.25">
      <c r="A511" s="5" t="s">
        <v>706</v>
      </c>
      <c r="B511" s="42">
        <f t="shared" si="7"/>
        <v>255.33108000000004</v>
      </c>
      <c r="C511" s="7" t="s">
        <v>588</v>
      </c>
      <c r="D511" s="7" t="s">
        <v>587</v>
      </c>
      <c r="E511" s="7" t="s">
        <v>826</v>
      </c>
      <c r="F511" s="8">
        <v>248.71964000000034</v>
      </c>
      <c r="G511" s="7" t="s">
        <v>484</v>
      </c>
      <c r="H511" s="7" t="s">
        <v>482</v>
      </c>
      <c r="I511" s="10">
        <v>501.8</v>
      </c>
      <c r="J511" s="10">
        <v>255331.08000000005</v>
      </c>
      <c r="K511" s="6">
        <v>88180.21000000037</v>
      </c>
    </row>
    <row r="512" spans="1:11" x14ac:dyDescent="0.25">
      <c r="A512" s="5" t="s">
        <v>706</v>
      </c>
      <c r="B512" s="42">
        <f t="shared" si="7"/>
        <v>255.83288000000005</v>
      </c>
      <c r="C512" s="7" t="s">
        <v>587</v>
      </c>
      <c r="D512" s="7" t="s">
        <v>586</v>
      </c>
      <c r="E512" s="7" t="s">
        <v>826</v>
      </c>
      <c r="F512" s="8">
        <v>249.32024000000035</v>
      </c>
      <c r="G512" s="7" t="s">
        <v>482</v>
      </c>
      <c r="H512" s="7" t="s">
        <v>480</v>
      </c>
      <c r="I512" s="10">
        <v>485.5</v>
      </c>
      <c r="J512" s="10">
        <v>255832.88000000003</v>
      </c>
      <c r="K512" s="6">
        <v>87678.410000000367</v>
      </c>
    </row>
    <row r="513" spans="1:11" x14ac:dyDescent="0.25">
      <c r="A513" s="5" t="s">
        <v>706</v>
      </c>
      <c r="B513" s="42">
        <f t="shared" si="7"/>
        <v>256.31838000000005</v>
      </c>
      <c r="C513" s="7" t="s">
        <v>586</v>
      </c>
      <c r="D513" s="7" t="s">
        <v>585</v>
      </c>
      <c r="E513" s="7" t="s">
        <v>826</v>
      </c>
      <c r="F513" s="8">
        <v>249.85254000000032</v>
      </c>
      <c r="G513" s="7" t="s">
        <v>480</v>
      </c>
      <c r="H513" s="7" t="s">
        <v>478</v>
      </c>
      <c r="I513" s="10">
        <v>396.9</v>
      </c>
      <c r="J513" s="10">
        <v>256318.38000000003</v>
      </c>
      <c r="K513" s="6">
        <v>87192.910000000367</v>
      </c>
    </row>
    <row r="514" spans="1:11" x14ac:dyDescent="0.25">
      <c r="A514" s="5" t="s">
        <v>706</v>
      </c>
      <c r="B514" s="42">
        <f t="shared" si="7"/>
        <v>256.71528000000001</v>
      </c>
      <c r="C514" s="7" t="s">
        <v>585</v>
      </c>
      <c r="D514" s="7" t="s">
        <v>584</v>
      </c>
      <c r="E514" s="7" t="s">
        <v>826</v>
      </c>
      <c r="F514" s="8">
        <v>250.39194000000032</v>
      </c>
      <c r="G514" s="7" t="s">
        <v>478</v>
      </c>
      <c r="H514" s="7" t="s">
        <v>476</v>
      </c>
      <c r="I514" s="10">
        <v>448.9</v>
      </c>
      <c r="J514" s="10">
        <v>256715.28000000003</v>
      </c>
      <c r="K514" s="6">
        <v>86796.010000000373</v>
      </c>
    </row>
    <row r="515" spans="1:11" x14ac:dyDescent="0.25">
      <c r="A515" s="5" t="s">
        <v>706</v>
      </c>
      <c r="B515" s="42">
        <f t="shared" ref="B515:B578" si="8">J515/1000</f>
        <v>257.16418000000004</v>
      </c>
      <c r="C515" s="7" t="s">
        <v>584</v>
      </c>
      <c r="D515" s="7" t="s">
        <v>583</v>
      </c>
      <c r="E515" s="7" t="s">
        <v>826</v>
      </c>
      <c r="F515" s="8">
        <v>251.01614000000035</v>
      </c>
      <c r="G515" s="7" t="s">
        <v>476</v>
      </c>
      <c r="H515" s="7" t="s">
        <v>474</v>
      </c>
      <c r="I515" s="10">
        <v>434.37</v>
      </c>
      <c r="J515" s="10">
        <v>257164.18000000002</v>
      </c>
      <c r="K515" s="6">
        <v>86347.110000000379</v>
      </c>
    </row>
    <row r="516" spans="1:11" x14ac:dyDescent="0.25">
      <c r="A516" s="5" t="s">
        <v>706</v>
      </c>
      <c r="B516" s="42">
        <f t="shared" si="8"/>
        <v>257.59855000000005</v>
      </c>
      <c r="C516" s="7" t="s">
        <v>583</v>
      </c>
      <c r="D516" s="7" t="s">
        <v>582</v>
      </c>
      <c r="E516" s="7" t="s">
        <v>826</v>
      </c>
      <c r="F516" s="8">
        <v>251.52874000000034</v>
      </c>
      <c r="G516" s="7" t="s">
        <v>474</v>
      </c>
      <c r="H516" s="7" t="s">
        <v>472</v>
      </c>
      <c r="I516" s="10">
        <v>395.8</v>
      </c>
      <c r="J516" s="10">
        <v>257598.55000000002</v>
      </c>
      <c r="K516" s="6">
        <v>85912.740000000384</v>
      </c>
    </row>
    <row r="517" spans="1:11" x14ac:dyDescent="0.25">
      <c r="A517" s="5" t="s">
        <v>706</v>
      </c>
      <c r="B517" s="42">
        <f t="shared" si="8"/>
        <v>257.99435</v>
      </c>
      <c r="C517" s="7" t="s">
        <v>582</v>
      </c>
      <c r="D517" s="7" t="s">
        <v>581</v>
      </c>
      <c r="E517" s="7" t="s">
        <v>826</v>
      </c>
      <c r="F517" s="8">
        <v>252.13514000000035</v>
      </c>
      <c r="G517" s="7" t="s">
        <v>472</v>
      </c>
      <c r="H517" s="7" t="s">
        <v>470</v>
      </c>
      <c r="I517" s="10">
        <v>278.11</v>
      </c>
      <c r="J517" s="10">
        <v>257994.35</v>
      </c>
      <c r="K517" s="6">
        <v>85516.940000000381</v>
      </c>
    </row>
    <row r="518" spans="1:11" x14ac:dyDescent="0.25">
      <c r="A518" s="5" t="s">
        <v>706</v>
      </c>
      <c r="B518" s="42">
        <f t="shared" si="8"/>
        <v>258.27245999999997</v>
      </c>
      <c r="C518" s="7" t="s">
        <v>581</v>
      </c>
      <c r="D518" s="7" t="s">
        <v>580</v>
      </c>
      <c r="E518" s="7" t="s">
        <v>826</v>
      </c>
      <c r="F518" s="8">
        <v>252.57694000000032</v>
      </c>
      <c r="G518" s="7" t="s">
        <v>470</v>
      </c>
      <c r="H518" s="7" t="s">
        <v>468</v>
      </c>
      <c r="I518" s="10">
        <v>474.81</v>
      </c>
      <c r="J518" s="10">
        <v>258272.46</v>
      </c>
      <c r="K518" s="6">
        <v>85238.83000000038</v>
      </c>
    </row>
    <row r="519" spans="1:11" x14ac:dyDescent="0.25">
      <c r="A519" s="5" t="s">
        <v>706</v>
      </c>
      <c r="B519" s="42">
        <f t="shared" si="8"/>
        <v>258.74727000000001</v>
      </c>
      <c r="C519" s="7" t="s">
        <v>580</v>
      </c>
      <c r="D519" s="7" t="s">
        <v>579</v>
      </c>
      <c r="E519" s="7" t="s">
        <v>826</v>
      </c>
      <c r="F519" s="8">
        <v>253.04294000000033</v>
      </c>
      <c r="G519" s="7" t="s">
        <v>468</v>
      </c>
      <c r="H519" s="7" t="s">
        <v>466</v>
      </c>
      <c r="I519" s="10">
        <v>369.62</v>
      </c>
      <c r="J519" s="10">
        <v>258747.27</v>
      </c>
      <c r="K519" s="6">
        <v>84764.020000000382</v>
      </c>
    </row>
    <row r="520" spans="1:11" x14ac:dyDescent="0.25">
      <c r="A520" s="5" t="s">
        <v>706</v>
      </c>
      <c r="B520" s="42">
        <f t="shared" si="8"/>
        <v>259.11689000000001</v>
      </c>
      <c r="C520" s="7" t="s">
        <v>579</v>
      </c>
      <c r="D520" s="7" t="s">
        <v>578</v>
      </c>
      <c r="E520" s="7" t="s">
        <v>826</v>
      </c>
      <c r="F520" s="8">
        <v>253.68504000000033</v>
      </c>
      <c r="G520" s="7" t="s">
        <v>466</v>
      </c>
      <c r="H520" s="7" t="s">
        <v>464</v>
      </c>
      <c r="I520" s="10">
        <v>451.64</v>
      </c>
      <c r="J520" s="10">
        <v>259116.88999999998</v>
      </c>
      <c r="K520" s="6">
        <v>84394.400000000387</v>
      </c>
    </row>
    <row r="521" spans="1:11" x14ac:dyDescent="0.25">
      <c r="A521" s="5" t="s">
        <v>706</v>
      </c>
      <c r="B521" s="42">
        <f t="shared" si="8"/>
        <v>259.56853000000001</v>
      </c>
      <c r="C521" s="7" t="s">
        <v>578</v>
      </c>
      <c r="D521" s="7" t="s">
        <v>577</v>
      </c>
      <c r="E521" s="7" t="s">
        <v>826</v>
      </c>
      <c r="F521" s="8">
        <v>254.20824000000033</v>
      </c>
      <c r="G521" s="7" t="s">
        <v>464</v>
      </c>
      <c r="H521" s="7" t="s">
        <v>462</v>
      </c>
      <c r="I521" s="10">
        <v>425.67</v>
      </c>
      <c r="J521" s="10">
        <v>259568.53</v>
      </c>
      <c r="K521" s="6">
        <v>83942.760000000388</v>
      </c>
    </row>
    <row r="522" spans="1:11" x14ac:dyDescent="0.25">
      <c r="A522" s="5" t="s">
        <v>706</v>
      </c>
      <c r="B522" s="42">
        <f t="shared" si="8"/>
        <v>259.99420000000003</v>
      </c>
      <c r="C522" s="7" t="s">
        <v>577</v>
      </c>
      <c r="D522" s="7" t="s">
        <v>576</v>
      </c>
      <c r="E522" s="7" t="s">
        <v>826</v>
      </c>
      <c r="F522" s="8">
        <v>254.73654000000033</v>
      </c>
      <c r="G522" s="7" t="s">
        <v>462</v>
      </c>
      <c r="H522" s="7" t="s">
        <v>460</v>
      </c>
      <c r="I522" s="10">
        <v>408.13</v>
      </c>
      <c r="J522" s="10">
        <v>259994.2</v>
      </c>
      <c r="K522" s="6">
        <v>83517.090000000389</v>
      </c>
    </row>
    <row r="523" spans="1:11" x14ac:dyDescent="0.25">
      <c r="A523" s="5" t="s">
        <v>706</v>
      </c>
      <c r="B523" s="42">
        <f t="shared" si="8"/>
        <v>260.40233000000001</v>
      </c>
      <c r="C523" s="7" t="s">
        <v>576</v>
      </c>
      <c r="D523" s="7" t="s">
        <v>575</v>
      </c>
      <c r="E523" s="7" t="s">
        <v>826</v>
      </c>
      <c r="F523" s="8">
        <v>255.23092000000034</v>
      </c>
      <c r="G523" s="7" t="s">
        <v>460</v>
      </c>
      <c r="H523" s="7" t="s">
        <v>458</v>
      </c>
      <c r="I523" s="10">
        <v>450</v>
      </c>
      <c r="J523" s="10">
        <v>260402.33000000002</v>
      </c>
      <c r="K523" s="6">
        <v>83108.960000000385</v>
      </c>
    </row>
    <row r="524" spans="1:11" x14ac:dyDescent="0.25">
      <c r="A524" s="5" t="s">
        <v>706</v>
      </c>
      <c r="B524" s="42">
        <f t="shared" si="8"/>
        <v>260.85232999999999</v>
      </c>
      <c r="C524" s="7" t="s">
        <v>575</v>
      </c>
      <c r="D524" s="7" t="s">
        <v>574</v>
      </c>
      <c r="E524" s="7" t="s">
        <v>826</v>
      </c>
      <c r="F524" s="8">
        <v>255.70708000000033</v>
      </c>
      <c r="G524" s="7" t="s">
        <v>458</v>
      </c>
      <c r="H524" s="7" t="s">
        <v>456</v>
      </c>
      <c r="I524" s="10">
        <v>585.1</v>
      </c>
      <c r="J524" s="10">
        <v>260852.33000000002</v>
      </c>
      <c r="K524" s="6">
        <v>82658.960000000385</v>
      </c>
    </row>
    <row r="525" spans="1:11" x14ac:dyDescent="0.25">
      <c r="A525" s="5" t="s">
        <v>706</v>
      </c>
      <c r="B525" s="42">
        <f t="shared" si="8"/>
        <v>261.43743000000001</v>
      </c>
      <c r="C525" s="7" t="s">
        <v>574</v>
      </c>
      <c r="D525" s="7" t="s">
        <v>573</v>
      </c>
      <c r="E525" s="7" t="s">
        <v>826</v>
      </c>
      <c r="F525" s="8">
        <v>256.25624000000033</v>
      </c>
      <c r="G525" s="7" t="s">
        <v>456</v>
      </c>
      <c r="H525" s="7" t="s">
        <v>454</v>
      </c>
      <c r="I525" s="10">
        <v>577.70000000000005</v>
      </c>
      <c r="J525" s="10">
        <v>261437.43000000002</v>
      </c>
      <c r="K525" s="6">
        <v>82073.860000000379</v>
      </c>
    </row>
    <row r="526" spans="1:11" x14ac:dyDescent="0.25">
      <c r="A526" s="5" t="s">
        <v>706</v>
      </c>
      <c r="B526" s="42">
        <f t="shared" si="8"/>
        <v>262.01513000000006</v>
      </c>
      <c r="C526" s="7" t="s">
        <v>573</v>
      </c>
      <c r="D526" s="7" t="s">
        <v>572</v>
      </c>
      <c r="E526" s="7" t="s">
        <v>826</v>
      </c>
      <c r="F526" s="8">
        <v>256.71220000000034</v>
      </c>
      <c r="G526" s="7" t="s">
        <v>454</v>
      </c>
      <c r="H526" s="7" t="s">
        <v>452</v>
      </c>
      <c r="I526" s="10">
        <v>582.9</v>
      </c>
      <c r="J526" s="10">
        <v>262015.13000000003</v>
      </c>
      <c r="K526" s="6">
        <v>81496.160000000382</v>
      </c>
    </row>
    <row r="527" spans="1:11" x14ac:dyDescent="0.25">
      <c r="A527" s="5" t="s">
        <v>706</v>
      </c>
      <c r="B527" s="42">
        <f t="shared" si="8"/>
        <v>262.59803000000005</v>
      </c>
      <c r="C527" s="7" t="s">
        <v>572</v>
      </c>
      <c r="D527" s="7" t="s">
        <v>571</v>
      </c>
      <c r="E527" s="7" t="s">
        <v>826</v>
      </c>
      <c r="F527" s="8">
        <v>257.15281000000033</v>
      </c>
      <c r="G527" s="7" t="s">
        <v>452</v>
      </c>
      <c r="H527" s="7" t="s">
        <v>450</v>
      </c>
      <c r="I527" s="10">
        <v>538.29999999999995</v>
      </c>
      <c r="J527" s="10">
        <v>262598.03000000003</v>
      </c>
      <c r="K527" s="6">
        <v>80913.260000000388</v>
      </c>
    </row>
    <row r="528" spans="1:11" x14ac:dyDescent="0.25">
      <c r="A528" s="5" t="s">
        <v>706</v>
      </c>
      <c r="B528" s="42">
        <f t="shared" si="8"/>
        <v>263.13633000000004</v>
      </c>
      <c r="C528" s="7" t="s">
        <v>571</v>
      </c>
      <c r="D528" s="7" t="s">
        <v>570</v>
      </c>
      <c r="E528" s="7" t="s">
        <v>826</v>
      </c>
      <c r="F528" s="8">
        <v>257.6257800000003</v>
      </c>
      <c r="G528" s="7" t="s">
        <v>450</v>
      </c>
      <c r="H528" s="7" t="s">
        <v>448</v>
      </c>
      <c r="I528" s="10">
        <v>522.6</v>
      </c>
      <c r="J528" s="10">
        <v>263136.33</v>
      </c>
      <c r="K528" s="6">
        <v>80374.960000000385</v>
      </c>
    </row>
    <row r="529" spans="1:11" x14ac:dyDescent="0.25">
      <c r="A529" s="5" t="s">
        <v>706</v>
      </c>
      <c r="B529" s="42">
        <f t="shared" si="8"/>
        <v>263.65893</v>
      </c>
      <c r="C529" s="7" t="s">
        <v>570</v>
      </c>
      <c r="D529" s="7" t="s">
        <v>569</v>
      </c>
      <c r="E529" s="7" t="s">
        <v>826</v>
      </c>
      <c r="F529" s="8">
        <v>258.04878000000031</v>
      </c>
      <c r="G529" s="7" t="s">
        <v>448</v>
      </c>
      <c r="H529" s="7" t="s">
        <v>446</v>
      </c>
      <c r="I529" s="10">
        <v>580</v>
      </c>
      <c r="J529" s="10">
        <v>263658.93</v>
      </c>
      <c r="K529" s="6">
        <v>79852.360000000379</v>
      </c>
    </row>
    <row r="530" spans="1:11" x14ac:dyDescent="0.25">
      <c r="A530" s="5" t="s">
        <v>706</v>
      </c>
      <c r="B530" s="42">
        <f t="shared" si="8"/>
        <v>264.23892999999998</v>
      </c>
      <c r="C530" s="7" t="s">
        <v>569</v>
      </c>
      <c r="D530" s="7" t="s">
        <v>568</v>
      </c>
      <c r="E530" s="7" t="s">
        <v>826</v>
      </c>
      <c r="F530" s="8">
        <v>258.61103000000031</v>
      </c>
      <c r="G530" s="7" t="s">
        <v>446</v>
      </c>
      <c r="H530" s="7" t="s">
        <v>444</v>
      </c>
      <c r="I530" s="10">
        <v>560.4</v>
      </c>
      <c r="J530" s="10">
        <v>264238.93</v>
      </c>
      <c r="K530" s="6">
        <v>79272.360000000379</v>
      </c>
    </row>
    <row r="531" spans="1:11" x14ac:dyDescent="0.25">
      <c r="A531" s="5" t="s">
        <v>706</v>
      </c>
      <c r="B531" s="42">
        <f t="shared" si="8"/>
        <v>264.79933</v>
      </c>
      <c r="C531" s="7" t="s">
        <v>568</v>
      </c>
      <c r="D531" s="7" t="s">
        <v>567</v>
      </c>
      <c r="E531" s="7" t="s">
        <v>826</v>
      </c>
      <c r="F531" s="8">
        <v>259.24883000000028</v>
      </c>
      <c r="G531" s="7" t="s">
        <v>444</v>
      </c>
      <c r="H531" s="7" t="s">
        <v>442</v>
      </c>
      <c r="I531" s="10">
        <v>576.6</v>
      </c>
      <c r="J531" s="10">
        <v>264799.33</v>
      </c>
      <c r="K531" s="6">
        <v>78711.960000000385</v>
      </c>
    </row>
    <row r="532" spans="1:11" x14ac:dyDescent="0.25">
      <c r="A532" s="5" t="s">
        <v>706</v>
      </c>
      <c r="B532" s="42">
        <f t="shared" si="8"/>
        <v>265.37592999999998</v>
      </c>
      <c r="C532" s="7" t="s">
        <v>567</v>
      </c>
      <c r="D532" s="7" t="s">
        <v>566</v>
      </c>
      <c r="E532" s="7" t="s">
        <v>826</v>
      </c>
      <c r="F532" s="8">
        <v>259.7651700000003</v>
      </c>
      <c r="G532" s="7" t="s">
        <v>442</v>
      </c>
      <c r="H532" s="7" t="s">
        <v>440</v>
      </c>
      <c r="I532" s="10">
        <v>360</v>
      </c>
      <c r="J532" s="10">
        <v>265375.93</v>
      </c>
      <c r="K532" s="6">
        <v>78135.360000000379</v>
      </c>
    </row>
    <row r="533" spans="1:11" x14ac:dyDescent="0.25">
      <c r="A533" s="5" t="s">
        <v>706</v>
      </c>
      <c r="B533" s="42">
        <f t="shared" si="8"/>
        <v>265.73593</v>
      </c>
      <c r="C533" s="7" t="s">
        <v>566</v>
      </c>
      <c r="D533" s="7" t="s">
        <v>565</v>
      </c>
      <c r="E533" s="7" t="s">
        <v>826</v>
      </c>
      <c r="F533" s="8">
        <v>260.16082000000029</v>
      </c>
      <c r="G533" s="7" t="s">
        <v>440</v>
      </c>
      <c r="H533" s="7" t="s">
        <v>438</v>
      </c>
      <c r="I533" s="10">
        <v>347</v>
      </c>
      <c r="J533" s="10">
        <v>265735.93</v>
      </c>
      <c r="K533" s="6">
        <v>77775.360000000379</v>
      </c>
    </row>
    <row r="534" spans="1:11" x14ac:dyDescent="0.25">
      <c r="A534" s="5" t="s">
        <v>706</v>
      </c>
      <c r="B534" s="42">
        <f t="shared" si="8"/>
        <v>266.08292999999998</v>
      </c>
      <c r="C534" s="7" t="s">
        <v>565</v>
      </c>
      <c r="D534" s="7" t="s">
        <v>564</v>
      </c>
      <c r="E534" s="7" t="s">
        <v>826</v>
      </c>
      <c r="F534" s="8">
        <v>260.66532000000029</v>
      </c>
      <c r="G534" s="7" t="s">
        <v>438</v>
      </c>
      <c r="H534" s="7" t="s">
        <v>436</v>
      </c>
      <c r="I534" s="10">
        <v>502.8</v>
      </c>
      <c r="J534" s="10">
        <v>266082.93</v>
      </c>
      <c r="K534" s="6">
        <v>77428.360000000379</v>
      </c>
    </row>
    <row r="535" spans="1:11" x14ac:dyDescent="0.25">
      <c r="A535" s="5" t="s">
        <v>706</v>
      </c>
      <c r="B535" s="42">
        <f t="shared" si="8"/>
        <v>266.58572999999996</v>
      </c>
      <c r="C535" s="7" t="s">
        <v>564</v>
      </c>
      <c r="D535" s="7" t="s">
        <v>563</v>
      </c>
      <c r="E535" s="7" t="s">
        <v>826</v>
      </c>
      <c r="F535" s="8">
        <v>261.22142000000031</v>
      </c>
      <c r="G535" s="7" t="s">
        <v>436</v>
      </c>
      <c r="H535" s="7" t="s">
        <v>434</v>
      </c>
      <c r="I535" s="10">
        <v>641.70000000000005</v>
      </c>
      <c r="J535" s="10">
        <v>266585.73</v>
      </c>
      <c r="K535" s="6">
        <v>76925.560000000376</v>
      </c>
    </row>
    <row r="536" spans="1:11" x14ac:dyDescent="0.25">
      <c r="A536" s="5" t="s">
        <v>706</v>
      </c>
      <c r="B536" s="42">
        <f t="shared" si="8"/>
        <v>267.22742999999997</v>
      </c>
      <c r="C536" s="7" t="s">
        <v>563</v>
      </c>
      <c r="D536" s="7" t="s">
        <v>562</v>
      </c>
      <c r="E536" s="7" t="s">
        <v>826</v>
      </c>
      <c r="F536" s="8">
        <v>261.76012000000031</v>
      </c>
      <c r="G536" s="7" t="s">
        <v>434</v>
      </c>
      <c r="H536" s="7" t="s">
        <v>432</v>
      </c>
      <c r="I536" s="10">
        <v>556.20000000000005</v>
      </c>
      <c r="J536" s="10">
        <v>267227.43</v>
      </c>
      <c r="K536" s="6">
        <v>76283.860000000379</v>
      </c>
    </row>
    <row r="537" spans="1:11" x14ac:dyDescent="0.25">
      <c r="A537" s="5" t="s">
        <v>706</v>
      </c>
      <c r="B537" s="42">
        <f t="shared" si="8"/>
        <v>267.78363000000002</v>
      </c>
      <c r="C537" s="7" t="s">
        <v>562</v>
      </c>
      <c r="D537" s="7" t="s">
        <v>561</v>
      </c>
      <c r="E537" s="7" t="s">
        <v>826</v>
      </c>
      <c r="F537" s="8">
        <v>262.40372000000031</v>
      </c>
      <c r="G537" s="7" t="s">
        <v>432</v>
      </c>
      <c r="H537" s="7" t="s">
        <v>430</v>
      </c>
      <c r="I537" s="10">
        <v>542.79999999999995</v>
      </c>
      <c r="J537" s="10">
        <v>267783.63</v>
      </c>
      <c r="K537" s="6">
        <v>75727.660000000382</v>
      </c>
    </row>
    <row r="538" spans="1:11" x14ac:dyDescent="0.25">
      <c r="A538" s="5" t="s">
        <v>706</v>
      </c>
      <c r="B538" s="42">
        <f t="shared" si="8"/>
        <v>268.32643000000002</v>
      </c>
      <c r="C538" s="7" t="s">
        <v>561</v>
      </c>
      <c r="D538" s="7" t="s">
        <v>560</v>
      </c>
      <c r="E538" s="7" t="s">
        <v>826</v>
      </c>
      <c r="F538" s="8">
        <v>262.9173200000003</v>
      </c>
      <c r="G538" s="7" t="s">
        <v>430</v>
      </c>
      <c r="H538" s="7" t="s">
        <v>428</v>
      </c>
      <c r="I538" s="10">
        <v>517.5</v>
      </c>
      <c r="J538" s="10">
        <v>268326.43</v>
      </c>
      <c r="K538" s="6">
        <v>75184.860000000379</v>
      </c>
    </row>
    <row r="539" spans="1:11" x14ac:dyDescent="0.25">
      <c r="A539" s="5" t="s">
        <v>706</v>
      </c>
      <c r="B539" s="42">
        <f t="shared" si="8"/>
        <v>268.84393</v>
      </c>
      <c r="C539" s="7" t="s">
        <v>560</v>
      </c>
      <c r="D539" s="7" t="s">
        <v>559</v>
      </c>
      <c r="E539" s="7" t="s">
        <v>826</v>
      </c>
      <c r="F539" s="8">
        <v>263.45932000000028</v>
      </c>
      <c r="G539" s="7" t="s">
        <v>428</v>
      </c>
      <c r="H539" s="7" t="s">
        <v>426</v>
      </c>
      <c r="I539" s="10">
        <v>591.6</v>
      </c>
      <c r="J539" s="10">
        <v>268843.93</v>
      </c>
      <c r="K539" s="6">
        <v>74667.360000000379</v>
      </c>
    </row>
    <row r="540" spans="1:11" x14ac:dyDescent="0.25">
      <c r="A540" s="5" t="s">
        <v>706</v>
      </c>
      <c r="B540" s="42">
        <f t="shared" si="8"/>
        <v>269.43552999999997</v>
      </c>
      <c r="C540" s="7" t="s">
        <v>559</v>
      </c>
      <c r="D540" s="7" t="s">
        <v>558</v>
      </c>
      <c r="E540" s="7" t="s">
        <v>826</v>
      </c>
      <c r="F540" s="8">
        <v>264.02032000000031</v>
      </c>
      <c r="G540" s="7" t="s">
        <v>426</v>
      </c>
      <c r="H540" s="7" t="s">
        <v>424</v>
      </c>
      <c r="I540" s="10">
        <v>375.6</v>
      </c>
      <c r="J540" s="10">
        <v>269435.52999999997</v>
      </c>
      <c r="K540" s="6">
        <v>74075.760000000373</v>
      </c>
    </row>
    <row r="541" spans="1:11" x14ac:dyDescent="0.25">
      <c r="A541" s="5" t="s">
        <v>706</v>
      </c>
      <c r="B541" s="42">
        <f t="shared" si="8"/>
        <v>269.81112999999993</v>
      </c>
      <c r="C541" s="7" t="s">
        <v>558</v>
      </c>
      <c r="D541" s="7" t="s">
        <v>557</v>
      </c>
      <c r="E541" s="7" t="s">
        <v>826</v>
      </c>
      <c r="F541" s="8">
        <v>264.54952000000031</v>
      </c>
      <c r="G541" s="7" t="s">
        <v>424</v>
      </c>
      <c r="H541" s="7" t="s">
        <v>422</v>
      </c>
      <c r="I541" s="10">
        <v>418</v>
      </c>
      <c r="J541" s="10">
        <v>269811.12999999995</v>
      </c>
      <c r="K541" s="6">
        <v>73700.160000000367</v>
      </c>
    </row>
    <row r="542" spans="1:11" x14ac:dyDescent="0.25">
      <c r="A542" s="5" t="s">
        <v>706</v>
      </c>
      <c r="B542" s="42">
        <f t="shared" si="8"/>
        <v>270.22912999999994</v>
      </c>
      <c r="C542" s="7" t="s">
        <v>557</v>
      </c>
      <c r="D542" s="7" t="s">
        <v>556</v>
      </c>
      <c r="E542" s="7" t="s">
        <v>826</v>
      </c>
      <c r="F542" s="8">
        <v>264.94822000000033</v>
      </c>
      <c r="G542" s="7" t="s">
        <v>422</v>
      </c>
      <c r="H542" s="7" t="s">
        <v>420</v>
      </c>
      <c r="I542" s="10">
        <v>450.7</v>
      </c>
      <c r="J542" s="10">
        <v>270229.12999999995</v>
      </c>
      <c r="K542" s="6">
        <v>73282.160000000367</v>
      </c>
    </row>
    <row r="543" spans="1:11" x14ac:dyDescent="0.25">
      <c r="A543" s="5" t="s">
        <v>706</v>
      </c>
      <c r="B543" s="42">
        <f t="shared" si="8"/>
        <v>270.67982999999998</v>
      </c>
      <c r="C543" s="7" t="s">
        <v>556</v>
      </c>
      <c r="D543" s="7" t="s">
        <v>555</v>
      </c>
      <c r="E543" s="7" t="s">
        <v>826</v>
      </c>
      <c r="F543" s="8">
        <v>265.43122000000034</v>
      </c>
      <c r="G543" s="7" t="s">
        <v>420</v>
      </c>
      <c r="H543" s="7" t="s">
        <v>418</v>
      </c>
      <c r="I543" s="10">
        <v>512.9</v>
      </c>
      <c r="J543" s="10">
        <v>270679.82999999996</v>
      </c>
      <c r="K543" s="6">
        <v>72831.46000000037</v>
      </c>
    </row>
    <row r="544" spans="1:11" x14ac:dyDescent="0.25">
      <c r="A544" s="5" t="s">
        <v>706</v>
      </c>
      <c r="B544" s="42">
        <f t="shared" si="8"/>
        <v>271.19272999999998</v>
      </c>
      <c r="C544" s="7" t="s">
        <v>555</v>
      </c>
      <c r="D544" s="7" t="s">
        <v>554</v>
      </c>
      <c r="E544" s="7" t="s">
        <v>826</v>
      </c>
      <c r="F544" s="8">
        <v>265.89202000000029</v>
      </c>
      <c r="G544" s="7" t="s">
        <v>418</v>
      </c>
      <c r="H544" s="7" t="s">
        <v>416</v>
      </c>
      <c r="I544" s="10">
        <v>436.4</v>
      </c>
      <c r="J544" s="10">
        <v>271192.73</v>
      </c>
      <c r="K544" s="6">
        <v>72318.560000000376</v>
      </c>
    </row>
    <row r="545" spans="1:11" x14ac:dyDescent="0.25">
      <c r="A545" s="5" t="s">
        <v>706</v>
      </c>
      <c r="B545" s="42">
        <f t="shared" si="8"/>
        <v>271.62913000000003</v>
      </c>
      <c r="C545" s="7" t="s">
        <v>554</v>
      </c>
      <c r="D545" s="7" t="s">
        <v>553</v>
      </c>
      <c r="E545" s="7" t="s">
        <v>826</v>
      </c>
      <c r="F545" s="8">
        <v>266.45412000000027</v>
      </c>
      <c r="G545" s="7" t="s">
        <v>416</v>
      </c>
      <c r="H545" s="7" t="s">
        <v>414</v>
      </c>
      <c r="I545" s="10">
        <v>386.4</v>
      </c>
      <c r="J545" s="10">
        <v>271629.13</v>
      </c>
      <c r="K545" s="6">
        <v>71882.160000000382</v>
      </c>
    </row>
    <row r="546" spans="1:11" x14ac:dyDescent="0.25">
      <c r="A546" s="5" t="s">
        <v>706</v>
      </c>
      <c r="B546" s="42">
        <f t="shared" si="8"/>
        <v>272.01553000000001</v>
      </c>
      <c r="C546" s="7" t="s">
        <v>553</v>
      </c>
      <c r="D546" s="7" t="s">
        <v>552</v>
      </c>
      <c r="E546" s="7" t="s">
        <v>826</v>
      </c>
      <c r="F546" s="8">
        <v>267.05012000000028</v>
      </c>
      <c r="G546" s="7" t="s">
        <v>414</v>
      </c>
      <c r="H546" s="7" t="s">
        <v>412</v>
      </c>
      <c r="I546" s="10">
        <v>474.2</v>
      </c>
      <c r="J546" s="10">
        <v>272015.53000000003</v>
      </c>
      <c r="K546" s="6">
        <v>71495.760000000388</v>
      </c>
    </row>
    <row r="547" spans="1:11" x14ac:dyDescent="0.25">
      <c r="A547" s="5" t="s">
        <v>706</v>
      </c>
      <c r="B547" s="42">
        <f t="shared" si="8"/>
        <v>272.48973000000007</v>
      </c>
      <c r="C547" s="7" t="s">
        <v>552</v>
      </c>
      <c r="D547" s="7" t="s">
        <v>551</v>
      </c>
      <c r="E547" s="7" t="s">
        <v>826</v>
      </c>
      <c r="F547" s="8">
        <v>267.54163000000028</v>
      </c>
      <c r="G547" s="7" t="s">
        <v>412</v>
      </c>
      <c r="H547" s="7" t="s">
        <v>410</v>
      </c>
      <c r="I547" s="10">
        <v>416.9</v>
      </c>
      <c r="J547" s="10">
        <v>272489.73000000004</v>
      </c>
      <c r="K547" s="6">
        <v>71021.560000000391</v>
      </c>
    </row>
    <row r="548" spans="1:11" x14ac:dyDescent="0.25">
      <c r="A548" s="5" t="s">
        <v>706</v>
      </c>
      <c r="B548" s="42">
        <f t="shared" si="8"/>
        <v>272.90663000000006</v>
      </c>
      <c r="C548" s="7" t="s">
        <v>551</v>
      </c>
      <c r="D548" s="7" t="s">
        <v>550</v>
      </c>
      <c r="E548" s="7" t="s">
        <v>826</v>
      </c>
      <c r="F548" s="8">
        <v>267.97963000000027</v>
      </c>
      <c r="G548" s="7" t="s">
        <v>410</v>
      </c>
      <c r="H548" s="7" t="s">
        <v>408</v>
      </c>
      <c r="I548" s="10">
        <v>393.9</v>
      </c>
      <c r="J548" s="10">
        <v>272906.63000000006</v>
      </c>
      <c r="K548" s="6">
        <v>70604.660000000396</v>
      </c>
    </row>
    <row r="549" spans="1:11" x14ac:dyDescent="0.25">
      <c r="A549" s="5" t="s">
        <v>706</v>
      </c>
      <c r="B549" s="42">
        <f t="shared" si="8"/>
        <v>273.30053000000009</v>
      </c>
      <c r="C549" s="7" t="s">
        <v>550</v>
      </c>
      <c r="D549" s="7" t="s">
        <v>549</v>
      </c>
      <c r="E549" s="7" t="s">
        <v>826</v>
      </c>
      <c r="F549" s="8">
        <v>268.51413000000031</v>
      </c>
      <c r="G549" s="7" t="s">
        <v>408</v>
      </c>
      <c r="H549" s="7" t="s">
        <v>406</v>
      </c>
      <c r="I549" s="10">
        <v>409.4</v>
      </c>
      <c r="J549" s="10">
        <v>273300.53000000009</v>
      </c>
      <c r="K549" s="6">
        <v>70210.760000000402</v>
      </c>
    </row>
    <row r="550" spans="1:11" x14ac:dyDescent="0.25">
      <c r="A550" s="5" t="s">
        <v>706</v>
      </c>
      <c r="B550" s="42">
        <f t="shared" si="8"/>
        <v>273.7099300000001</v>
      </c>
      <c r="C550" s="7" t="s">
        <v>549</v>
      </c>
      <c r="D550" s="7" t="s">
        <v>548</v>
      </c>
      <c r="E550" s="7" t="s">
        <v>826</v>
      </c>
      <c r="F550" s="8">
        <v>269.13473000000027</v>
      </c>
      <c r="G550" s="7" t="s">
        <v>406</v>
      </c>
      <c r="H550" s="7" t="s">
        <v>404</v>
      </c>
      <c r="I550" s="10">
        <v>504.4</v>
      </c>
      <c r="J550" s="10">
        <v>273709.93000000011</v>
      </c>
      <c r="K550" s="6">
        <v>69801.360000000408</v>
      </c>
    </row>
    <row r="551" spans="1:11" x14ac:dyDescent="0.25">
      <c r="A551" s="5" t="s">
        <v>706</v>
      </c>
      <c r="B551" s="42">
        <f t="shared" si="8"/>
        <v>274.21433000000013</v>
      </c>
      <c r="C551" s="7" t="s">
        <v>548</v>
      </c>
      <c r="D551" s="7" t="s">
        <v>547</v>
      </c>
      <c r="E551" s="7" t="s">
        <v>826</v>
      </c>
      <c r="F551" s="8">
        <v>269.57488000000029</v>
      </c>
      <c r="G551" s="7" t="s">
        <v>404</v>
      </c>
      <c r="H551" s="7" t="s">
        <v>402</v>
      </c>
      <c r="I551" s="10">
        <v>531.6</v>
      </c>
      <c r="J551" s="10">
        <v>274214.33000000013</v>
      </c>
      <c r="K551" s="6">
        <v>69296.960000000414</v>
      </c>
    </row>
    <row r="552" spans="1:11" x14ac:dyDescent="0.25">
      <c r="A552" s="5" t="s">
        <v>706</v>
      </c>
      <c r="B552" s="42">
        <f t="shared" si="8"/>
        <v>274.7459300000001</v>
      </c>
      <c r="C552" s="7" t="s">
        <v>547</v>
      </c>
      <c r="D552" s="7" t="s">
        <v>546</v>
      </c>
      <c r="E552" s="7" t="s">
        <v>826</v>
      </c>
      <c r="F552" s="8">
        <v>270.0732800000003</v>
      </c>
      <c r="G552" s="7" t="s">
        <v>402</v>
      </c>
      <c r="H552" s="7" t="s">
        <v>400</v>
      </c>
      <c r="I552" s="10">
        <v>405.1</v>
      </c>
      <c r="J552" s="10">
        <v>274745.93000000011</v>
      </c>
      <c r="K552" s="6">
        <v>68765.360000000408</v>
      </c>
    </row>
    <row r="553" spans="1:11" x14ac:dyDescent="0.25">
      <c r="A553" s="5" t="s">
        <v>706</v>
      </c>
      <c r="B553" s="42">
        <f t="shared" si="8"/>
        <v>275.15103000000011</v>
      </c>
      <c r="C553" s="7" t="s">
        <v>546</v>
      </c>
      <c r="D553" s="7" t="s">
        <v>545</v>
      </c>
      <c r="E553" s="7" t="s">
        <v>826</v>
      </c>
      <c r="F553" s="8">
        <v>270.51467000000031</v>
      </c>
      <c r="G553" s="7" t="s">
        <v>400</v>
      </c>
      <c r="H553" s="7" t="s">
        <v>398</v>
      </c>
      <c r="I553" s="10">
        <v>408.7</v>
      </c>
      <c r="J553" s="10">
        <v>275151.03000000009</v>
      </c>
      <c r="K553" s="6">
        <v>68360.260000000402</v>
      </c>
    </row>
    <row r="554" spans="1:11" x14ac:dyDescent="0.25">
      <c r="A554" s="5" t="s">
        <v>706</v>
      </c>
      <c r="B554" s="42">
        <f t="shared" si="8"/>
        <v>275.55973000000012</v>
      </c>
      <c r="C554" s="7" t="s">
        <v>545</v>
      </c>
      <c r="D554" s="7" t="s">
        <v>544</v>
      </c>
      <c r="E554" s="7" t="s">
        <v>826</v>
      </c>
      <c r="F554" s="8">
        <v>270.98187000000036</v>
      </c>
      <c r="G554" s="7" t="s">
        <v>398</v>
      </c>
      <c r="H554" s="7" t="s">
        <v>396</v>
      </c>
      <c r="I554" s="10">
        <v>666.57</v>
      </c>
      <c r="J554" s="10">
        <v>275559.7300000001</v>
      </c>
      <c r="K554" s="6">
        <v>67951.560000000405</v>
      </c>
    </row>
    <row r="555" spans="1:11" x14ac:dyDescent="0.25">
      <c r="A555" s="5" t="s">
        <v>706</v>
      </c>
      <c r="B555" s="42">
        <f t="shared" si="8"/>
        <v>276.22630000000009</v>
      </c>
      <c r="C555" s="7" t="s">
        <v>544</v>
      </c>
      <c r="D555" s="7" t="s">
        <v>543</v>
      </c>
      <c r="E555" s="7" t="s">
        <v>826</v>
      </c>
      <c r="F555" s="8">
        <v>271.43327000000039</v>
      </c>
      <c r="G555" s="7" t="s">
        <v>396</v>
      </c>
      <c r="H555" s="7" t="s">
        <v>394</v>
      </c>
      <c r="I555" s="10">
        <v>506.4</v>
      </c>
      <c r="J555" s="10">
        <v>276226.3000000001</v>
      </c>
      <c r="K555" s="6">
        <v>67284.990000000398</v>
      </c>
    </row>
    <row r="556" spans="1:11" x14ac:dyDescent="0.25">
      <c r="A556" s="5" t="s">
        <v>706</v>
      </c>
      <c r="B556" s="42">
        <f t="shared" si="8"/>
        <v>276.73270000000014</v>
      </c>
      <c r="C556" s="7" t="s">
        <v>543</v>
      </c>
      <c r="D556" s="7" t="s">
        <v>542</v>
      </c>
      <c r="E556" s="7" t="s">
        <v>826</v>
      </c>
      <c r="F556" s="8">
        <v>271.93727000000035</v>
      </c>
      <c r="G556" s="7" t="s">
        <v>394</v>
      </c>
      <c r="H556" s="7" t="s">
        <v>392</v>
      </c>
      <c r="I556" s="10">
        <v>412.7</v>
      </c>
      <c r="J556" s="10">
        <v>276732.70000000013</v>
      </c>
      <c r="K556" s="6">
        <v>66778.590000000404</v>
      </c>
    </row>
    <row r="557" spans="1:11" x14ac:dyDescent="0.25">
      <c r="A557" s="5" t="s">
        <v>706</v>
      </c>
      <c r="B557" s="42">
        <f t="shared" si="8"/>
        <v>277.14540000000017</v>
      </c>
      <c r="C557" s="7" t="s">
        <v>542</v>
      </c>
      <c r="D557" s="7" t="s">
        <v>541</v>
      </c>
      <c r="E557" s="7" t="s">
        <v>826</v>
      </c>
      <c r="F557" s="8">
        <v>272.49547000000035</v>
      </c>
      <c r="G557" s="7" t="s">
        <v>392</v>
      </c>
      <c r="H557" s="7" t="s">
        <v>390</v>
      </c>
      <c r="I557" s="10">
        <v>577.5</v>
      </c>
      <c r="J557" s="10">
        <v>277145.40000000014</v>
      </c>
      <c r="K557" s="6">
        <v>66365.890000000407</v>
      </c>
    </row>
    <row r="558" spans="1:11" x14ac:dyDescent="0.25">
      <c r="A558" s="5" t="s">
        <v>706</v>
      </c>
      <c r="B558" s="42">
        <f t="shared" si="8"/>
        <v>277.72290000000015</v>
      </c>
      <c r="C558" s="7" t="s">
        <v>541</v>
      </c>
      <c r="D558" s="7" t="s">
        <v>540</v>
      </c>
      <c r="E558" s="7" t="s">
        <v>826</v>
      </c>
      <c r="F558" s="8">
        <v>273.00957000000034</v>
      </c>
      <c r="G558" s="7" t="s">
        <v>390</v>
      </c>
      <c r="H558" s="7" t="s">
        <v>388</v>
      </c>
      <c r="I558" s="10">
        <v>561.4</v>
      </c>
      <c r="J558" s="10">
        <v>277722.90000000014</v>
      </c>
      <c r="K558" s="6">
        <v>65788.390000000407</v>
      </c>
    </row>
    <row r="559" spans="1:11" x14ac:dyDescent="0.25">
      <c r="A559" s="5" t="s">
        <v>706</v>
      </c>
      <c r="B559" s="42">
        <f t="shared" si="8"/>
        <v>278.28430000000014</v>
      </c>
      <c r="C559" s="7" t="s">
        <v>540</v>
      </c>
      <c r="D559" s="7" t="s">
        <v>539</v>
      </c>
      <c r="E559" s="7" t="s">
        <v>826</v>
      </c>
      <c r="F559" s="8">
        <v>273.54957000000036</v>
      </c>
      <c r="G559" s="7" t="s">
        <v>388</v>
      </c>
      <c r="H559" s="7" t="s">
        <v>386</v>
      </c>
      <c r="I559" s="10">
        <v>457.3</v>
      </c>
      <c r="J559" s="10">
        <v>278284.30000000016</v>
      </c>
      <c r="K559" s="6">
        <v>65226.990000000405</v>
      </c>
    </row>
    <row r="560" spans="1:11" x14ac:dyDescent="0.25">
      <c r="A560" s="5" t="s">
        <v>706</v>
      </c>
      <c r="B560" s="42">
        <f t="shared" si="8"/>
        <v>278.74160000000018</v>
      </c>
      <c r="C560" s="7" t="s">
        <v>539</v>
      </c>
      <c r="D560" s="7" t="s">
        <v>538</v>
      </c>
      <c r="E560" s="7" t="s">
        <v>826</v>
      </c>
      <c r="F560" s="8">
        <v>274.09957000000037</v>
      </c>
      <c r="G560" s="7" t="s">
        <v>386</v>
      </c>
      <c r="H560" s="7" t="s">
        <v>384</v>
      </c>
      <c r="I560" s="10">
        <v>360.4</v>
      </c>
      <c r="J560" s="10">
        <v>278741.60000000015</v>
      </c>
      <c r="K560" s="6">
        <v>64769.690000000403</v>
      </c>
    </row>
    <row r="561" spans="1:11" x14ac:dyDescent="0.25">
      <c r="A561" s="5" t="s">
        <v>706</v>
      </c>
      <c r="B561" s="42">
        <f t="shared" si="8"/>
        <v>279.1020000000002</v>
      </c>
      <c r="C561" s="7" t="s">
        <v>538</v>
      </c>
      <c r="D561" s="7" t="s">
        <v>537</v>
      </c>
      <c r="E561" s="7" t="s">
        <v>826</v>
      </c>
      <c r="F561" s="8">
        <v>274.44264000000038</v>
      </c>
      <c r="G561" s="7" t="s">
        <v>384</v>
      </c>
      <c r="H561" s="7" t="s">
        <v>382</v>
      </c>
      <c r="I561" s="10">
        <v>569.04</v>
      </c>
      <c r="J561" s="10">
        <v>279102.00000000017</v>
      </c>
      <c r="K561" s="6">
        <v>64409.290000000401</v>
      </c>
    </row>
    <row r="562" spans="1:11" x14ac:dyDescent="0.25">
      <c r="A562" s="5" t="s">
        <v>706</v>
      </c>
      <c r="B562" s="42">
        <f t="shared" si="8"/>
        <v>279.67104000000018</v>
      </c>
      <c r="C562" s="7" t="s">
        <v>537</v>
      </c>
      <c r="D562" s="7" t="s">
        <v>536</v>
      </c>
      <c r="E562" s="7" t="s">
        <v>826</v>
      </c>
      <c r="F562" s="8">
        <v>274.77154000000041</v>
      </c>
      <c r="G562" s="7" t="s">
        <v>382</v>
      </c>
      <c r="H562" s="7" t="s">
        <v>380</v>
      </c>
      <c r="I562" s="10">
        <v>465.1</v>
      </c>
      <c r="J562" s="10">
        <v>279671.04000000015</v>
      </c>
      <c r="K562" s="6">
        <v>63840.2500000004</v>
      </c>
    </row>
    <row r="563" spans="1:11" x14ac:dyDescent="0.25">
      <c r="A563" s="5" t="s">
        <v>706</v>
      </c>
      <c r="B563" s="42">
        <f t="shared" si="8"/>
        <v>280.13614000000013</v>
      </c>
      <c r="C563" s="7" t="s">
        <v>536</v>
      </c>
      <c r="D563" s="7" t="s">
        <v>535</v>
      </c>
      <c r="E563" s="7" t="s">
        <v>826</v>
      </c>
      <c r="F563" s="8">
        <v>275.42804000000041</v>
      </c>
      <c r="G563" s="7" t="s">
        <v>380</v>
      </c>
      <c r="H563" s="7" t="s">
        <v>378</v>
      </c>
      <c r="I563" s="10">
        <v>421.99</v>
      </c>
      <c r="J563" s="10">
        <v>280136.14000000013</v>
      </c>
      <c r="K563" s="6">
        <v>63375.150000000402</v>
      </c>
    </row>
    <row r="564" spans="1:11" x14ac:dyDescent="0.25">
      <c r="A564" s="5" t="s">
        <v>706</v>
      </c>
      <c r="B564" s="42">
        <f t="shared" si="8"/>
        <v>280.55813000000012</v>
      </c>
      <c r="C564" s="7" t="s">
        <v>535</v>
      </c>
      <c r="D564" s="7" t="s">
        <v>534</v>
      </c>
      <c r="E564" s="7" t="s">
        <v>826</v>
      </c>
      <c r="F564" s="8">
        <v>275.86344000000042</v>
      </c>
      <c r="G564" s="7" t="s">
        <v>378</v>
      </c>
      <c r="H564" s="7" t="s">
        <v>376</v>
      </c>
      <c r="I564" s="10">
        <v>581.04999999999995</v>
      </c>
      <c r="J564" s="10">
        <v>280558.13000000012</v>
      </c>
      <c r="K564" s="6">
        <v>62953.160000000404</v>
      </c>
    </row>
    <row r="565" spans="1:11" x14ac:dyDescent="0.25">
      <c r="A565" s="5" t="s">
        <v>706</v>
      </c>
      <c r="B565" s="42">
        <f t="shared" si="8"/>
        <v>281.13918000000012</v>
      </c>
      <c r="C565" s="7" t="s">
        <v>534</v>
      </c>
      <c r="D565" s="7" t="s">
        <v>533</v>
      </c>
      <c r="E565" s="7" t="s">
        <v>826</v>
      </c>
      <c r="F565" s="8">
        <v>276.36344000000042</v>
      </c>
      <c r="G565" s="7" t="s">
        <v>376</v>
      </c>
      <c r="H565" s="7" t="s">
        <v>374</v>
      </c>
      <c r="I565" s="10">
        <v>378.79</v>
      </c>
      <c r="J565" s="10">
        <v>281139.18000000011</v>
      </c>
      <c r="K565" s="6">
        <v>62372.110000000401</v>
      </c>
    </row>
    <row r="566" spans="1:11" x14ac:dyDescent="0.25">
      <c r="A566" s="5" t="s">
        <v>706</v>
      </c>
      <c r="B566" s="42">
        <f t="shared" si="8"/>
        <v>281.5179700000001</v>
      </c>
      <c r="C566" s="7" t="s">
        <v>533</v>
      </c>
      <c r="D566" s="7" t="s">
        <v>532</v>
      </c>
      <c r="E566" s="7" t="s">
        <v>826</v>
      </c>
      <c r="F566" s="8">
        <v>276.83784000000043</v>
      </c>
      <c r="G566" s="7" t="s">
        <v>374</v>
      </c>
      <c r="H566" s="7" t="s">
        <v>372</v>
      </c>
      <c r="I566" s="10">
        <v>470.16</v>
      </c>
      <c r="J566" s="10">
        <v>281517.97000000009</v>
      </c>
      <c r="K566" s="6">
        <v>61993.3200000004</v>
      </c>
    </row>
    <row r="567" spans="1:11" x14ac:dyDescent="0.25">
      <c r="A567" s="5" t="s">
        <v>706</v>
      </c>
      <c r="B567" s="42">
        <f t="shared" si="8"/>
        <v>281.98813000000007</v>
      </c>
      <c r="C567" s="7" t="s">
        <v>532</v>
      </c>
      <c r="D567" s="7" t="s">
        <v>531</v>
      </c>
      <c r="E567" s="7" t="s">
        <v>826</v>
      </c>
      <c r="F567" s="8">
        <v>277.31154000000043</v>
      </c>
      <c r="G567" s="7" t="s">
        <v>372</v>
      </c>
      <c r="H567" s="7" t="s">
        <v>370</v>
      </c>
      <c r="I567" s="10">
        <v>513.76</v>
      </c>
      <c r="J567" s="10">
        <v>281988.13000000006</v>
      </c>
      <c r="K567" s="6">
        <v>61523.160000000396</v>
      </c>
    </row>
    <row r="568" spans="1:11" x14ac:dyDescent="0.25">
      <c r="A568" s="5" t="s">
        <v>706</v>
      </c>
      <c r="B568" s="42">
        <f t="shared" si="8"/>
        <v>282.50189000000006</v>
      </c>
      <c r="C568" s="7" t="s">
        <v>531</v>
      </c>
      <c r="D568" s="7" t="s">
        <v>530</v>
      </c>
      <c r="E568" s="7" t="s">
        <v>826</v>
      </c>
      <c r="F568" s="8">
        <v>277.81804000000045</v>
      </c>
      <c r="G568" s="7" t="s">
        <v>370</v>
      </c>
      <c r="H568" s="7" t="s">
        <v>368</v>
      </c>
      <c r="I568" s="10">
        <v>365.34</v>
      </c>
      <c r="J568" s="10">
        <v>282501.89000000007</v>
      </c>
      <c r="K568" s="6">
        <v>61009.400000000394</v>
      </c>
    </row>
    <row r="569" spans="1:11" x14ac:dyDescent="0.25">
      <c r="A569" s="5" t="s">
        <v>706</v>
      </c>
      <c r="B569" s="42">
        <f t="shared" si="8"/>
        <v>282.86723000000012</v>
      </c>
      <c r="C569" s="7" t="s">
        <v>530</v>
      </c>
      <c r="D569" s="7" t="s">
        <v>529</v>
      </c>
      <c r="E569" s="7" t="s">
        <v>826</v>
      </c>
      <c r="F569" s="8">
        <v>278.34614000000045</v>
      </c>
      <c r="G569" s="7" t="s">
        <v>368</v>
      </c>
      <c r="H569" s="7" t="s">
        <v>366</v>
      </c>
      <c r="I569" s="10">
        <v>494.4</v>
      </c>
      <c r="J569" s="10">
        <v>282867.2300000001</v>
      </c>
      <c r="K569" s="6">
        <v>60644.060000000398</v>
      </c>
    </row>
    <row r="570" spans="1:11" x14ac:dyDescent="0.25">
      <c r="A570" s="5" t="s">
        <v>706</v>
      </c>
      <c r="B570" s="42">
        <f t="shared" si="8"/>
        <v>283.3616300000001</v>
      </c>
      <c r="C570" s="7" t="s">
        <v>529</v>
      </c>
      <c r="D570" s="7" t="s">
        <v>528</v>
      </c>
      <c r="E570" s="7" t="s">
        <v>826</v>
      </c>
      <c r="F570" s="8">
        <v>278.95861000000042</v>
      </c>
      <c r="G570" s="7" t="s">
        <v>366</v>
      </c>
      <c r="H570" s="7" t="s">
        <v>364</v>
      </c>
      <c r="I570" s="10">
        <v>391.35</v>
      </c>
      <c r="J570" s="10">
        <v>283361.63000000012</v>
      </c>
      <c r="K570" s="6">
        <v>60149.660000000396</v>
      </c>
    </row>
    <row r="571" spans="1:11" x14ac:dyDescent="0.25">
      <c r="A571" s="5" t="s">
        <v>706</v>
      </c>
      <c r="B571" s="42">
        <f t="shared" si="8"/>
        <v>283.75298000000009</v>
      </c>
      <c r="C571" s="7" t="s">
        <v>528</v>
      </c>
      <c r="D571" s="7" t="s">
        <v>527</v>
      </c>
      <c r="E571" s="7" t="s">
        <v>826</v>
      </c>
      <c r="F571" s="8">
        <v>279.54491000000036</v>
      </c>
      <c r="G571" s="7" t="s">
        <v>364</v>
      </c>
      <c r="H571" s="7" t="s">
        <v>362</v>
      </c>
      <c r="I571" s="10">
        <v>374.44</v>
      </c>
      <c r="J571" s="10">
        <v>283752.9800000001</v>
      </c>
      <c r="K571" s="6">
        <v>59758.310000000398</v>
      </c>
    </row>
    <row r="572" spans="1:11" x14ac:dyDescent="0.25">
      <c r="A572" s="5" t="s">
        <v>706</v>
      </c>
      <c r="B572" s="42">
        <f t="shared" si="8"/>
        <v>284.12742000000009</v>
      </c>
      <c r="C572" s="7" t="s">
        <v>527</v>
      </c>
      <c r="D572" s="7" t="s">
        <v>526</v>
      </c>
      <c r="E572" s="7" t="s">
        <v>826</v>
      </c>
      <c r="F572" s="8">
        <v>280.07156000000043</v>
      </c>
      <c r="G572" s="7" t="s">
        <v>362</v>
      </c>
      <c r="H572" s="7" t="s">
        <v>360</v>
      </c>
      <c r="I572" s="10">
        <v>379.91</v>
      </c>
      <c r="J572" s="10">
        <v>284127.4200000001</v>
      </c>
      <c r="K572" s="6">
        <v>59383.870000000396</v>
      </c>
    </row>
    <row r="573" spans="1:11" x14ac:dyDescent="0.25">
      <c r="A573" s="5" t="s">
        <v>706</v>
      </c>
      <c r="B573" s="42">
        <f t="shared" si="8"/>
        <v>284.50733000000008</v>
      </c>
      <c r="C573" s="7" t="s">
        <v>526</v>
      </c>
      <c r="D573" s="7" t="s">
        <v>525</v>
      </c>
      <c r="E573" s="7" t="s">
        <v>826</v>
      </c>
      <c r="F573" s="8">
        <v>280.55003000000039</v>
      </c>
      <c r="G573" s="7" t="s">
        <v>360</v>
      </c>
      <c r="H573" s="7" t="s">
        <v>358</v>
      </c>
      <c r="I573" s="10">
        <v>450.08</v>
      </c>
      <c r="J573" s="10">
        <v>284507.33000000007</v>
      </c>
      <c r="K573" s="6">
        <v>59003.960000000392</v>
      </c>
    </row>
    <row r="574" spans="1:11" x14ac:dyDescent="0.25">
      <c r="A574" s="5" t="s">
        <v>706</v>
      </c>
      <c r="B574" s="42">
        <f t="shared" si="8"/>
        <v>284.9574100000001</v>
      </c>
      <c r="C574" s="7" t="s">
        <v>525</v>
      </c>
      <c r="D574" s="7" t="s">
        <v>524</v>
      </c>
      <c r="E574" s="7" t="s">
        <v>826</v>
      </c>
      <c r="F574" s="8">
        <v>280.88873000000041</v>
      </c>
      <c r="G574" s="7" t="s">
        <v>358</v>
      </c>
      <c r="H574" s="7" t="s">
        <v>356</v>
      </c>
      <c r="I574" s="10">
        <v>432.89</v>
      </c>
      <c r="J574" s="10">
        <v>284957.41000000009</v>
      </c>
      <c r="K574" s="6">
        <v>58553.88000000039</v>
      </c>
    </row>
    <row r="575" spans="1:11" x14ac:dyDescent="0.25">
      <c r="A575" s="5" t="s">
        <v>706</v>
      </c>
      <c r="B575" s="42">
        <f t="shared" si="8"/>
        <v>285.39030000000008</v>
      </c>
      <c r="C575" s="7" t="s">
        <v>524</v>
      </c>
      <c r="D575" s="7" t="s">
        <v>523</v>
      </c>
      <c r="E575" s="7" t="s">
        <v>826</v>
      </c>
      <c r="F575" s="8">
        <v>281.24873000000036</v>
      </c>
      <c r="G575" s="7" t="s">
        <v>356</v>
      </c>
      <c r="H575" s="7" t="s">
        <v>354</v>
      </c>
      <c r="I575" s="10">
        <v>353.1</v>
      </c>
      <c r="J575" s="10">
        <v>285390.3000000001</v>
      </c>
      <c r="K575" s="6">
        <v>58120.990000000391</v>
      </c>
    </row>
    <row r="576" spans="1:11" x14ac:dyDescent="0.25">
      <c r="A576" s="5" t="s">
        <v>706</v>
      </c>
      <c r="B576" s="42">
        <f t="shared" si="8"/>
        <v>285.74340000000007</v>
      </c>
      <c r="C576" s="7" t="s">
        <v>523</v>
      </c>
      <c r="D576" s="7" t="s">
        <v>522</v>
      </c>
      <c r="E576" s="7" t="s">
        <v>826</v>
      </c>
      <c r="F576" s="8">
        <v>281.71963000000039</v>
      </c>
      <c r="G576" s="7" t="s">
        <v>354</v>
      </c>
      <c r="H576" s="7" t="s">
        <v>352</v>
      </c>
      <c r="I576" s="10">
        <v>505.2</v>
      </c>
      <c r="J576" s="10">
        <v>285743.40000000008</v>
      </c>
      <c r="K576" s="6">
        <v>57767.890000000392</v>
      </c>
    </row>
    <row r="577" spans="1:11" x14ac:dyDescent="0.25">
      <c r="A577" s="5" t="s">
        <v>706</v>
      </c>
      <c r="B577" s="42">
        <f t="shared" si="8"/>
        <v>286.24860000000007</v>
      </c>
      <c r="C577" s="7" t="s">
        <v>522</v>
      </c>
      <c r="D577" s="7" t="s">
        <v>521</v>
      </c>
      <c r="E577" s="7" t="s">
        <v>826</v>
      </c>
      <c r="F577" s="8">
        <v>282.19193000000041</v>
      </c>
      <c r="G577" s="7" t="s">
        <v>352</v>
      </c>
      <c r="H577" s="7" t="s">
        <v>350</v>
      </c>
      <c r="I577" s="10">
        <v>350.7</v>
      </c>
      <c r="J577" s="10">
        <v>286248.60000000009</v>
      </c>
      <c r="K577" s="6">
        <v>57262.690000000395</v>
      </c>
    </row>
    <row r="578" spans="1:11" x14ac:dyDescent="0.25">
      <c r="A578" s="5" t="s">
        <v>706</v>
      </c>
      <c r="B578" s="42">
        <f t="shared" si="8"/>
        <v>286.59930000000008</v>
      </c>
      <c r="C578" s="7" t="s">
        <v>521</v>
      </c>
      <c r="D578" s="7" t="s">
        <v>520</v>
      </c>
      <c r="E578" s="7" t="s">
        <v>826</v>
      </c>
      <c r="F578" s="8">
        <v>282.64083000000045</v>
      </c>
      <c r="G578" s="7" t="s">
        <v>350</v>
      </c>
      <c r="H578" s="7" t="s">
        <v>348</v>
      </c>
      <c r="I578" s="10">
        <v>407.22</v>
      </c>
      <c r="J578" s="10">
        <v>286599.3000000001</v>
      </c>
      <c r="K578" s="6">
        <v>56911.990000000398</v>
      </c>
    </row>
    <row r="579" spans="1:11" x14ac:dyDescent="0.25">
      <c r="A579" s="5" t="s">
        <v>706</v>
      </c>
      <c r="B579" s="42">
        <f t="shared" ref="B579:B642" si="9">J579/1000</f>
        <v>287.00652000000008</v>
      </c>
      <c r="C579" s="7" t="s">
        <v>520</v>
      </c>
      <c r="D579" s="7" t="s">
        <v>519</v>
      </c>
      <c r="E579" s="7" t="s">
        <v>826</v>
      </c>
      <c r="F579" s="8">
        <v>283.13153000000045</v>
      </c>
      <c r="G579" s="7" t="s">
        <v>348</v>
      </c>
      <c r="H579" s="7" t="s">
        <v>346</v>
      </c>
      <c r="I579" s="10">
        <v>397.56</v>
      </c>
      <c r="J579" s="10">
        <v>287006.52000000008</v>
      </c>
      <c r="K579" s="6">
        <v>56504.770000000397</v>
      </c>
    </row>
    <row r="580" spans="1:11" x14ac:dyDescent="0.25">
      <c r="A580" s="5" t="s">
        <v>706</v>
      </c>
      <c r="B580" s="42">
        <f t="shared" si="9"/>
        <v>287.40408000000008</v>
      </c>
      <c r="C580" s="7" t="s">
        <v>519</v>
      </c>
      <c r="D580" s="7" t="s">
        <v>518</v>
      </c>
      <c r="E580" s="7" t="s">
        <v>826</v>
      </c>
      <c r="F580" s="8">
        <v>283.66693000000043</v>
      </c>
      <c r="G580" s="7" t="s">
        <v>346</v>
      </c>
      <c r="H580" s="7" t="s">
        <v>344</v>
      </c>
      <c r="I580" s="10">
        <v>379.83</v>
      </c>
      <c r="J580" s="10">
        <v>287404.08000000007</v>
      </c>
      <c r="K580" s="6">
        <v>56107.210000000399</v>
      </c>
    </row>
    <row r="581" spans="1:11" x14ac:dyDescent="0.25">
      <c r="A581" s="5" t="s">
        <v>706</v>
      </c>
      <c r="B581" s="42">
        <f t="shared" si="9"/>
        <v>287.78391000000011</v>
      </c>
      <c r="C581" s="7" t="s">
        <v>518</v>
      </c>
      <c r="D581" s="7" t="s">
        <v>517</v>
      </c>
      <c r="E581" s="7" t="s">
        <v>826</v>
      </c>
      <c r="F581" s="8">
        <v>284.18113000000045</v>
      </c>
      <c r="G581" s="7" t="s">
        <v>344</v>
      </c>
      <c r="H581" s="7" t="s">
        <v>342</v>
      </c>
      <c r="I581" s="10">
        <v>463.17</v>
      </c>
      <c r="J581" s="10">
        <v>287783.91000000009</v>
      </c>
      <c r="K581" s="6">
        <v>55727.380000000398</v>
      </c>
    </row>
    <row r="582" spans="1:11" x14ac:dyDescent="0.25">
      <c r="A582" s="5" t="s">
        <v>706</v>
      </c>
      <c r="B582" s="42">
        <f t="shared" si="9"/>
        <v>288.2470800000001</v>
      </c>
      <c r="C582" s="7" t="s">
        <v>517</v>
      </c>
      <c r="D582" s="7" t="s">
        <v>516</v>
      </c>
      <c r="E582" s="7" t="s">
        <v>826</v>
      </c>
      <c r="F582" s="8">
        <v>284.7210300000005</v>
      </c>
      <c r="G582" s="7" t="s">
        <v>342</v>
      </c>
      <c r="H582" s="7" t="s">
        <v>340</v>
      </c>
      <c r="I582" s="10">
        <v>484.7</v>
      </c>
      <c r="J582" s="10">
        <v>288247.08000000007</v>
      </c>
      <c r="K582" s="6">
        <v>55264.210000000399</v>
      </c>
    </row>
    <row r="583" spans="1:11" x14ac:dyDescent="0.25">
      <c r="A583" s="5" t="s">
        <v>706</v>
      </c>
      <c r="B583" s="42">
        <f t="shared" si="9"/>
        <v>288.73178000000007</v>
      </c>
      <c r="C583" s="7" t="s">
        <v>516</v>
      </c>
      <c r="D583" s="7" t="s">
        <v>515</v>
      </c>
      <c r="E583" s="7" t="s">
        <v>826</v>
      </c>
      <c r="F583" s="8">
        <v>285.23443000000054</v>
      </c>
      <c r="G583" s="7" t="s">
        <v>340</v>
      </c>
      <c r="H583" s="7" t="s">
        <v>338</v>
      </c>
      <c r="I583" s="10">
        <v>436.7</v>
      </c>
      <c r="J583" s="10">
        <v>288731.78000000009</v>
      </c>
      <c r="K583" s="6">
        <v>54779.510000000402</v>
      </c>
    </row>
    <row r="584" spans="1:11" x14ac:dyDescent="0.25">
      <c r="A584" s="5" t="s">
        <v>706</v>
      </c>
      <c r="B584" s="42">
        <f t="shared" si="9"/>
        <v>289.1684800000001</v>
      </c>
      <c r="C584" s="7" t="s">
        <v>515</v>
      </c>
      <c r="D584" s="7" t="s">
        <v>514</v>
      </c>
      <c r="E584" s="7" t="s">
        <v>826</v>
      </c>
      <c r="F584" s="8">
        <v>285.80413000000055</v>
      </c>
      <c r="G584" s="7" t="s">
        <v>338</v>
      </c>
      <c r="H584" s="7" t="s">
        <v>336</v>
      </c>
      <c r="I584" s="10">
        <v>355.33</v>
      </c>
      <c r="J584" s="10">
        <v>289168.4800000001</v>
      </c>
      <c r="K584" s="6">
        <v>54342.810000000405</v>
      </c>
    </row>
    <row r="585" spans="1:11" x14ac:dyDescent="0.25">
      <c r="A585" s="5" t="s">
        <v>706</v>
      </c>
      <c r="B585" s="42">
        <f t="shared" si="9"/>
        <v>289.52381000000014</v>
      </c>
      <c r="C585" s="7" t="s">
        <v>514</v>
      </c>
      <c r="D585" s="7" t="s">
        <v>513</v>
      </c>
      <c r="E585" s="7" t="s">
        <v>826</v>
      </c>
      <c r="F585" s="8">
        <v>286.30813000000052</v>
      </c>
      <c r="G585" s="7" t="s">
        <v>336</v>
      </c>
      <c r="H585" s="7" t="s">
        <v>334</v>
      </c>
      <c r="I585" s="10">
        <v>414.33</v>
      </c>
      <c r="J585" s="10">
        <v>289523.81000000011</v>
      </c>
      <c r="K585" s="6">
        <v>53987.480000000403</v>
      </c>
    </row>
    <row r="586" spans="1:11" x14ac:dyDescent="0.25">
      <c r="A586" s="5" t="s">
        <v>706</v>
      </c>
      <c r="B586" s="42">
        <f t="shared" si="9"/>
        <v>289.93814000000015</v>
      </c>
      <c r="C586" s="7" t="s">
        <v>513</v>
      </c>
      <c r="D586" s="7" t="s">
        <v>512</v>
      </c>
      <c r="E586" s="7" t="s">
        <v>826</v>
      </c>
      <c r="F586" s="8">
        <v>286.7126300000005</v>
      </c>
      <c r="G586" s="7" t="s">
        <v>334</v>
      </c>
      <c r="H586" s="7" t="s">
        <v>332</v>
      </c>
      <c r="I586" s="10">
        <v>464.08</v>
      </c>
      <c r="J586" s="10">
        <v>289938.14000000013</v>
      </c>
      <c r="K586" s="6">
        <v>53573.150000000402</v>
      </c>
    </row>
    <row r="587" spans="1:11" x14ac:dyDescent="0.25">
      <c r="A587" s="5" t="s">
        <v>706</v>
      </c>
      <c r="B587" s="42">
        <f t="shared" si="9"/>
        <v>290.40222000000017</v>
      </c>
      <c r="C587" s="7" t="s">
        <v>512</v>
      </c>
      <c r="D587" s="7" t="s">
        <v>511</v>
      </c>
      <c r="E587" s="7" t="s">
        <v>826</v>
      </c>
      <c r="F587" s="8">
        <v>287.18753000000055</v>
      </c>
      <c r="G587" s="7" t="s">
        <v>332</v>
      </c>
      <c r="H587" s="7" t="s">
        <v>330</v>
      </c>
      <c r="I587" s="10">
        <v>589.19000000000005</v>
      </c>
      <c r="J587" s="10">
        <v>290402.22000000015</v>
      </c>
      <c r="K587" s="6">
        <v>53109.0700000004</v>
      </c>
    </row>
    <row r="588" spans="1:11" x14ac:dyDescent="0.25">
      <c r="A588" s="5" t="s">
        <v>706</v>
      </c>
      <c r="B588" s="42">
        <f t="shared" si="9"/>
        <v>290.99141000000014</v>
      </c>
      <c r="C588" s="7" t="s">
        <v>511</v>
      </c>
      <c r="D588" s="7" t="s">
        <v>510</v>
      </c>
      <c r="E588" s="7" t="s">
        <v>826</v>
      </c>
      <c r="F588" s="8">
        <v>287.77083000000056</v>
      </c>
      <c r="G588" s="7" t="s">
        <v>330</v>
      </c>
      <c r="H588" s="7" t="s">
        <v>328</v>
      </c>
      <c r="I588" s="10">
        <v>513.92999999999995</v>
      </c>
      <c r="J588" s="10">
        <v>290991.41000000015</v>
      </c>
      <c r="K588" s="6">
        <v>52519.880000000398</v>
      </c>
    </row>
    <row r="589" spans="1:11" x14ac:dyDescent="0.25">
      <c r="A589" s="5" t="s">
        <v>706</v>
      </c>
      <c r="B589" s="42">
        <f t="shared" si="9"/>
        <v>291.50534000000016</v>
      </c>
      <c r="C589" s="7" t="s">
        <v>510</v>
      </c>
      <c r="D589" s="7" t="s">
        <v>509</v>
      </c>
      <c r="E589" s="7" t="s">
        <v>826</v>
      </c>
      <c r="F589" s="8">
        <v>288.32713000000052</v>
      </c>
      <c r="G589" s="7" t="s">
        <v>328</v>
      </c>
      <c r="H589" s="7" t="s">
        <v>326</v>
      </c>
      <c r="I589" s="10">
        <v>425.96</v>
      </c>
      <c r="J589" s="10">
        <v>291505.34000000014</v>
      </c>
      <c r="K589" s="6">
        <v>52005.950000000397</v>
      </c>
    </row>
    <row r="590" spans="1:11" x14ac:dyDescent="0.25">
      <c r="A590" s="5" t="s">
        <v>706</v>
      </c>
      <c r="B590" s="42">
        <f t="shared" si="9"/>
        <v>291.93130000000014</v>
      </c>
      <c r="C590" s="7" t="s">
        <v>509</v>
      </c>
      <c r="D590" s="7" t="s">
        <v>508</v>
      </c>
      <c r="E590" s="7" t="s">
        <v>826</v>
      </c>
      <c r="F590" s="8">
        <v>288.87253000000055</v>
      </c>
      <c r="G590" s="7" t="s">
        <v>326</v>
      </c>
      <c r="H590" s="7" t="s">
        <v>324</v>
      </c>
      <c r="I590" s="10">
        <v>421.12</v>
      </c>
      <c r="J590" s="10">
        <v>291931.30000000016</v>
      </c>
      <c r="K590" s="6">
        <v>51579.990000000398</v>
      </c>
    </row>
    <row r="591" spans="1:11" x14ac:dyDescent="0.25">
      <c r="A591" s="5" t="s">
        <v>706</v>
      </c>
      <c r="B591" s="42">
        <f t="shared" si="9"/>
        <v>292.35242000000017</v>
      </c>
      <c r="C591" s="7" t="s">
        <v>508</v>
      </c>
      <c r="D591" s="7" t="s">
        <v>507</v>
      </c>
      <c r="E591" s="7" t="s">
        <v>826</v>
      </c>
      <c r="F591" s="8">
        <v>289.43126000000052</v>
      </c>
      <c r="G591" s="7" t="s">
        <v>324</v>
      </c>
      <c r="H591" s="7" t="s">
        <v>322</v>
      </c>
      <c r="I591" s="10">
        <v>426.7</v>
      </c>
      <c r="J591" s="10">
        <v>292352.42000000016</v>
      </c>
      <c r="K591" s="6">
        <v>51158.870000000396</v>
      </c>
    </row>
    <row r="592" spans="1:11" x14ac:dyDescent="0.25">
      <c r="A592" s="5" t="s">
        <v>706</v>
      </c>
      <c r="B592" s="42">
        <f t="shared" si="9"/>
        <v>292.77912000000015</v>
      </c>
      <c r="C592" s="7" t="s">
        <v>507</v>
      </c>
      <c r="D592" s="7" t="s">
        <v>817</v>
      </c>
      <c r="E592" s="7" t="s">
        <v>826</v>
      </c>
      <c r="F592" s="8">
        <v>289.77140000000054</v>
      </c>
      <c r="G592" s="7" t="s">
        <v>322</v>
      </c>
      <c r="H592" s="7" t="s">
        <v>320</v>
      </c>
      <c r="I592" s="10">
        <v>568.65</v>
      </c>
      <c r="J592" s="10">
        <v>292779.12000000017</v>
      </c>
      <c r="K592" s="6">
        <v>50732.170000000398</v>
      </c>
    </row>
    <row r="593" spans="1:11" x14ac:dyDescent="0.25">
      <c r="A593" s="5" t="s">
        <v>706</v>
      </c>
      <c r="B593" s="42">
        <f t="shared" si="9"/>
        <v>293.3477700000002</v>
      </c>
      <c r="C593" s="7" t="s">
        <v>817</v>
      </c>
      <c r="D593" s="7" t="s">
        <v>816</v>
      </c>
      <c r="E593" s="7" t="s">
        <v>826</v>
      </c>
      <c r="F593" s="8">
        <v>290.23053000000056</v>
      </c>
      <c r="G593" s="7" t="s">
        <v>320</v>
      </c>
      <c r="H593" s="7" t="s">
        <v>318</v>
      </c>
      <c r="I593" s="10">
        <v>467.67</v>
      </c>
      <c r="J593" s="10">
        <v>293347.77000000019</v>
      </c>
      <c r="K593" s="6">
        <v>50163.520000000397</v>
      </c>
    </row>
    <row r="594" spans="1:11" x14ac:dyDescent="0.25">
      <c r="A594" s="5" t="s">
        <v>706</v>
      </c>
      <c r="B594" s="42">
        <f t="shared" si="9"/>
        <v>293.81544000000019</v>
      </c>
      <c r="C594" s="7" t="s">
        <v>816</v>
      </c>
      <c r="D594" s="7" t="s">
        <v>815</v>
      </c>
      <c r="E594" s="7" t="s">
        <v>826</v>
      </c>
      <c r="F594" s="8">
        <v>290.60363000000052</v>
      </c>
      <c r="G594" s="7" t="s">
        <v>318</v>
      </c>
      <c r="H594" s="7" t="s">
        <v>316</v>
      </c>
      <c r="I594" s="10">
        <v>456.48</v>
      </c>
      <c r="J594" s="10">
        <v>293815.44000000018</v>
      </c>
      <c r="K594" s="6">
        <v>49695.850000000399</v>
      </c>
    </row>
    <row r="595" spans="1:11" x14ac:dyDescent="0.25">
      <c r="A595" s="5" t="s">
        <v>706</v>
      </c>
      <c r="B595" s="42">
        <f t="shared" si="9"/>
        <v>294.27192000000014</v>
      </c>
      <c r="C595" s="7" t="s">
        <v>815</v>
      </c>
      <c r="D595" s="7" t="s">
        <v>814</v>
      </c>
      <c r="E595" s="7" t="s">
        <v>826</v>
      </c>
      <c r="F595" s="8">
        <v>290.97663000000051</v>
      </c>
      <c r="G595" s="7" t="s">
        <v>316</v>
      </c>
      <c r="H595" s="7" t="s">
        <v>314</v>
      </c>
      <c r="I595" s="10">
        <v>495.11</v>
      </c>
      <c r="J595" s="10">
        <v>294271.92000000016</v>
      </c>
      <c r="K595" s="6">
        <v>49239.370000000396</v>
      </c>
    </row>
    <row r="596" spans="1:11" x14ac:dyDescent="0.25">
      <c r="A596" s="5" t="s">
        <v>706</v>
      </c>
      <c r="B596" s="42">
        <f t="shared" si="9"/>
        <v>294.76703000000015</v>
      </c>
      <c r="C596" s="7" t="s">
        <v>814</v>
      </c>
      <c r="D596" s="7" t="s">
        <v>813</v>
      </c>
      <c r="E596" s="7" t="s">
        <v>826</v>
      </c>
      <c r="F596" s="8">
        <v>291.34962000000053</v>
      </c>
      <c r="G596" s="7" t="s">
        <v>314</v>
      </c>
      <c r="H596" s="7" t="s">
        <v>312</v>
      </c>
      <c r="I596" s="10">
        <v>503.63</v>
      </c>
      <c r="J596" s="10">
        <v>294767.03000000014</v>
      </c>
      <c r="K596" s="6">
        <v>48744.260000000395</v>
      </c>
    </row>
    <row r="597" spans="1:11" x14ac:dyDescent="0.25">
      <c r="A597" s="5" t="s">
        <v>706</v>
      </c>
      <c r="B597" s="42">
        <f t="shared" si="9"/>
        <v>295.27066000000013</v>
      </c>
      <c r="C597" s="7" t="s">
        <v>813</v>
      </c>
      <c r="D597" s="7" t="s">
        <v>812</v>
      </c>
      <c r="E597" s="7" t="s">
        <v>826</v>
      </c>
      <c r="F597" s="8">
        <v>291.76622000000049</v>
      </c>
      <c r="G597" s="7" t="s">
        <v>312</v>
      </c>
      <c r="H597" s="7" t="s">
        <v>310</v>
      </c>
      <c r="I597" s="10">
        <v>494.13</v>
      </c>
      <c r="J597" s="10">
        <v>295270.66000000015</v>
      </c>
      <c r="K597" s="6">
        <v>48240.630000000398</v>
      </c>
    </row>
    <row r="598" spans="1:11" x14ac:dyDescent="0.25">
      <c r="A598" s="5" t="s">
        <v>706</v>
      </c>
      <c r="B598" s="42">
        <f t="shared" si="9"/>
        <v>295.76479000000018</v>
      </c>
      <c r="C598" s="7" t="s">
        <v>812</v>
      </c>
      <c r="D598" s="7" t="s">
        <v>811</v>
      </c>
      <c r="E598" s="7" t="s">
        <v>826</v>
      </c>
      <c r="F598" s="8">
        <v>292.1484200000005</v>
      </c>
      <c r="G598" s="7" t="s">
        <v>310</v>
      </c>
      <c r="H598" s="7" t="s">
        <v>308</v>
      </c>
      <c r="I598" s="10">
        <v>544.65</v>
      </c>
      <c r="J598" s="10">
        <v>295764.79000000015</v>
      </c>
      <c r="K598" s="6">
        <v>47746.5000000004</v>
      </c>
    </row>
    <row r="599" spans="1:11" x14ac:dyDescent="0.25">
      <c r="A599" s="5" t="s">
        <v>706</v>
      </c>
      <c r="B599" s="42">
        <f t="shared" si="9"/>
        <v>296.30944000000017</v>
      </c>
      <c r="C599" s="7" t="s">
        <v>811</v>
      </c>
      <c r="D599" s="7" t="s">
        <v>810</v>
      </c>
      <c r="E599" s="7" t="s">
        <v>826</v>
      </c>
      <c r="F599" s="8">
        <v>292.64242000000053</v>
      </c>
      <c r="G599" s="7" t="s">
        <v>308</v>
      </c>
      <c r="H599" s="7" t="s">
        <v>306</v>
      </c>
      <c r="I599" s="10">
        <v>538.45000000000005</v>
      </c>
      <c r="J599" s="10">
        <v>296309.44000000018</v>
      </c>
      <c r="K599" s="6">
        <v>47201.850000000399</v>
      </c>
    </row>
    <row r="600" spans="1:11" x14ac:dyDescent="0.25">
      <c r="A600" s="5" t="s">
        <v>706</v>
      </c>
      <c r="B600" s="42">
        <f t="shared" si="9"/>
        <v>296.84789000000018</v>
      </c>
      <c r="C600" s="7" t="s">
        <v>810</v>
      </c>
      <c r="D600" s="7" t="s">
        <v>809</v>
      </c>
      <c r="E600" s="7" t="s">
        <v>826</v>
      </c>
      <c r="F600" s="8">
        <v>293.25992000000053</v>
      </c>
      <c r="G600" s="7" t="s">
        <v>306</v>
      </c>
      <c r="H600" s="7" t="s">
        <v>304</v>
      </c>
      <c r="I600" s="10">
        <v>560.51</v>
      </c>
      <c r="J600" s="10">
        <v>296847.89000000019</v>
      </c>
      <c r="K600" s="6">
        <v>46663.400000000402</v>
      </c>
    </row>
    <row r="601" spans="1:11" x14ac:dyDescent="0.25">
      <c r="A601" s="5" t="s">
        <v>706</v>
      </c>
      <c r="B601" s="42">
        <f t="shared" si="9"/>
        <v>297.4084000000002</v>
      </c>
      <c r="C601" s="7" t="s">
        <v>809</v>
      </c>
      <c r="D601" s="7" t="s">
        <v>808</v>
      </c>
      <c r="E601" s="7" t="s">
        <v>826</v>
      </c>
      <c r="F601" s="8">
        <v>293.74142000000052</v>
      </c>
      <c r="G601" s="7" t="s">
        <v>304</v>
      </c>
      <c r="H601" s="7" t="s">
        <v>302</v>
      </c>
      <c r="I601" s="10">
        <v>560.4</v>
      </c>
      <c r="J601" s="10">
        <v>297408.4000000002</v>
      </c>
      <c r="K601" s="6">
        <v>46102.8900000004</v>
      </c>
    </row>
    <row r="602" spans="1:11" x14ac:dyDescent="0.25">
      <c r="A602" s="5" t="s">
        <v>706</v>
      </c>
      <c r="B602" s="42">
        <f t="shared" si="9"/>
        <v>297.96880000000021</v>
      </c>
      <c r="C602" s="7" t="s">
        <v>808</v>
      </c>
      <c r="D602" s="7" t="s">
        <v>807</v>
      </c>
      <c r="E602" s="7" t="s">
        <v>826</v>
      </c>
      <c r="F602" s="8">
        <v>294.16022000000049</v>
      </c>
      <c r="G602" s="7" t="s">
        <v>302</v>
      </c>
      <c r="H602" s="7" t="s">
        <v>300</v>
      </c>
      <c r="I602" s="10">
        <v>455.07</v>
      </c>
      <c r="J602" s="10">
        <v>297968.80000000022</v>
      </c>
      <c r="K602" s="6">
        <v>45542.490000000398</v>
      </c>
    </row>
    <row r="603" spans="1:11" x14ac:dyDescent="0.25">
      <c r="A603" s="5" t="s">
        <v>706</v>
      </c>
      <c r="B603" s="42">
        <f t="shared" si="9"/>
        <v>298.42387000000025</v>
      </c>
      <c r="C603" s="7" t="s">
        <v>807</v>
      </c>
      <c r="D603" s="7" t="s">
        <v>806</v>
      </c>
      <c r="E603" s="7" t="s">
        <v>826</v>
      </c>
      <c r="F603" s="8">
        <v>294.82112000000052</v>
      </c>
      <c r="G603" s="7" t="s">
        <v>300</v>
      </c>
      <c r="H603" s="7" t="s">
        <v>298</v>
      </c>
      <c r="I603" s="10">
        <v>470.17</v>
      </c>
      <c r="J603" s="10">
        <v>298423.87000000023</v>
      </c>
      <c r="K603" s="6">
        <v>45087.420000000398</v>
      </c>
    </row>
    <row r="604" spans="1:11" x14ac:dyDescent="0.25">
      <c r="A604" s="5" t="s">
        <v>706</v>
      </c>
      <c r="B604" s="42">
        <f t="shared" si="9"/>
        <v>298.89404000000019</v>
      </c>
      <c r="C604" s="7" t="s">
        <v>806</v>
      </c>
      <c r="D604" s="7" t="s">
        <v>805</v>
      </c>
      <c r="E604" s="7" t="s">
        <v>826</v>
      </c>
      <c r="F604" s="8">
        <v>295.39312000000052</v>
      </c>
      <c r="G604" s="7" t="s">
        <v>298</v>
      </c>
      <c r="H604" s="7" t="s">
        <v>296</v>
      </c>
      <c r="I604" s="10">
        <v>363.09</v>
      </c>
      <c r="J604" s="10">
        <v>298894.04000000021</v>
      </c>
      <c r="K604" s="6">
        <v>44617.2500000004</v>
      </c>
    </row>
    <row r="605" spans="1:11" x14ac:dyDescent="0.25">
      <c r="A605" s="5" t="s">
        <v>706</v>
      </c>
      <c r="B605" s="42">
        <f t="shared" si="9"/>
        <v>299.25713000000025</v>
      </c>
      <c r="C605" s="7" t="s">
        <v>805</v>
      </c>
      <c r="D605" s="7" t="s">
        <v>804</v>
      </c>
      <c r="E605" s="7" t="s">
        <v>826</v>
      </c>
      <c r="F605" s="8">
        <v>295.96160000000049</v>
      </c>
      <c r="G605" s="7" t="s">
        <v>296</v>
      </c>
      <c r="H605" s="7" t="s">
        <v>294</v>
      </c>
      <c r="I605" s="10">
        <v>552.37</v>
      </c>
      <c r="J605" s="10">
        <v>299257.13000000024</v>
      </c>
      <c r="K605" s="6">
        <v>44254.160000000404</v>
      </c>
    </row>
    <row r="606" spans="1:11" x14ac:dyDescent="0.25">
      <c r="A606" s="5" t="s">
        <v>706</v>
      </c>
      <c r="B606" s="42">
        <f t="shared" si="9"/>
        <v>299.80950000000024</v>
      </c>
      <c r="C606" s="7" t="s">
        <v>804</v>
      </c>
      <c r="D606" s="7" t="s">
        <v>803</v>
      </c>
      <c r="E606" s="7" t="s">
        <v>826</v>
      </c>
      <c r="F606" s="8">
        <v>296.39703000000048</v>
      </c>
      <c r="G606" s="7" t="s">
        <v>294</v>
      </c>
      <c r="H606" s="7" t="s">
        <v>292</v>
      </c>
      <c r="I606" s="10">
        <v>640.6</v>
      </c>
      <c r="J606" s="10">
        <v>299809.50000000023</v>
      </c>
      <c r="K606" s="6">
        <v>43701.790000000401</v>
      </c>
    </row>
    <row r="607" spans="1:11" x14ac:dyDescent="0.25">
      <c r="A607" s="5" t="s">
        <v>706</v>
      </c>
      <c r="B607" s="42">
        <f t="shared" si="9"/>
        <v>300.45010000000019</v>
      </c>
      <c r="C607" s="7" t="s">
        <v>803</v>
      </c>
      <c r="D607" s="7" t="s">
        <v>802</v>
      </c>
      <c r="E607" s="7" t="s">
        <v>826</v>
      </c>
      <c r="F607" s="8">
        <v>296.73379000000051</v>
      </c>
      <c r="G607" s="7" t="s">
        <v>292</v>
      </c>
      <c r="H607" s="7" t="s">
        <v>290</v>
      </c>
      <c r="I607" s="10">
        <v>512.28</v>
      </c>
      <c r="J607" s="10">
        <v>300450.10000000021</v>
      </c>
      <c r="K607" s="6">
        <v>43061.190000000403</v>
      </c>
    </row>
    <row r="608" spans="1:11" x14ac:dyDescent="0.25">
      <c r="A608" s="5" t="s">
        <v>706</v>
      </c>
      <c r="B608" s="42">
        <f t="shared" si="9"/>
        <v>300.96238000000022</v>
      </c>
      <c r="C608" s="7" t="s">
        <v>802</v>
      </c>
      <c r="D608" s="7" t="s">
        <v>801</v>
      </c>
      <c r="E608" s="7" t="s">
        <v>826</v>
      </c>
      <c r="F608" s="8">
        <v>297.30779000000052</v>
      </c>
      <c r="G608" s="7" t="s">
        <v>290</v>
      </c>
      <c r="H608" s="7" t="s">
        <v>288</v>
      </c>
      <c r="I608" s="10">
        <v>533.09</v>
      </c>
      <c r="J608" s="10">
        <v>300962.38000000024</v>
      </c>
      <c r="K608" s="6">
        <v>42548.910000000404</v>
      </c>
    </row>
    <row r="609" spans="1:11" x14ac:dyDescent="0.25">
      <c r="A609" s="5" t="s">
        <v>706</v>
      </c>
      <c r="B609" s="42">
        <f t="shared" si="9"/>
        <v>301.49547000000024</v>
      </c>
      <c r="C609" s="7" t="s">
        <v>801</v>
      </c>
      <c r="D609" s="7" t="s">
        <v>800</v>
      </c>
      <c r="E609" s="7" t="s">
        <v>826</v>
      </c>
      <c r="F609" s="8">
        <v>297.86819000000054</v>
      </c>
      <c r="G609" s="7" t="s">
        <v>288</v>
      </c>
      <c r="H609" s="7" t="s">
        <v>286</v>
      </c>
      <c r="I609" s="10">
        <v>466.28</v>
      </c>
      <c r="J609" s="10">
        <v>301495.47000000026</v>
      </c>
      <c r="K609" s="6">
        <v>42015.820000000407</v>
      </c>
    </row>
    <row r="610" spans="1:11" x14ac:dyDescent="0.25">
      <c r="A610" s="5" t="s">
        <v>706</v>
      </c>
      <c r="B610" s="42">
        <f t="shared" si="9"/>
        <v>301.96175000000028</v>
      </c>
      <c r="C610" s="7" t="s">
        <v>800</v>
      </c>
      <c r="D610" s="7" t="s">
        <v>799</v>
      </c>
      <c r="E610" s="7" t="s">
        <v>826</v>
      </c>
      <c r="F610" s="8">
        <v>298.43689000000052</v>
      </c>
      <c r="G610" s="7" t="s">
        <v>286</v>
      </c>
      <c r="H610" s="7" t="s">
        <v>284</v>
      </c>
      <c r="I610" s="10">
        <v>359.65</v>
      </c>
      <c r="J610" s="10">
        <v>301961.75000000029</v>
      </c>
      <c r="K610" s="6">
        <v>41549.540000000408</v>
      </c>
    </row>
    <row r="611" spans="1:11" x14ac:dyDescent="0.25">
      <c r="A611" s="5" t="s">
        <v>706</v>
      </c>
      <c r="B611" s="42">
        <f t="shared" si="9"/>
        <v>302.32140000000032</v>
      </c>
      <c r="C611" s="7" t="s">
        <v>799</v>
      </c>
      <c r="D611" s="7" t="s">
        <v>798</v>
      </c>
      <c r="E611" s="7" t="s">
        <v>826</v>
      </c>
      <c r="F611" s="8">
        <v>298.93752000000052</v>
      </c>
      <c r="G611" s="7" t="s">
        <v>284</v>
      </c>
      <c r="H611" s="7" t="s">
        <v>282</v>
      </c>
      <c r="I611" s="10">
        <v>532.48</v>
      </c>
      <c r="J611" s="10">
        <v>302321.40000000031</v>
      </c>
      <c r="K611" s="6">
        <v>41189.890000000407</v>
      </c>
    </row>
    <row r="612" spans="1:11" x14ac:dyDescent="0.25">
      <c r="A612" s="5" t="s">
        <v>706</v>
      </c>
      <c r="B612" s="42">
        <f t="shared" si="9"/>
        <v>302.85388000000029</v>
      </c>
      <c r="C612" s="7" t="s">
        <v>798</v>
      </c>
      <c r="D612" s="7" t="s">
        <v>797</v>
      </c>
      <c r="E612" s="7" t="s">
        <v>826</v>
      </c>
      <c r="F612" s="8">
        <v>299.47685000000058</v>
      </c>
      <c r="G612" s="7" t="s">
        <v>282</v>
      </c>
      <c r="H612" s="7" t="s">
        <v>280</v>
      </c>
      <c r="I612" s="10">
        <v>363.11</v>
      </c>
      <c r="J612" s="10">
        <v>302853.8800000003</v>
      </c>
      <c r="K612" s="6">
        <v>40657.410000000404</v>
      </c>
    </row>
    <row r="613" spans="1:11" x14ac:dyDescent="0.25">
      <c r="A613" s="5" t="s">
        <v>706</v>
      </c>
      <c r="B613" s="42">
        <f t="shared" si="9"/>
        <v>303.21699000000029</v>
      </c>
      <c r="C613" s="7" t="s">
        <v>797</v>
      </c>
      <c r="D613" s="7" t="s">
        <v>796</v>
      </c>
      <c r="E613" s="7" t="s">
        <v>826</v>
      </c>
      <c r="F613" s="8">
        <v>300.11135000000058</v>
      </c>
      <c r="G613" s="7" t="s">
        <v>280</v>
      </c>
      <c r="H613" s="7" t="s">
        <v>278</v>
      </c>
      <c r="I613" s="10">
        <v>360.5</v>
      </c>
      <c r="J613" s="10">
        <v>303216.99000000028</v>
      </c>
      <c r="K613" s="6">
        <v>40294.300000000403</v>
      </c>
    </row>
    <row r="614" spans="1:11" x14ac:dyDescent="0.25">
      <c r="A614" s="5" t="s">
        <v>706</v>
      </c>
      <c r="B614" s="42">
        <f t="shared" si="9"/>
        <v>303.5774900000003</v>
      </c>
      <c r="C614" s="7" t="s">
        <v>796</v>
      </c>
      <c r="D614" s="7" t="s">
        <v>795</v>
      </c>
      <c r="E614" s="7" t="s">
        <v>826</v>
      </c>
      <c r="F614" s="8">
        <v>300.53471000000053</v>
      </c>
      <c r="G614" s="7" t="s">
        <v>278</v>
      </c>
      <c r="H614" s="7" t="s">
        <v>276</v>
      </c>
      <c r="I614" s="10">
        <v>467.88</v>
      </c>
      <c r="J614" s="10">
        <v>303577.49000000028</v>
      </c>
      <c r="K614" s="6">
        <v>39933.800000000403</v>
      </c>
    </row>
    <row r="615" spans="1:11" x14ac:dyDescent="0.25">
      <c r="A615" s="5" t="s">
        <v>706</v>
      </c>
      <c r="B615" s="42">
        <f t="shared" si="9"/>
        <v>304.04537000000028</v>
      </c>
      <c r="C615" s="7" t="s">
        <v>795</v>
      </c>
      <c r="D615" s="7" t="s">
        <v>794</v>
      </c>
      <c r="E615" s="7" t="s">
        <v>826</v>
      </c>
      <c r="F615" s="8">
        <v>301.07101000000051</v>
      </c>
      <c r="G615" s="7" t="s">
        <v>276</v>
      </c>
      <c r="H615" s="7" t="s">
        <v>274</v>
      </c>
      <c r="I615" s="10">
        <v>451.21</v>
      </c>
      <c r="J615" s="10">
        <v>304045.37000000029</v>
      </c>
      <c r="K615" s="6">
        <v>39465.920000000406</v>
      </c>
    </row>
    <row r="616" spans="1:11" x14ac:dyDescent="0.25">
      <c r="A616" s="5" t="s">
        <v>706</v>
      </c>
      <c r="B616" s="42">
        <f t="shared" si="9"/>
        <v>304.49658000000034</v>
      </c>
      <c r="C616" s="7" t="s">
        <v>794</v>
      </c>
      <c r="D616" s="7" t="s">
        <v>793</v>
      </c>
      <c r="E616" s="7" t="s">
        <v>826</v>
      </c>
      <c r="F616" s="8">
        <v>301.61993000000052</v>
      </c>
      <c r="G616" s="7" t="s">
        <v>274</v>
      </c>
      <c r="H616" s="7" t="s">
        <v>272</v>
      </c>
      <c r="I616" s="10">
        <v>340.88</v>
      </c>
      <c r="J616" s="10">
        <v>304496.58000000031</v>
      </c>
      <c r="K616" s="6">
        <v>39014.710000000407</v>
      </c>
    </row>
    <row r="617" spans="1:11" x14ac:dyDescent="0.25">
      <c r="A617" s="5" t="s">
        <v>706</v>
      </c>
      <c r="B617" s="42">
        <f t="shared" si="9"/>
        <v>304.83746000000031</v>
      </c>
      <c r="C617" s="7" t="s">
        <v>793</v>
      </c>
      <c r="D617" s="7" t="s">
        <v>792</v>
      </c>
      <c r="E617" s="7" t="s">
        <v>826</v>
      </c>
      <c r="F617" s="8">
        <v>302.18646000000052</v>
      </c>
      <c r="G617" s="7" t="s">
        <v>272</v>
      </c>
      <c r="H617" s="7" t="s">
        <v>183</v>
      </c>
      <c r="I617" s="10">
        <v>519</v>
      </c>
      <c r="J617" s="10">
        <v>304837.46000000031</v>
      </c>
      <c r="K617" s="6">
        <v>38673.830000000409</v>
      </c>
    </row>
    <row r="618" spans="1:11" x14ac:dyDescent="0.25">
      <c r="A618" s="5" t="s">
        <v>706</v>
      </c>
      <c r="B618" s="42">
        <f t="shared" si="9"/>
        <v>305.35646000000031</v>
      </c>
      <c r="C618" s="7" t="s">
        <v>792</v>
      </c>
      <c r="D618" s="7" t="s">
        <v>791</v>
      </c>
      <c r="E618" s="7" t="s">
        <v>826</v>
      </c>
      <c r="F618" s="8">
        <v>302.75326000000052</v>
      </c>
      <c r="G618" s="7" t="s">
        <v>183</v>
      </c>
      <c r="H618" s="7" t="s">
        <v>181</v>
      </c>
      <c r="I618" s="10">
        <v>393.19</v>
      </c>
      <c r="J618" s="10">
        <v>305356.46000000031</v>
      </c>
      <c r="K618" s="6">
        <v>38154.830000000409</v>
      </c>
    </row>
    <row r="619" spans="1:11" x14ac:dyDescent="0.25">
      <c r="A619" s="5" t="s">
        <v>706</v>
      </c>
      <c r="B619" s="42">
        <f t="shared" si="9"/>
        <v>305.74965000000032</v>
      </c>
      <c r="C619" s="7" t="s">
        <v>791</v>
      </c>
      <c r="D619" s="7" t="s">
        <v>790</v>
      </c>
      <c r="E619" s="7" t="s">
        <v>826</v>
      </c>
      <c r="F619" s="8">
        <v>303.25405000000052</v>
      </c>
      <c r="G619" s="7" t="s">
        <v>181</v>
      </c>
      <c r="H619" s="7" t="s">
        <v>179</v>
      </c>
      <c r="I619" s="10">
        <v>350.98</v>
      </c>
      <c r="J619" s="10">
        <v>305749.65000000031</v>
      </c>
      <c r="K619" s="6">
        <v>37761.640000000407</v>
      </c>
    </row>
    <row r="620" spans="1:11" x14ac:dyDescent="0.25">
      <c r="A620" s="5" t="s">
        <v>706</v>
      </c>
      <c r="B620" s="42">
        <f t="shared" si="9"/>
        <v>306.10063000000031</v>
      </c>
      <c r="C620" s="7" t="s">
        <v>790</v>
      </c>
      <c r="D620" s="7" t="s">
        <v>789</v>
      </c>
      <c r="E620" s="7" t="s">
        <v>826</v>
      </c>
      <c r="F620" s="8">
        <v>303.84495000000055</v>
      </c>
      <c r="G620" s="7" t="s">
        <v>179</v>
      </c>
      <c r="H620" s="7" t="s">
        <v>177</v>
      </c>
      <c r="I620" s="10">
        <v>353.13</v>
      </c>
      <c r="J620" s="10">
        <v>306100.6300000003</v>
      </c>
      <c r="K620" s="6">
        <v>37410.660000000404</v>
      </c>
    </row>
    <row r="621" spans="1:11" x14ac:dyDescent="0.25">
      <c r="A621" s="5" t="s">
        <v>706</v>
      </c>
      <c r="B621" s="42">
        <f t="shared" si="9"/>
        <v>306.45376000000027</v>
      </c>
      <c r="C621" s="7" t="s">
        <v>789</v>
      </c>
      <c r="D621" s="7" t="s">
        <v>788</v>
      </c>
      <c r="E621" s="7" t="s">
        <v>826</v>
      </c>
      <c r="F621" s="8">
        <v>304.40365000000054</v>
      </c>
      <c r="G621" s="7" t="s">
        <v>177</v>
      </c>
      <c r="H621" s="7" t="s">
        <v>175</v>
      </c>
      <c r="I621" s="10">
        <v>359.23</v>
      </c>
      <c r="J621" s="10">
        <v>306453.7600000003</v>
      </c>
      <c r="K621" s="6">
        <v>37057.530000000406</v>
      </c>
    </row>
    <row r="622" spans="1:11" x14ac:dyDescent="0.25">
      <c r="A622" s="5" t="s">
        <v>706</v>
      </c>
      <c r="B622" s="42">
        <f t="shared" si="9"/>
        <v>306.8129900000003</v>
      </c>
      <c r="C622" s="7" t="s">
        <v>788</v>
      </c>
      <c r="D622" s="7" t="s">
        <v>787</v>
      </c>
      <c r="E622" s="7" t="s">
        <v>826</v>
      </c>
      <c r="F622" s="8">
        <v>304.99465000000055</v>
      </c>
      <c r="G622" s="7" t="s">
        <v>175</v>
      </c>
      <c r="H622" s="7" t="s">
        <v>173</v>
      </c>
      <c r="I622" s="10">
        <v>504.36</v>
      </c>
      <c r="J622" s="10">
        <v>306812.99000000028</v>
      </c>
      <c r="K622" s="6">
        <v>36698.300000000403</v>
      </c>
    </row>
    <row r="623" spans="1:11" x14ac:dyDescent="0.25">
      <c r="A623" s="5" t="s">
        <v>706</v>
      </c>
      <c r="B623" s="42">
        <f t="shared" si="9"/>
        <v>307.31735000000026</v>
      </c>
      <c r="C623" s="7" t="s">
        <v>787</v>
      </c>
      <c r="D623" s="7" t="s">
        <v>786</v>
      </c>
      <c r="E623" s="7" t="s">
        <v>826</v>
      </c>
      <c r="F623" s="8">
        <v>305.53955000000059</v>
      </c>
      <c r="G623" s="7" t="s">
        <v>173</v>
      </c>
      <c r="H623" s="7" t="s">
        <v>171</v>
      </c>
      <c r="I623" s="10">
        <v>399.54</v>
      </c>
      <c r="J623" s="10">
        <v>307317.35000000027</v>
      </c>
      <c r="K623" s="6">
        <v>36193.940000000403</v>
      </c>
    </row>
    <row r="624" spans="1:11" x14ac:dyDescent="0.25">
      <c r="A624" s="5" t="s">
        <v>706</v>
      </c>
      <c r="B624" s="42">
        <f t="shared" si="9"/>
        <v>307.71689000000026</v>
      </c>
      <c r="C624" s="7" t="s">
        <v>786</v>
      </c>
      <c r="D624" s="7" t="s">
        <v>785</v>
      </c>
      <c r="E624" s="7" t="s">
        <v>826</v>
      </c>
      <c r="F624" s="8">
        <v>306.02554000000055</v>
      </c>
      <c r="G624" s="7" t="s">
        <v>171</v>
      </c>
      <c r="H624" s="7" t="s">
        <v>169</v>
      </c>
      <c r="I624" s="10">
        <v>397.2</v>
      </c>
      <c r="J624" s="10">
        <v>307716.89000000025</v>
      </c>
      <c r="K624" s="6">
        <v>35794.400000000402</v>
      </c>
    </row>
    <row r="625" spans="1:11" x14ac:dyDescent="0.25">
      <c r="A625" s="5" t="s">
        <v>706</v>
      </c>
      <c r="B625" s="42">
        <f t="shared" si="9"/>
        <v>308.11409000000026</v>
      </c>
      <c r="C625" s="7" t="s">
        <v>785</v>
      </c>
      <c r="D625" s="7" t="s">
        <v>784</v>
      </c>
      <c r="E625" s="7" t="s">
        <v>826</v>
      </c>
      <c r="F625" s="8">
        <v>306.52504000000056</v>
      </c>
      <c r="G625" s="7" t="s">
        <v>169</v>
      </c>
      <c r="H625" s="7" t="s">
        <v>167</v>
      </c>
      <c r="I625" s="10">
        <v>414.07</v>
      </c>
      <c r="J625" s="10">
        <v>308114.09000000026</v>
      </c>
      <c r="K625" s="6">
        <v>35397.200000000405</v>
      </c>
    </row>
    <row r="626" spans="1:11" x14ac:dyDescent="0.25">
      <c r="A626" s="5" t="s">
        <v>706</v>
      </c>
      <c r="B626" s="42">
        <f t="shared" si="9"/>
        <v>308.52816000000024</v>
      </c>
      <c r="C626" s="7" t="s">
        <v>784</v>
      </c>
      <c r="D626" s="7" t="s">
        <v>783</v>
      </c>
      <c r="E626" s="7" t="s">
        <v>826</v>
      </c>
      <c r="F626" s="8">
        <v>307.01497000000057</v>
      </c>
      <c r="G626" s="7" t="s">
        <v>167</v>
      </c>
      <c r="H626" s="7" t="s">
        <v>165</v>
      </c>
      <c r="I626" s="10">
        <v>448.65</v>
      </c>
      <c r="J626" s="10">
        <v>308528.16000000027</v>
      </c>
      <c r="K626" s="6">
        <v>34983.130000000405</v>
      </c>
    </row>
    <row r="627" spans="1:11" x14ac:dyDescent="0.25">
      <c r="A627" s="5" t="s">
        <v>706</v>
      </c>
      <c r="B627" s="42">
        <f t="shared" si="9"/>
        <v>308.97681000000028</v>
      </c>
      <c r="C627" s="7" t="s">
        <v>783</v>
      </c>
      <c r="D627" s="7" t="s">
        <v>782</v>
      </c>
      <c r="E627" s="7" t="s">
        <v>826</v>
      </c>
      <c r="F627" s="8">
        <v>307.58519000000052</v>
      </c>
      <c r="G627" s="7" t="s">
        <v>165</v>
      </c>
      <c r="H627" s="7" t="s">
        <v>163</v>
      </c>
      <c r="I627" s="10">
        <v>473.3</v>
      </c>
      <c r="J627" s="10">
        <v>308976.81000000029</v>
      </c>
      <c r="K627" s="6">
        <v>34534.480000000403</v>
      </c>
    </row>
    <row r="628" spans="1:11" x14ac:dyDescent="0.25">
      <c r="A628" s="5" t="s">
        <v>706</v>
      </c>
      <c r="B628" s="42">
        <f t="shared" si="9"/>
        <v>309.45011000000028</v>
      </c>
      <c r="C628" s="7" t="s">
        <v>782</v>
      </c>
      <c r="D628" s="7" t="s">
        <v>781</v>
      </c>
      <c r="E628" s="7" t="s">
        <v>826</v>
      </c>
      <c r="F628" s="8">
        <v>308.12511000000052</v>
      </c>
      <c r="G628" s="7" t="s">
        <v>163</v>
      </c>
      <c r="H628" s="7" t="s">
        <v>161</v>
      </c>
      <c r="I628" s="10">
        <v>365.01</v>
      </c>
      <c r="J628" s="10">
        <v>309450.11000000028</v>
      </c>
      <c r="K628" s="6">
        <v>34061.1800000004</v>
      </c>
    </row>
    <row r="629" spans="1:11" x14ac:dyDescent="0.25">
      <c r="A629" s="5" t="s">
        <v>706</v>
      </c>
      <c r="B629" s="42">
        <f t="shared" si="9"/>
        <v>309.81512000000026</v>
      </c>
      <c r="C629" s="7" t="s">
        <v>781</v>
      </c>
      <c r="D629" s="7" t="s">
        <v>780</v>
      </c>
      <c r="E629" s="7" t="s">
        <v>826</v>
      </c>
      <c r="F629" s="8">
        <v>308.5842100000005</v>
      </c>
      <c r="G629" s="7" t="s">
        <v>161</v>
      </c>
      <c r="H629" s="7" t="s">
        <v>159</v>
      </c>
      <c r="I629" s="10">
        <v>527.33000000000004</v>
      </c>
      <c r="J629" s="10">
        <v>309815.12000000029</v>
      </c>
      <c r="K629" s="6">
        <v>33696.170000000398</v>
      </c>
    </row>
    <row r="630" spans="1:11" x14ac:dyDescent="0.25">
      <c r="A630" s="5" t="s">
        <v>706</v>
      </c>
      <c r="B630" s="42">
        <f t="shared" si="9"/>
        <v>310.34245000000033</v>
      </c>
      <c r="C630" s="7" t="s">
        <v>780</v>
      </c>
      <c r="D630" s="7" t="s">
        <v>779</v>
      </c>
      <c r="E630" s="7" t="s">
        <v>826</v>
      </c>
      <c r="F630" s="8">
        <v>309.01726000000048</v>
      </c>
      <c r="G630" s="7" t="s">
        <v>159</v>
      </c>
      <c r="H630" s="7" t="s">
        <v>157</v>
      </c>
      <c r="I630" s="10">
        <v>473.19</v>
      </c>
      <c r="J630" s="10">
        <v>310342.4500000003</v>
      </c>
      <c r="K630" s="6">
        <v>33168.840000000397</v>
      </c>
    </row>
    <row r="631" spans="1:11" x14ac:dyDescent="0.25">
      <c r="A631" s="5" t="s">
        <v>706</v>
      </c>
      <c r="B631" s="42">
        <f t="shared" si="9"/>
        <v>310.81564000000031</v>
      </c>
      <c r="C631" s="7" t="s">
        <v>779</v>
      </c>
      <c r="D631" s="7" t="s">
        <v>778</v>
      </c>
      <c r="E631" s="7" t="s">
        <v>826</v>
      </c>
      <c r="F631" s="8">
        <v>309.48231000000044</v>
      </c>
      <c r="G631" s="7" t="s">
        <v>157</v>
      </c>
      <c r="H631" s="7" t="s">
        <v>155</v>
      </c>
      <c r="I631" s="10">
        <v>457.71</v>
      </c>
      <c r="J631" s="10">
        <v>310815.64000000031</v>
      </c>
      <c r="K631" s="6">
        <v>32695.650000000398</v>
      </c>
    </row>
    <row r="632" spans="1:11" x14ac:dyDescent="0.25">
      <c r="A632" s="5" t="s">
        <v>706</v>
      </c>
      <c r="B632" s="42">
        <f t="shared" si="9"/>
        <v>311.27335000000033</v>
      </c>
      <c r="C632" s="7" t="s">
        <v>778</v>
      </c>
      <c r="D632" s="7" t="s">
        <v>777</v>
      </c>
      <c r="E632" s="7" t="s">
        <v>826</v>
      </c>
      <c r="F632" s="8">
        <v>309.89931000000047</v>
      </c>
      <c r="G632" s="7" t="s">
        <v>155</v>
      </c>
      <c r="H632" s="7" t="s">
        <v>153</v>
      </c>
      <c r="I632" s="10">
        <v>471.11</v>
      </c>
      <c r="J632" s="10">
        <v>311273.35000000033</v>
      </c>
      <c r="K632" s="6">
        <v>32237.940000000399</v>
      </c>
    </row>
    <row r="633" spans="1:11" x14ac:dyDescent="0.25">
      <c r="A633" s="5" t="s">
        <v>706</v>
      </c>
      <c r="B633" s="42">
        <f t="shared" si="9"/>
        <v>311.74446000000029</v>
      </c>
      <c r="C633" s="7" t="s">
        <v>777</v>
      </c>
      <c r="D633" s="7" t="s">
        <v>776</v>
      </c>
      <c r="E633" s="7" t="s">
        <v>826</v>
      </c>
      <c r="F633" s="8">
        <v>310.37535000000042</v>
      </c>
      <c r="G633" s="7" t="s">
        <v>153</v>
      </c>
      <c r="H633" s="7" t="s">
        <v>151</v>
      </c>
      <c r="I633" s="10">
        <v>485.02</v>
      </c>
      <c r="J633" s="10">
        <v>311744.46000000031</v>
      </c>
      <c r="K633" s="6">
        <v>31766.830000000398</v>
      </c>
    </row>
    <row r="634" spans="1:11" x14ac:dyDescent="0.25">
      <c r="A634" s="5" t="s">
        <v>706</v>
      </c>
      <c r="B634" s="42">
        <f t="shared" si="9"/>
        <v>312.22948000000031</v>
      </c>
      <c r="C634" s="7" t="s">
        <v>776</v>
      </c>
      <c r="D634" s="7" t="s">
        <v>775</v>
      </c>
      <c r="E634" s="7" t="s">
        <v>826</v>
      </c>
      <c r="F634" s="8">
        <v>310.86785000000043</v>
      </c>
      <c r="G634" s="7" t="s">
        <v>151</v>
      </c>
      <c r="H634" s="7" t="s">
        <v>149</v>
      </c>
      <c r="I634" s="10">
        <v>448.26</v>
      </c>
      <c r="J634" s="10">
        <v>312229.48000000033</v>
      </c>
      <c r="K634" s="6">
        <v>31281.810000000398</v>
      </c>
    </row>
    <row r="635" spans="1:11" x14ac:dyDescent="0.25">
      <c r="A635" s="5" t="s">
        <v>706</v>
      </c>
      <c r="B635" s="42">
        <f t="shared" si="9"/>
        <v>312.67774000000031</v>
      </c>
      <c r="C635" s="7" t="s">
        <v>775</v>
      </c>
      <c r="D635" s="7" t="s">
        <v>774</v>
      </c>
      <c r="E635" s="7" t="s">
        <v>826</v>
      </c>
      <c r="F635" s="8">
        <v>311.32475000000045</v>
      </c>
      <c r="G635" s="7" t="s">
        <v>149</v>
      </c>
      <c r="H635" s="7" t="s">
        <v>147</v>
      </c>
      <c r="I635" s="10">
        <v>498.35</v>
      </c>
      <c r="J635" s="10">
        <v>312677.74000000034</v>
      </c>
      <c r="K635" s="6">
        <v>30833.550000000399</v>
      </c>
    </row>
    <row r="636" spans="1:11" x14ac:dyDescent="0.25">
      <c r="A636" s="5" t="s">
        <v>706</v>
      </c>
      <c r="B636" s="42">
        <f t="shared" si="9"/>
        <v>313.17609000000033</v>
      </c>
      <c r="C636" s="7" t="s">
        <v>774</v>
      </c>
      <c r="D636" s="7" t="s">
        <v>773</v>
      </c>
      <c r="E636" s="7" t="s">
        <v>826</v>
      </c>
      <c r="F636" s="8">
        <v>311.98385000000042</v>
      </c>
      <c r="G636" s="7" t="s">
        <v>147</v>
      </c>
      <c r="H636" s="7" t="s">
        <v>145</v>
      </c>
      <c r="I636" s="10">
        <v>606.47</v>
      </c>
      <c r="J636" s="10">
        <v>313176.09000000032</v>
      </c>
      <c r="K636" s="6">
        <v>30335.200000000401</v>
      </c>
    </row>
    <row r="637" spans="1:11" x14ac:dyDescent="0.25">
      <c r="A637" s="5" t="s">
        <v>706</v>
      </c>
      <c r="B637" s="42">
        <f t="shared" si="9"/>
        <v>313.78256000000027</v>
      </c>
      <c r="C637" s="7" t="s">
        <v>773</v>
      </c>
      <c r="D637" s="7" t="s">
        <v>772</v>
      </c>
      <c r="E637" s="7" t="s">
        <v>826</v>
      </c>
      <c r="F637" s="8">
        <v>312.5244500000004</v>
      </c>
      <c r="G637" s="7" t="s">
        <v>145</v>
      </c>
      <c r="H637" s="7" t="s">
        <v>143</v>
      </c>
      <c r="I637" s="10">
        <v>474.1</v>
      </c>
      <c r="J637" s="10">
        <v>313782.56000000029</v>
      </c>
      <c r="K637" s="6">
        <v>29728.7300000004</v>
      </c>
    </row>
    <row r="638" spans="1:11" x14ac:dyDescent="0.25">
      <c r="A638" s="5" t="s">
        <v>706</v>
      </c>
      <c r="B638" s="42">
        <f t="shared" si="9"/>
        <v>314.25666000000024</v>
      </c>
      <c r="C638" s="7" t="s">
        <v>772</v>
      </c>
      <c r="D638" s="7" t="s">
        <v>771</v>
      </c>
      <c r="E638" s="7" t="s">
        <v>826</v>
      </c>
      <c r="F638" s="8">
        <v>313.07205000000039</v>
      </c>
      <c r="G638" s="7" t="s">
        <v>143</v>
      </c>
      <c r="H638" s="7" t="s">
        <v>141</v>
      </c>
      <c r="I638" s="10">
        <v>472.15</v>
      </c>
      <c r="J638" s="10">
        <v>314256.66000000027</v>
      </c>
      <c r="K638" s="6">
        <v>29254.630000000401</v>
      </c>
    </row>
    <row r="639" spans="1:11" x14ac:dyDescent="0.25">
      <c r="A639" s="5" t="s">
        <v>706</v>
      </c>
      <c r="B639" s="42">
        <f t="shared" si="9"/>
        <v>314.72881000000029</v>
      </c>
      <c r="C639" s="7" t="s">
        <v>771</v>
      </c>
      <c r="D639" s="7" t="s">
        <v>770</v>
      </c>
      <c r="E639" s="7" t="s">
        <v>826</v>
      </c>
      <c r="F639" s="8">
        <v>313.61535000000038</v>
      </c>
      <c r="G639" s="7" t="s">
        <v>141</v>
      </c>
      <c r="H639" s="7" t="s">
        <v>139</v>
      </c>
      <c r="I639" s="10">
        <v>522.72</v>
      </c>
      <c r="J639" s="10">
        <v>314728.81000000029</v>
      </c>
      <c r="K639" s="6">
        <v>28782.4800000004</v>
      </c>
    </row>
    <row r="640" spans="1:11" x14ac:dyDescent="0.25">
      <c r="A640" s="5" t="s">
        <v>706</v>
      </c>
      <c r="B640" s="42">
        <f t="shared" si="9"/>
        <v>315.25153000000029</v>
      </c>
      <c r="C640" s="7" t="s">
        <v>770</v>
      </c>
      <c r="D640" s="7" t="s">
        <v>769</v>
      </c>
      <c r="E640" s="7" t="s">
        <v>826</v>
      </c>
      <c r="F640" s="8">
        <v>314.2128500000004</v>
      </c>
      <c r="G640" s="7" t="s">
        <v>139</v>
      </c>
      <c r="H640" s="7" t="s">
        <v>137</v>
      </c>
      <c r="I640" s="10">
        <v>487.4</v>
      </c>
      <c r="J640" s="10">
        <v>315251.53000000026</v>
      </c>
      <c r="K640" s="6">
        <v>28259.760000000399</v>
      </c>
    </row>
    <row r="641" spans="1:11" x14ac:dyDescent="0.25">
      <c r="A641" s="5" t="s">
        <v>706</v>
      </c>
      <c r="B641" s="42">
        <f t="shared" si="9"/>
        <v>315.73893000000027</v>
      </c>
      <c r="C641" s="7" t="s">
        <v>769</v>
      </c>
      <c r="D641" s="7" t="s">
        <v>768</v>
      </c>
      <c r="E641" s="7" t="s">
        <v>826</v>
      </c>
      <c r="F641" s="8">
        <v>314.77525000000043</v>
      </c>
      <c r="G641" s="7" t="s">
        <v>137</v>
      </c>
      <c r="H641" s="7" t="s">
        <v>135</v>
      </c>
      <c r="I641" s="10">
        <v>545.09</v>
      </c>
      <c r="J641" s="10">
        <v>315738.93000000028</v>
      </c>
      <c r="K641" s="6">
        <v>27772.360000000397</v>
      </c>
    </row>
    <row r="642" spans="1:11" x14ac:dyDescent="0.25">
      <c r="A642" s="5" t="s">
        <v>706</v>
      </c>
      <c r="B642" s="42">
        <f t="shared" si="9"/>
        <v>316.28402000000028</v>
      </c>
      <c r="C642" s="7" t="s">
        <v>768</v>
      </c>
      <c r="D642" s="7" t="s">
        <v>767</v>
      </c>
      <c r="E642" s="7" t="s">
        <v>826</v>
      </c>
      <c r="F642" s="8">
        <v>315.38435000000038</v>
      </c>
      <c r="G642" s="7" t="s">
        <v>135</v>
      </c>
      <c r="H642" s="7" t="s">
        <v>133</v>
      </c>
      <c r="I642" s="10">
        <v>537.29</v>
      </c>
      <c r="J642" s="10">
        <v>316284.02000000031</v>
      </c>
      <c r="K642" s="6">
        <v>27227.270000000397</v>
      </c>
    </row>
    <row r="643" spans="1:11" x14ac:dyDescent="0.25">
      <c r="A643" s="5" t="s">
        <v>706</v>
      </c>
      <c r="B643" s="42">
        <f t="shared" ref="B643:B702" si="10">J643/1000</f>
        <v>316.82131000000027</v>
      </c>
      <c r="C643" s="7" t="s">
        <v>767</v>
      </c>
      <c r="D643" s="7" t="s">
        <v>766</v>
      </c>
      <c r="E643" s="7" t="s">
        <v>826</v>
      </c>
      <c r="F643" s="8">
        <v>315.90565000000038</v>
      </c>
      <c r="G643" s="7" t="s">
        <v>133</v>
      </c>
      <c r="H643" s="7" t="s">
        <v>131</v>
      </c>
      <c r="I643" s="10">
        <v>525.09</v>
      </c>
      <c r="J643" s="10">
        <v>316821.31000000029</v>
      </c>
      <c r="K643" s="6">
        <v>26689.980000000396</v>
      </c>
    </row>
    <row r="644" spans="1:11" x14ac:dyDescent="0.25">
      <c r="A644" s="5" t="s">
        <v>706</v>
      </c>
      <c r="B644" s="42">
        <f t="shared" si="10"/>
        <v>317.3464000000003</v>
      </c>
      <c r="C644" s="7" t="s">
        <v>766</v>
      </c>
      <c r="D644" s="7" t="s">
        <v>765</v>
      </c>
      <c r="E644" s="7" t="s">
        <v>826</v>
      </c>
      <c r="F644" s="8">
        <v>316.29482000000036</v>
      </c>
      <c r="G644" s="7" t="s">
        <v>131</v>
      </c>
      <c r="H644" s="7" t="s">
        <v>129</v>
      </c>
      <c r="I644" s="10">
        <v>502.4</v>
      </c>
      <c r="J644" s="10">
        <v>317346.40000000031</v>
      </c>
      <c r="K644" s="6">
        <v>26164.890000000396</v>
      </c>
    </row>
    <row r="645" spans="1:11" x14ac:dyDescent="0.25">
      <c r="A645" s="5" t="s">
        <v>706</v>
      </c>
      <c r="B645" s="42">
        <f t="shared" si="10"/>
        <v>317.84880000000032</v>
      </c>
      <c r="C645" s="7" t="s">
        <v>765</v>
      </c>
      <c r="D645" s="7" t="s">
        <v>764</v>
      </c>
      <c r="E645" s="7" t="s">
        <v>826</v>
      </c>
      <c r="F645" s="8">
        <v>316.65332000000035</v>
      </c>
      <c r="G645" s="7" t="s">
        <v>129</v>
      </c>
      <c r="H645" s="7" t="s">
        <v>127</v>
      </c>
      <c r="I645" s="10">
        <v>380.3</v>
      </c>
      <c r="J645" s="10">
        <v>317848.80000000034</v>
      </c>
      <c r="K645" s="6">
        <v>25662.490000000395</v>
      </c>
    </row>
    <row r="646" spans="1:11" x14ac:dyDescent="0.25">
      <c r="A646" s="5" t="s">
        <v>706</v>
      </c>
      <c r="B646" s="42">
        <f t="shared" si="10"/>
        <v>318.2291000000003</v>
      </c>
      <c r="C646" s="7" t="s">
        <v>764</v>
      </c>
      <c r="D646" s="7" t="s">
        <v>763</v>
      </c>
      <c r="E646" s="7" t="s">
        <v>826</v>
      </c>
      <c r="F646" s="8">
        <v>317.08732000000037</v>
      </c>
      <c r="G646" s="7" t="s">
        <v>127</v>
      </c>
      <c r="H646" s="7" t="s">
        <v>125</v>
      </c>
      <c r="I646" s="10">
        <v>435</v>
      </c>
      <c r="J646" s="10">
        <v>318229.10000000033</v>
      </c>
      <c r="K646" s="6">
        <v>25282.190000000395</v>
      </c>
    </row>
    <row r="647" spans="1:11" x14ac:dyDescent="0.25">
      <c r="A647" s="5" t="s">
        <v>706</v>
      </c>
      <c r="B647" s="42">
        <f t="shared" si="10"/>
        <v>318.6641000000003</v>
      </c>
      <c r="C647" s="7" t="s">
        <v>763</v>
      </c>
      <c r="D647" s="7" t="s">
        <v>762</v>
      </c>
      <c r="E647" s="7" t="s">
        <v>826</v>
      </c>
      <c r="F647" s="8">
        <v>317.65972000000039</v>
      </c>
      <c r="G647" s="7" t="s">
        <v>125</v>
      </c>
      <c r="H647" s="7" t="s">
        <v>123</v>
      </c>
      <c r="I647" s="10">
        <v>351.68</v>
      </c>
      <c r="J647" s="10">
        <v>318664.10000000033</v>
      </c>
      <c r="K647" s="6">
        <v>24847.190000000395</v>
      </c>
    </row>
    <row r="648" spans="1:11" x14ac:dyDescent="0.25">
      <c r="A648" s="5" t="s">
        <v>706</v>
      </c>
      <c r="B648" s="42">
        <f t="shared" si="10"/>
        <v>319.01578000000029</v>
      </c>
      <c r="C648" s="7" t="s">
        <v>762</v>
      </c>
      <c r="D648" s="7" t="s">
        <v>761</v>
      </c>
      <c r="E648" s="7" t="s">
        <v>826</v>
      </c>
      <c r="F648" s="8">
        <v>318.25249000000042</v>
      </c>
      <c r="G648" s="7" t="s">
        <v>123</v>
      </c>
      <c r="H648" s="7" t="s">
        <v>121</v>
      </c>
      <c r="I648" s="10">
        <v>308.68</v>
      </c>
      <c r="J648" s="10">
        <v>319015.78000000032</v>
      </c>
      <c r="K648" s="6">
        <v>24495.510000000395</v>
      </c>
    </row>
    <row r="649" spans="1:11" x14ac:dyDescent="0.25">
      <c r="A649" s="5" t="s">
        <v>706</v>
      </c>
      <c r="B649" s="42">
        <f t="shared" si="10"/>
        <v>319.32446000000033</v>
      </c>
      <c r="C649" s="7" t="s">
        <v>761</v>
      </c>
      <c r="D649" s="7" t="s">
        <v>760</v>
      </c>
      <c r="E649" s="7" t="s">
        <v>826</v>
      </c>
      <c r="F649" s="8">
        <v>318.85910000000041</v>
      </c>
      <c r="G649" s="7" t="s">
        <v>121</v>
      </c>
      <c r="H649" s="7" t="s">
        <v>119</v>
      </c>
      <c r="I649" s="10">
        <v>479.41</v>
      </c>
      <c r="J649" s="10">
        <v>319324.46000000031</v>
      </c>
      <c r="K649" s="6">
        <v>24186.830000000395</v>
      </c>
    </row>
    <row r="650" spans="1:11" x14ac:dyDescent="0.25">
      <c r="A650" s="5" t="s">
        <v>706</v>
      </c>
      <c r="B650" s="42">
        <f t="shared" si="10"/>
        <v>319.8038700000003</v>
      </c>
      <c r="C650" s="7" t="s">
        <v>760</v>
      </c>
      <c r="D650" s="7" t="s">
        <v>759</v>
      </c>
      <c r="E650" s="7" t="s">
        <v>826</v>
      </c>
      <c r="F650" s="8">
        <v>319.34149000000042</v>
      </c>
      <c r="G650" s="7" t="s">
        <v>119</v>
      </c>
      <c r="H650" s="7" t="s">
        <v>19</v>
      </c>
      <c r="I650" s="10">
        <v>402.91</v>
      </c>
      <c r="J650" s="10">
        <v>319803.87000000029</v>
      </c>
      <c r="K650" s="6">
        <v>23707.420000000395</v>
      </c>
    </row>
    <row r="651" spans="1:11" x14ac:dyDescent="0.25">
      <c r="A651" s="5" t="s">
        <v>706</v>
      </c>
      <c r="B651" s="42">
        <f t="shared" si="10"/>
        <v>320.20678000000026</v>
      </c>
      <c r="C651" s="7" t="s">
        <v>759</v>
      </c>
      <c r="D651" s="7" t="s">
        <v>758</v>
      </c>
      <c r="E651" s="7" t="s">
        <v>826</v>
      </c>
      <c r="F651" s="8">
        <v>319.86469000000039</v>
      </c>
      <c r="G651" s="7" t="s">
        <v>19</v>
      </c>
      <c r="H651" s="7" t="s">
        <v>18</v>
      </c>
      <c r="I651" s="10">
        <v>377.69</v>
      </c>
      <c r="J651" s="10">
        <v>320206.78000000026</v>
      </c>
      <c r="K651" s="6">
        <v>23304.510000000395</v>
      </c>
    </row>
    <row r="652" spans="1:11" x14ac:dyDescent="0.25">
      <c r="A652" s="5" t="s">
        <v>706</v>
      </c>
      <c r="B652" s="42">
        <f t="shared" si="10"/>
        <v>320.58447000000024</v>
      </c>
      <c r="C652" s="7" t="s">
        <v>758</v>
      </c>
      <c r="D652" s="7" t="s">
        <v>757</v>
      </c>
      <c r="E652" s="7" t="s">
        <v>826</v>
      </c>
      <c r="F652" s="8">
        <v>320.41469000000041</v>
      </c>
      <c r="G652" s="7" t="s">
        <v>18</v>
      </c>
      <c r="H652" s="7" t="s">
        <v>115</v>
      </c>
      <c r="I652" s="10">
        <v>385.65</v>
      </c>
      <c r="J652" s="10">
        <v>320584.47000000026</v>
      </c>
      <c r="K652" s="6">
        <v>22926.820000000396</v>
      </c>
    </row>
    <row r="653" spans="1:11" x14ac:dyDescent="0.25">
      <c r="A653" s="5" t="s">
        <v>706</v>
      </c>
      <c r="B653" s="42">
        <f t="shared" si="10"/>
        <v>320.97012000000029</v>
      </c>
      <c r="C653" s="7" t="s">
        <v>757</v>
      </c>
      <c r="D653" s="7" t="s">
        <v>756</v>
      </c>
      <c r="E653" s="7" t="s">
        <v>826</v>
      </c>
      <c r="F653" s="8">
        <v>321.00039000000044</v>
      </c>
      <c r="G653" s="7" t="s">
        <v>115</v>
      </c>
      <c r="H653" s="7" t="s">
        <v>113</v>
      </c>
      <c r="I653" s="10">
        <v>426.11</v>
      </c>
      <c r="J653" s="10">
        <v>320970.12000000029</v>
      </c>
      <c r="K653" s="6">
        <v>22541.170000000395</v>
      </c>
    </row>
    <row r="654" spans="1:11" x14ac:dyDescent="0.25">
      <c r="A654" s="5" t="s">
        <v>706</v>
      </c>
      <c r="B654" s="42">
        <f t="shared" si="10"/>
        <v>321.39623000000029</v>
      </c>
      <c r="C654" s="7" t="s">
        <v>756</v>
      </c>
      <c r="D654" s="7" t="s">
        <v>755</v>
      </c>
      <c r="E654" s="7" t="s">
        <v>826</v>
      </c>
      <c r="F654" s="8">
        <v>321.59239000000042</v>
      </c>
      <c r="G654" s="7" t="s">
        <v>113</v>
      </c>
      <c r="H654" s="7" t="s">
        <v>111</v>
      </c>
      <c r="I654" s="10">
        <v>369.97</v>
      </c>
      <c r="J654" s="10">
        <v>321396.23000000027</v>
      </c>
      <c r="K654" s="6">
        <v>22115.060000000394</v>
      </c>
    </row>
    <row r="655" spans="1:11" x14ac:dyDescent="0.25">
      <c r="A655" s="5" t="s">
        <v>706</v>
      </c>
      <c r="B655" s="42">
        <f t="shared" si="10"/>
        <v>321.76620000000025</v>
      </c>
      <c r="C655" s="7" t="s">
        <v>755</v>
      </c>
      <c r="D655" s="7" t="s">
        <v>754</v>
      </c>
      <c r="E655" s="7" t="s">
        <v>826</v>
      </c>
      <c r="F655" s="8">
        <v>322.1003900000004</v>
      </c>
      <c r="G655" s="7" t="s">
        <v>111</v>
      </c>
      <c r="H655" s="7" t="s">
        <v>109</v>
      </c>
      <c r="I655" s="10">
        <v>446.91</v>
      </c>
      <c r="J655" s="10">
        <v>321766.20000000024</v>
      </c>
      <c r="K655" s="6">
        <v>21745.090000000393</v>
      </c>
    </row>
    <row r="656" spans="1:11" x14ac:dyDescent="0.25">
      <c r="A656" s="5" t="s">
        <v>706</v>
      </c>
      <c r="B656" s="42">
        <f t="shared" si="10"/>
        <v>322.2131100000002</v>
      </c>
      <c r="C656" s="7" t="s">
        <v>754</v>
      </c>
      <c r="D656" s="7" t="s">
        <v>753</v>
      </c>
      <c r="E656" s="7" t="s">
        <v>826</v>
      </c>
      <c r="F656" s="8">
        <v>322.58649000000042</v>
      </c>
      <c r="G656" s="7" t="s">
        <v>109</v>
      </c>
      <c r="H656" s="7" t="s">
        <v>107</v>
      </c>
      <c r="I656" s="10">
        <v>404.28</v>
      </c>
      <c r="J656" s="10">
        <v>322213.11000000022</v>
      </c>
      <c r="K656" s="6">
        <v>21298.180000000393</v>
      </c>
    </row>
    <row r="657" spans="1:11" x14ac:dyDescent="0.25">
      <c r="A657" s="5" t="s">
        <v>706</v>
      </c>
      <c r="B657" s="42">
        <f t="shared" si="10"/>
        <v>322.61739000000023</v>
      </c>
      <c r="C657" s="7" t="s">
        <v>753</v>
      </c>
      <c r="D657" s="7" t="s">
        <v>752</v>
      </c>
      <c r="E657" s="7" t="s">
        <v>826</v>
      </c>
      <c r="F657" s="8">
        <v>323.2459900000004</v>
      </c>
      <c r="G657" s="7" t="s">
        <v>107</v>
      </c>
      <c r="H657" s="7" t="s">
        <v>105</v>
      </c>
      <c r="I657" s="10">
        <v>500.4</v>
      </c>
      <c r="J657" s="10">
        <v>322617.39000000025</v>
      </c>
      <c r="K657" s="6">
        <v>20893.900000000394</v>
      </c>
    </row>
    <row r="658" spans="1:11" x14ac:dyDescent="0.25">
      <c r="A658" s="5" t="s">
        <v>706</v>
      </c>
      <c r="B658" s="42">
        <f t="shared" si="10"/>
        <v>323.1177900000003</v>
      </c>
      <c r="C658" s="7" t="s">
        <v>752</v>
      </c>
      <c r="D658" s="7" t="s">
        <v>751</v>
      </c>
      <c r="E658" s="7" t="s">
        <v>826</v>
      </c>
      <c r="F658" s="8">
        <v>323.78239000000042</v>
      </c>
      <c r="G658" s="7" t="s">
        <v>105</v>
      </c>
      <c r="H658" s="7" t="s">
        <v>103</v>
      </c>
      <c r="I658" s="10">
        <v>352.15</v>
      </c>
      <c r="J658" s="10">
        <v>323117.79000000027</v>
      </c>
      <c r="K658" s="6">
        <v>20393.500000000393</v>
      </c>
    </row>
    <row r="659" spans="1:11" x14ac:dyDescent="0.25">
      <c r="A659" s="5" t="s">
        <v>706</v>
      </c>
      <c r="B659" s="42">
        <f t="shared" si="10"/>
        <v>323.46994000000029</v>
      </c>
      <c r="C659" s="7" t="s">
        <v>751</v>
      </c>
      <c r="D659" s="7" t="s">
        <v>750</v>
      </c>
      <c r="E659" s="7" t="s">
        <v>826</v>
      </c>
      <c r="F659" s="8">
        <v>324.0969900000004</v>
      </c>
      <c r="G659" s="7" t="s">
        <v>103</v>
      </c>
      <c r="H659" s="7" t="s">
        <v>101</v>
      </c>
      <c r="I659" s="10">
        <v>492.32</v>
      </c>
      <c r="J659" s="10">
        <v>323469.94000000029</v>
      </c>
      <c r="K659" s="6">
        <v>20041.350000000391</v>
      </c>
    </row>
    <row r="660" spans="1:11" x14ac:dyDescent="0.25">
      <c r="A660" s="5" t="s">
        <v>706</v>
      </c>
      <c r="B660" s="42">
        <f t="shared" si="10"/>
        <v>323.9622600000003</v>
      </c>
      <c r="C660" s="7" t="s">
        <v>750</v>
      </c>
      <c r="D660" s="7" t="s">
        <v>749</v>
      </c>
      <c r="E660" s="7" t="s">
        <v>826</v>
      </c>
      <c r="F660" s="8">
        <v>324.54709000000037</v>
      </c>
      <c r="G660" s="7" t="s">
        <v>101</v>
      </c>
      <c r="H660" s="7" t="s">
        <v>99</v>
      </c>
      <c r="I660" s="10">
        <v>549.03</v>
      </c>
      <c r="J660" s="10">
        <v>323962.2600000003</v>
      </c>
      <c r="K660" s="6">
        <v>19549.030000000392</v>
      </c>
    </row>
    <row r="661" spans="1:11" x14ac:dyDescent="0.25">
      <c r="A661" s="5" t="s">
        <v>706</v>
      </c>
      <c r="B661" s="42">
        <f t="shared" si="10"/>
        <v>324.51129000000032</v>
      </c>
      <c r="C661" s="7" t="s">
        <v>749</v>
      </c>
      <c r="D661" s="7" t="s">
        <v>748</v>
      </c>
      <c r="E661" s="7" t="s">
        <v>826</v>
      </c>
      <c r="F661" s="8">
        <v>325.03629000000041</v>
      </c>
      <c r="G661" s="7" t="s">
        <v>99</v>
      </c>
      <c r="H661" s="7" t="s">
        <v>97</v>
      </c>
      <c r="I661" s="10">
        <v>522.95000000000005</v>
      </c>
      <c r="J661" s="10">
        <v>324511.29000000033</v>
      </c>
      <c r="K661" s="6">
        <v>19000.000000000393</v>
      </c>
    </row>
    <row r="662" spans="1:11" x14ac:dyDescent="0.25">
      <c r="A662" s="5" t="s">
        <v>706</v>
      </c>
      <c r="B662" s="42">
        <f t="shared" si="10"/>
        <v>325.03424000000035</v>
      </c>
      <c r="C662" s="7" t="s">
        <v>748</v>
      </c>
      <c r="D662" s="7" t="s">
        <v>747</v>
      </c>
      <c r="E662" s="7" t="s">
        <v>826</v>
      </c>
      <c r="F662" s="8">
        <v>325.46619000000044</v>
      </c>
      <c r="G662" s="7" t="s">
        <v>97</v>
      </c>
      <c r="H662" s="7" t="s">
        <v>95</v>
      </c>
      <c r="I662" s="10">
        <v>400.05</v>
      </c>
      <c r="J662" s="10">
        <v>325034.24000000034</v>
      </c>
      <c r="K662" s="6">
        <v>18477.050000000392</v>
      </c>
    </row>
    <row r="663" spans="1:11" x14ac:dyDescent="0.25">
      <c r="A663" s="5" t="s">
        <v>706</v>
      </c>
      <c r="B663" s="42">
        <f t="shared" si="10"/>
        <v>325.43429000000032</v>
      </c>
      <c r="C663" s="7" t="s">
        <v>747</v>
      </c>
      <c r="D663" s="7" t="s">
        <v>746</v>
      </c>
      <c r="E663" s="7" t="s">
        <v>826</v>
      </c>
      <c r="F663" s="8">
        <v>325.81199000000038</v>
      </c>
      <c r="G663" s="7" t="s">
        <v>95</v>
      </c>
      <c r="H663" s="7" t="s">
        <v>93</v>
      </c>
      <c r="I663" s="10">
        <v>388.48</v>
      </c>
      <c r="J663" s="10">
        <v>325434.29000000033</v>
      </c>
      <c r="K663" s="6">
        <v>18077.000000000393</v>
      </c>
    </row>
    <row r="664" spans="1:11" x14ac:dyDescent="0.25">
      <c r="A664" s="5" t="s">
        <v>706</v>
      </c>
      <c r="B664" s="42">
        <f t="shared" si="10"/>
        <v>325.82277000000033</v>
      </c>
      <c r="C664" s="7" t="s">
        <v>746</v>
      </c>
      <c r="D664" s="7" t="s">
        <v>745</v>
      </c>
      <c r="E664" s="7" t="s">
        <v>826</v>
      </c>
      <c r="F664" s="8">
        <v>326.15939000000043</v>
      </c>
      <c r="G664" s="7" t="s">
        <v>93</v>
      </c>
      <c r="H664" s="7" t="s">
        <v>91</v>
      </c>
      <c r="I664" s="10">
        <v>635.95000000000005</v>
      </c>
      <c r="J664" s="10">
        <v>325822.77000000031</v>
      </c>
      <c r="K664" s="6">
        <v>17688.520000000393</v>
      </c>
    </row>
    <row r="665" spans="1:11" x14ac:dyDescent="0.25">
      <c r="A665" s="5" t="s">
        <v>706</v>
      </c>
      <c r="B665" s="42">
        <f t="shared" si="10"/>
        <v>326.45872000000031</v>
      </c>
      <c r="C665" s="7" t="s">
        <v>745</v>
      </c>
      <c r="D665" s="7" t="s">
        <v>744</v>
      </c>
      <c r="E665" s="7" t="s">
        <v>826</v>
      </c>
      <c r="F665" s="8">
        <v>326.5514900000004</v>
      </c>
      <c r="G665" s="7" t="s">
        <v>91</v>
      </c>
      <c r="H665" s="7" t="s">
        <v>89</v>
      </c>
      <c r="I665" s="10">
        <v>537.61</v>
      </c>
      <c r="J665" s="10">
        <v>326458.72000000032</v>
      </c>
      <c r="K665" s="6">
        <v>17052.570000000393</v>
      </c>
    </row>
    <row r="666" spans="1:11" x14ac:dyDescent="0.25">
      <c r="A666" s="5" t="s">
        <v>706</v>
      </c>
      <c r="B666" s="42">
        <f t="shared" si="10"/>
        <v>326.99633000000028</v>
      </c>
      <c r="C666" s="7" t="s">
        <v>744</v>
      </c>
      <c r="D666" s="7" t="s">
        <v>743</v>
      </c>
      <c r="E666" s="7" t="s">
        <v>826</v>
      </c>
      <c r="F666" s="8">
        <v>326.87249000000043</v>
      </c>
      <c r="G666" s="7" t="s">
        <v>89</v>
      </c>
      <c r="H666" s="7" t="s">
        <v>87</v>
      </c>
      <c r="I666" s="10">
        <v>412.3</v>
      </c>
      <c r="J666" s="10">
        <v>326996.33000000031</v>
      </c>
      <c r="K666" s="6">
        <v>16514.960000000392</v>
      </c>
    </row>
    <row r="667" spans="1:11" x14ac:dyDescent="0.25">
      <c r="A667" s="5" t="s">
        <v>706</v>
      </c>
      <c r="B667" s="42">
        <f t="shared" si="10"/>
        <v>327.4086300000003</v>
      </c>
      <c r="C667" s="7" t="s">
        <v>743</v>
      </c>
      <c r="D667" s="7" t="s">
        <v>742</v>
      </c>
      <c r="E667" s="7" t="s">
        <v>826</v>
      </c>
      <c r="F667" s="8">
        <v>327.22779000000037</v>
      </c>
      <c r="G667" s="7" t="s">
        <v>87</v>
      </c>
      <c r="H667" s="7" t="s">
        <v>85</v>
      </c>
      <c r="I667" s="10">
        <v>552.6</v>
      </c>
      <c r="J667" s="10">
        <v>327408.6300000003</v>
      </c>
      <c r="K667" s="6">
        <v>16102.660000000393</v>
      </c>
    </row>
    <row r="668" spans="1:11" x14ac:dyDescent="0.25">
      <c r="A668" s="5" t="s">
        <v>706</v>
      </c>
      <c r="B668" s="42">
        <f t="shared" si="10"/>
        <v>327.96123000000028</v>
      </c>
      <c r="C668" s="7" t="s">
        <v>742</v>
      </c>
      <c r="D668" s="7" t="s">
        <v>741</v>
      </c>
      <c r="E668" s="7" t="s">
        <v>826</v>
      </c>
      <c r="F668" s="8">
        <v>327.63149000000038</v>
      </c>
      <c r="G668" s="7" t="s">
        <v>85</v>
      </c>
      <c r="H668" s="7" t="s">
        <v>83</v>
      </c>
      <c r="I668" s="10">
        <v>610.41999999999996</v>
      </c>
      <c r="J668" s="10">
        <v>327961.23000000027</v>
      </c>
      <c r="K668" s="6">
        <v>15550.060000000392</v>
      </c>
    </row>
    <row r="669" spans="1:11" x14ac:dyDescent="0.25">
      <c r="A669" s="5" t="s">
        <v>706</v>
      </c>
      <c r="B669" s="42">
        <f t="shared" si="10"/>
        <v>328.57165000000026</v>
      </c>
      <c r="C669" s="7" t="s">
        <v>741</v>
      </c>
      <c r="D669" s="7" t="s">
        <v>740</v>
      </c>
      <c r="E669" s="7" t="s">
        <v>826</v>
      </c>
      <c r="F669" s="8">
        <v>328.17159000000038</v>
      </c>
      <c r="G669" s="7" t="s">
        <v>83</v>
      </c>
      <c r="H669" s="7" t="s">
        <v>81</v>
      </c>
      <c r="I669" s="10">
        <v>542.79</v>
      </c>
      <c r="J669" s="10">
        <v>328571.65000000026</v>
      </c>
      <c r="K669" s="6">
        <v>14939.640000000392</v>
      </c>
    </row>
    <row r="670" spans="1:11" x14ac:dyDescent="0.25">
      <c r="A670" s="5" t="s">
        <v>706</v>
      </c>
      <c r="B670" s="42">
        <f t="shared" si="10"/>
        <v>329.11444000000023</v>
      </c>
      <c r="C670" s="7" t="s">
        <v>740</v>
      </c>
      <c r="D670" s="7" t="s">
        <v>739</v>
      </c>
      <c r="E670" s="7" t="s">
        <v>826</v>
      </c>
      <c r="F670" s="8">
        <v>328.79319000000038</v>
      </c>
      <c r="G670" s="7" t="s">
        <v>81</v>
      </c>
      <c r="H670" s="7" t="s">
        <v>79</v>
      </c>
      <c r="I670" s="10">
        <v>604.99</v>
      </c>
      <c r="J670" s="10">
        <v>329114.44000000024</v>
      </c>
      <c r="K670" s="6">
        <v>14396.850000000391</v>
      </c>
    </row>
    <row r="671" spans="1:11" x14ac:dyDescent="0.25">
      <c r="A671" s="5" t="s">
        <v>706</v>
      </c>
      <c r="B671" s="42">
        <f t="shared" si="10"/>
        <v>329.71943000000022</v>
      </c>
      <c r="C671" s="7" t="s">
        <v>739</v>
      </c>
      <c r="D671" s="7" t="s">
        <v>738</v>
      </c>
      <c r="E671" s="7" t="s">
        <v>826</v>
      </c>
      <c r="F671" s="8">
        <v>329.27899000000036</v>
      </c>
      <c r="G671" s="7" t="s">
        <v>79</v>
      </c>
      <c r="H671" s="7" t="s">
        <v>77</v>
      </c>
      <c r="I671" s="10">
        <v>530.37</v>
      </c>
      <c r="J671" s="10">
        <v>329719.43000000023</v>
      </c>
      <c r="K671" s="6">
        <v>13791.860000000392</v>
      </c>
    </row>
    <row r="672" spans="1:11" x14ac:dyDescent="0.25">
      <c r="A672" s="5" t="s">
        <v>706</v>
      </c>
      <c r="B672" s="42">
        <f t="shared" si="10"/>
        <v>330.24980000000022</v>
      </c>
      <c r="C672" s="7" t="s">
        <v>738</v>
      </c>
      <c r="D672" s="7" t="s">
        <v>737</v>
      </c>
      <c r="E672" s="7" t="s">
        <v>826</v>
      </c>
      <c r="F672" s="8">
        <v>329.68599000000034</v>
      </c>
      <c r="G672" s="7" t="s">
        <v>77</v>
      </c>
      <c r="H672" s="7" t="s">
        <v>75</v>
      </c>
      <c r="I672" s="10">
        <v>516.77</v>
      </c>
      <c r="J672" s="10">
        <v>330249.80000000022</v>
      </c>
      <c r="K672" s="6">
        <v>13261.490000000391</v>
      </c>
    </row>
    <row r="673" spans="1:11" x14ac:dyDescent="0.25">
      <c r="A673" s="5" t="s">
        <v>706</v>
      </c>
      <c r="B673" s="42">
        <f t="shared" si="10"/>
        <v>330.76657000000023</v>
      </c>
      <c r="C673" s="7" t="s">
        <v>737</v>
      </c>
      <c r="D673" s="7" t="s">
        <v>736</v>
      </c>
      <c r="E673" s="7" t="s">
        <v>826</v>
      </c>
      <c r="F673" s="8">
        <v>330.17229000000032</v>
      </c>
      <c r="G673" s="7" t="s">
        <v>75</v>
      </c>
      <c r="H673" s="7" t="s">
        <v>73</v>
      </c>
      <c r="I673" s="10">
        <v>449.21</v>
      </c>
      <c r="J673" s="10">
        <v>330766.57000000024</v>
      </c>
      <c r="K673" s="6">
        <v>12744.72000000039</v>
      </c>
    </row>
    <row r="674" spans="1:11" x14ac:dyDescent="0.25">
      <c r="A674" s="5" t="s">
        <v>706</v>
      </c>
      <c r="B674" s="42">
        <f t="shared" si="10"/>
        <v>331.21578000000028</v>
      </c>
      <c r="C674" s="7" t="s">
        <v>736</v>
      </c>
      <c r="D674" s="7" t="s">
        <v>735</v>
      </c>
      <c r="E674" s="7" t="s">
        <v>826</v>
      </c>
      <c r="F674" s="8">
        <v>330.57529000000034</v>
      </c>
      <c r="G674" s="7" t="s">
        <v>73</v>
      </c>
      <c r="H674" s="7" t="s">
        <v>71</v>
      </c>
      <c r="I674" s="10">
        <v>440.06</v>
      </c>
      <c r="J674" s="10">
        <v>331215.78000000026</v>
      </c>
      <c r="K674" s="6">
        <v>12295.510000000391</v>
      </c>
    </row>
    <row r="675" spans="1:11" x14ac:dyDescent="0.25">
      <c r="A675" s="5" t="s">
        <v>706</v>
      </c>
      <c r="B675" s="42">
        <f t="shared" si="10"/>
        <v>331.65584000000024</v>
      </c>
      <c r="C675" s="7" t="s">
        <v>735</v>
      </c>
      <c r="D675" s="7" t="s">
        <v>734</v>
      </c>
      <c r="E675" s="7" t="s">
        <v>826</v>
      </c>
      <c r="F675" s="8">
        <v>331.00246000000033</v>
      </c>
      <c r="G675" s="7" t="s">
        <v>71</v>
      </c>
      <c r="H675" s="7" t="s">
        <v>69</v>
      </c>
      <c r="I675" s="10">
        <v>633.71</v>
      </c>
      <c r="J675" s="10">
        <v>331655.84000000026</v>
      </c>
      <c r="K675" s="6">
        <v>11855.450000000392</v>
      </c>
    </row>
    <row r="676" spans="1:11" x14ac:dyDescent="0.25">
      <c r="A676" s="5" t="s">
        <v>706</v>
      </c>
      <c r="B676" s="42">
        <f t="shared" si="10"/>
        <v>332.2895500000003</v>
      </c>
      <c r="C676" s="7" t="s">
        <v>734</v>
      </c>
      <c r="D676" s="7" t="s">
        <v>733</v>
      </c>
      <c r="E676" s="7" t="s">
        <v>826</v>
      </c>
      <c r="F676" s="8">
        <v>331.49106000000029</v>
      </c>
      <c r="G676" s="7" t="s">
        <v>69</v>
      </c>
      <c r="H676" s="7" t="s">
        <v>67</v>
      </c>
      <c r="I676" s="10">
        <v>663.9</v>
      </c>
      <c r="J676" s="10">
        <v>332289.55000000028</v>
      </c>
      <c r="K676" s="6">
        <v>11221.740000000391</v>
      </c>
    </row>
    <row r="677" spans="1:11" x14ac:dyDescent="0.25">
      <c r="A677" s="5" t="s">
        <v>706</v>
      </c>
      <c r="B677" s="42">
        <f t="shared" si="10"/>
        <v>332.95345000000032</v>
      </c>
      <c r="C677" s="7" t="s">
        <v>733</v>
      </c>
      <c r="D677" s="7" t="s">
        <v>732</v>
      </c>
      <c r="E677" s="7" t="s">
        <v>826</v>
      </c>
      <c r="F677" s="8">
        <v>332.07286000000028</v>
      </c>
      <c r="G677" s="7" t="s">
        <v>67</v>
      </c>
      <c r="H677" s="7" t="s">
        <v>65</v>
      </c>
      <c r="I677" s="10">
        <v>433.65</v>
      </c>
      <c r="J677" s="10">
        <v>332953.4500000003</v>
      </c>
      <c r="K677" s="6">
        <v>10557.840000000391</v>
      </c>
    </row>
    <row r="678" spans="1:11" x14ac:dyDescent="0.25">
      <c r="A678" s="5" t="s">
        <v>706</v>
      </c>
      <c r="B678" s="42">
        <f t="shared" si="10"/>
        <v>333.38710000000032</v>
      </c>
      <c r="C678" s="7" t="s">
        <v>732</v>
      </c>
      <c r="D678" s="7" t="s">
        <v>731</v>
      </c>
      <c r="E678" s="7" t="s">
        <v>826</v>
      </c>
      <c r="F678" s="8">
        <v>332.48866000000027</v>
      </c>
      <c r="G678" s="7" t="s">
        <v>65</v>
      </c>
      <c r="H678" s="7" t="s">
        <v>63</v>
      </c>
      <c r="I678" s="10">
        <v>491.39</v>
      </c>
      <c r="J678" s="10">
        <v>333387.10000000033</v>
      </c>
      <c r="K678" s="6">
        <v>10124.190000000392</v>
      </c>
    </row>
    <row r="679" spans="1:11" x14ac:dyDescent="0.25">
      <c r="A679" s="5" t="s">
        <v>706</v>
      </c>
      <c r="B679" s="42">
        <f t="shared" si="10"/>
        <v>333.87849000000034</v>
      </c>
      <c r="C679" s="7" t="s">
        <v>731</v>
      </c>
      <c r="D679" s="7" t="s">
        <v>730</v>
      </c>
      <c r="E679" s="7" t="s">
        <v>826</v>
      </c>
      <c r="F679" s="8">
        <v>333.09786000000025</v>
      </c>
      <c r="G679" s="7" t="s">
        <v>63</v>
      </c>
      <c r="H679" s="7" t="s">
        <v>61</v>
      </c>
      <c r="I679" s="10">
        <v>333.51</v>
      </c>
      <c r="J679" s="10">
        <v>333878.49000000034</v>
      </c>
      <c r="K679" s="6">
        <v>9632.8000000003922</v>
      </c>
    </row>
    <row r="680" spans="1:11" x14ac:dyDescent="0.25">
      <c r="A680" s="5" t="s">
        <v>706</v>
      </c>
      <c r="B680" s="42">
        <f t="shared" si="10"/>
        <v>334.21200000000033</v>
      </c>
      <c r="C680" s="7" t="s">
        <v>730</v>
      </c>
      <c r="D680" s="7" t="s">
        <v>729</v>
      </c>
      <c r="E680" s="7" t="s">
        <v>826</v>
      </c>
      <c r="F680" s="8">
        <v>333.64086000000026</v>
      </c>
      <c r="G680" s="7" t="s">
        <v>61</v>
      </c>
      <c r="H680" s="7" t="s">
        <v>59</v>
      </c>
      <c r="I680" s="10">
        <v>441.35</v>
      </c>
      <c r="J680" s="10">
        <v>334212.00000000035</v>
      </c>
      <c r="K680" s="6">
        <v>9299.290000000392</v>
      </c>
    </row>
    <row r="681" spans="1:11" x14ac:dyDescent="0.25">
      <c r="A681" s="5" t="s">
        <v>706</v>
      </c>
      <c r="B681" s="42">
        <f t="shared" si="10"/>
        <v>334.65335000000033</v>
      </c>
      <c r="C681" s="7" t="s">
        <v>729</v>
      </c>
      <c r="D681" s="7" t="s">
        <v>728</v>
      </c>
      <c r="E681" s="7" t="s">
        <v>826</v>
      </c>
      <c r="F681" s="8">
        <v>334.25201000000033</v>
      </c>
      <c r="G681" s="7" t="s">
        <v>59</v>
      </c>
      <c r="H681" s="7" t="s">
        <v>57</v>
      </c>
      <c r="I681" s="10">
        <v>445.48</v>
      </c>
      <c r="J681" s="10">
        <v>334653.35000000033</v>
      </c>
      <c r="K681" s="6">
        <v>8857.9400000003916</v>
      </c>
    </row>
    <row r="682" spans="1:11" x14ac:dyDescent="0.25">
      <c r="A682" s="5" t="s">
        <v>706</v>
      </c>
      <c r="B682" s="42">
        <f t="shared" si="10"/>
        <v>335.09883000000031</v>
      </c>
      <c r="C682" s="7" t="s">
        <v>728</v>
      </c>
      <c r="D682" s="7" t="s">
        <v>727</v>
      </c>
      <c r="E682" s="7" t="s">
        <v>826</v>
      </c>
      <c r="F682" s="8">
        <v>334.77875000000029</v>
      </c>
      <c r="G682" s="7" t="s">
        <v>57</v>
      </c>
      <c r="H682" s="7" t="s">
        <v>55</v>
      </c>
      <c r="I682" s="10">
        <v>490.43</v>
      </c>
      <c r="J682" s="10">
        <v>335098.83000000031</v>
      </c>
      <c r="K682" s="6">
        <v>8412.460000000392</v>
      </c>
    </row>
    <row r="683" spans="1:11" x14ac:dyDescent="0.25">
      <c r="A683" s="5" t="s">
        <v>706</v>
      </c>
      <c r="B683" s="42">
        <f t="shared" si="10"/>
        <v>335.58926000000031</v>
      </c>
      <c r="C683" s="7" t="s">
        <v>727</v>
      </c>
      <c r="D683" s="7" t="s">
        <v>726</v>
      </c>
      <c r="E683" s="7" t="s">
        <v>826</v>
      </c>
      <c r="F683" s="8">
        <v>335.17824999999999</v>
      </c>
      <c r="G683" s="7" t="s">
        <v>55</v>
      </c>
      <c r="H683" s="7" t="s">
        <v>53</v>
      </c>
      <c r="I683" s="10">
        <v>462.63</v>
      </c>
      <c r="J683" s="10">
        <v>335589.2600000003</v>
      </c>
      <c r="K683" s="6">
        <v>7922.0300000003917</v>
      </c>
    </row>
    <row r="684" spans="1:11" x14ac:dyDescent="0.25">
      <c r="A684" s="5" t="s">
        <v>706</v>
      </c>
      <c r="B684" s="42">
        <f t="shared" si="10"/>
        <v>336.0518900000003</v>
      </c>
      <c r="C684" s="7" t="s">
        <v>726</v>
      </c>
      <c r="D684" s="7" t="s">
        <v>725</v>
      </c>
      <c r="E684" s="7" t="s">
        <v>826</v>
      </c>
      <c r="F684" s="8">
        <v>335.44600000000031</v>
      </c>
      <c r="G684" s="7" t="s">
        <v>53</v>
      </c>
      <c r="H684" s="7" t="s">
        <v>51</v>
      </c>
      <c r="I684" s="10">
        <v>384.69</v>
      </c>
      <c r="J684" s="10">
        <v>336051.89000000031</v>
      </c>
      <c r="K684" s="6">
        <v>7459.4000000003916</v>
      </c>
    </row>
    <row r="685" spans="1:11" x14ac:dyDescent="0.25">
      <c r="A685" s="5" t="s">
        <v>706</v>
      </c>
      <c r="B685" s="42">
        <f t="shared" si="10"/>
        <v>336.43658000000033</v>
      </c>
      <c r="C685" s="7" t="s">
        <v>725</v>
      </c>
      <c r="D685" s="7" t="s">
        <v>724</v>
      </c>
      <c r="E685" s="7" t="s">
        <v>826</v>
      </c>
      <c r="F685" s="8">
        <v>335.8960000000003</v>
      </c>
      <c r="G685" s="7" t="s">
        <v>51</v>
      </c>
      <c r="H685" s="7" t="s">
        <v>49</v>
      </c>
      <c r="I685" s="10">
        <v>475.28</v>
      </c>
      <c r="J685" s="10">
        <v>336436.58000000031</v>
      </c>
      <c r="K685" s="6">
        <v>7074.710000000392</v>
      </c>
    </row>
    <row r="686" spans="1:11" x14ac:dyDescent="0.25">
      <c r="A686" s="5" t="s">
        <v>706</v>
      </c>
      <c r="B686" s="42">
        <f t="shared" si="10"/>
        <v>336.91186000000033</v>
      </c>
      <c r="C686" s="7" t="s">
        <v>724</v>
      </c>
      <c r="D686" s="7" t="s">
        <v>723</v>
      </c>
      <c r="E686" s="7" t="s">
        <v>826</v>
      </c>
      <c r="F686" s="8">
        <v>336.3910900000003</v>
      </c>
      <c r="G686" s="7" t="s">
        <v>49</v>
      </c>
      <c r="H686" s="7" t="s">
        <v>47</v>
      </c>
      <c r="I686" s="10">
        <v>537.98</v>
      </c>
      <c r="J686" s="10">
        <v>336911.86000000034</v>
      </c>
      <c r="K686" s="6">
        <v>6599.4300000003923</v>
      </c>
    </row>
    <row r="687" spans="1:11" x14ac:dyDescent="0.25">
      <c r="A687" s="5" t="s">
        <v>706</v>
      </c>
      <c r="B687" s="42">
        <f t="shared" si="10"/>
        <v>337.44984000000034</v>
      </c>
      <c r="C687" s="7" t="s">
        <v>723</v>
      </c>
      <c r="D687" s="7" t="s">
        <v>722</v>
      </c>
      <c r="E687" s="7" t="s">
        <v>826</v>
      </c>
      <c r="F687" s="8">
        <v>336.89678000000032</v>
      </c>
      <c r="G687" s="7" t="s">
        <v>47</v>
      </c>
      <c r="H687" s="7" t="s">
        <v>45</v>
      </c>
      <c r="I687" s="10">
        <v>418.18</v>
      </c>
      <c r="J687" s="10">
        <v>337449.84000000032</v>
      </c>
      <c r="K687" s="6">
        <v>6061.4500000003918</v>
      </c>
    </row>
    <row r="688" spans="1:11" x14ac:dyDescent="0.25">
      <c r="A688" s="5" t="s">
        <v>706</v>
      </c>
      <c r="B688" s="42">
        <f t="shared" si="10"/>
        <v>337.86802000000029</v>
      </c>
      <c r="C688" s="7" t="s">
        <v>722</v>
      </c>
      <c r="D688" s="7" t="s">
        <v>721</v>
      </c>
      <c r="E688" s="7" t="s">
        <v>826</v>
      </c>
      <c r="F688" s="8">
        <v>337.41858000000002</v>
      </c>
      <c r="G688" s="7" t="s">
        <v>45</v>
      </c>
      <c r="H688" s="7" t="s">
        <v>43</v>
      </c>
      <c r="I688" s="10">
        <v>523.30999999999995</v>
      </c>
      <c r="J688" s="10">
        <v>337868.02000000031</v>
      </c>
      <c r="K688" s="6">
        <v>5643.2700000003915</v>
      </c>
    </row>
    <row r="689" spans="1:11" x14ac:dyDescent="0.25">
      <c r="A689" s="5" t="s">
        <v>706</v>
      </c>
      <c r="B689" s="42">
        <f t="shared" si="10"/>
        <v>338.39133000000032</v>
      </c>
      <c r="C689" s="7" t="s">
        <v>721</v>
      </c>
      <c r="D689" s="7" t="s">
        <v>720</v>
      </c>
      <c r="E689" s="7" t="s">
        <v>826</v>
      </c>
      <c r="F689" s="8">
        <v>337.89168000000029</v>
      </c>
      <c r="G689" s="7" t="s">
        <v>43</v>
      </c>
      <c r="H689" s="7" t="s">
        <v>41</v>
      </c>
      <c r="I689" s="10">
        <v>503.31</v>
      </c>
      <c r="J689" s="10">
        <v>338391.33000000031</v>
      </c>
      <c r="K689" s="6">
        <v>5119.960000000392</v>
      </c>
    </row>
    <row r="690" spans="1:11" x14ac:dyDescent="0.25">
      <c r="A690" s="5" t="s">
        <v>706</v>
      </c>
      <c r="B690" s="42">
        <f t="shared" si="10"/>
        <v>338.89464000000032</v>
      </c>
      <c r="C690" s="7" t="s">
        <v>720</v>
      </c>
      <c r="D690" s="7" t="s">
        <v>719</v>
      </c>
      <c r="E690" s="7" t="s">
        <v>826</v>
      </c>
      <c r="F690" s="8">
        <v>338.50198000000029</v>
      </c>
      <c r="G690" s="7" t="s">
        <v>41</v>
      </c>
      <c r="H690" s="7" t="s">
        <v>39</v>
      </c>
      <c r="I690" s="10">
        <v>418.8</v>
      </c>
      <c r="J690" s="10">
        <v>338894.64000000031</v>
      </c>
      <c r="K690" s="6">
        <v>4616.6500000003916</v>
      </c>
    </row>
    <row r="691" spans="1:11" x14ac:dyDescent="0.25">
      <c r="A691" s="5" t="s">
        <v>706</v>
      </c>
      <c r="B691" s="42">
        <f t="shared" si="10"/>
        <v>339.3134400000003</v>
      </c>
      <c r="C691" s="7" t="s">
        <v>719</v>
      </c>
      <c r="D691" s="7" t="s">
        <v>718</v>
      </c>
      <c r="E691" s="7" t="s">
        <v>826</v>
      </c>
      <c r="F691" s="8">
        <v>338.82254000000029</v>
      </c>
      <c r="G691" s="7" t="s">
        <v>39</v>
      </c>
      <c r="H691" s="7" t="s">
        <v>37</v>
      </c>
      <c r="I691" s="10">
        <v>430.79</v>
      </c>
      <c r="J691" s="10">
        <v>339313.44000000029</v>
      </c>
      <c r="K691" s="6">
        <v>4197.8500000003914</v>
      </c>
    </row>
    <row r="692" spans="1:11" x14ac:dyDescent="0.25">
      <c r="A692" s="5" t="s">
        <v>706</v>
      </c>
      <c r="B692" s="42">
        <f t="shared" si="10"/>
        <v>339.7442300000003</v>
      </c>
      <c r="C692" s="7" t="s">
        <v>718</v>
      </c>
      <c r="D692" s="7" t="s">
        <v>717</v>
      </c>
      <c r="E692" s="7" t="s">
        <v>826</v>
      </c>
      <c r="F692" s="8">
        <v>339.27243000000027</v>
      </c>
      <c r="G692" s="7" t="s">
        <v>37</v>
      </c>
      <c r="H692" s="7" t="s">
        <v>35</v>
      </c>
      <c r="I692" s="10">
        <v>380.28</v>
      </c>
      <c r="J692" s="10">
        <v>339744.23000000027</v>
      </c>
      <c r="K692" s="6">
        <v>3767.0600000003915</v>
      </c>
    </row>
    <row r="693" spans="1:11" x14ac:dyDescent="0.25">
      <c r="A693" s="5" t="s">
        <v>706</v>
      </c>
      <c r="B693" s="42">
        <f t="shared" si="10"/>
        <v>340.12451000000033</v>
      </c>
      <c r="C693" s="7" t="s">
        <v>717</v>
      </c>
      <c r="D693" s="7" t="s">
        <v>716</v>
      </c>
      <c r="E693" s="7" t="s">
        <v>826</v>
      </c>
      <c r="F693" s="8">
        <v>339.76439000000033</v>
      </c>
      <c r="G693" s="7" t="s">
        <v>35</v>
      </c>
      <c r="H693" s="7" t="s">
        <v>33</v>
      </c>
      <c r="I693" s="10">
        <v>402.3</v>
      </c>
      <c r="J693" s="10">
        <v>340124.5100000003</v>
      </c>
      <c r="K693" s="6">
        <v>3386.7800000003917</v>
      </c>
    </row>
    <row r="694" spans="1:11" x14ac:dyDescent="0.25">
      <c r="A694" s="5" t="s">
        <v>706</v>
      </c>
      <c r="B694" s="42">
        <f t="shared" si="10"/>
        <v>340.5268100000003</v>
      </c>
      <c r="C694" s="7" t="s">
        <v>716</v>
      </c>
      <c r="D694" s="7" t="s">
        <v>715</v>
      </c>
      <c r="E694" s="7" t="s">
        <v>826</v>
      </c>
      <c r="F694" s="8">
        <v>340.14669000000032</v>
      </c>
      <c r="G694" s="7" t="s">
        <v>33</v>
      </c>
      <c r="H694" s="7" t="s">
        <v>31</v>
      </c>
      <c r="I694" s="10">
        <v>540.19000000000005</v>
      </c>
      <c r="J694" s="10">
        <v>340526.81000000029</v>
      </c>
      <c r="K694" s="6">
        <v>2984.4800000003916</v>
      </c>
    </row>
    <row r="695" spans="1:11" x14ac:dyDescent="0.25">
      <c r="A695" s="5" t="s">
        <v>706</v>
      </c>
      <c r="B695" s="42">
        <f t="shared" si="10"/>
        <v>341.06700000000029</v>
      </c>
      <c r="C695" s="7" t="s">
        <v>715</v>
      </c>
      <c r="D695" s="7" t="s">
        <v>714</v>
      </c>
      <c r="E695" s="7" t="s">
        <v>826</v>
      </c>
      <c r="F695" s="8">
        <v>340.48989000000029</v>
      </c>
      <c r="G695" s="7" t="s">
        <v>31</v>
      </c>
      <c r="H695" s="7" t="s">
        <v>29</v>
      </c>
      <c r="I695" s="10">
        <v>444.58</v>
      </c>
      <c r="J695" s="10">
        <v>341067.00000000029</v>
      </c>
      <c r="K695" s="6">
        <v>2444.2900000003915</v>
      </c>
    </row>
    <row r="696" spans="1:11" x14ac:dyDescent="0.25">
      <c r="A696" s="5" t="s">
        <v>706</v>
      </c>
      <c r="B696" s="42">
        <f t="shared" si="10"/>
        <v>341.51158000000032</v>
      </c>
      <c r="C696" s="7" t="s">
        <v>714</v>
      </c>
      <c r="D696" s="7" t="s">
        <v>713</v>
      </c>
      <c r="E696" s="7" t="s">
        <v>826</v>
      </c>
      <c r="F696" s="8">
        <v>341.03639000000032</v>
      </c>
      <c r="G696" s="7" t="s">
        <v>29</v>
      </c>
      <c r="H696" s="7" t="s">
        <v>27</v>
      </c>
      <c r="I696" s="10">
        <v>399.46</v>
      </c>
      <c r="J696" s="10">
        <v>341511.58000000031</v>
      </c>
      <c r="K696" s="6">
        <v>1999.7100000003916</v>
      </c>
    </row>
    <row r="697" spans="1:11" x14ac:dyDescent="0.25">
      <c r="A697" s="5" t="s">
        <v>706</v>
      </c>
      <c r="B697" s="42">
        <f t="shared" si="10"/>
        <v>341.91104000000036</v>
      </c>
      <c r="C697" s="7" t="s">
        <v>713</v>
      </c>
      <c r="D697" s="7" t="s">
        <v>712</v>
      </c>
      <c r="E697" s="7" t="s">
        <v>826</v>
      </c>
      <c r="F697" s="8">
        <v>341.59519000000029</v>
      </c>
      <c r="G697" s="7" t="s">
        <v>27</v>
      </c>
      <c r="H697" s="7" t="s">
        <v>25</v>
      </c>
      <c r="I697" s="10">
        <v>348.26</v>
      </c>
      <c r="J697" s="10">
        <v>341911.04000000033</v>
      </c>
      <c r="K697" s="6">
        <v>1600.2500000003915</v>
      </c>
    </row>
    <row r="698" spans="1:11" x14ac:dyDescent="0.25">
      <c r="A698" s="5" t="s">
        <v>706</v>
      </c>
      <c r="B698" s="42">
        <f t="shared" si="10"/>
        <v>342.25930000000034</v>
      </c>
      <c r="C698" s="7" t="s">
        <v>712</v>
      </c>
      <c r="D698" s="7" t="s">
        <v>711</v>
      </c>
      <c r="E698" s="7" t="s">
        <v>826</v>
      </c>
      <c r="F698" s="8">
        <v>342.08619000000027</v>
      </c>
      <c r="G698" s="7" t="s">
        <v>25</v>
      </c>
      <c r="H698" s="7" t="s">
        <v>23</v>
      </c>
      <c r="I698" s="10">
        <v>355.26</v>
      </c>
      <c r="J698" s="10">
        <v>342259.30000000034</v>
      </c>
      <c r="K698" s="6">
        <v>1251.9900000003915</v>
      </c>
    </row>
    <row r="699" spans="1:11" x14ac:dyDescent="0.25">
      <c r="A699" s="5" t="s">
        <v>706</v>
      </c>
      <c r="B699" s="42">
        <f t="shared" si="10"/>
        <v>342.61456000000032</v>
      </c>
      <c r="C699" s="7" t="s">
        <v>711</v>
      </c>
      <c r="D699" s="7" t="s">
        <v>710</v>
      </c>
      <c r="E699" s="7" t="s">
        <v>826</v>
      </c>
      <c r="F699" s="8">
        <v>342.68608000000029</v>
      </c>
      <c r="G699" s="7" t="s">
        <v>23</v>
      </c>
      <c r="H699" s="7" t="s">
        <v>20</v>
      </c>
      <c r="I699" s="10">
        <v>450.54</v>
      </c>
      <c r="J699" s="10">
        <v>342614.56000000035</v>
      </c>
      <c r="K699" s="6">
        <v>896.73000000039156</v>
      </c>
    </row>
    <row r="700" spans="1:11" x14ac:dyDescent="0.25">
      <c r="A700" s="5" t="s">
        <v>706</v>
      </c>
      <c r="B700" s="42">
        <f t="shared" si="10"/>
        <v>343.06510000000031</v>
      </c>
      <c r="C700" s="7" t="s">
        <v>710</v>
      </c>
      <c r="D700" s="7" t="s">
        <v>709</v>
      </c>
      <c r="E700" s="7" t="s">
        <v>826</v>
      </c>
      <c r="F700" s="8">
        <v>343.08679000000035</v>
      </c>
      <c r="G700" s="7" t="s">
        <v>20</v>
      </c>
      <c r="H700" s="7" t="s">
        <v>15</v>
      </c>
      <c r="I700" s="10">
        <v>361.38</v>
      </c>
      <c r="J700" s="10">
        <v>343065.10000000033</v>
      </c>
      <c r="K700" s="6">
        <v>446.19000000039154</v>
      </c>
    </row>
    <row r="701" spans="1:11" x14ac:dyDescent="0.25">
      <c r="A701" s="5" t="s">
        <v>706</v>
      </c>
      <c r="B701" s="42">
        <f t="shared" si="10"/>
        <v>343.42648000000031</v>
      </c>
      <c r="C701" s="7" t="s">
        <v>709</v>
      </c>
      <c r="D701" s="7" t="s">
        <v>708</v>
      </c>
      <c r="E701" s="7" t="s">
        <v>826</v>
      </c>
      <c r="F701" s="8">
        <v>343.41599000000036</v>
      </c>
      <c r="G701" s="7" t="s">
        <v>15</v>
      </c>
      <c r="H701" s="7" t="s">
        <v>707</v>
      </c>
      <c r="I701" s="10">
        <v>84.81</v>
      </c>
      <c r="J701" s="10">
        <v>343426.48000000033</v>
      </c>
      <c r="K701" s="6">
        <v>84.81000000039154</v>
      </c>
    </row>
    <row r="702" spans="1:11" x14ac:dyDescent="0.25">
      <c r="A702" s="5" t="s">
        <v>706</v>
      </c>
      <c r="B702" s="42">
        <f t="shared" si="10"/>
        <v>343.51129000000032</v>
      </c>
      <c r="C702" s="7" t="s">
        <v>832</v>
      </c>
      <c r="D702" s="7" t="s">
        <v>22</v>
      </c>
      <c r="E702" s="7" t="s">
        <v>826</v>
      </c>
      <c r="F702" s="8">
        <v>343.51128999999997</v>
      </c>
      <c r="G702" s="7" t="s">
        <v>707</v>
      </c>
      <c r="H702" s="7" t="s">
        <v>22</v>
      </c>
      <c r="J702" s="10">
        <v>343511.29000000033</v>
      </c>
      <c r="K702" s="6">
        <v>3.9153746911324561E-10</v>
      </c>
    </row>
    <row r="704" spans="1:11" x14ac:dyDescent="0.25">
      <c r="I704" s="20">
        <f>SUM(I2:I701)/1000</f>
        <v>343.51129000000032</v>
      </c>
      <c r="J704" s="5">
        <v>699</v>
      </c>
    </row>
  </sheetData>
  <dataValidations count="3"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900-000000000000}">
      <formula1>0</formula1>
      <formula2>30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900-000001000000}">
      <formula1>0</formula1>
      <formula2>60</formula2>
    </dataValidation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900-000002000000}">
      <formula1>0</formula1>
      <formula2>50</formula2>
    </dataValidation>
  </dataValidation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O365"/>
  <sheetViews>
    <sheetView workbookViewId="0">
      <selection activeCell="B1" sqref="B1"/>
    </sheetView>
  </sheetViews>
  <sheetFormatPr defaultRowHeight="15" x14ac:dyDescent="0.25"/>
  <cols>
    <col min="1" max="1" width="22.85546875" style="5" bestFit="1" customWidth="1"/>
    <col min="2" max="2" width="10.5703125" style="5" bestFit="1" customWidth="1"/>
    <col min="3" max="3" width="21.85546875" style="7" bestFit="1" customWidth="1"/>
    <col min="4" max="4" width="21.85546875" style="7" hidden="1" customWidth="1"/>
    <col min="5" max="5" width="7.140625" style="7" bestFit="1" customWidth="1"/>
    <col min="6" max="6" width="13.140625" style="7" hidden="1" customWidth="1"/>
    <col min="7" max="8" width="21.85546875" style="7" hidden="1" customWidth="1"/>
    <col min="9" max="9" width="30.28515625" style="5" hidden="1" customWidth="1"/>
    <col min="10" max="10" width="26.28515625" style="5" hidden="1" customWidth="1"/>
    <col min="11" max="11" width="24.5703125" style="5" hidden="1" customWidth="1"/>
    <col min="12" max="12" width="5" bestFit="1" customWidth="1"/>
    <col min="13" max="13" width="17.28515625" bestFit="1" customWidth="1"/>
    <col min="14" max="14" width="13.42578125" bestFit="1" customWidth="1"/>
    <col min="257" max="258" width="32.5703125" customWidth="1"/>
    <col min="259" max="263" width="24.85546875" customWidth="1"/>
    <col min="264" max="264" width="30.140625" customWidth="1"/>
    <col min="265" max="265" width="25.5703125" bestFit="1" customWidth="1"/>
    <col min="266" max="266" width="24.140625" customWidth="1"/>
    <col min="268" max="268" width="18" bestFit="1" customWidth="1"/>
    <col min="270" max="270" width="4.5703125" bestFit="1" customWidth="1"/>
    <col min="513" max="514" width="32.5703125" customWidth="1"/>
    <col min="515" max="519" width="24.85546875" customWidth="1"/>
    <col min="520" max="520" width="30.140625" customWidth="1"/>
    <col min="521" max="521" width="25.5703125" bestFit="1" customWidth="1"/>
    <col min="522" max="522" width="24.140625" customWidth="1"/>
    <col min="524" max="524" width="18" bestFit="1" customWidth="1"/>
    <col min="526" max="526" width="4.5703125" bestFit="1" customWidth="1"/>
    <col min="769" max="770" width="32.5703125" customWidth="1"/>
    <col min="771" max="775" width="24.85546875" customWidth="1"/>
    <col min="776" max="776" width="30.140625" customWidth="1"/>
    <col min="777" max="777" width="25.5703125" bestFit="1" customWidth="1"/>
    <col min="778" max="778" width="24.140625" customWidth="1"/>
    <col min="780" max="780" width="18" bestFit="1" customWidth="1"/>
    <col min="782" max="782" width="4.5703125" bestFit="1" customWidth="1"/>
    <col min="1025" max="1026" width="32.5703125" customWidth="1"/>
    <col min="1027" max="1031" width="24.85546875" customWidth="1"/>
    <col min="1032" max="1032" width="30.140625" customWidth="1"/>
    <col min="1033" max="1033" width="25.5703125" bestFit="1" customWidth="1"/>
    <col min="1034" max="1034" width="24.140625" customWidth="1"/>
    <col min="1036" max="1036" width="18" bestFit="1" customWidth="1"/>
    <col min="1038" max="1038" width="4.5703125" bestFit="1" customWidth="1"/>
    <col min="1281" max="1282" width="32.5703125" customWidth="1"/>
    <col min="1283" max="1287" width="24.85546875" customWidth="1"/>
    <col min="1288" max="1288" width="30.140625" customWidth="1"/>
    <col min="1289" max="1289" width="25.5703125" bestFit="1" customWidth="1"/>
    <col min="1290" max="1290" width="24.140625" customWidth="1"/>
    <col min="1292" max="1292" width="18" bestFit="1" customWidth="1"/>
    <col min="1294" max="1294" width="4.5703125" bestFit="1" customWidth="1"/>
    <col min="1537" max="1538" width="32.5703125" customWidth="1"/>
    <col min="1539" max="1543" width="24.85546875" customWidth="1"/>
    <col min="1544" max="1544" width="30.140625" customWidth="1"/>
    <col min="1545" max="1545" width="25.5703125" bestFit="1" customWidth="1"/>
    <col min="1546" max="1546" width="24.140625" customWidth="1"/>
    <col min="1548" max="1548" width="18" bestFit="1" customWidth="1"/>
    <col min="1550" max="1550" width="4.5703125" bestFit="1" customWidth="1"/>
    <col min="1793" max="1794" width="32.5703125" customWidth="1"/>
    <col min="1795" max="1799" width="24.85546875" customWidth="1"/>
    <col min="1800" max="1800" width="30.140625" customWidth="1"/>
    <col min="1801" max="1801" width="25.5703125" bestFit="1" customWidth="1"/>
    <col min="1802" max="1802" width="24.140625" customWidth="1"/>
    <col min="1804" max="1804" width="18" bestFit="1" customWidth="1"/>
    <col min="1806" max="1806" width="4.5703125" bestFit="1" customWidth="1"/>
    <col min="2049" max="2050" width="32.5703125" customWidth="1"/>
    <col min="2051" max="2055" width="24.85546875" customWidth="1"/>
    <col min="2056" max="2056" width="30.140625" customWidth="1"/>
    <col min="2057" max="2057" width="25.5703125" bestFit="1" customWidth="1"/>
    <col min="2058" max="2058" width="24.140625" customWidth="1"/>
    <col min="2060" max="2060" width="18" bestFit="1" customWidth="1"/>
    <col min="2062" max="2062" width="4.5703125" bestFit="1" customWidth="1"/>
    <col min="2305" max="2306" width="32.5703125" customWidth="1"/>
    <col min="2307" max="2311" width="24.85546875" customWidth="1"/>
    <col min="2312" max="2312" width="30.140625" customWidth="1"/>
    <col min="2313" max="2313" width="25.5703125" bestFit="1" customWidth="1"/>
    <col min="2314" max="2314" width="24.140625" customWidth="1"/>
    <col min="2316" max="2316" width="18" bestFit="1" customWidth="1"/>
    <col min="2318" max="2318" width="4.5703125" bestFit="1" customWidth="1"/>
    <col min="2561" max="2562" width="32.5703125" customWidth="1"/>
    <col min="2563" max="2567" width="24.85546875" customWidth="1"/>
    <col min="2568" max="2568" width="30.140625" customWidth="1"/>
    <col min="2569" max="2569" width="25.5703125" bestFit="1" customWidth="1"/>
    <col min="2570" max="2570" width="24.140625" customWidth="1"/>
    <col min="2572" max="2572" width="18" bestFit="1" customWidth="1"/>
    <col min="2574" max="2574" width="4.5703125" bestFit="1" customWidth="1"/>
    <col min="2817" max="2818" width="32.5703125" customWidth="1"/>
    <col min="2819" max="2823" width="24.85546875" customWidth="1"/>
    <col min="2824" max="2824" width="30.140625" customWidth="1"/>
    <col min="2825" max="2825" width="25.5703125" bestFit="1" customWidth="1"/>
    <col min="2826" max="2826" width="24.140625" customWidth="1"/>
    <col min="2828" max="2828" width="18" bestFit="1" customWidth="1"/>
    <col min="2830" max="2830" width="4.5703125" bestFit="1" customWidth="1"/>
    <col min="3073" max="3074" width="32.5703125" customWidth="1"/>
    <col min="3075" max="3079" width="24.85546875" customWidth="1"/>
    <col min="3080" max="3080" width="30.140625" customWidth="1"/>
    <col min="3081" max="3081" width="25.5703125" bestFit="1" customWidth="1"/>
    <col min="3082" max="3082" width="24.140625" customWidth="1"/>
    <col min="3084" max="3084" width="18" bestFit="1" customWidth="1"/>
    <col min="3086" max="3086" width="4.5703125" bestFit="1" customWidth="1"/>
    <col min="3329" max="3330" width="32.5703125" customWidth="1"/>
    <col min="3331" max="3335" width="24.85546875" customWidth="1"/>
    <col min="3336" max="3336" width="30.140625" customWidth="1"/>
    <col min="3337" max="3337" width="25.5703125" bestFit="1" customWidth="1"/>
    <col min="3338" max="3338" width="24.140625" customWidth="1"/>
    <col min="3340" max="3340" width="18" bestFit="1" customWidth="1"/>
    <col min="3342" max="3342" width="4.5703125" bestFit="1" customWidth="1"/>
    <col min="3585" max="3586" width="32.5703125" customWidth="1"/>
    <col min="3587" max="3591" width="24.85546875" customWidth="1"/>
    <col min="3592" max="3592" width="30.140625" customWidth="1"/>
    <col min="3593" max="3593" width="25.5703125" bestFit="1" customWidth="1"/>
    <col min="3594" max="3594" width="24.140625" customWidth="1"/>
    <col min="3596" max="3596" width="18" bestFit="1" customWidth="1"/>
    <col min="3598" max="3598" width="4.5703125" bestFit="1" customWidth="1"/>
    <col min="3841" max="3842" width="32.5703125" customWidth="1"/>
    <col min="3843" max="3847" width="24.85546875" customWidth="1"/>
    <col min="3848" max="3848" width="30.140625" customWidth="1"/>
    <col min="3849" max="3849" width="25.5703125" bestFit="1" customWidth="1"/>
    <col min="3850" max="3850" width="24.140625" customWidth="1"/>
    <col min="3852" max="3852" width="18" bestFit="1" customWidth="1"/>
    <col min="3854" max="3854" width="4.5703125" bestFit="1" customWidth="1"/>
    <col min="4097" max="4098" width="32.5703125" customWidth="1"/>
    <col min="4099" max="4103" width="24.85546875" customWidth="1"/>
    <col min="4104" max="4104" width="30.140625" customWidth="1"/>
    <col min="4105" max="4105" width="25.5703125" bestFit="1" customWidth="1"/>
    <col min="4106" max="4106" width="24.140625" customWidth="1"/>
    <col min="4108" max="4108" width="18" bestFit="1" customWidth="1"/>
    <col min="4110" max="4110" width="4.5703125" bestFit="1" customWidth="1"/>
    <col min="4353" max="4354" width="32.5703125" customWidth="1"/>
    <col min="4355" max="4359" width="24.85546875" customWidth="1"/>
    <col min="4360" max="4360" width="30.140625" customWidth="1"/>
    <col min="4361" max="4361" width="25.5703125" bestFit="1" customWidth="1"/>
    <col min="4362" max="4362" width="24.140625" customWidth="1"/>
    <col min="4364" max="4364" width="18" bestFit="1" customWidth="1"/>
    <col min="4366" max="4366" width="4.5703125" bestFit="1" customWidth="1"/>
    <col min="4609" max="4610" width="32.5703125" customWidth="1"/>
    <col min="4611" max="4615" width="24.85546875" customWidth="1"/>
    <col min="4616" max="4616" width="30.140625" customWidth="1"/>
    <col min="4617" max="4617" width="25.5703125" bestFit="1" customWidth="1"/>
    <col min="4618" max="4618" width="24.140625" customWidth="1"/>
    <col min="4620" max="4620" width="18" bestFit="1" customWidth="1"/>
    <col min="4622" max="4622" width="4.5703125" bestFit="1" customWidth="1"/>
    <col min="4865" max="4866" width="32.5703125" customWidth="1"/>
    <col min="4867" max="4871" width="24.85546875" customWidth="1"/>
    <col min="4872" max="4872" width="30.140625" customWidth="1"/>
    <col min="4873" max="4873" width="25.5703125" bestFit="1" customWidth="1"/>
    <col min="4874" max="4874" width="24.140625" customWidth="1"/>
    <col min="4876" max="4876" width="18" bestFit="1" customWidth="1"/>
    <col min="4878" max="4878" width="4.5703125" bestFit="1" customWidth="1"/>
    <col min="5121" max="5122" width="32.5703125" customWidth="1"/>
    <col min="5123" max="5127" width="24.85546875" customWidth="1"/>
    <col min="5128" max="5128" width="30.140625" customWidth="1"/>
    <col min="5129" max="5129" width="25.5703125" bestFit="1" customWidth="1"/>
    <col min="5130" max="5130" width="24.140625" customWidth="1"/>
    <col min="5132" max="5132" width="18" bestFit="1" customWidth="1"/>
    <col min="5134" max="5134" width="4.5703125" bestFit="1" customWidth="1"/>
    <col min="5377" max="5378" width="32.5703125" customWidth="1"/>
    <col min="5379" max="5383" width="24.85546875" customWidth="1"/>
    <col min="5384" max="5384" width="30.140625" customWidth="1"/>
    <col min="5385" max="5385" width="25.5703125" bestFit="1" customWidth="1"/>
    <col min="5386" max="5386" width="24.140625" customWidth="1"/>
    <col min="5388" max="5388" width="18" bestFit="1" customWidth="1"/>
    <col min="5390" max="5390" width="4.5703125" bestFit="1" customWidth="1"/>
    <col min="5633" max="5634" width="32.5703125" customWidth="1"/>
    <col min="5635" max="5639" width="24.85546875" customWidth="1"/>
    <col min="5640" max="5640" width="30.140625" customWidth="1"/>
    <col min="5641" max="5641" width="25.5703125" bestFit="1" customWidth="1"/>
    <col min="5642" max="5642" width="24.140625" customWidth="1"/>
    <col min="5644" max="5644" width="18" bestFit="1" customWidth="1"/>
    <col min="5646" max="5646" width="4.5703125" bestFit="1" customWidth="1"/>
    <col min="5889" max="5890" width="32.5703125" customWidth="1"/>
    <col min="5891" max="5895" width="24.85546875" customWidth="1"/>
    <col min="5896" max="5896" width="30.140625" customWidth="1"/>
    <col min="5897" max="5897" width="25.5703125" bestFit="1" customWidth="1"/>
    <col min="5898" max="5898" width="24.140625" customWidth="1"/>
    <col min="5900" max="5900" width="18" bestFit="1" customWidth="1"/>
    <col min="5902" max="5902" width="4.5703125" bestFit="1" customWidth="1"/>
    <col min="6145" max="6146" width="32.5703125" customWidth="1"/>
    <col min="6147" max="6151" width="24.85546875" customWidth="1"/>
    <col min="6152" max="6152" width="30.140625" customWidth="1"/>
    <col min="6153" max="6153" width="25.5703125" bestFit="1" customWidth="1"/>
    <col min="6154" max="6154" width="24.140625" customWidth="1"/>
    <col min="6156" max="6156" width="18" bestFit="1" customWidth="1"/>
    <col min="6158" max="6158" width="4.5703125" bestFit="1" customWidth="1"/>
    <col min="6401" max="6402" width="32.5703125" customWidth="1"/>
    <col min="6403" max="6407" width="24.85546875" customWidth="1"/>
    <col min="6408" max="6408" width="30.140625" customWidth="1"/>
    <col min="6409" max="6409" width="25.5703125" bestFit="1" customWidth="1"/>
    <col min="6410" max="6410" width="24.140625" customWidth="1"/>
    <col min="6412" max="6412" width="18" bestFit="1" customWidth="1"/>
    <col min="6414" max="6414" width="4.5703125" bestFit="1" customWidth="1"/>
    <col min="6657" max="6658" width="32.5703125" customWidth="1"/>
    <col min="6659" max="6663" width="24.85546875" customWidth="1"/>
    <col min="6664" max="6664" width="30.140625" customWidth="1"/>
    <col min="6665" max="6665" width="25.5703125" bestFit="1" customWidth="1"/>
    <col min="6666" max="6666" width="24.140625" customWidth="1"/>
    <col min="6668" max="6668" width="18" bestFit="1" customWidth="1"/>
    <col min="6670" max="6670" width="4.5703125" bestFit="1" customWidth="1"/>
    <col min="6913" max="6914" width="32.5703125" customWidth="1"/>
    <col min="6915" max="6919" width="24.85546875" customWidth="1"/>
    <col min="6920" max="6920" width="30.140625" customWidth="1"/>
    <col min="6921" max="6921" width="25.5703125" bestFit="1" customWidth="1"/>
    <col min="6922" max="6922" width="24.140625" customWidth="1"/>
    <col min="6924" max="6924" width="18" bestFit="1" customWidth="1"/>
    <col min="6926" max="6926" width="4.5703125" bestFit="1" customWidth="1"/>
    <col min="7169" max="7170" width="32.5703125" customWidth="1"/>
    <col min="7171" max="7175" width="24.85546875" customWidth="1"/>
    <col min="7176" max="7176" width="30.140625" customWidth="1"/>
    <col min="7177" max="7177" width="25.5703125" bestFit="1" customWidth="1"/>
    <col min="7178" max="7178" width="24.140625" customWidth="1"/>
    <col min="7180" max="7180" width="18" bestFit="1" customWidth="1"/>
    <col min="7182" max="7182" width="4.5703125" bestFit="1" customWidth="1"/>
    <col min="7425" max="7426" width="32.5703125" customWidth="1"/>
    <col min="7427" max="7431" width="24.85546875" customWidth="1"/>
    <col min="7432" max="7432" width="30.140625" customWidth="1"/>
    <col min="7433" max="7433" width="25.5703125" bestFit="1" customWidth="1"/>
    <col min="7434" max="7434" width="24.140625" customWidth="1"/>
    <col min="7436" max="7436" width="18" bestFit="1" customWidth="1"/>
    <col min="7438" max="7438" width="4.5703125" bestFit="1" customWidth="1"/>
    <col min="7681" max="7682" width="32.5703125" customWidth="1"/>
    <col min="7683" max="7687" width="24.85546875" customWidth="1"/>
    <col min="7688" max="7688" width="30.140625" customWidth="1"/>
    <col min="7689" max="7689" width="25.5703125" bestFit="1" customWidth="1"/>
    <col min="7690" max="7690" width="24.140625" customWidth="1"/>
    <col min="7692" max="7692" width="18" bestFit="1" customWidth="1"/>
    <col min="7694" max="7694" width="4.5703125" bestFit="1" customWidth="1"/>
    <col min="7937" max="7938" width="32.5703125" customWidth="1"/>
    <col min="7939" max="7943" width="24.85546875" customWidth="1"/>
    <col min="7944" max="7944" width="30.140625" customWidth="1"/>
    <col min="7945" max="7945" width="25.5703125" bestFit="1" customWidth="1"/>
    <col min="7946" max="7946" width="24.140625" customWidth="1"/>
    <col min="7948" max="7948" width="18" bestFit="1" customWidth="1"/>
    <col min="7950" max="7950" width="4.5703125" bestFit="1" customWidth="1"/>
    <col min="8193" max="8194" width="32.5703125" customWidth="1"/>
    <col min="8195" max="8199" width="24.85546875" customWidth="1"/>
    <col min="8200" max="8200" width="30.140625" customWidth="1"/>
    <col min="8201" max="8201" width="25.5703125" bestFit="1" customWidth="1"/>
    <col min="8202" max="8202" width="24.140625" customWidth="1"/>
    <col min="8204" max="8204" width="18" bestFit="1" customWidth="1"/>
    <col min="8206" max="8206" width="4.5703125" bestFit="1" customWidth="1"/>
    <col min="8449" max="8450" width="32.5703125" customWidth="1"/>
    <col min="8451" max="8455" width="24.85546875" customWidth="1"/>
    <col min="8456" max="8456" width="30.140625" customWidth="1"/>
    <col min="8457" max="8457" width="25.5703125" bestFit="1" customWidth="1"/>
    <col min="8458" max="8458" width="24.140625" customWidth="1"/>
    <col min="8460" max="8460" width="18" bestFit="1" customWidth="1"/>
    <col min="8462" max="8462" width="4.5703125" bestFit="1" customWidth="1"/>
    <col min="8705" max="8706" width="32.5703125" customWidth="1"/>
    <col min="8707" max="8711" width="24.85546875" customWidth="1"/>
    <col min="8712" max="8712" width="30.140625" customWidth="1"/>
    <col min="8713" max="8713" width="25.5703125" bestFit="1" customWidth="1"/>
    <col min="8714" max="8714" width="24.140625" customWidth="1"/>
    <col min="8716" max="8716" width="18" bestFit="1" customWidth="1"/>
    <col min="8718" max="8718" width="4.5703125" bestFit="1" customWidth="1"/>
    <col min="8961" max="8962" width="32.5703125" customWidth="1"/>
    <col min="8963" max="8967" width="24.85546875" customWidth="1"/>
    <col min="8968" max="8968" width="30.140625" customWidth="1"/>
    <col min="8969" max="8969" width="25.5703125" bestFit="1" customWidth="1"/>
    <col min="8970" max="8970" width="24.140625" customWidth="1"/>
    <col min="8972" max="8972" width="18" bestFit="1" customWidth="1"/>
    <col min="8974" max="8974" width="4.5703125" bestFit="1" customWidth="1"/>
    <col min="9217" max="9218" width="32.5703125" customWidth="1"/>
    <col min="9219" max="9223" width="24.85546875" customWidth="1"/>
    <col min="9224" max="9224" width="30.140625" customWidth="1"/>
    <col min="9225" max="9225" width="25.5703125" bestFit="1" customWidth="1"/>
    <col min="9226" max="9226" width="24.140625" customWidth="1"/>
    <col min="9228" max="9228" width="18" bestFit="1" customWidth="1"/>
    <col min="9230" max="9230" width="4.5703125" bestFit="1" customWidth="1"/>
    <col min="9473" max="9474" width="32.5703125" customWidth="1"/>
    <col min="9475" max="9479" width="24.85546875" customWidth="1"/>
    <col min="9480" max="9480" width="30.140625" customWidth="1"/>
    <col min="9481" max="9481" width="25.5703125" bestFit="1" customWidth="1"/>
    <col min="9482" max="9482" width="24.140625" customWidth="1"/>
    <col min="9484" max="9484" width="18" bestFit="1" customWidth="1"/>
    <col min="9486" max="9486" width="4.5703125" bestFit="1" customWidth="1"/>
    <col min="9729" max="9730" width="32.5703125" customWidth="1"/>
    <col min="9731" max="9735" width="24.85546875" customWidth="1"/>
    <col min="9736" max="9736" width="30.140625" customWidth="1"/>
    <col min="9737" max="9737" width="25.5703125" bestFit="1" customWidth="1"/>
    <col min="9738" max="9738" width="24.140625" customWidth="1"/>
    <col min="9740" max="9740" width="18" bestFit="1" customWidth="1"/>
    <col min="9742" max="9742" width="4.5703125" bestFit="1" customWidth="1"/>
    <col min="9985" max="9986" width="32.5703125" customWidth="1"/>
    <col min="9987" max="9991" width="24.85546875" customWidth="1"/>
    <col min="9992" max="9992" width="30.140625" customWidth="1"/>
    <col min="9993" max="9993" width="25.5703125" bestFit="1" customWidth="1"/>
    <col min="9994" max="9994" width="24.140625" customWidth="1"/>
    <col min="9996" max="9996" width="18" bestFit="1" customWidth="1"/>
    <col min="9998" max="9998" width="4.5703125" bestFit="1" customWidth="1"/>
    <col min="10241" max="10242" width="32.5703125" customWidth="1"/>
    <col min="10243" max="10247" width="24.85546875" customWidth="1"/>
    <col min="10248" max="10248" width="30.140625" customWidth="1"/>
    <col min="10249" max="10249" width="25.5703125" bestFit="1" customWidth="1"/>
    <col min="10250" max="10250" width="24.140625" customWidth="1"/>
    <col min="10252" max="10252" width="18" bestFit="1" customWidth="1"/>
    <col min="10254" max="10254" width="4.5703125" bestFit="1" customWidth="1"/>
    <col min="10497" max="10498" width="32.5703125" customWidth="1"/>
    <col min="10499" max="10503" width="24.85546875" customWidth="1"/>
    <col min="10504" max="10504" width="30.140625" customWidth="1"/>
    <col min="10505" max="10505" width="25.5703125" bestFit="1" customWidth="1"/>
    <col min="10506" max="10506" width="24.140625" customWidth="1"/>
    <col min="10508" max="10508" width="18" bestFit="1" customWidth="1"/>
    <col min="10510" max="10510" width="4.5703125" bestFit="1" customWidth="1"/>
    <col min="10753" max="10754" width="32.5703125" customWidth="1"/>
    <col min="10755" max="10759" width="24.85546875" customWidth="1"/>
    <col min="10760" max="10760" width="30.140625" customWidth="1"/>
    <col min="10761" max="10761" width="25.5703125" bestFit="1" customWidth="1"/>
    <col min="10762" max="10762" width="24.140625" customWidth="1"/>
    <col min="10764" max="10764" width="18" bestFit="1" customWidth="1"/>
    <col min="10766" max="10766" width="4.5703125" bestFit="1" customWidth="1"/>
    <col min="11009" max="11010" width="32.5703125" customWidth="1"/>
    <col min="11011" max="11015" width="24.85546875" customWidth="1"/>
    <col min="11016" max="11016" width="30.140625" customWidth="1"/>
    <col min="11017" max="11017" width="25.5703125" bestFit="1" customWidth="1"/>
    <col min="11018" max="11018" width="24.140625" customWidth="1"/>
    <col min="11020" max="11020" width="18" bestFit="1" customWidth="1"/>
    <col min="11022" max="11022" width="4.5703125" bestFit="1" customWidth="1"/>
    <col min="11265" max="11266" width="32.5703125" customWidth="1"/>
    <col min="11267" max="11271" width="24.85546875" customWidth="1"/>
    <col min="11272" max="11272" width="30.140625" customWidth="1"/>
    <col min="11273" max="11273" width="25.5703125" bestFit="1" customWidth="1"/>
    <col min="11274" max="11274" width="24.140625" customWidth="1"/>
    <col min="11276" max="11276" width="18" bestFit="1" customWidth="1"/>
    <col min="11278" max="11278" width="4.5703125" bestFit="1" customWidth="1"/>
    <col min="11521" max="11522" width="32.5703125" customWidth="1"/>
    <col min="11523" max="11527" width="24.85546875" customWidth="1"/>
    <col min="11528" max="11528" width="30.140625" customWidth="1"/>
    <col min="11529" max="11529" width="25.5703125" bestFit="1" customWidth="1"/>
    <col min="11530" max="11530" width="24.140625" customWidth="1"/>
    <col min="11532" max="11532" width="18" bestFit="1" customWidth="1"/>
    <col min="11534" max="11534" width="4.5703125" bestFit="1" customWidth="1"/>
    <col min="11777" max="11778" width="32.5703125" customWidth="1"/>
    <col min="11779" max="11783" width="24.85546875" customWidth="1"/>
    <col min="11784" max="11784" width="30.140625" customWidth="1"/>
    <col min="11785" max="11785" width="25.5703125" bestFit="1" customWidth="1"/>
    <col min="11786" max="11786" width="24.140625" customWidth="1"/>
    <col min="11788" max="11788" width="18" bestFit="1" customWidth="1"/>
    <col min="11790" max="11790" width="4.5703125" bestFit="1" customWidth="1"/>
    <col min="12033" max="12034" width="32.5703125" customWidth="1"/>
    <col min="12035" max="12039" width="24.85546875" customWidth="1"/>
    <col min="12040" max="12040" width="30.140625" customWidth="1"/>
    <col min="12041" max="12041" width="25.5703125" bestFit="1" customWidth="1"/>
    <col min="12042" max="12042" width="24.140625" customWidth="1"/>
    <col min="12044" max="12044" width="18" bestFit="1" customWidth="1"/>
    <col min="12046" max="12046" width="4.5703125" bestFit="1" customWidth="1"/>
    <col min="12289" max="12290" width="32.5703125" customWidth="1"/>
    <col min="12291" max="12295" width="24.85546875" customWidth="1"/>
    <col min="12296" max="12296" width="30.140625" customWidth="1"/>
    <col min="12297" max="12297" width="25.5703125" bestFit="1" customWidth="1"/>
    <col min="12298" max="12298" width="24.140625" customWidth="1"/>
    <col min="12300" max="12300" width="18" bestFit="1" customWidth="1"/>
    <col min="12302" max="12302" width="4.5703125" bestFit="1" customWidth="1"/>
    <col min="12545" max="12546" width="32.5703125" customWidth="1"/>
    <col min="12547" max="12551" width="24.85546875" customWidth="1"/>
    <col min="12552" max="12552" width="30.140625" customWidth="1"/>
    <col min="12553" max="12553" width="25.5703125" bestFit="1" customWidth="1"/>
    <col min="12554" max="12554" width="24.140625" customWidth="1"/>
    <col min="12556" max="12556" width="18" bestFit="1" customWidth="1"/>
    <col min="12558" max="12558" width="4.5703125" bestFit="1" customWidth="1"/>
    <col min="12801" max="12802" width="32.5703125" customWidth="1"/>
    <col min="12803" max="12807" width="24.85546875" customWidth="1"/>
    <col min="12808" max="12808" width="30.140625" customWidth="1"/>
    <col min="12809" max="12809" width="25.5703125" bestFit="1" customWidth="1"/>
    <col min="12810" max="12810" width="24.140625" customWidth="1"/>
    <col min="12812" max="12812" width="18" bestFit="1" customWidth="1"/>
    <col min="12814" max="12814" width="4.5703125" bestFit="1" customWidth="1"/>
    <col min="13057" max="13058" width="32.5703125" customWidth="1"/>
    <col min="13059" max="13063" width="24.85546875" customWidth="1"/>
    <col min="13064" max="13064" width="30.140625" customWidth="1"/>
    <col min="13065" max="13065" width="25.5703125" bestFit="1" customWidth="1"/>
    <col min="13066" max="13066" width="24.140625" customWidth="1"/>
    <col min="13068" max="13068" width="18" bestFit="1" customWidth="1"/>
    <col min="13070" max="13070" width="4.5703125" bestFit="1" customWidth="1"/>
    <col min="13313" max="13314" width="32.5703125" customWidth="1"/>
    <col min="13315" max="13319" width="24.85546875" customWidth="1"/>
    <col min="13320" max="13320" width="30.140625" customWidth="1"/>
    <col min="13321" max="13321" width="25.5703125" bestFit="1" customWidth="1"/>
    <col min="13322" max="13322" width="24.140625" customWidth="1"/>
    <col min="13324" max="13324" width="18" bestFit="1" customWidth="1"/>
    <col min="13326" max="13326" width="4.5703125" bestFit="1" customWidth="1"/>
    <col min="13569" max="13570" width="32.5703125" customWidth="1"/>
    <col min="13571" max="13575" width="24.85546875" customWidth="1"/>
    <col min="13576" max="13576" width="30.140625" customWidth="1"/>
    <col min="13577" max="13577" width="25.5703125" bestFit="1" customWidth="1"/>
    <col min="13578" max="13578" width="24.140625" customWidth="1"/>
    <col min="13580" max="13580" width="18" bestFit="1" customWidth="1"/>
    <col min="13582" max="13582" width="4.5703125" bestFit="1" customWidth="1"/>
    <col min="13825" max="13826" width="32.5703125" customWidth="1"/>
    <col min="13827" max="13831" width="24.85546875" customWidth="1"/>
    <col min="13832" max="13832" width="30.140625" customWidth="1"/>
    <col min="13833" max="13833" width="25.5703125" bestFit="1" customWidth="1"/>
    <col min="13834" max="13834" width="24.140625" customWidth="1"/>
    <col min="13836" max="13836" width="18" bestFit="1" customWidth="1"/>
    <col min="13838" max="13838" width="4.5703125" bestFit="1" customWidth="1"/>
    <col min="14081" max="14082" width="32.5703125" customWidth="1"/>
    <col min="14083" max="14087" width="24.85546875" customWidth="1"/>
    <col min="14088" max="14088" width="30.140625" customWidth="1"/>
    <col min="14089" max="14089" width="25.5703125" bestFit="1" customWidth="1"/>
    <col min="14090" max="14090" width="24.140625" customWidth="1"/>
    <col min="14092" max="14092" width="18" bestFit="1" customWidth="1"/>
    <col min="14094" max="14094" width="4.5703125" bestFit="1" customWidth="1"/>
    <col min="14337" max="14338" width="32.5703125" customWidth="1"/>
    <col min="14339" max="14343" width="24.85546875" customWidth="1"/>
    <col min="14344" max="14344" width="30.140625" customWidth="1"/>
    <col min="14345" max="14345" width="25.5703125" bestFit="1" customWidth="1"/>
    <col min="14346" max="14346" width="24.140625" customWidth="1"/>
    <col min="14348" max="14348" width="18" bestFit="1" customWidth="1"/>
    <col min="14350" max="14350" width="4.5703125" bestFit="1" customWidth="1"/>
    <col min="14593" max="14594" width="32.5703125" customWidth="1"/>
    <col min="14595" max="14599" width="24.85546875" customWidth="1"/>
    <col min="14600" max="14600" width="30.140625" customWidth="1"/>
    <col min="14601" max="14601" width="25.5703125" bestFit="1" customWidth="1"/>
    <col min="14602" max="14602" width="24.140625" customWidth="1"/>
    <col min="14604" max="14604" width="18" bestFit="1" customWidth="1"/>
    <col min="14606" max="14606" width="4.5703125" bestFit="1" customWidth="1"/>
    <col min="14849" max="14850" width="32.5703125" customWidth="1"/>
    <col min="14851" max="14855" width="24.85546875" customWidth="1"/>
    <col min="14856" max="14856" width="30.140625" customWidth="1"/>
    <col min="14857" max="14857" width="25.5703125" bestFit="1" customWidth="1"/>
    <col min="14858" max="14858" width="24.140625" customWidth="1"/>
    <col min="14860" max="14860" width="18" bestFit="1" customWidth="1"/>
    <col min="14862" max="14862" width="4.5703125" bestFit="1" customWidth="1"/>
    <col min="15105" max="15106" width="32.5703125" customWidth="1"/>
    <col min="15107" max="15111" width="24.85546875" customWidth="1"/>
    <col min="15112" max="15112" width="30.140625" customWidth="1"/>
    <col min="15113" max="15113" width="25.5703125" bestFit="1" customWidth="1"/>
    <col min="15114" max="15114" width="24.140625" customWidth="1"/>
    <col min="15116" max="15116" width="18" bestFit="1" customWidth="1"/>
    <col min="15118" max="15118" width="4.5703125" bestFit="1" customWidth="1"/>
    <col min="15361" max="15362" width="32.5703125" customWidth="1"/>
    <col min="15363" max="15367" width="24.85546875" customWidth="1"/>
    <col min="15368" max="15368" width="30.140625" customWidth="1"/>
    <col min="15369" max="15369" width="25.5703125" bestFit="1" customWidth="1"/>
    <col min="15370" max="15370" width="24.140625" customWidth="1"/>
    <col min="15372" max="15372" width="18" bestFit="1" customWidth="1"/>
    <col min="15374" max="15374" width="4.5703125" bestFit="1" customWidth="1"/>
    <col min="15617" max="15618" width="32.5703125" customWidth="1"/>
    <col min="15619" max="15623" width="24.85546875" customWidth="1"/>
    <col min="15624" max="15624" width="30.140625" customWidth="1"/>
    <col min="15625" max="15625" width="25.5703125" bestFit="1" customWidth="1"/>
    <col min="15626" max="15626" width="24.140625" customWidth="1"/>
    <col min="15628" max="15628" width="18" bestFit="1" customWidth="1"/>
    <col min="15630" max="15630" width="4.5703125" bestFit="1" customWidth="1"/>
    <col min="15873" max="15874" width="32.5703125" customWidth="1"/>
    <col min="15875" max="15879" width="24.85546875" customWidth="1"/>
    <col min="15880" max="15880" width="30.140625" customWidth="1"/>
    <col min="15881" max="15881" width="25.5703125" bestFit="1" customWidth="1"/>
    <col min="15882" max="15882" width="24.140625" customWidth="1"/>
    <col min="15884" max="15884" width="18" bestFit="1" customWidth="1"/>
    <col min="15886" max="15886" width="4.5703125" bestFit="1" customWidth="1"/>
    <col min="16129" max="16130" width="32.5703125" customWidth="1"/>
    <col min="16131" max="16135" width="24.85546875" customWidth="1"/>
    <col min="16136" max="16136" width="30.140625" customWidth="1"/>
    <col min="16137" max="16137" width="25.5703125" bestFit="1" customWidth="1"/>
    <col min="16138" max="16138" width="24.140625" customWidth="1"/>
    <col min="16140" max="16140" width="18" bestFit="1" customWidth="1"/>
    <col min="16142" max="16142" width="4.5703125" bestFit="1" customWidth="1"/>
  </cols>
  <sheetData>
    <row r="1" spans="1:15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2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10</v>
      </c>
      <c r="N1" s="3"/>
      <c r="O1" s="41" t="s">
        <v>185</v>
      </c>
    </row>
    <row r="2" spans="1:15" x14ac:dyDescent="0.25">
      <c r="A2" s="5" t="s">
        <v>818</v>
      </c>
      <c r="B2" s="42">
        <f>J2/1000</f>
        <v>0</v>
      </c>
      <c r="C2" s="7" t="s">
        <v>832</v>
      </c>
      <c r="D2" s="7" t="s">
        <v>15</v>
      </c>
      <c r="E2" s="7" t="s">
        <v>826</v>
      </c>
      <c r="F2" s="17">
        <v>0</v>
      </c>
      <c r="G2" t="s">
        <v>819</v>
      </c>
      <c r="H2" s="7" t="s">
        <v>228</v>
      </c>
      <c r="I2" s="10">
        <v>95.6</v>
      </c>
      <c r="J2" s="10">
        <v>0</v>
      </c>
      <c r="K2" s="35">
        <v>174034.63</v>
      </c>
      <c r="L2" s="38"/>
      <c r="M2" s="37" t="str">
        <f>VLOOKUP($M1,B2:D363,2)</f>
        <v>TORRE 023</v>
      </c>
      <c r="N2" s="37" t="str">
        <f>VLOOKUP($M1,B2:D363,3)</f>
        <v>TORRE 024</v>
      </c>
      <c r="O2" s="37" t="str">
        <f>VLOOKUP($M1,$B2:$E363,4)</f>
        <v>CBA</v>
      </c>
    </row>
    <row r="3" spans="1:15" x14ac:dyDescent="0.25">
      <c r="A3" s="5" t="s">
        <v>818</v>
      </c>
      <c r="B3" s="42">
        <f t="shared" ref="B3:B66" si="0">J3/1000</f>
        <v>9.5599999999999991E-2</v>
      </c>
      <c r="C3" s="7" t="s">
        <v>15</v>
      </c>
      <c r="D3" s="7" t="s">
        <v>20</v>
      </c>
      <c r="E3" s="7" t="s">
        <v>826</v>
      </c>
      <c r="F3" s="17">
        <v>9.5600000000024304E-2</v>
      </c>
      <c r="G3" s="33" t="s">
        <v>228</v>
      </c>
      <c r="H3" s="7" t="s">
        <v>229</v>
      </c>
      <c r="I3" s="10">
        <v>227.2</v>
      </c>
      <c r="J3" s="10">
        <v>95.6</v>
      </c>
      <c r="K3" s="6">
        <v>173807.43000000002</v>
      </c>
      <c r="L3" s="37"/>
      <c r="M3" s="11" t="s">
        <v>866</v>
      </c>
      <c r="N3" s="11" t="s">
        <v>867</v>
      </c>
    </row>
    <row r="4" spans="1:15" x14ac:dyDescent="0.25">
      <c r="A4" s="5" t="s">
        <v>818</v>
      </c>
      <c r="B4" s="42">
        <f>J4/1000</f>
        <v>0.32279999999999998</v>
      </c>
      <c r="C4" s="7" t="s">
        <v>20</v>
      </c>
      <c r="D4" s="7" t="s">
        <v>23</v>
      </c>
      <c r="E4" s="7" t="s">
        <v>826</v>
      </c>
      <c r="F4" s="17">
        <v>0.18557000000002599</v>
      </c>
      <c r="G4" s="33" t="s">
        <v>229</v>
      </c>
      <c r="H4" s="7" t="s">
        <v>230</v>
      </c>
      <c r="I4" s="10">
        <v>227.2</v>
      </c>
      <c r="J4" s="10">
        <v>322.79999999999995</v>
      </c>
      <c r="K4" s="6">
        <v>173580.23</v>
      </c>
      <c r="M4" s="37" t="s">
        <v>866</v>
      </c>
    </row>
    <row r="5" spans="1:15" x14ac:dyDescent="0.25">
      <c r="A5" s="5" t="s">
        <v>818</v>
      </c>
      <c r="B5" s="42">
        <f t="shared" si="0"/>
        <v>0.55000000000000004</v>
      </c>
      <c r="C5" s="7" t="s">
        <v>23</v>
      </c>
      <c r="D5" s="7" t="s">
        <v>25</v>
      </c>
      <c r="E5" s="7" t="s">
        <v>826</v>
      </c>
      <c r="F5" s="17">
        <v>0.61707000000002554</v>
      </c>
      <c r="G5" s="33" t="s">
        <v>230</v>
      </c>
      <c r="H5" s="7" t="s">
        <v>231</v>
      </c>
      <c r="I5" s="10">
        <v>466.6</v>
      </c>
      <c r="J5" s="10">
        <v>550</v>
      </c>
      <c r="K5" s="6">
        <v>173113.63</v>
      </c>
    </row>
    <row r="6" spans="1:15" x14ac:dyDescent="0.25">
      <c r="A6" s="5" t="s">
        <v>818</v>
      </c>
      <c r="B6" s="42">
        <f t="shared" si="0"/>
        <v>1.0165999999999999</v>
      </c>
      <c r="C6" s="7" t="s">
        <v>25</v>
      </c>
      <c r="D6" s="7" t="s">
        <v>27</v>
      </c>
      <c r="E6" s="7" t="s">
        <v>826</v>
      </c>
      <c r="F6" s="17">
        <v>0.99995000000002554</v>
      </c>
      <c r="G6" s="33" t="s">
        <v>231</v>
      </c>
      <c r="H6" s="7" t="s">
        <v>232</v>
      </c>
      <c r="I6" s="10">
        <v>351.49</v>
      </c>
      <c r="J6" s="10">
        <v>1016.6</v>
      </c>
      <c r="K6" s="6">
        <v>172762.14</v>
      </c>
    </row>
    <row r="7" spans="1:15" x14ac:dyDescent="0.25">
      <c r="A7" s="5" t="s">
        <v>818</v>
      </c>
      <c r="B7" s="42">
        <f t="shared" si="0"/>
        <v>1.3680900000000003</v>
      </c>
      <c r="C7" s="7" t="s">
        <v>27</v>
      </c>
      <c r="D7" s="7" t="s">
        <v>29</v>
      </c>
      <c r="E7" s="7" t="s">
        <v>826</v>
      </c>
      <c r="F7" s="17">
        <v>1.3629800000000254</v>
      </c>
      <c r="G7" s="33" t="s">
        <v>232</v>
      </c>
      <c r="H7" s="7" t="s">
        <v>233</v>
      </c>
      <c r="I7" s="10">
        <v>524.78</v>
      </c>
      <c r="J7" s="10">
        <v>1368.0900000000001</v>
      </c>
      <c r="K7" s="6">
        <v>172237.36000000002</v>
      </c>
    </row>
    <row r="8" spans="1:15" x14ac:dyDescent="0.25">
      <c r="A8" s="5" t="s">
        <v>818</v>
      </c>
      <c r="B8" s="42">
        <f t="shared" si="0"/>
        <v>1.8928700000000001</v>
      </c>
      <c r="C8" s="7" t="s">
        <v>29</v>
      </c>
      <c r="D8" s="7" t="s">
        <v>31</v>
      </c>
      <c r="E8" s="7" t="s">
        <v>826</v>
      </c>
      <c r="F8" s="17">
        <v>1.8090000000000255</v>
      </c>
      <c r="G8" s="33" t="s">
        <v>233</v>
      </c>
      <c r="H8" s="7" t="s">
        <v>234</v>
      </c>
      <c r="I8" s="10">
        <v>534.4</v>
      </c>
      <c r="J8" s="10">
        <v>1892.8700000000001</v>
      </c>
      <c r="K8" s="6">
        <v>171702.96000000002</v>
      </c>
    </row>
    <row r="9" spans="1:15" x14ac:dyDescent="0.25">
      <c r="A9" s="5" t="s">
        <v>818</v>
      </c>
      <c r="B9" s="42">
        <f t="shared" si="0"/>
        <v>2.42727</v>
      </c>
      <c r="C9" s="7" t="s">
        <v>31</v>
      </c>
      <c r="D9" s="7" t="s">
        <v>33</v>
      </c>
      <c r="E9" s="7" t="s">
        <v>826</v>
      </c>
      <c r="F9" s="17">
        <v>2.3553300000000252</v>
      </c>
      <c r="G9" s="33" t="s">
        <v>234</v>
      </c>
      <c r="H9" s="7" t="s">
        <v>235</v>
      </c>
      <c r="I9" s="10">
        <v>442.82</v>
      </c>
      <c r="J9" s="10">
        <v>2427.27</v>
      </c>
      <c r="K9" s="6">
        <v>171260.14</v>
      </c>
    </row>
    <row r="10" spans="1:15" x14ac:dyDescent="0.25">
      <c r="A10" s="5" t="s">
        <v>818</v>
      </c>
      <c r="B10" s="42">
        <f t="shared" si="0"/>
        <v>2.8700900000000003</v>
      </c>
      <c r="C10" s="7" t="s">
        <v>33</v>
      </c>
      <c r="D10" s="7" t="s">
        <v>35</v>
      </c>
      <c r="E10" s="7" t="s">
        <v>826</v>
      </c>
      <c r="F10" s="17">
        <v>2.8919500000000253</v>
      </c>
      <c r="G10" s="33" t="s">
        <v>235</v>
      </c>
      <c r="H10" s="7" t="s">
        <v>236</v>
      </c>
      <c r="I10" s="10">
        <v>439.39</v>
      </c>
      <c r="J10" s="10">
        <v>2870.09</v>
      </c>
      <c r="K10" s="6">
        <v>170820.75</v>
      </c>
    </row>
    <row r="11" spans="1:15" x14ac:dyDescent="0.25">
      <c r="A11" s="5" t="s">
        <v>818</v>
      </c>
      <c r="B11" s="42">
        <f t="shared" si="0"/>
        <v>3.3094800000000002</v>
      </c>
      <c r="C11" s="7" t="s">
        <v>35</v>
      </c>
      <c r="D11" s="7" t="s">
        <v>37</v>
      </c>
      <c r="E11" s="7" t="s">
        <v>826</v>
      </c>
      <c r="F11" s="17">
        <v>3.3528700000000091</v>
      </c>
      <c r="G11" s="33" t="s">
        <v>236</v>
      </c>
      <c r="H11" s="7" t="s">
        <v>237</v>
      </c>
      <c r="I11" s="10">
        <v>519.91</v>
      </c>
      <c r="J11" s="10">
        <v>3309.48</v>
      </c>
      <c r="K11" s="6">
        <v>170300.84</v>
      </c>
    </row>
    <row r="12" spans="1:15" x14ac:dyDescent="0.25">
      <c r="A12" s="5" t="s">
        <v>818</v>
      </c>
      <c r="B12" s="42">
        <f t="shared" si="0"/>
        <v>3.8293900000000001</v>
      </c>
      <c r="C12" s="7" t="s">
        <v>37</v>
      </c>
      <c r="D12" s="7" t="s">
        <v>39</v>
      </c>
      <c r="E12" s="7" t="s">
        <v>826</v>
      </c>
      <c r="F12" s="17">
        <v>3.8870600000000088</v>
      </c>
      <c r="G12" s="33" t="s">
        <v>237</v>
      </c>
      <c r="H12" s="7" t="s">
        <v>238</v>
      </c>
      <c r="I12" s="10">
        <v>432.83</v>
      </c>
      <c r="J12" s="10">
        <v>3829.39</v>
      </c>
      <c r="K12" s="6">
        <v>169868.01</v>
      </c>
    </row>
    <row r="13" spans="1:15" x14ac:dyDescent="0.25">
      <c r="A13" s="5" t="s">
        <v>818</v>
      </c>
      <c r="B13" s="42">
        <f t="shared" si="0"/>
        <v>4.2622200000000001</v>
      </c>
      <c r="C13" s="7" t="s">
        <v>39</v>
      </c>
      <c r="D13" s="7" t="s">
        <v>41</v>
      </c>
      <c r="E13" s="7" t="s">
        <v>826</v>
      </c>
      <c r="F13" s="17">
        <v>4.3555800000000087</v>
      </c>
      <c r="G13" s="33" t="s">
        <v>238</v>
      </c>
      <c r="H13" s="7" t="s">
        <v>239</v>
      </c>
      <c r="I13" s="10">
        <v>512.84</v>
      </c>
      <c r="J13" s="10">
        <v>4262.22</v>
      </c>
      <c r="K13" s="6">
        <v>169355.17</v>
      </c>
    </row>
    <row r="14" spans="1:15" x14ac:dyDescent="0.25">
      <c r="A14" s="5" t="s">
        <v>818</v>
      </c>
      <c r="B14" s="42">
        <f t="shared" si="0"/>
        <v>4.7750600000000007</v>
      </c>
      <c r="C14" s="7" t="s">
        <v>41</v>
      </c>
      <c r="D14" s="7" t="s">
        <v>43</v>
      </c>
      <c r="E14" s="7" t="s">
        <v>826</v>
      </c>
      <c r="F14" s="17">
        <v>4.9236700000000093</v>
      </c>
      <c r="G14" s="33" t="s">
        <v>239</v>
      </c>
      <c r="H14" s="7" t="s">
        <v>240</v>
      </c>
      <c r="I14" s="10">
        <v>522.92999999999995</v>
      </c>
      <c r="J14" s="10">
        <v>4775.0600000000004</v>
      </c>
      <c r="K14" s="6">
        <v>168832.24000000002</v>
      </c>
    </row>
    <row r="15" spans="1:15" x14ac:dyDescent="0.25">
      <c r="A15" s="5" t="s">
        <v>818</v>
      </c>
      <c r="B15" s="42">
        <f t="shared" si="0"/>
        <v>5.2979900000000004</v>
      </c>
      <c r="C15" s="7" t="s">
        <v>43</v>
      </c>
      <c r="D15" s="7" t="s">
        <v>45</v>
      </c>
      <c r="E15" s="7" t="s">
        <v>826</v>
      </c>
      <c r="F15" s="17">
        <v>5.4435899999999933</v>
      </c>
      <c r="G15" s="33" t="s">
        <v>240</v>
      </c>
      <c r="H15" s="7" t="s">
        <v>241</v>
      </c>
      <c r="I15" s="10">
        <v>541.09</v>
      </c>
      <c r="J15" s="10">
        <v>5297.9900000000007</v>
      </c>
      <c r="K15" s="6">
        <v>168291.15000000002</v>
      </c>
    </row>
    <row r="16" spans="1:15" x14ac:dyDescent="0.25">
      <c r="A16" s="5" t="s">
        <v>818</v>
      </c>
      <c r="B16" s="42">
        <f t="shared" si="0"/>
        <v>5.8390800000000009</v>
      </c>
      <c r="C16" s="7" t="s">
        <v>45</v>
      </c>
      <c r="D16" s="7" t="s">
        <v>47</v>
      </c>
      <c r="E16" s="7" t="s">
        <v>826</v>
      </c>
      <c r="F16" s="17">
        <v>5.9697899999999926</v>
      </c>
      <c r="G16" s="33" t="s">
        <v>241</v>
      </c>
      <c r="H16" s="7" t="s">
        <v>242</v>
      </c>
      <c r="I16" s="10">
        <v>537.20000000000005</v>
      </c>
      <c r="J16" s="10">
        <v>5839.0800000000008</v>
      </c>
      <c r="K16" s="6">
        <v>167753.95000000001</v>
      </c>
    </row>
    <row r="17" spans="1:11" x14ac:dyDescent="0.25">
      <c r="A17" s="5" t="s">
        <v>818</v>
      </c>
      <c r="B17" s="42">
        <f t="shared" si="0"/>
        <v>6.3762800000000004</v>
      </c>
      <c r="C17" s="7" t="s">
        <v>47</v>
      </c>
      <c r="D17" s="7" t="s">
        <v>49</v>
      </c>
      <c r="E17" s="7" t="s">
        <v>826</v>
      </c>
      <c r="F17" s="17">
        <v>6.4741799999999934</v>
      </c>
      <c r="G17" s="33" t="s">
        <v>242</v>
      </c>
      <c r="H17" s="7" t="s">
        <v>243</v>
      </c>
      <c r="I17" s="10">
        <v>385.75</v>
      </c>
      <c r="J17" s="10">
        <v>6376.2800000000007</v>
      </c>
      <c r="K17" s="6">
        <v>167368.20000000001</v>
      </c>
    </row>
    <row r="18" spans="1:11" x14ac:dyDescent="0.25">
      <c r="A18" s="5" t="s">
        <v>818</v>
      </c>
      <c r="B18" s="42">
        <f t="shared" si="0"/>
        <v>6.7620300000000011</v>
      </c>
      <c r="C18" s="7" t="s">
        <v>49</v>
      </c>
      <c r="D18" s="7" t="s">
        <v>51</v>
      </c>
      <c r="E18" s="7" t="s">
        <v>826</v>
      </c>
      <c r="F18" s="17">
        <v>7.1233999999999931</v>
      </c>
      <c r="G18" s="33" t="s">
        <v>243</v>
      </c>
      <c r="H18" s="7" t="s">
        <v>244</v>
      </c>
      <c r="I18" s="10">
        <v>438.6</v>
      </c>
      <c r="J18" s="10">
        <v>6762.0300000000007</v>
      </c>
      <c r="K18" s="6">
        <v>166929.60000000001</v>
      </c>
    </row>
    <row r="19" spans="1:11" x14ac:dyDescent="0.25">
      <c r="A19" s="5" t="s">
        <v>818</v>
      </c>
      <c r="B19" s="42">
        <f t="shared" si="0"/>
        <v>7.2006300000000012</v>
      </c>
      <c r="C19" s="7" t="s">
        <v>51</v>
      </c>
      <c r="D19" s="7" t="s">
        <v>53</v>
      </c>
      <c r="E19" s="7" t="s">
        <v>826</v>
      </c>
      <c r="F19" s="17">
        <v>7.549029999999993</v>
      </c>
      <c r="G19" s="33" t="s">
        <v>244</v>
      </c>
      <c r="H19" s="7" t="s">
        <v>245</v>
      </c>
      <c r="I19" s="10">
        <v>504.78</v>
      </c>
      <c r="J19" s="10">
        <v>7200.630000000001</v>
      </c>
      <c r="K19" s="6">
        <v>166424.82</v>
      </c>
    </row>
    <row r="20" spans="1:11" x14ac:dyDescent="0.25">
      <c r="A20" s="5" t="s">
        <v>818</v>
      </c>
      <c r="B20" s="42">
        <f t="shared" si="0"/>
        <v>7.7054100000000005</v>
      </c>
      <c r="C20" s="7" t="s">
        <v>53</v>
      </c>
      <c r="D20" s="7" t="s">
        <v>55</v>
      </c>
      <c r="E20" s="7" t="s">
        <v>826</v>
      </c>
      <c r="F20" s="17">
        <v>8.0482699999999934</v>
      </c>
      <c r="G20" s="33" t="s">
        <v>245</v>
      </c>
      <c r="H20" s="7" t="s">
        <v>246</v>
      </c>
      <c r="I20" s="10">
        <v>498.48</v>
      </c>
      <c r="J20" s="10">
        <v>7705.4100000000008</v>
      </c>
      <c r="K20" s="6">
        <v>165926.34</v>
      </c>
    </row>
    <row r="21" spans="1:11" x14ac:dyDescent="0.25">
      <c r="A21" s="5" t="s">
        <v>818</v>
      </c>
      <c r="B21" s="42">
        <f t="shared" si="0"/>
        <v>8.2038900000000012</v>
      </c>
      <c r="C21" s="7" t="s">
        <v>55</v>
      </c>
      <c r="D21" s="7" t="s">
        <v>57</v>
      </c>
      <c r="E21" s="7" t="s">
        <v>826</v>
      </c>
      <c r="F21" s="17">
        <v>8.5553499999999936</v>
      </c>
      <c r="G21" s="33" t="s">
        <v>246</v>
      </c>
      <c r="H21" s="7" t="s">
        <v>247</v>
      </c>
      <c r="I21" s="10">
        <v>488.59</v>
      </c>
      <c r="J21" s="10">
        <v>8203.8900000000012</v>
      </c>
      <c r="K21" s="6">
        <v>165437.75</v>
      </c>
    </row>
    <row r="22" spans="1:11" x14ac:dyDescent="0.25">
      <c r="A22" s="5" t="s">
        <v>818</v>
      </c>
      <c r="B22" s="42">
        <f t="shared" si="0"/>
        <v>8.6924800000000015</v>
      </c>
      <c r="C22" s="7" t="s">
        <v>57</v>
      </c>
      <c r="D22" s="7" t="s">
        <v>59</v>
      </c>
      <c r="E22" s="7" t="s">
        <v>826</v>
      </c>
      <c r="F22" s="17">
        <v>8.9716699999999925</v>
      </c>
      <c r="G22" s="33" t="s">
        <v>247</v>
      </c>
      <c r="H22" s="7" t="s">
        <v>248</v>
      </c>
      <c r="I22" s="10">
        <v>508.4</v>
      </c>
      <c r="J22" s="10">
        <v>8692.4800000000014</v>
      </c>
      <c r="K22" s="6">
        <v>164929.35</v>
      </c>
    </row>
    <row r="23" spans="1:11" x14ac:dyDescent="0.25">
      <c r="A23" s="5" t="s">
        <v>818</v>
      </c>
      <c r="B23" s="42">
        <f t="shared" si="0"/>
        <v>9.2008800000000015</v>
      </c>
      <c r="C23" s="7" t="s">
        <v>59</v>
      </c>
      <c r="D23" s="7" t="s">
        <v>61</v>
      </c>
      <c r="E23" s="7" t="s">
        <v>826</v>
      </c>
      <c r="F23" s="17">
        <v>9.333209999999994</v>
      </c>
      <c r="G23" s="33" t="s">
        <v>248</v>
      </c>
      <c r="H23" s="7" t="s">
        <v>249</v>
      </c>
      <c r="I23" s="10">
        <v>369.34</v>
      </c>
      <c r="J23" s="10">
        <v>9200.880000000001</v>
      </c>
      <c r="K23" s="6">
        <v>164560.01</v>
      </c>
    </row>
    <row r="24" spans="1:11" x14ac:dyDescent="0.25">
      <c r="A24" s="5" t="s">
        <v>818</v>
      </c>
      <c r="B24" s="42">
        <f t="shared" si="0"/>
        <v>9.5702200000000008</v>
      </c>
      <c r="C24" s="7" t="s">
        <v>61</v>
      </c>
      <c r="D24" s="7" t="s">
        <v>63</v>
      </c>
      <c r="E24" s="7" t="s">
        <v>826</v>
      </c>
      <c r="F24" s="17">
        <v>9.762619999999993</v>
      </c>
      <c r="G24" s="33" t="s">
        <v>249</v>
      </c>
      <c r="H24" s="7" t="s">
        <v>250</v>
      </c>
      <c r="I24" s="10">
        <v>397.4</v>
      </c>
      <c r="J24" s="10">
        <v>9570.2200000000012</v>
      </c>
      <c r="K24" s="6">
        <v>164162.61000000002</v>
      </c>
    </row>
    <row r="25" spans="1:11" x14ac:dyDescent="0.25">
      <c r="A25" s="5" t="s">
        <v>818</v>
      </c>
      <c r="B25" s="42">
        <f t="shared" si="0"/>
        <v>9.9676200000000001</v>
      </c>
      <c r="C25" s="7" t="s">
        <v>63</v>
      </c>
      <c r="D25" s="7" t="s">
        <v>65</v>
      </c>
      <c r="E25" s="7" t="s">
        <v>826</v>
      </c>
      <c r="F25" s="17">
        <v>10.155859999999993</v>
      </c>
      <c r="G25" s="33" t="s">
        <v>250</v>
      </c>
      <c r="H25" s="7" t="s">
        <v>251</v>
      </c>
      <c r="I25" s="10">
        <v>491.9</v>
      </c>
      <c r="J25" s="10">
        <v>9967.6200000000008</v>
      </c>
      <c r="K25" s="6">
        <v>163670.71000000002</v>
      </c>
    </row>
    <row r="26" spans="1:11" x14ac:dyDescent="0.25">
      <c r="A26" s="5" t="s">
        <v>818</v>
      </c>
      <c r="B26" s="42">
        <f t="shared" si="0"/>
        <v>10.459520000000001</v>
      </c>
      <c r="C26" s="7" t="s">
        <v>65</v>
      </c>
      <c r="D26" s="7" t="s">
        <v>67</v>
      </c>
      <c r="E26" s="7" t="s">
        <v>826</v>
      </c>
      <c r="F26" s="17">
        <v>10.605739999999992</v>
      </c>
      <c r="G26" s="33" t="s">
        <v>251</v>
      </c>
      <c r="H26" s="7" t="s">
        <v>252</v>
      </c>
      <c r="I26" s="10">
        <v>629.97</v>
      </c>
      <c r="J26" s="10">
        <v>10459.52</v>
      </c>
      <c r="K26" s="6">
        <v>163040.74000000002</v>
      </c>
    </row>
    <row r="27" spans="1:11" x14ac:dyDescent="0.25">
      <c r="A27" s="5" t="s">
        <v>818</v>
      </c>
      <c r="B27" s="42">
        <f t="shared" si="0"/>
        <v>11.08949</v>
      </c>
      <c r="C27" s="7" t="s">
        <v>67</v>
      </c>
      <c r="D27" s="7" t="s">
        <v>69</v>
      </c>
      <c r="E27" s="7" t="s">
        <v>826</v>
      </c>
      <c r="F27" s="17">
        <v>11.193569999999992</v>
      </c>
      <c r="G27" s="33" t="s">
        <v>252</v>
      </c>
      <c r="H27" s="7" t="s">
        <v>253</v>
      </c>
      <c r="I27" s="10">
        <v>490.69</v>
      </c>
      <c r="J27" s="10">
        <v>11089.49</v>
      </c>
      <c r="K27" s="6">
        <v>162550.05000000002</v>
      </c>
    </row>
    <row r="28" spans="1:11" x14ac:dyDescent="0.25">
      <c r="A28" s="5" t="s">
        <v>818</v>
      </c>
      <c r="B28" s="42">
        <f t="shared" si="0"/>
        <v>11.58018</v>
      </c>
      <c r="C28" s="7" t="s">
        <v>69</v>
      </c>
      <c r="D28" s="7" t="s">
        <v>71</v>
      </c>
      <c r="E28" s="7" t="s">
        <v>826</v>
      </c>
      <c r="F28" s="17">
        <v>11.769239999999993</v>
      </c>
      <c r="G28" s="33" t="s">
        <v>253</v>
      </c>
      <c r="H28" s="7" t="s">
        <v>254</v>
      </c>
      <c r="I28" s="10">
        <v>637.25</v>
      </c>
      <c r="J28" s="10">
        <v>11580.18</v>
      </c>
      <c r="K28" s="6">
        <v>161912.80000000002</v>
      </c>
    </row>
    <row r="29" spans="1:11" x14ac:dyDescent="0.25">
      <c r="A29" s="5" t="s">
        <v>818</v>
      </c>
      <c r="B29" s="42">
        <f t="shared" si="0"/>
        <v>12.21743</v>
      </c>
      <c r="C29" s="7" t="s">
        <v>71</v>
      </c>
      <c r="D29" s="7" t="s">
        <v>73</v>
      </c>
      <c r="E29" s="7" t="s">
        <v>826</v>
      </c>
      <c r="F29" s="17">
        <v>12.279389999999992</v>
      </c>
      <c r="G29" s="33" t="s">
        <v>254</v>
      </c>
      <c r="H29" s="7" t="s">
        <v>255</v>
      </c>
      <c r="I29" s="10">
        <v>539.94000000000005</v>
      </c>
      <c r="J29" s="10">
        <v>12217.43</v>
      </c>
      <c r="K29" s="6">
        <v>161372.86000000002</v>
      </c>
    </row>
    <row r="30" spans="1:11" x14ac:dyDescent="0.25">
      <c r="A30" s="5" t="s">
        <v>818</v>
      </c>
      <c r="B30" s="42">
        <f t="shared" si="0"/>
        <v>12.757370000000002</v>
      </c>
      <c r="C30" s="7" t="s">
        <v>73</v>
      </c>
      <c r="D30" s="7" t="s">
        <v>75</v>
      </c>
      <c r="E30" s="7" t="s">
        <v>826</v>
      </c>
      <c r="F30" s="17">
        <v>12.873309999999993</v>
      </c>
      <c r="G30" s="33" t="s">
        <v>255</v>
      </c>
      <c r="H30" s="7" t="s">
        <v>256</v>
      </c>
      <c r="I30" s="10">
        <v>351</v>
      </c>
      <c r="J30" s="10">
        <v>12757.37</v>
      </c>
      <c r="K30" s="6">
        <v>161021.86000000002</v>
      </c>
    </row>
    <row r="31" spans="1:11" x14ac:dyDescent="0.25">
      <c r="A31" s="5" t="s">
        <v>818</v>
      </c>
      <c r="B31" s="42">
        <f t="shared" si="0"/>
        <v>13.108370000000001</v>
      </c>
      <c r="C31" s="7" t="s">
        <v>75</v>
      </c>
      <c r="D31" s="7" t="s">
        <v>77</v>
      </c>
      <c r="E31" s="7" t="s">
        <v>826</v>
      </c>
      <c r="F31" s="17">
        <v>13.399509999999992</v>
      </c>
      <c r="G31" s="33" t="s">
        <v>256</v>
      </c>
      <c r="H31" s="7" t="s">
        <v>257</v>
      </c>
      <c r="I31" s="10">
        <v>341.11</v>
      </c>
      <c r="J31" s="10">
        <v>13108.37</v>
      </c>
      <c r="K31" s="6">
        <v>160680.75000000003</v>
      </c>
    </row>
    <row r="32" spans="1:11" x14ac:dyDescent="0.25">
      <c r="A32" s="5" t="s">
        <v>818</v>
      </c>
      <c r="B32" s="42">
        <f t="shared" si="0"/>
        <v>13.449480000000001</v>
      </c>
      <c r="C32" s="7" t="s">
        <v>77</v>
      </c>
      <c r="D32" s="7" t="s">
        <v>79</v>
      </c>
      <c r="E32" s="7" t="s">
        <v>826</v>
      </c>
      <c r="F32" s="17">
        <v>13.909089999999994</v>
      </c>
      <c r="G32" s="33" t="s">
        <v>257</v>
      </c>
      <c r="H32" s="7" t="s">
        <v>258</v>
      </c>
      <c r="I32" s="10">
        <v>363.01</v>
      </c>
      <c r="J32" s="10">
        <v>13449.480000000001</v>
      </c>
      <c r="K32" s="6">
        <v>160317.74000000002</v>
      </c>
    </row>
    <row r="33" spans="1:11" x14ac:dyDescent="0.25">
      <c r="A33" s="5" t="s">
        <v>818</v>
      </c>
      <c r="B33" s="42">
        <f t="shared" si="0"/>
        <v>13.812490000000002</v>
      </c>
      <c r="C33" s="7" t="s">
        <v>79</v>
      </c>
      <c r="D33" s="7" t="s">
        <v>81</v>
      </c>
      <c r="E33" s="7" t="s">
        <v>826</v>
      </c>
      <c r="F33" s="17">
        <v>14.472849999999992</v>
      </c>
      <c r="G33" s="33" t="s">
        <v>258</v>
      </c>
      <c r="H33" s="7" t="s">
        <v>259</v>
      </c>
      <c r="I33" s="10">
        <v>394.46</v>
      </c>
      <c r="J33" s="10">
        <v>13812.490000000002</v>
      </c>
      <c r="K33" s="6">
        <v>159923.28000000003</v>
      </c>
    </row>
    <row r="34" spans="1:11" x14ac:dyDescent="0.25">
      <c r="A34" s="5" t="s">
        <v>818</v>
      </c>
      <c r="B34" s="42">
        <f t="shared" si="0"/>
        <v>14.206950000000001</v>
      </c>
      <c r="C34" s="7" t="s">
        <v>81</v>
      </c>
      <c r="D34" s="7" t="s">
        <v>83</v>
      </c>
      <c r="E34" s="7" t="s">
        <v>826</v>
      </c>
      <c r="F34" s="17">
        <v>14.930449999999993</v>
      </c>
      <c r="G34" s="33" t="s">
        <v>259</v>
      </c>
      <c r="H34" s="7" t="s">
        <v>260</v>
      </c>
      <c r="I34" s="10">
        <v>561.30999999999995</v>
      </c>
      <c r="J34" s="10">
        <v>14206.95</v>
      </c>
      <c r="K34" s="6">
        <v>159361.97000000003</v>
      </c>
    </row>
    <row r="35" spans="1:11" x14ac:dyDescent="0.25">
      <c r="A35" s="5" t="s">
        <v>818</v>
      </c>
      <c r="B35" s="42">
        <f t="shared" si="0"/>
        <v>14.76826</v>
      </c>
      <c r="C35" s="7" t="s">
        <v>83</v>
      </c>
      <c r="D35" s="7" t="s">
        <v>85</v>
      </c>
      <c r="E35" s="7" t="s">
        <v>826</v>
      </c>
      <c r="F35" s="17">
        <v>15.403669999999993</v>
      </c>
      <c r="G35" s="33" t="s">
        <v>260</v>
      </c>
      <c r="H35" s="7" t="s">
        <v>261</v>
      </c>
      <c r="I35" s="10">
        <v>524.04</v>
      </c>
      <c r="J35" s="10">
        <v>14768.26</v>
      </c>
      <c r="K35" s="6">
        <v>158837.93000000002</v>
      </c>
    </row>
    <row r="36" spans="1:11" x14ac:dyDescent="0.25">
      <c r="A36" s="5" t="s">
        <v>818</v>
      </c>
      <c r="B36" s="42">
        <f t="shared" si="0"/>
        <v>15.292299999999999</v>
      </c>
      <c r="C36" s="7" t="s">
        <v>85</v>
      </c>
      <c r="D36" s="7" t="s">
        <v>87</v>
      </c>
      <c r="E36" s="7" t="s">
        <v>826</v>
      </c>
      <c r="F36" s="17">
        <v>16.00651000000002</v>
      </c>
      <c r="G36" s="33" t="s">
        <v>261</v>
      </c>
      <c r="H36" s="7" t="s">
        <v>262</v>
      </c>
      <c r="I36" s="10">
        <v>517.9</v>
      </c>
      <c r="J36" s="10">
        <v>15292.3</v>
      </c>
      <c r="K36" s="6">
        <v>158320.03000000003</v>
      </c>
    </row>
    <row r="37" spans="1:11" x14ac:dyDescent="0.25">
      <c r="A37" s="5" t="s">
        <v>818</v>
      </c>
      <c r="B37" s="42">
        <f t="shared" si="0"/>
        <v>15.810199999999998</v>
      </c>
      <c r="C37" s="7" t="s">
        <v>87</v>
      </c>
      <c r="D37" s="7" t="s">
        <v>89</v>
      </c>
      <c r="E37" s="7" t="s">
        <v>826</v>
      </c>
      <c r="F37" s="17">
        <v>16.547180000000019</v>
      </c>
      <c r="G37" s="33" t="s">
        <v>262</v>
      </c>
      <c r="H37" s="7" t="s">
        <v>263</v>
      </c>
      <c r="I37" s="10">
        <v>525.61999999999898</v>
      </c>
      <c r="J37" s="10">
        <v>15810.199999999999</v>
      </c>
      <c r="K37" s="6">
        <v>157794.41000000003</v>
      </c>
    </row>
    <row r="38" spans="1:11" x14ac:dyDescent="0.25">
      <c r="A38" s="5" t="s">
        <v>818</v>
      </c>
      <c r="B38" s="42">
        <f t="shared" si="0"/>
        <v>16.335819999999998</v>
      </c>
      <c r="C38" s="7" t="s">
        <v>89</v>
      </c>
      <c r="D38" s="7" t="s">
        <v>91</v>
      </c>
      <c r="E38" s="7" t="s">
        <v>826</v>
      </c>
      <c r="F38" s="17">
        <v>17.063920000000021</v>
      </c>
      <c r="G38" s="33" t="s">
        <v>263</v>
      </c>
      <c r="H38" s="7" t="s">
        <v>264</v>
      </c>
      <c r="I38" s="10">
        <v>541.12</v>
      </c>
      <c r="J38" s="10">
        <v>16335.819999999998</v>
      </c>
      <c r="K38" s="6">
        <v>157253.29000000004</v>
      </c>
    </row>
    <row r="39" spans="1:11" x14ac:dyDescent="0.25">
      <c r="A39" s="5" t="s">
        <v>818</v>
      </c>
      <c r="B39" s="42">
        <f t="shared" si="0"/>
        <v>16.876939999999998</v>
      </c>
      <c r="C39" s="7" t="s">
        <v>91</v>
      </c>
      <c r="D39" s="7" t="s">
        <v>93</v>
      </c>
      <c r="E39" s="7" t="s">
        <v>826</v>
      </c>
      <c r="F39" s="17">
        <v>17.604760000000045</v>
      </c>
      <c r="G39" s="33" t="s">
        <v>264</v>
      </c>
      <c r="H39" s="7" t="s">
        <v>265</v>
      </c>
      <c r="I39" s="10">
        <v>568.92999999999995</v>
      </c>
      <c r="J39" s="10">
        <v>16876.939999999999</v>
      </c>
      <c r="K39" s="6">
        <v>156684.36000000004</v>
      </c>
    </row>
    <row r="40" spans="1:11" x14ac:dyDescent="0.25">
      <c r="A40" s="5" t="s">
        <v>818</v>
      </c>
      <c r="B40" s="42">
        <f t="shared" si="0"/>
        <v>17.445869999999999</v>
      </c>
      <c r="C40" s="7" t="s">
        <v>93</v>
      </c>
      <c r="D40" s="7" t="s">
        <v>95</v>
      </c>
      <c r="E40" s="7" t="s">
        <v>826</v>
      </c>
      <c r="F40" s="17">
        <v>18.116610000000044</v>
      </c>
      <c r="G40" s="33" t="s">
        <v>265</v>
      </c>
      <c r="H40" s="7" t="s">
        <v>266</v>
      </c>
      <c r="I40" s="10">
        <v>517.49</v>
      </c>
      <c r="J40" s="10">
        <v>17445.87</v>
      </c>
      <c r="K40" s="6">
        <v>156166.87000000005</v>
      </c>
    </row>
    <row r="41" spans="1:11" x14ac:dyDescent="0.25">
      <c r="A41" s="5" t="s">
        <v>818</v>
      </c>
      <c r="B41" s="42">
        <f t="shared" si="0"/>
        <v>17.963360000000002</v>
      </c>
      <c r="C41" s="7" t="s">
        <v>95</v>
      </c>
      <c r="D41" s="7" t="s">
        <v>97</v>
      </c>
      <c r="E41" s="7" t="s">
        <v>826</v>
      </c>
      <c r="F41" s="17">
        <v>18.667470000000044</v>
      </c>
      <c r="G41" s="33" t="s">
        <v>266</v>
      </c>
      <c r="H41" s="7" t="s">
        <v>267</v>
      </c>
      <c r="I41" s="10">
        <v>541.29</v>
      </c>
      <c r="J41" s="10">
        <v>17963.36</v>
      </c>
      <c r="K41" s="6">
        <v>155625.58000000005</v>
      </c>
    </row>
    <row r="42" spans="1:11" x14ac:dyDescent="0.25">
      <c r="A42" s="5" t="s">
        <v>818</v>
      </c>
      <c r="B42" s="42">
        <f t="shared" si="0"/>
        <v>18.504650000000002</v>
      </c>
      <c r="C42" s="7" t="s">
        <v>97</v>
      </c>
      <c r="D42" s="7" t="s">
        <v>99</v>
      </c>
      <c r="E42" s="7" t="s">
        <v>826</v>
      </c>
      <c r="F42" s="17">
        <v>19.213060000000045</v>
      </c>
      <c r="G42" s="33" t="s">
        <v>267</v>
      </c>
      <c r="H42" s="7" t="s">
        <v>268</v>
      </c>
      <c r="I42" s="10">
        <v>586.51</v>
      </c>
      <c r="J42" s="10">
        <v>18504.650000000001</v>
      </c>
      <c r="K42" s="6">
        <v>155039.07000000004</v>
      </c>
    </row>
    <row r="43" spans="1:11" x14ac:dyDescent="0.25">
      <c r="A43" s="5" t="s">
        <v>818</v>
      </c>
      <c r="B43" s="42">
        <f t="shared" si="0"/>
        <v>19.091159999999999</v>
      </c>
      <c r="C43" s="7" t="s">
        <v>99</v>
      </c>
      <c r="D43" s="7" t="s">
        <v>101</v>
      </c>
      <c r="E43" s="7" t="s">
        <v>826</v>
      </c>
      <c r="F43" s="17">
        <v>19.705580000000044</v>
      </c>
      <c r="G43" s="33" t="s">
        <v>268</v>
      </c>
      <c r="H43" s="7" t="s">
        <v>269</v>
      </c>
      <c r="I43" s="10">
        <v>525.2400000000016</v>
      </c>
      <c r="J43" s="10">
        <v>19091.16</v>
      </c>
      <c r="K43" s="6">
        <v>154513.83000000005</v>
      </c>
    </row>
    <row r="44" spans="1:11" x14ac:dyDescent="0.25">
      <c r="A44" s="5" t="s">
        <v>818</v>
      </c>
      <c r="B44" s="42">
        <f t="shared" si="0"/>
        <v>19.616400000000002</v>
      </c>
      <c r="C44" s="7" t="s">
        <v>101</v>
      </c>
      <c r="D44" s="7" t="s">
        <v>103</v>
      </c>
      <c r="E44" s="7" t="s">
        <v>826</v>
      </c>
      <c r="F44" s="17">
        <v>20.258220000000058</v>
      </c>
      <c r="G44" s="33" t="s">
        <v>269</v>
      </c>
      <c r="H44" s="7" t="s">
        <v>270</v>
      </c>
      <c r="I44" s="10">
        <v>551.20000000000005</v>
      </c>
      <c r="J44" s="10">
        <v>19616.400000000001</v>
      </c>
      <c r="K44" s="6">
        <v>153962.63000000003</v>
      </c>
    </row>
    <row r="45" spans="1:11" x14ac:dyDescent="0.25">
      <c r="A45" s="5" t="s">
        <v>818</v>
      </c>
      <c r="B45" s="42">
        <f t="shared" si="0"/>
        <v>20.167600000000004</v>
      </c>
      <c r="C45" s="7" t="s">
        <v>103</v>
      </c>
      <c r="D45" s="7" t="s">
        <v>105</v>
      </c>
      <c r="E45" s="7" t="s">
        <v>826</v>
      </c>
      <c r="F45" s="17">
        <v>20.797380000000032</v>
      </c>
      <c r="G45" s="33" t="s">
        <v>270</v>
      </c>
      <c r="H45" s="7" t="s">
        <v>271</v>
      </c>
      <c r="I45" s="10">
        <v>561.79</v>
      </c>
      <c r="J45" s="10">
        <v>20167.600000000002</v>
      </c>
      <c r="K45" s="6">
        <v>153400.84000000003</v>
      </c>
    </row>
    <row r="46" spans="1:11" x14ac:dyDescent="0.25">
      <c r="A46" s="5" t="s">
        <v>818</v>
      </c>
      <c r="B46" s="42">
        <f t="shared" si="0"/>
        <v>20.729390000000002</v>
      </c>
      <c r="C46" s="7" t="s">
        <v>105</v>
      </c>
      <c r="D46" s="7" t="s">
        <v>107</v>
      </c>
      <c r="E46" s="7" t="s">
        <v>826</v>
      </c>
      <c r="F46" s="17">
        <v>21.340000000000057</v>
      </c>
      <c r="G46" s="33" t="s">
        <v>271</v>
      </c>
      <c r="H46" s="7" t="s">
        <v>273</v>
      </c>
      <c r="I46" s="10">
        <v>433.9</v>
      </c>
      <c r="J46" s="10">
        <v>20729.390000000003</v>
      </c>
      <c r="K46" s="6">
        <v>152966.94000000003</v>
      </c>
    </row>
    <row r="47" spans="1:11" x14ac:dyDescent="0.25">
      <c r="A47" s="5" t="s">
        <v>818</v>
      </c>
      <c r="B47" s="42">
        <f t="shared" si="0"/>
        <v>21.163290000000003</v>
      </c>
      <c r="C47" s="7" t="s">
        <v>107</v>
      </c>
      <c r="D47" s="7" t="s">
        <v>109</v>
      </c>
      <c r="E47" s="7" t="s">
        <v>826</v>
      </c>
      <c r="F47" s="17">
        <v>21.899600000000056</v>
      </c>
      <c r="G47" s="33" t="s">
        <v>273</v>
      </c>
      <c r="H47" s="7" t="s">
        <v>275</v>
      </c>
      <c r="I47" s="10">
        <v>487.52</v>
      </c>
      <c r="J47" s="10">
        <v>21163.290000000005</v>
      </c>
      <c r="K47" s="6">
        <v>152479.42000000004</v>
      </c>
    </row>
    <row r="48" spans="1:11" x14ac:dyDescent="0.25">
      <c r="A48" s="5" t="s">
        <v>818</v>
      </c>
      <c r="B48" s="42">
        <f t="shared" si="0"/>
        <v>21.650810000000003</v>
      </c>
      <c r="C48" s="7" t="s">
        <v>109</v>
      </c>
      <c r="D48" s="7" t="s">
        <v>111</v>
      </c>
      <c r="E48" s="7" t="s">
        <v>826</v>
      </c>
      <c r="F48" s="17">
        <v>22.389080000000057</v>
      </c>
      <c r="G48" s="33" t="s">
        <v>275</v>
      </c>
      <c r="H48" s="7" t="s">
        <v>277</v>
      </c>
      <c r="I48" s="10">
        <v>466.43</v>
      </c>
      <c r="J48" s="10">
        <v>21650.810000000005</v>
      </c>
      <c r="K48" s="6">
        <v>152012.99000000005</v>
      </c>
    </row>
    <row r="49" spans="1:11" x14ac:dyDescent="0.25">
      <c r="A49" s="5" t="s">
        <v>818</v>
      </c>
      <c r="B49" s="42">
        <f t="shared" si="0"/>
        <v>22.117240000000006</v>
      </c>
      <c r="C49" s="7" t="s">
        <v>111</v>
      </c>
      <c r="D49" s="7" t="s">
        <v>113</v>
      </c>
      <c r="E49" s="7" t="s">
        <v>826</v>
      </c>
      <c r="F49" s="17">
        <v>22.866420000000055</v>
      </c>
      <c r="G49" s="33" t="s">
        <v>277</v>
      </c>
      <c r="H49" s="7" t="s">
        <v>279</v>
      </c>
      <c r="I49" s="10">
        <v>473.93</v>
      </c>
      <c r="J49" s="10">
        <v>22117.240000000005</v>
      </c>
      <c r="K49" s="6">
        <v>151539.06000000006</v>
      </c>
    </row>
    <row r="50" spans="1:11" x14ac:dyDescent="0.25">
      <c r="A50" s="5" t="s">
        <v>818</v>
      </c>
      <c r="B50" s="42">
        <f t="shared" si="0"/>
        <v>22.591170000000005</v>
      </c>
      <c r="C50" s="7" t="s">
        <v>113</v>
      </c>
      <c r="D50" s="7" t="s">
        <v>115</v>
      </c>
      <c r="E50" s="7" t="s">
        <v>826</v>
      </c>
      <c r="F50" s="17">
        <v>23.321820000000059</v>
      </c>
      <c r="G50" s="33" t="s">
        <v>279</v>
      </c>
      <c r="H50" s="7" t="s">
        <v>281</v>
      </c>
      <c r="I50" s="10">
        <v>415.9</v>
      </c>
      <c r="J50" s="10">
        <v>22591.170000000006</v>
      </c>
      <c r="K50" s="6">
        <v>151123.16000000006</v>
      </c>
    </row>
    <row r="51" spans="1:11" x14ac:dyDescent="0.25">
      <c r="A51" s="5" t="s">
        <v>818</v>
      </c>
      <c r="B51" s="42">
        <f t="shared" si="0"/>
        <v>23.007070000000006</v>
      </c>
      <c r="C51" s="7" t="s">
        <v>115</v>
      </c>
      <c r="D51" s="7" t="s">
        <v>18</v>
      </c>
      <c r="E51" s="7" t="s">
        <v>826</v>
      </c>
      <c r="F51" s="17">
        <v>23.863250000000058</v>
      </c>
      <c r="G51" s="33" t="s">
        <v>281</v>
      </c>
      <c r="H51" s="7" t="s">
        <v>283</v>
      </c>
      <c r="I51" s="10">
        <v>490.32</v>
      </c>
      <c r="J51" s="10">
        <v>23007.070000000007</v>
      </c>
      <c r="K51" s="6">
        <v>150632.84000000005</v>
      </c>
    </row>
    <row r="52" spans="1:11" x14ac:dyDescent="0.25">
      <c r="A52" s="5" t="s">
        <v>818</v>
      </c>
      <c r="B52" s="42">
        <f t="shared" si="0"/>
        <v>23.497390000000006</v>
      </c>
      <c r="C52" s="7" t="s">
        <v>18</v>
      </c>
      <c r="D52" s="7" t="s">
        <v>19</v>
      </c>
      <c r="E52" s="7" t="s">
        <v>826</v>
      </c>
      <c r="F52" s="17">
        <v>24.30922000000006</v>
      </c>
      <c r="G52" s="33" t="s">
        <v>283</v>
      </c>
      <c r="H52" s="7" t="s">
        <v>285</v>
      </c>
      <c r="I52" s="10">
        <v>472.18</v>
      </c>
      <c r="J52" s="10">
        <v>23497.390000000007</v>
      </c>
      <c r="K52" s="6">
        <v>150160.66000000006</v>
      </c>
    </row>
    <row r="53" spans="1:11" x14ac:dyDescent="0.25">
      <c r="A53" s="5" t="s">
        <v>818</v>
      </c>
      <c r="B53" s="42">
        <f t="shared" si="0"/>
        <v>23.969570000000008</v>
      </c>
      <c r="C53" s="7" t="s">
        <v>19</v>
      </c>
      <c r="D53" s="7" t="s">
        <v>119</v>
      </c>
      <c r="E53" s="7" t="s">
        <v>826</v>
      </c>
      <c r="F53" s="17">
        <v>24.81119000000006</v>
      </c>
      <c r="G53" s="33" t="s">
        <v>285</v>
      </c>
      <c r="H53" s="7" t="s">
        <v>287</v>
      </c>
      <c r="I53" s="10">
        <v>514.95000000000005</v>
      </c>
      <c r="J53" s="10">
        <v>23969.570000000007</v>
      </c>
      <c r="K53" s="6">
        <v>149645.71000000005</v>
      </c>
    </row>
    <row r="54" spans="1:11" x14ac:dyDescent="0.25">
      <c r="A54" s="5" t="s">
        <v>818</v>
      </c>
      <c r="B54" s="42">
        <f t="shared" si="0"/>
        <v>24.484520000000007</v>
      </c>
      <c r="C54" s="7" t="s">
        <v>119</v>
      </c>
      <c r="D54" s="7" t="s">
        <v>121</v>
      </c>
      <c r="E54" s="7" t="s">
        <v>826</v>
      </c>
      <c r="F54" s="17">
        <v>25.184560000000058</v>
      </c>
      <c r="G54" s="33" t="s">
        <v>287</v>
      </c>
      <c r="H54" s="7" t="s">
        <v>289</v>
      </c>
      <c r="I54" s="10">
        <v>471.32</v>
      </c>
      <c r="J54" s="10">
        <v>24484.520000000008</v>
      </c>
      <c r="K54" s="6">
        <v>149174.39000000004</v>
      </c>
    </row>
    <row r="55" spans="1:11" x14ac:dyDescent="0.25">
      <c r="A55" s="5" t="s">
        <v>818</v>
      </c>
      <c r="B55" s="42">
        <f t="shared" si="0"/>
        <v>24.955840000000009</v>
      </c>
      <c r="C55" s="7" t="s">
        <v>121</v>
      </c>
      <c r="D55" s="7" t="s">
        <v>123</v>
      </c>
      <c r="E55" s="7" t="s">
        <v>826</v>
      </c>
      <c r="F55" s="17">
        <v>25.513950000000058</v>
      </c>
      <c r="G55" s="33" t="s">
        <v>289</v>
      </c>
      <c r="H55" s="7" t="s">
        <v>291</v>
      </c>
      <c r="I55" s="10">
        <v>525.29</v>
      </c>
      <c r="J55" s="10">
        <v>24955.840000000007</v>
      </c>
      <c r="K55" s="6">
        <v>148649.10000000003</v>
      </c>
    </row>
    <row r="56" spans="1:11" x14ac:dyDescent="0.25">
      <c r="A56" s="5" t="s">
        <v>818</v>
      </c>
      <c r="B56" s="42">
        <f t="shared" si="0"/>
        <v>25.481130000000007</v>
      </c>
      <c r="C56" s="7" t="s">
        <v>123</v>
      </c>
      <c r="D56" s="7" t="s">
        <v>125</v>
      </c>
      <c r="E56" s="7" t="s">
        <v>826</v>
      </c>
      <c r="F56" s="17">
        <v>25.942720000000058</v>
      </c>
      <c r="G56" s="33" t="s">
        <v>291</v>
      </c>
      <c r="H56" s="7" t="s">
        <v>293</v>
      </c>
      <c r="I56" s="10">
        <v>456.96</v>
      </c>
      <c r="J56" s="10">
        <v>25481.130000000008</v>
      </c>
      <c r="K56" s="6">
        <v>148192.14000000004</v>
      </c>
    </row>
    <row r="57" spans="1:11" x14ac:dyDescent="0.25">
      <c r="A57" s="5" t="s">
        <v>818</v>
      </c>
      <c r="B57" s="42">
        <f t="shared" si="0"/>
        <v>25.938090000000006</v>
      </c>
      <c r="C57" s="7" t="s">
        <v>125</v>
      </c>
      <c r="D57" s="7" t="s">
        <v>127</v>
      </c>
      <c r="E57" s="7" t="s">
        <v>826</v>
      </c>
      <c r="F57" s="17">
        <v>26.424860000000059</v>
      </c>
      <c r="G57" s="33" t="s">
        <v>293</v>
      </c>
      <c r="H57" s="7" t="s">
        <v>295</v>
      </c>
      <c r="I57" s="10">
        <v>495.9</v>
      </c>
      <c r="J57" s="10">
        <v>25938.090000000007</v>
      </c>
      <c r="K57" s="6">
        <v>147696.24000000005</v>
      </c>
    </row>
    <row r="58" spans="1:11" x14ac:dyDescent="0.25">
      <c r="A58" s="5" t="s">
        <v>818</v>
      </c>
      <c r="B58" s="42">
        <f t="shared" si="0"/>
        <v>26.433990000000009</v>
      </c>
      <c r="C58" s="7" t="s">
        <v>127</v>
      </c>
      <c r="D58" s="7" t="s">
        <v>129</v>
      </c>
      <c r="E58" s="7" t="s">
        <v>826</v>
      </c>
      <c r="F58" s="17">
        <v>26.787300000000059</v>
      </c>
      <c r="G58" s="33" t="s">
        <v>295</v>
      </c>
      <c r="H58" s="7" t="s">
        <v>297</v>
      </c>
      <c r="I58" s="10">
        <v>486.84</v>
      </c>
      <c r="J58" s="10">
        <v>26433.990000000009</v>
      </c>
      <c r="K58" s="6">
        <v>147209.40000000005</v>
      </c>
    </row>
    <row r="59" spans="1:11" x14ac:dyDescent="0.25">
      <c r="A59" s="5" t="s">
        <v>818</v>
      </c>
      <c r="B59" s="42">
        <f t="shared" si="0"/>
        <v>26.920830000000009</v>
      </c>
      <c r="C59" s="7" t="s">
        <v>129</v>
      </c>
      <c r="D59" s="7" t="s">
        <v>131</v>
      </c>
      <c r="E59" s="7" t="s">
        <v>826</v>
      </c>
      <c r="F59" s="17">
        <v>27.17502000000006</v>
      </c>
      <c r="G59" s="33" t="s">
        <v>297</v>
      </c>
      <c r="H59" s="7" t="s">
        <v>299</v>
      </c>
      <c r="I59" s="10">
        <v>574.05999999999995</v>
      </c>
      <c r="J59" s="10">
        <v>26920.830000000009</v>
      </c>
      <c r="K59" s="6">
        <v>146635.34000000005</v>
      </c>
    </row>
    <row r="60" spans="1:11" x14ac:dyDescent="0.25">
      <c r="A60" s="5" t="s">
        <v>818</v>
      </c>
      <c r="B60" s="42">
        <f t="shared" si="0"/>
        <v>27.494890000000009</v>
      </c>
      <c r="C60" s="7" t="s">
        <v>131</v>
      </c>
      <c r="D60" s="7" t="s">
        <v>133</v>
      </c>
      <c r="E60" s="7" t="s">
        <v>826</v>
      </c>
      <c r="F60" s="17">
        <v>27.587300000000056</v>
      </c>
      <c r="G60" s="33" t="s">
        <v>299</v>
      </c>
      <c r="H60" s="7" t="s">
        <v>301</v>
      </c>
      <c r="I60" s="10">
        <v>565.04000000000087</v>
      </c>
      <c r="J60" s="10">
        <v>27494.89000000001</v>
      </c>
      <c r="K60" s="6">
        <v>146070.30000000005</v>
      </c>
    </row>
    <row r="61" spans="1:11" x14ac:dyDescent="0.25">
      <c r="A61" s="5" t="s">
        <v>818</v>
      </c>
      <c r="B61" s="42">
        <f t="shared" si="0"/>
        <v>28.059930000000012</v>
      </c>
      <c r="C61" s="7" t="s">
        <v>133</v>
      </c>
      <c r="D61" s="7" t="s">
        <v>135</v>
      </c>
      <c r="E61" s="7" t="s">
        <v>826</v>
      </c>
      <c r="F61" s="17">
        <v>28.034260000000057</v>
      </c>
      <c r="G61" s="33" t="s">
        <v>301</v>
      </c>
      <c r="H61" s="7" t="s">
        <v>303</v>
      </c>
      <c r="I61" s="10">
        <v>573.5</v>
      </c>
      <c r="J61" s="10">
        <v>28059.930000000011</v>
      </c>
      <c r="K61" s="6">
        <v>145496.80000000005</v>
      </c>
    </row>
    <row r="62" spans="1:11" x14ac:dyDescent="0.25">
      <c r="A62" s="5" t="s">
        <v>818</v>
      </c>
      <c r="B62" s="42">
        <f t="shared" si="0"/>
        <v>28.633430000000011</v>
      </c>
      <c r="C62" s="7" t="s">
        <v>135</v>
      </c>
      <c r="D62" s="7" t="s">
        <v>137</v>
      </c>
      <c r="E62" s="7" t="s">
        <v>826</v>
      </c>
      <c r="F62" s="17">
        <v>28.386260000000057</v>
      </c>
      <c r="G62" s="33" t="s">
        <v>303</v>
      </c>
      <c r="H62" s="7" t="s">
        <v>305</v>
      </c>
      <c r="I62" s="10">
        <v>616.12</v>
      </c>
      <c r="J62" s="10">
        <v>28633.430000000011</v>
      </c>
      <c r="K62" s="6">
        <v>144880.68000000005</v>
      </c>
    </row>
    <row r="63" spans="1:11" x14ac:dyDescent="0.25">
      <c r="A63" s="5" t="s">
        <v>818</v>
      </c>
      <c r="B63" s="42">
        <f t="shared" si="0"/>
        <v>29.24955000000001</v>
      </c>
      <c r="C63" s="7" t="s">
        <v>137</v>
      </c>
      <c r="D63" s="7" t="s">
        <v>139</v>
      </c>
      <c r="E63" s="7" t="s">
        <v>826</v>
      </c>
      <c r="F63" s="17">
        <v>28.73125000000006</v>
      </c>
      <c r="G63" s="33" t="s">
        <v>305</v>
      </c>
      <c r="H63" s="7" t="s">
        <v>307</v>
      </c>
      <c r="I63" s="10">
        <v>565.33000000000004</v>
      </c>
      <c r="J63" s="10">
        <v>29249.55000000001</v>
      </c>
      <c r="K63" s="6">
        <v>144315.35000000006</v>
      </c>
    </row>
    <row r="64" spans="1:11" x14ac:dyDescent="0.25">
      <c r="A64" s="5" t="s">
        <v>818</v>
      </c>
      <c r="B64" s="42">
        <f t="shared" si="0"/>
        <v>29.814880000000013</v>
      </c>
      <c r="C64" s="7" t="s">
        <v>139</v>
      </c>
      <c r="D64" s="7" t="s">
        <v>141</v>
      </c>
      <c r="E64" s="7" t="s">
        <v>826</v>
      </c>
      <c r="F64" s="17">
        <v>29.142620000000058</v>
      </c>
      <c r="G64" s="33" t="s">
        <v>307</v>
      </c>
      <c r="H64" s="7" t="s">
        <v>309</v>
      </c>
      <c r="I64" s="10">
        <v>543.66999999999996</v>
      </c>
      <c r="J64" s="10">
        <v>29814.880000000012</v>
      </c>
      <c r="K64" s="6">
        <v>143771.68000000005</v>
      </c>
    </row>
    <row r="65" spans="1:11" x14ac:dyDescent="0.25">
      <c r="A65" s="5" t="s">
        <v>818</v>
      </c>
      <c r="B65" s="42">
        <f t="shared" si="0"/>
        <v>30.358550000000012</v>
      </c>
      <c r="C65" s="7" t="s">
        <v>141</v>
      </c>
      <c r="D65" s="7" t="s">
        <v>143</v>
      </c>
      <c r="E65" s="7" t="s">
        <v>826</v>
      </c>
      <c r="F65" s="17">
        <v>29.567430000000058</v>
      </c>
      <c r="G65" s="33" t="s">
        <v>309</v>
      </c>
      <c r="H65" s="7" t="s">
        <v>311</v>
      </c>
      <c r="I65" s="10">
        <v>547.47</v>
      </c>
      <c r="J65" s="10">
        <v>30358.55000000001</v>
      </c>
      <c r="K65" s="6">
        <v>143224.21000000005</v>
      </c>
    </row>
    <row r="66" spans="1:11" x14ac:dyDescent="0.25">
      <c r="A66" s="5" t="s">
        <v>818</v>
      </c>
      <c r="B66" s="42">
        <f t="shared" si="0"/>
        <v>30.906020000000012</v>
      </c>
      <c r="C66" s="7" t="s">
        <v>143</v>
      </c>
      <c r="D66" s="7" t="s">
        <v>145</v>
      </c>
      <c r="E66" s="7" t="s">
        <v>826</v>
      </c>
      <c r="F66" s="17">
        <v>30.043020000000055</v>
      </c>
      <c r="G66" s="33" t="s">
        <v>311</v>
      </c>
      <c r="H66" s="7" t="s">
        <v>313</v>
      </c>
      <c r="I66" s="10">
        <v>311.19</v>
      </c>
      <c r="J66" s="10">
        <v>30906.020000000011</v>
      </c>
      <c r="K66" s="6">
        <v>142913.02000000005</v>
      </c>
    </row>
    <row r="67" spans="1:11" x14ac:dyDescent="0.25">
      <c r="A67" s="5" t="s">
        <v>818</v>
      </c>
      <c r="B67" s="42">
        <f t="shared" ref="B67:B130" si="1">J67/1000</f>
        <v>31.217210000000009</v>
      </c>
      <c r="C67" s="7" t="s">
        <v>145</v>
      </c>
      <c r="D67" s="7" t="s">
        <v>147</v>
      </c>
      <c r="E67" s="7" t="s">
        <v>826</v>
      </c>
      <c r="F67" s="17">
        <v>30.540130000000055</v>
      </c>
      <c r="G67" s="33" t="s">
        <v>313</v>
      </c>
      <c r="H67" s="7" t="s">
        <v>315</v>
      </c>
      <c r="I67" s="10">
        <v>435.87</v>
      </c>
      <c r="J67" s="10">
        <v>31217.21000000001</v>
      </c>
      <c r="K67" s="6">
        <v>142477.15000000005</v>
      </c>
    </row>
    <row r="68" spans="1:11" x14ac:dyDescent="0.25">
      <c r="A68" s="5" t="s">
        <v>818</v>
      </c>
      <c r="B68" s="42">
        <f t="shared" si="1"/>
        <v>31.65308000000001</v>
      </c>
      <c r="C68" s="7" t="s">
        <v>147</v>
      </c>
      <c r="D68" s="7" t="s">
        <v>149</v>
      </c>
      <c r="E68" s="7" t="s">
        <v>826</v>
      </c>
      <c r="F68" s="17">
        <v>31.030030000000057</v>
      </c>
      <c r="G68" s="33" t="s">
        <v>315</v>
      </c>
      <c r="H68" s="7" t="s">
        <v>317</v>
      </c>
      <c r="I68" s="10">
        <v>571</v>
      </c>
      <c r="J68" s="10">
        <v>31653.080000000009</v>
      </c>
      <c r="K68" s="6">
        <v>141906.15000000005</v>
      </c>
    </row>
    <row r="69" spans="1:11" x14ac:dyDescent="0.25">
      <c r="A69" s="5" t="s">
        <v>818</v>
      </c>
      <c r="B69" s="42">
        <f t="shared" si="1"/>
        <v>32.224080000000008</v>
      </c>
      <c r="C69" s="7" t="s">
        <v>149</v>
      </c>
      <c r="D69" s="7" t="s">
        <v>151</v>
      </c>
      <c r="E69" s="7" t="s">
        <v>826</v>
      </c>
      <c r="F69" s="17">
        <v>31.449720000000056</v>
      </c>
      <c r="G69" s="33" t="s">
        <v>317</v>
      </c>
      <c r="H69" s="7" t="s">
        <v>319</v>
      </c>
      <c r="I69" s="10">
        <v>528.04999999999995</v>
      </c>
      <c r="J69" s="10">
        <v>32224.080000000009</v>
      </c>
      <c r="K69" s="6">
        <v>141378.10000000006</v>
      </c>
    </row>
    <row r="70" spans="1:11" x14ac:dyDescent="0.25">
      <c r="A70" s="5" t="s">
        <v>818</v>
      </c>
      <c r="B70" s="42">
        <f t="shared" si="1"/>
        <v>32.752130000000008</v>
      </c>
      <c r="C70" s="7" t="s">
        <v>151</v>
      </c>
      <c r="D70" s="7" t="s">
        <v>153</v>
      </c>
      <c r="E70" s="7" t="s">
        <v>826</v>
      </c>
      <c r="F70" s="17">
        <v>31.876000000000055</v>
      </c>
      <c r="G70" s="33" t="s">
        <v>319</v>
      </c>
      <c r="H70" s="7" t="s">
        <v>321</v>
      </c>
      <c r="I70" s="10">
        <v>537.77</v>
      </c>
      <c r="J70" s="10">
        <v>32752.130000000008</v>
      </c>
      <c r="K70" s="6">
        <v>140840.33000000007</v>
      </c>
    </row>
    <row r="71" spans="1:11" x14ac:dyDescent="0.25">
      <c r="A71" s="5" t="s">
        <v>818</v>
      </c>
      <c r="B71" s="42">
        <f t="shared" si="1"/>
        <v>33.28990000000001</v>
      </c>
      <c r="C71" s="7" t="s">
        <v>153</v>
      </c>
      <c r="D71" s="7" t="s">
        <v>155</v>
      </c>
      <c r="E71" s="7" t="s">
        <v>826</v>
      </c>
      <c r="F71" s="17">
        <v>32.32976000000005</v>
      </c>
      <c r="G71" s="33" t="s">
        <v>321</v>
      </c>
      <c r="H71" s="7" t="s">
        <v>323</v>
      </c>
      <c r="I71" s="10">
        <v>490.91000000000349</v>
      </c>
      <c r="J71" s="10">
        <v>33289.900000000009</v>
      </c>
      <c r="K71" s="6">
        <v>140349.42000000007</v>
      </c>
    </row>
    <row r="72" spans="1:11" x14ac:dyDescent="0.25">
      <c r="A72" s="5" t="s">
        <v>818</v>
      </c>
      <c r="B72" s="42">
        <f t="shared" si="1"/>
        <v>33.78081000000001</v>
      </c>
      <c r="C72" s="7" t="s">
        <v>155</v>
      </c>
      <c r="D72" s="7" t="s">
        <v>157</v>
      </c>
      <c r="E72" s="7" t="s">
        <v>826</v>
      </c>
      <c r="F72" s="17">
        <v>32.789300000000054</v>
      </c>
      <c r="G72" s="33" t="s">
        <v>323</v>
      </c>
      <c r="H72" s="7" t="s">
        <v>325</v>
      </c>
      <c r="I72" s="10">
        <v>453.7</v>
      </c>
      <c r="J72" s="10">
        <v>33780.810000000012</v>
      </c>
      <c r="K72" s="6">
        <v>139895.72000000006</v>
      </c>
    </row>
    <row r="73" spans="1:11" x14ac:dyDescent="0.25">
      <c r="A73" s="5" t="s">
        <v>818</v>
      </c>
      <c r="B73" s="42">
        <f t="shared" si="1"/>
        <v>34.234510000000007</v>
      </c>
      <c r="C73" s="7" t="s">
        <v>157</v>
      </c>
      <c r="D73" s="7" t="s">
        <v>159</v>
      </c>
      <c r="E73" s="7" t="s">
        <v>826</v>
      </c>
      <c r="F73" s="17">
        <v>33.261860000000048</v>
      </c>
      <c r="G73" s="33" t="s">
        <v>325</v>
      </c>
      <c r="H73" s="7" t="s">
        <v>327</v>
      </c>
      <c r="I73" s="10">
        <v>448.48</v>
      </c>
      <c r="J73" s="10">
        <v>34234.510000000009</v>
      </c>
      <c r="K73" s="6">
        <v>139447.24000000005</v>
      </c>
    </row>
    <row r="74" spans="1:11" x14ac:dyDescent="0.25">
      <c r="A74" s="5" t="s">
        <v>818</v>
      </c>
      <c r="B74" s="42">
        <f t="shared" si="1"/>
        <v>34.682990000000011</v>
      </c>
      <c r="C74" s="7" t="s">
        <v>159</v>
      </c>
      <c r="D74" s="7" t="s">
        <v>161</v>
      </c>
      <c r="E74" s="7" t="s">
        <v>826</v>
      </c>
      <c r="F74" s="17">
        <v>33.58690000000005</v>
      </c>
      <c r="G74" s="33" t="s">
        <v>327</v>
      </c>
      <c r="H74" s="7" t="s">
        <v>329</v>
      </c>
      <c r="I74" s="10">
        <v>554.34</v>
      </c>
      <c r="J74" s="10">
        <v>34682.990000000013</v>
      </c>
      <c r="K74" s="6">
        <v>138892.90000000005</v>
      </c>
    </row>
    <row r="75" spans="1:11" x14ac:dyDescent="0.25">
      <c r="A75" s="5" t="s">
        <v>818</v>
      </c>
      <c r="B75" s="42">
        <f t="shared" si="1"/>
        <v>35.237330000000007</v>
      </c>
      <c r="C75" s="7" t="s">
        <v>161</v>
      </c>
      <c r="D75" s="7" t="s">
        <v>163</v>
      </c>
      <c r="E75" s="7" t="s">
        <v>826</v>
      </c>
      <c r="F75" s="17">
        <v>34.040390000000052</v>
      </c>
      <c r="G75" s="33" t="s">
        <v>329</v>
      </c>
      <c r="H75" s="7" t="s">
        <v>331</v>
      </c>
      <c r="I75" s="10">
        <v>619.88</v>
      </c>
      <c r="J75" s="10">
        <v>35237.330000000009</v>
      </c>
      <c r="K75" s="6">
        <v>138273.02000000005</v>
      </c>
    </row>
    <row r="76" spans="1:11" x14ac:dyDescent="0.25">
      <c r="A76" s="5" t="s">
        <v>818</v>
      </c>
      <c r="B76" s="42">
        <f t="shared" si="1"/>
        <v>35.857210000000009</v>
      </c>
      <c r="C76" s="7" t="s">
        <v>163</v>
      </c>
      <c r="D76" s="7" t="s">
        <v>165</v>
      </c>
      <c r="E76" s="7" t="s">
        <v>826</v>
      </c>
      <c r="F76" s="17">
        <v>34.428620000000052</v>
      </c>
      <c r="G76" s="33" t="s">
        <v>331</v>
      </c>
      <c r="H76" s="7" t="s">
        <v>333</v>
      </c>
      <c r="I76" s="10">
        <v>546.99</v>
      </c>
      <c r="J76" s="10">
        <v>35857.210000000006</v>
      </c>
      <c r="K76" s="6">
        <v>137726.03000000006</v>
      </c>
    </row>
    <row r="77" spans="1:11" x14ac:dyDescent="0.25">
      <c r="A77" s="5" t="s">
        <v>818</v>
      </c>
      <c r="B77" s="42">
        <f t="shared" si="1"/>
        <v>36.404200000000003</v>
      </c>
      <c r="C77" s="7" t="s">
        <v>165</v>
      </c>
      <c r="D77" s="7" t="s">
        <v>167</v>
      </c>
      <c r="E77" s="7" t="s">
        <v>826</v>
      </c>
      <c r="F77" s="17">
        <v>34.773060000000058</v>
      </c>
      <c r="G77" s="33" t="s">
        <v>333</v>
      </c>
      <c r="H77" s="7" t="s">
        <v>335</v>
      </c>
      <c r="I77" s="10">
        <v>548.92999999999995</v>
      </c>
      <c r="J77" s="10">
        <v>36404.200000000004</v>
      </c>
      <c r="K77" s="6">
        <v>137177.10000000006</v>
      </c>
    </row>
    <row r="78" spans="1:11" x14ac:dyDescent="0.25">
      <c r="A78" s="5" t="s">
        <v>818</v>
      </c>
      <c r="B78" s="42">
        <f t="shared" si="1"/>
        <v>36.953130000000002</v>
      </c>
      <c r="C78" s="7" t="s">
        <v>167</v>
      </c>
      <c r="D78" s="7" t="s">
        <v>169</v>
      </c>
      <c r="E78" s="7" t="s">
        <v>826</v>
      </c>
      <c r="F78" s="17">
        <v>35.146560000000058</v>
      </c>
      <c r="G78" s="33" t="s">
        <v>335</v>
      </c>
      <c r="H78" s="7" t="s">
        <v>337</v>
      </c>
      <c r="I78" s="10">
        <v>592.87</v>
      </c>
      <c r="J78" s="10">
        <v>36953.130000000005</v>
      </c>
      <c r="K78" s="6">
        <v>136584.23000000007</v>
      </c>
    </row>
    <row r="79" spans="1:11" x14ac:dyDescent="0.25">
      <c r="A79" s="5" t="s">
        <v>818</v>
      </c>
      <c r="B79" s="42">
        <f t="shared" si="1"/>
        <v>37.546000000000006</v>
      </c>
      <c r="C79" s="7" t="s">
        <v>169</v>
      </c>
      <c r="D79" s="7" t="s">
        <v>171</v>
      </c>
      <c r="E79" s="7" t="s">
        <v>826</v>
      </c>
      <c r="F79" s="17">
        <v>35.571170000000059</v>
      </c>
      <c r="G79" s="33" t="s">
        <v>337</v>
      </c>
      <c r="H79" s="7" t="s">
        <v>339</v>
      </c>
      <c r="I79" s="10">
        <v>515.67999999999995</v>
      </c>
      <c r="J79" s="10">
        <v>37546.000000000007</v>
      </c>
      <c r="K79" s="6">
        <v>136068.55000000008</v>
      </c>
    </row>
    <row r="80" spans="1:11" x14ac:dyDescent="0.25">
      <c r="A80" s="5" t="s">
        <v>818</v>
      </c>
      <c r="B80" s="42">
        <f t="shared" si="1"/>
        <v>38.06168000000001</v>
      </c>
      <c r="C80" s="7" t="s">
        <v>171</v>
      </c>
      <c r="D80" s="7" t="s">
        <v>173</v>
      </c>
      <c r="E80" s="7" t="s">
        <v>826</v>
      </c>
      <c r="F80" s="17">
        <v>36.020600000000059</v>
      </c>
      <c r="G80" s="33" t="s">
        <v>339</v>
      </c>
      <c r="H80" s="7" t="s">
        <v>341</v>
      </c>
      <c r="I80" s="10">
        <v>478.51</v>
      </c>
      <c r="J80" s="10">
        <v>38061.680000000008</v>
      </c>
      <c r="K80" s="6">
        <v>135590.04000000007</v>
      </c>
    </row>
    <row r="81" spans="1:11" x14ac:dyDescent="0.25">
      <c r="A81" s="5" t="s">
        <v>818</v>
      </c>
      <c r="B81" s="42">
        <f t="shared" si="1"/>
        <v>38.54019000000001</v>
      </c>
      <c r="C81" s="7" t="s">
        <v>173</v>
      </c>
      <c r="D81" s="7" t="s">
        <v>175</v>
      </c>
      <c r="E81" s="7" t="s">
        <v>826</v>
      </c>
      <c r="F81" s="17">
        <v>36.563580000000066</v>
      </c>
      <c r="G81" s="33" t="s">
        <v>341</v>
      </c>
      <c r="H81" s="7" t="s">
        <v>343</v>
      </c>
      <c r="I81" s="10">
        <v>490.1</v>
      </c>
      <c r="J81" s="10">
        <v>38540.19000000001</v>
      </c>
      <c r="K81" s="6">
        <v>135099.94000000006</v>
      </c>
    </row>
    <row r="82" spans="1:11" x14ac:dyDescent="0.25">
      <c r="A82" s="5" t="s">
        <v>818</v>
      </c>
      <c r="B82" s="42">
        <f t="shared" si="1"/>
        <v>39.030290000000008</v>
      </c>
      <c r="C82" s="7" t="s">
        <v>175</v>
      </c>
      <c r="D82" s="7" t="s">
        <v>177</v>
      </c>
      <c r="E82" s="7" t="s">
        <v>826</v>
      </c>
      <c r="F82" s="17">
        <v>36.94495000000007</v>
      </c>
      <c r="G82" s="33" t="s">
        <v>343</v>
      </c>
      <c r="H82" s="7" t="s">
        <v>345</v>
      </c>
      <c r="I82" s="10">
        <v>528.54999999999995</v>
      </c>
      <c r="J82" s="10">
        <v>39030.290000000008</v>
      </c>
      <c r="K82" s="6">
        <v>134571.39000000007</v>
      </c>
    </row>
    <row r="83" spans="1:11" x14ac:dyDescent="0.25">
      <c r="A83" s="5" t="s">
        <v>818</v>
      </c>
      <c r="B83" s="42">
        <f t="shared" si="1"/>
        <v>39.558840000000011</v>
      </c>
      <c r="C83" s="7" t="s">
        <v>177</v>
      </c>
      <c r="D83" s="7" t="s">
        <v>179</v>
      </c>
      <c r="E83" s="7" t="s">
        <v>826</v>
      </c>
      <c r="F83" s="17">
        <v>37.422490000000067</v>
      </c>
      <c r="G83" s="33" t="s">
        <v>345</v>
      </c>
      <c r="H83" s="7" t="s">
        <v>347</v>
      </c>
      <c r="I83" s="10">
        <v>453</v>
      </c>
      <c r="J83" s="10">
        <v>39558.840000000011</v>
      </c>
      <c r="K83" s="6">
        <v>134118.39000000007</v>
      </c>
    </row>
    <row r="84" spans="1:11" x14ac:dyDescent="0.25">
      <c r="A84" s="5" t="s">
        <v>818</v>
      </c>
      <c r="B84" s="42">
        <f t="shared" si="1"/>
        <v>40.011840000000014</v>
      </c>
      <c r="C84" s="7" t="s">
        <v>179</v>
      </c>
      <c r="D84" s="7" t="s">
        <v>181</v>
      </c>
      <c r="E84" s="7" t="s">
        <v>826</v>
      </c>
      <c r="F84" s="17">
        <v>37.874170000000071</v>
      </c>
      <c r="G84" s="33" t="s">
        <v>347</v>
      </c>
      <c r="H84" s="7" t="s">
        <v>349</v>
      </c>
      <c r="I84" s="10">
        <v>496.16</v>
      </c>
      <c r="J84" s="10">
        <v>40011.840000000011</v>
      </c>
      <c r="K84" s="6">
        <v>133622.23000000007</v>
      </c>
    </row>
    <row r="85" spans="1:11" x14ac:dyDescent="0.25">
      <c r="A85" s="5" t="s">
        <v>818</v>
      </c>
      <c r="B85" s="42">
        <f t="shared" si="1"/>
        <v>40.508000000000017</v>
      </c>
      <c r="C85" s="7" t="s">
        <v>181</v>
      </c>
      <c r="D85" s="7" t="s">
        <v>183</v>
      </c>
      <c r="E85" s="7" t="s">
        <v>826</v>
      </c>
      <c r="F85" s="17">
        <v>38.384360000000072</v>
      </c>
      <c r="G85" s="33" t="s">
        <v>349</v>
      </c>
      <c r="H85" s="7" t="s">
        <v>351</v>
      </c>
      <c r="I85" s="10">
        <v>535.66</v>
      </c>
      <c r="J85" s="10">
        <v>40508.000000000015</v>
      </c>
      <c r="K85" s="6">
        <v>133086.57000000007</v>
      </c>
    </row>
    <row r="86" spans="1:11" x14ac:dyDescent="0.25">
      <c r="A86" s="5" t="s">
        <v>818</v>
      </c>
      <c r="B86" s="42">
        <f t="shared" si="1"/>
        <v>41.043660000000017</v>
      </c>
      <c r="C86" s="7" t="s">
        <v>183</v>
      </c>
      <c r="D86" s="7" t="s">
        <v>272</v>
      </c>
      <c r="E86" s="7" t="s">
        <v>826</v>
      </c>
      <c r="F86" s="17">
        <v>38.72920000000007</v>
      </c>
      <c r="G86" s="33" t="s">
        <v>351</v>
      </c>
      <c r="H86" s="7" t="s">
        <v>353</v>
      </c>
      <c r="I86" s="10">
        <v>516.95000000000005</v>
      </c>
      <c r="J86" s="10">
        <v>41043.660000000018</v>
      </c>
      <c r="K86" s="6">
        <v>132569.62000000005</v>
      </c>
    </row>
    <row r="87" spans="1:11" x14ac:dyDescent="0.25">
      <c r="A87" s="5" t="s">
        <v>818</v>
      </c>
      <c r="B87" s="42">
        <f t="shared" si="1"/>
        <v>41.560610000000004</v>
      </c>
      <c r="C87" s="7" t="s">
        <v>272</v>
      </c>
      <c r="D87" s="7" t="s">
        <v>274</v>
      </c>
      <c r="E87" s="7" t="s">
        <v>826</v>
      </c>
      <c r="F87" s="17">
        <v>39.085680000000075</v>
      </c>
      <c r="G87" s="33" t="s">
        <v>353</v>
      </c>
      <c r="H87" s="7" t="s">
        <v>355</v>
      </c>
      <c r="I87" s="10">
        <v>506.43</v>
      </c>
      <c r="J87" s="10">
        <v>41560.61</v>
      </c>
      <c r="K87" s="6">
        <v>132063.19000000006</v>
      </c>
    </row>
    <row r="88" spans="1:11" x14ac:dyDescent="0.25">
      <c r="A88" s="5" t="s">
        <v>818</v>
      </c>
      <c r="B88" s="42">
        <f t="shared" si="1"/>
        <v>42.067040000000013</v>
      </c>
      <c r="C88" s="7" t="s">
        <v>274</v>
      </c>
      <c r="D88" s="7" t="s">
        <v>276</v>
      </c>
      <c r="E88" s="7" t="s">
        <v>826</v>
      </c>
      <c r="F88" s="17">
        <v>39.563720000000075</v>
      </c>
      <c r="G88" s="33" t="s">
        <v>355</v>
      </c>
      <c r="H88" s="7" t="s">
        <v>357</v>
      </c>
      <c r="I88" s="10">
        <v>632.53000000000611</v>
      </c>
      <c r="J88" s="10">
        <v>42067.040000000015</v>
      </c>
      <c r="K88" s="6">
        <v>131430.66000000006</v>
      </c>
    </row>
    <row r="89" spans="1:11" x14ac:dyDescent="0.25">
      <c r="A89" s="5" t="s">
        <v>818</v>
      </c>
      <c r="B89" s="42">
        <f t="shared" si="1"/>
        <v>42.699570000000023</v>
      </c>
      <c r="C89" s="7" t="s">
        <v>276</v>
      </c>
      <c r="D89" s="7" t="s">
        <v>278</v>
      </c>
      <c r="E89" s="7" t="s">
        <v>826</v>
      </c>
      <c r="F89" s="17">
        <v>39.978780000000071</v>
      </c>
      <c r="G89" s="33" t="s">
        <v>357</v>
      </c>
      <c r="H89" s="7" t="s">
        <v>359</v>
      </c>
      <c r="I89" s="10">
        <v>517.13</v>
      </c>
      <c r="J89" s="10">
        <v>42699.570000000022</v>
      </c>
      <c r="K89" s="6">
        <v>130913.53000000006</v>
      </c>
    </row>
    <row r="90" spans="1:11" x14ac:dyDescent="0.25">
      <c r="A90" s="5" t="s">
        <v>818</v>
      </c>
      <c r="B90" s="42">
        <f t="shared" si="1"/>
        <v>43.216700000000017</v>
      </c>
      <c r="C90" s="7" t="s">
        <v>278</v>
      </c>
      <c r="D90" s="7" t="s">
        <v>280</v>
      </c>
      <c r="E90" s="7" t="s">
        <v>826</v>
      </c>
      <c r="F90" s="17">
        <v>40.360780000000069</v>
      </c>
      <c r="G90" s="33" t="s">
        <v>359</v>
      </c>
      <c r="H90" s="7" t="s">
        <v>361</v>
      </c>
      <c r="I90" s="10">
        <v>476.3</v>
      </c>
      <c r="J90" s="10">
        <v>43216.700000000019</v>
      </c>
      <c r="K90" s="6">
        <v>130437.23000000005</v>
      </c>
    </row>
    <row r="91" spans="1:11" x14ac:dyDescent="0.25">
      <c r="A91" s="5" t="s">
        <v>818</v>
      </c>
      <c r="B91" s="42">
        <f t="shared" si="1"/>
        <v>43.693000000000019</v>
      </c>
      <c r="C91" s="7" t="s">
        <v>280</v>
      </c>
      <c r="D91" s="7" t="s">
        <v>282</v>
      </c>
      <c r="E91" s="7" t="s">
        <v>826</v>
      </c>
      <c r="F91" s="17">
        <v>40.803530000000073</v>
      </c>
      <c r="G91" s="33" t="s">
        <v>361</v>
      </c>
      <c r="H91" s="7" t="s">
        <v>363</v>
      </c>
      <c r="I91" s="10">
        <v>477.3</v>
      </c>
      <c r="J91" s="10">
        <v>43693.000000000022</v>
      </c>
      <c r="K91" s="6">
        <v>129959.93000000005</v>
      </c>
    </row>
    <row r="92" spans="1:11" x14ac:dyDescent="0.25">
      <c r="A92" s="5" t="s">
        <v>818</v>
      </c>
      <c r="B92" s="42">
        <f t="shared" si="1"/>
        <v>44.170300000000026</v>
      </c>
      <c r="C92" s="7" t="s">
        <v>282</v>
      </c>
      <c r="D92" s="7" t="s">
        <v>284</v>
      </c>
      <c r="E92" s="7" t="s">
        <v>826</v>
      </c>
      <c r="F92" s="17">
        <v>41.218230000000069</v>
      </c>
      <c r="G92" s="33" t="s">
        <v>363</v>
      </c>
      <c r="H92" s="7" t="s">
        <v>365</v>
      </c>
      <c r="I92" s="10">
        <v>386.46</v>
      </c>
      <c r="J92" s="10">
        <v>44170.300000000025</v>
      </c>
      <c r="K92" s="6">
        <v>129573.47000000004</v>
      </c>
    </row>
    <row r="93" spans="1:11" x14ac:dyDescent="0.25">
      <c r="A93" s="5" t="s">
        <v>818</v>
      </c>
      <c r="B93" s="42">
        <f t="shared" si="1"/>
        <v>44.556760000000025</v>
      </c>
      <c r="C93" s="7" t="s">
        <v>284</v>
      </c>
      <c r="D93" s="7" t="s">
        <v>286</v>
      </c>
      <c r="E93" s="7" t="s">
        <v>826</v>
      </c>
      <c r="F93" s="17">
        <v>41.653150000000068</v>
      </c>
      <c r="G93" s="33" t="s">
        <v>365</v>
      </c>
      <c r="H93" s="7" t="s">
        <v>367</v>
      </c>
      <c r="I93" s="10">
        <v>544.12</v>
      </c>
      <c r="J93" s="10">
        <v>44556.760000000024</v>
      </c>
      <c r="K93" s="6">
        <v>129029.35000000005</v>
      </c>
    </row>
    <row r="94" spans="1:11" x14ac:dyDescent="0.25">
      <c r="A94" s="5" t="s">
        <v>818</v>
      </c>
      <c r="B94" s="42">
        <f t="shared" si="1"/>
        <v>45.100880000000025</v>
      </c>
      <c r="C94" s="7" t="s">
        <v>286</v>
      </c>
      <c r="D94" s="7" t="s">
        <v>288</v>
      </c>
      <c r="E94" s="7" t="s">
        <v>826</v>
      </c>
      <c r="F94" s="17">
        <v>42.193930000000066</v>
      </c>
      <c r="G94" s="33" t="s">
        <v>367</v>
      </c>
      <c r="H94" s="7" t="s">
        <v>369</v>
      </c>
      <c r="I94" s="10">
        <v>576.35</v>
      </c>
      <c r="J94" s="10">
        <v>45100.880000000026</v>
      </c>
      <c r="K94" s="6">
        <v>128453.00000000004</v>
      </c>
    </row>
    <row r="95" spans="1:11" x14ac:dyDescent="0.25">
      <c r="A95" s="5" t="s">
        <v>818</v>
      </c>
      <c r="B95" s="42">
        <f t="shared" si="1"/>
        <v>45.677230000000023</v>
      </c>
      <c r="C95" s="7" t="s">
        <v>288</v>
      </c>
      <c r="D95" s="7" t="s">
        <v>290</v>
      </c>
      <c r="E95" s="7" t="s">
        <v>826</v>
      </c>
      <c r="F95" s="17">
        <v>42.740130000000065</v>
      </c>
      <c r="G95" s="33" t="s">
        <v>369</v>
      </c>
      <c r="H95" s="7" t="s">
        <v>371</v>
      </c>
      <c r="I95" s="10">
        <v>387.2</v>
      </c>
      <c r="J95" s="10">
        <v>45677.230000000025</v>
      </c>
      <c r="K95" s="6">
        <v>128065.80000000005</v>
      </c>
    </row>
    <row r="96" spans="1:11" x14ac:dyDescent="0.25">
      <c r="A96" s="5" t="s">
        <v>818</v>
      </c>
      <c r="B96" s="42">
        <f t="shared" si="1"/>
        <v>46.064430000000023</v>
      </c>
      <c r="C96" s="7" t="s">
        <v>290</v>
      </c>
      <c r="D96" s="7" t="s">
        <v>292</v>
      </c>
      <c r="E96" s="7" t="s">
        <v>826</v>
      </c>
      <c r="F96" s="17">
        <v>43.21173000000006</v>
      </c>
      <c r="G96" s="33" t="s">
        <v>371</v>
      </c>
      <c r="H96" s="7" t="s">
        <v>373</v>
      </c>
      <c r="I96" s="10">
        <v>404.65</v>
      </c>
      <c r="J96" s="10">
        <v>46064.430000000022</v>
      </c>
      <c r="K96" s="6">
        <v>127661.15000000005</v>
      </c>
    </row>
    <row r="97" spans="1:11" x14ac:dyDescent="0.25">
      <c r="A97" s="5" t="s">
        <v>818</v>
      </c>
      <c r="B97" s="42">
        <f t="shared" si="1"/>
        <v>46.469080000000027</v>
      </c>
      <c r="C97" s="7" t="s">
        <v>292</v>
      </c>
      <c r="D97" s="7" t="s">
        <v>294</v>
      </c>
      <c r="E97" s="7" t="s">
        <v>826</v>
      </c>
      <c r="F97" s="17">
        <v>43.82057000000006</v>
      </c>
      <c r="G97" s="33" t="s">
        <v>373</v>
      </c>
      <c r="H97" s="7" t="s">
        <v>375</v>
      </c>
      <c r="I97" s="10">
        <v>432.63</v>
      </c>
      <c r="J97" s="10">
        <v>46469.080000000024</v>
      </c>
      <c r="K97" s="6">
        <v>127228.52000000005</v>
      </c>
    </row>
    <row r="98" spans="1:11" x14ac:dyDescent="0.25">
      <c r="A98" s="5" t="s">
        <v>818</v>
      </c>
      <c r="B98" s="42">
        <f t="shared" si="1"/>
        <v>46.901710000000023</v>
      </c>
      <c r="C98" s="7" t="s">
        <v>294</v>
      </c>
      <c r="D98" s="7" t="s">
        <v>296</v>
      </c>
      <c r="E98" s="7" t="s">
        <v>826</v>
      </c>
      <c r="F98" s="17">
        <v>44.367820000000059</v>
      </c>
      <c r="G98" s="33" t="s">
        <v>375</v>
      </c>
      <c r="H98" s="7" t="s">
        <v>377</v>
      </c>
      <c r="I98" s="10">
        <v>443.87</v>
      </c>
      <c r="J98" s="10">
        <v>46901.710000000021</v>
      </c>
      <c r="K98" s="6">
        <v>126784.65000000005</v>
      </c>
    </row>
    <row r="99" spans="1:11" x14ac:dyDescent="0.25">
      <c r="A99" s="5" t="s">
        <v>818</v>
      </c>
      <c r="B99" s="42">
        <f t="shared" si="1"/>
        <v>47.345580000000027</v>
      </c>
      <c r="C99" s="7" t="s">
        <v>296</v>
      </c>
      <c r="D99" s="7" t="s">
        <v>298</v>
      </c>
      <c r="E99" s="7" t="s">
        <v>826</v>
      </c>
      <c r="F99" s="17">
        <v>44.85258000000006</v>
      </c>
      <c r="G99" s="33" t="s">
        <v>377</v>
      </c>
      <c r="H99" s="7" t="s">
        <v>379</v>
      </c>
      <c r="I99" s="10">
        <v>536.6</v>
      </c>
      <c r="J99" s="10">
        <v>47345.580000000024</v>
      </c>
      <c r="K99" s="6">
        <v>126248.05000000005</v>
      </c>
    </row>
    <row r="100" spans="1:11" x14ac:dyDescent="0.25">
      <c r="A100" s="5" t="s">
        <v>818</v>
      </c>
      <c r="B100" s="42">
        <f t="shared" si="1"/>
        <v>47.88218000000002</v>
      </c>
      <c r="C100" s="7" t="s">
        <v>298</v>
      </c>
      <c r="D100" s="7" t="s">
        <v>300</v>
      </c>
      <c r="E100" s="7" t="s">
        <v>826</v>
      </c>
      <c r="F100" s="17">
        <v>45.404810000000062</v>
      </c>
      <c r="G100" s="33" t="s">
        <v>379</v>
      </c>
      <c r="H100" s="7" t="s">
        <v>381</v>
      </c>
      <c r="I100" s="10">
        <v>626.1</v>
      </c>
      <c r="J100" s="10">
        <v>47882.180000000022</v>
      </c>
      <c r="K100" s="6">
        <v>125621.95000000004</v>
      </c>
    </row>
    <row r="101" spans="1:11" x14ac:dyDescent="0.25">
      <c r="A101" s="5" t="s">
        <v>818</v>
      </c>
      <c r="B101" s="42">
        <f t="shared" si="1"/>
        <v>48.50828000000002</v>
      </c>
      <c r="C101" s="7" t="s">
        <v>300</v>
      </c>
      <c r="D101" s="7" t="s">
        <v>302</v>
      </c>
      <c r="E101" s="7" t="s">
        <v>826</v>
      </c>
      <c r="F101" s="17">
        <v>45.841900000000059</v>
      </c>
      <c r="G101" s="33" t="s">
        <v>381</v>
      </c>
      <c r="H101" s="7" t="s">
        <v>383</v>
      </c>
      <c r="I101" s="10">
        <v>479.7</v>
      </c>
      <c r="J101" s="10">
        <v>48508.280000000021</v>
      </c>
      <c r="K101" s="6">
        <v>125142.25000000004</v>
      </c>
    </row>
    <row r="102" spans="1:11" x14ac:dyDescent="0.25">
      <c r="A102" s="5" t="s">
        <v>818</v>
      </c>
      <c r="B102" s="42">
        <f t="shared" si="1"/>
        <v>48.987980000000015</v>
      </c>
      <c r="C102" s="7" t="s">
        <v>302</v>
      </c>
      <c r="D102" s="7" t="s">
        <v>304</v>
      </c>
      <c r="E102" s="7" t="s">
        <v>826</v>
      </c>
      <c r="F102" s="17">
        <v>46.371820000000056</v>
      </c>
      <c r="G102" s="33" t="s">
        <v>383</v>
      </c>
      <c r="H102" s="7" t="s">
        <v>385</v>
      </c>
      <c r="I102" s="10">
        <v>449.7</v>
      </c>
      <c r="J102" s="10">
        <v>48987.980000000018</v>
      </c>
      <c r="K102" s="6">
        <v>124692.55000000005</v>
      </c>
    </row>
    <row r="103" spans="1:11" x14ac:dyDescent="0.25">
      <c r="A103" s="5" t="s">
        <v>818</v>
      </c>
      <c r="B103" s="42">
        <f t="shared" si="1"/>
        <v>49.437680000000015</v>
      </c>
      <c r="C103" s="7" t="s">
        <v>304</v>
      </c>
      <c r="D103" s="7" t="s">
        <v>306</v>
      </c>
      <c r="E103" s="7" t="s">
        <v>826</v>
      </c>
      <c r="F103" s="17">
        <v>46.880410000000055</v>
      </c>
      <c r="G103" s="33" t="s">
        <v>385</v>
      </c>
      <c r="H103" s="7" t="s">
        <v>387</v>
      </c>
      <c r="I103" s="10">
        <v>502.73</v>
      </c>
      <c r="J103" s="10">
        <v>49437.680000000015</v>
      </c>
      <c r="K103" s="6">
        <v>124189.82000000005</v>
      </c>
    </row>
    <row r="104" spans="1:11" x14ac:dyDescent="0.25">
      <c r="A104" s="5" t="s">
        <v>818</v>
      </c>
      <c r="B104" s="42">
        <f t="shared" si="1"/>
        <v>49.940410000000021</v>
      </c>
      <c r="C104" s="7" t="s">
        <v>306</v>
      </c>
      <c r="D104" s="7" t="s">
        <v>308</v>
      </c>
      <c r="E104" s="7" t="s">
        <v>826</v>
      </c>
      <c r="F104" s="17">
        <v>47.396850000000057</v>
      </c>
      <c r="G104" s="33" t="s">
        <v>387</v>
      </c>
      <c r="H104" s="7" t="s">
        <v>389</v>
      </c>
      <c r="I104" s="10">
        <v>487.72</v>
      </c>
      <c r="J104" s="10">
        <v>49940.410000000018</v>
      </c>
      <c r="K104" s="6">
        <v>123702.10000000005</v>
      </c>
    </row>
    <row r="105" spans="1:11" x14ac:dyDescent="0.25">
      <c r="A105" s="5" t="s">
        <v>818</v>
      </c>
      <c r="B105" s="42">
        <f t="shared" si="1"/>
        <v>50.428130000000017</v>
      </c>
      <c r="C105" s="7" t="s">
        <v>308</v>
      </c>
      <c r="D105" s="7" t="s">
        <v>310</v>
      </c>
      <c r="E105" s="7" t="s">
        <v>826</v>
      </c>
      <c r="F105" s="17">
        <v>47.959080000000057</v>
      </c>
      <c r="G105" s="33" t="s">
        <v>389</v>
      </c>
      <c r="H105" s="7" t="s">
        <v>391</v>
      </c>
      <c r="I105" s="10">
        <v>574.53</v>
      </c>
      <c r="J105" s="10">
        <v>50428.130000000019</v>
      </c>
      <c r="K105" s="6">
        <v>123127.57000000005</v>
      </c>
    </row>
    <row r="106" spans="1:11" x14ac:dyDescent="0.25">
      <c r="A106" s="5" t="s">
        <v>818</v>
      </c>
      <c r="B106" s="42">
        <f t="shared" si="1"/>
        <v>51.00266000000002</v>
      </c>
      <c r="C106" s="7" t="s">
        <v>310</v>
      </c>
      <c r="D106" s="7" t="s">
        <v>312</v>
      </c>
      <c r="E106" s="7" t="s">
        <v>826</v>
      </c>
      <c r="F106" s="17">
        <v>48.491380000000063</v>
      </c>
      <c r="G106" s="33" t="s">
        <v>391</v>
      </c>
      <c r="H106" s="7" t="s">
        <v>393</v>
      </c>
      <c r="I106" s="10">
        <v>520.48</v>
      </c>
      <c r="J106" s="10">
        <v>51002.660000000018</v>
      </c>
      <c r="K106" s="6">
        <v>122607.09000000005</v>
      </c>
    </row>
    <row r="107" spans="1:11" x14ac:dyDescent="0.25">
      <c r="A107" s="5" t="s">
        <v>818</v>
      </c>
      <c r="B107" s="42">
        <f t="shared" si="1"/>
        <v>51.523140000000019</v>
      </c>
      <c r="C107" s="7" t="s">
        <v>312</v>
      </c>
      <c r="D107" s="7" t="s">
        <v>314</v>
      </c>
      <c r="E107" s="7" t="s">
        <v>826</v>
      </c>
      <c r="F107" s="17">
        <v>49.041110000000067</v>
      </c>
      <c r="G107" s="33" t="s">
        <v>393</v>
      </c>
      <c r="H107" s="7" t="s">
        <v>395</v>
      </c>
      <c r="I107" s="10">
        <v>569.59999999999854</v>
      </c>
      <c r="J107" s="10">
        <v>51523.140000000021</v>
      </c>
      <c r="K107" s="6">
        <v>122037.49000000005</v>
      </c>
    </row>
    <row r="108" spans="1:11" x14ac:dyDescent="0.25">
      <c r="A108" s="5" t="s">
        <v>818</v>
      </c>
      <c r="B108" s="42">
        <f t="shared" si="1"/>
        <v>52.09274000000002</v>
      </c>
      <c r="C108" s="7" t="s">
        <v>314</v>
      </c>
      <c r="D108" s="7" t="s">
        <v>316</v>
      </c>
      <c r="E108" s="7" t="s">
        <v>826</v>
      </c>
      <c r="F108" s="17">
        <v>49.541880000000063</v>
      </c>
      <c r="G108" s="33" t="s">
        <v>395</v>
      </c>
      <c r="H108" s="7" t="s">
        <v>397</v>
      </c>
      <c r="I108" s="10">
        <v>499.5</v>
      </c>
      <c r="J108" s="10">
        <v>52092.74000000002</v>
      </c>
      <c r="K108" s="6">
        <v>121537.99000000005</v>
      </c>
    </row>
    <row r="109" spans="1:11" x14ac:dyDescent="0.25">
      <c r="A109" s="5" t="s">
        <v>818</v>
      </c>
      <c r="B109" s="42">
        <f t="shared" si="1"/>
        <v>52.592240000000018</v>
      </c>
      <c r="C109" s="7" t="s">
        <v>316</v>
      </c>
      <c r="D109" s="7" t="s">
        <v>318</v>
      </c>
      <c r="E109" s="7" t="s">
        <v>826</v>
      </c>
      <c r="F109" s="17">
        <v>50.066610000000068</v>
      </c>
      <c r="G109" s="33" t="s">
        <v>397</v>
      </c>
      <c r="H109" s="7" t="s">
        <v>399</v>
      </c>
      <c r="I109" s="10">
        <v>533.4</v>
      </c>
      <c r="J109" s="10">
        <v>52592.24000000002</v>
      </c>
      <c r="K109" s="6">
        <v>121004.59000000005</v>
      </c>
    </row>
    <row r="110" spans="1:11" x14ac:dyDescent="0.25">
      <c r="A110" s="5" t="s">
        <v>818</v>
      </c>
      <c r="B110" s="42">
        <f t="shared" si="1"/>
        <v>53.125640000000018</v>
      </c>
      <c r="C110" s="7" t="s">
        <v>318</v>
      </c>
      <c r="D110" s="7" t="s">
        <v>320</v>
      </c>
      <c r="E110" s="7" t="s">
        <v>826</v>
      </c>
      <c r="F110" s="17">
        <v>50.596890000000066</v>
      </c>
      <c r="G110" s="33" t="s">
        <v>399</v>
      </c>
      <c r="H110" s="7" t="s">
        <v>401</v>
      </c>
      <c r="I110" s="10">
        <v>447</v>
      </c>
      <c r="J110" s="10">
        <v>53125.640000000021</v>
      </c>
      <c r="K110" s="6">
        <v>120557.59000000005</v>
      </c>
    </row>
    <row r="111" spans="1:11" x14ac:dyDescent="0.25">
      <c r="A111" s="5" t="s">
        <v>818</v>
      </c>
      <c r="B111" s="42">
        <f t="shared" si="1"/>
        <v>53.572640000000021</v>
      </c>
      <c r="C111" s="7" t="s">
        <v>320</v>
      </c>
      <c r="D111" s="7" t="s">
        <v>322</v>
      </c>
      <c r="E111" s="7" t="s">
        <v>826</v>
      </c>
      <c r="F111" s="17">
        <v>51.108630000000062</v>
      </c>
      <c r="G111" s="33" t="s">
        <v>401</v>
      </c>
      <c r="H111" s="7" t="s">
        <v>403</v>
      </c>
      <c r="I111" s="10">
        <v>527.51</v>
      </c>
      <c r="J111" s="10">
        <v>53572.640000000021</v>
      </c>
      <c r="K111" s="6">
        <v>120030.08000000006</v>
      </c>
    </row>
    <row r="112" spans="1:11" x14ac:dyDescent="0.25">
      <c r="A112" s="5" t="s">
        <v>818</v>
      </c>
      <c r="B112" s="42">
        <f t="shared" si="1"/>
        <v>54.100150000000021</v>
      </c>
      <c r="C112" s="7" t="s">
        <v>322</v>
      </c>
      <c r="D112" s="7" t="s">
        <v>324</v>
      </c>
      <c r="E112" s="7" t="s">
        <v>826</v>
      </c>
      <c r="F112" s="17">
        <v>51.628630000000065</v>
      </c>
      <c r="G112" s="33" t="s">
        <v>403</v>
      </c>
      <c r="H112" s="7" t="s">
        <v>405</v>
      </c>
      <c r="I112" s="10">
        <v>563.49</v>
      </c>
      <c r="J112" s="10">
        <v>54100.150000000023</v>
      </c>
      <c r="K112" s="6">
        <v>119466.59000000005</v>
      </c>
    </row>
    <row r="113" spans="1:11" x14ac:dyDescent="0.25">
      <c r="A113" s="5" t="s">
        <v>818</v>
      </c>
      <c r="B113" s="42">
        <f t="shared" si="1"/>
        <v>54.663640000000022</v>
      </c>
      <c r="C113" s="7" t="s">
        <v>324</v>
      </c>
      <c r="D113" s="7" t="s">
        <v>326</v>
      </c>
      <c r="E113" s="7" t="s">
        <v>826</v>
      </c>
      <c r="F113" s="17">
        <v>52.168430000000065</v>
      </c>
      <c r="G113" s="33" t="s">
        <v>405</v>
      </c>
      <c r="H113" s="7" t="s">
        <v>407</v>
      </c>
      <c r="I113" s="10">
        <v>459.44</v>
      </c>
      <c r="J113" s="10">
        <v>54663.640000000021</v>
      </c>
      <c r="K113" s="6">
        <v>119007.15000000005</v>
      </c>
    </row>
    <row r="114" spans="1:11" x14ac:dyDescent="0.25">
      <c r="A114" s="5" t="s">
        <v>818</v>
      </c>
      <c r="B114" s="42">
        <f t="shared" si="1"/>
        <v>55.123080000000023</v>
      </c>
      <c r="C114" s="7" t="s">
        <v>326</v>
      </c>
      <c r="D114" s="7" t="s">
        <v>328</v>
      </c>
      <c r="E114" s="7" t="s">
        <v>826</v>
      </c>
      <c r="F114" s="17">
        <v>52.720680000000065</v>
      </c>
      <c r="G114" s="33" t="s">
        <v>407</v>
      </c>
      <c r="H114" s="7" t="s">
        <v>409</v>
      </c>
      <c r="I114" s="10">
        <v>446.55</v>
      </c>
      <c r="J114" s="10">
        <v>55123.080000000024</v>
      </c>
      <c r="K114" s="6">
        <v>118560.60000000005</v>
      </c>
    </row>
    <row r="115" spans="1:11" x14ac:dyDescent="0.25">
      <c r="A115" s="5" t="s">
        <v>818</v>
      </c>
      <c r="B115" s="42">
        <f t="shared" si="1"/>
        <v>55.569630000000025</v>
      </c>
      <c r="C115" s="7" t="s">
        <v>328</v>
      </c>
      <c r="D115" s="7" t="s">
        <v>330</v>
      </c>
      <c r="E115" s="7" t="s">
        <v>826</v>
      </c>
      <c r="F115" s="17">
        <v>53.236350000000066</v>
      </c>
      <c r="G115" s="33" t="s">
        <v>409</v>
      </c>
      <c r="H115" s="7" t="s">
        <v>411</v>
      </c>
      <c r="I115" s="10">
        <v>434.07</v>
      </c>
      <c r="J115" s="10">
        <v>55569.630000000026</v>
      </c>
      <c r="K115" s="6">
        <v>118126.53000000004</v>
      </c>
    </row>
    <row r="116" spans="1:11" x14ac:dyDescent="0.25">
      <c r="A116" s="5" t="s">
        <v>818</v>
      </c>
      <c r="B116" s="42">
        <f t="shared" si="1"/>
        <v>56.003700000000023</v>
      </c>
      <c r="C116" s="7" t="s">
        <v>330</v>
      </c>
      <c r="D116" s="7" t="s">
        <v>332</v>
      </c>
      <c r="E116" s="7" t="s">
        <v>826</v>
      </c>
      <c r="F116" s="17">
        <v>53.766150000000067</v>
      </c>
      <c r="G116" s="33" t="s">
        <v>411</v>
      </c>
      <c r="H116" s="7" t="s">
        <v>413</v>
      </c>
      <c r="I116" s="10">
        <v>373.75</v>
      </c>
      <c r="J116" s="10">
        <v>56003.700000000026</v>
      </c>
      <c r="K116" s="6">
        <v>117752.78000000004</v>
      </c>
    </row>
    <row r="117" spans="1:11" x14ac:dyDescent="0.25">
      <c r="A117" s="5" t="s">
        <v>818</v>
      </c>
      <c r="B117" s="42">
        <f t="shared" si="1"/>
        <v>56.377450000000024</v>
      </c>
      <c r="C117" s="7" t="s">
        <v>332</v>
      </c>
      <c r="D117" s="7" t="s">
        <v>334</v>
      </c>
      <c r="E117" s="7" t="s">
        <v>826</v>
      </c>
      <c r="F117" s="17">
        <v>54.173650000000066</v>
      </c>
      <c r="G117" s="33" t="s">
        <v>413</v>
      </c>
      <c r="H117" s="7" t="s">
        <v>415</v>
      </c>
      <c r="I117" s="10">
        <v>358.8</v>
      </c>
      <c r="J117" s="10">
        <v>56377.450000000026</v>
      </c>
      <c r="K117" s="6">
        <v>117393.98000000004</v>
      </c>
    </row>
    <row r="118" spans="1:11" x14ac:dyDescent="0.25">
      <c r="A118" s="5" t="s">
        <v>818</v>
      </c>
      <c r="B118" s="42">
        <f t="shared" si="1"/>
        <v>56.736250000000027</v>
      </c>
      <c r="C118" s="7" t="s">
        <v>334</v>
      </c>
      <c r="D118" s="7" t="s">
        <v>336</v>
      </c>
      <c r="E118" s="7" t="s">
        <v>826</v>
      </c>
      <c r="F118" s="17">
        <v>54.646700000000067</v>
      </c>
      <c r="G118" s="33" t="s">
        <v>415</v>
      </c>
      <c r="H118" s="7" t="s">
        <v>417</v>
      </c>
      <c r="I118" s="10">
        <v>504.2</v>
      </c>
      <c r="J118" s="10">
        <v>56736.250000000029</v>
      </c>
      <c r="K118" s="6">
        <v>116889.78000000004</v>
      </c>
    </row>
    <row r="119" spans="1:11" x14ac:dyDescent="0.25">
      <c r="A119" s="5" t="s">
        <v>818</v>
      </c>
      <c r="B119" s="42">
        <f t="shared" si="1"/>
        <v>57.240450000000024</v>
      </c>
      <c r="C119" s="7" t="s">
        <v>336</v>
      </c>
      <c r="D119" s="7" t="s">
        <v>338</v>
      </c>
      <c r="E119" s="7" t="s">
        <v>826</v>
      </c>
      <c r="F119" s="17">
        <v>55.176530000000071</v>
      </c>
      <c r="G119" s="33" t="s">
        <v>417</v>
      </c>
      <c r="H119" s="7" t="s">
        <v>419</v>
      </c>
      <c r="I119" s="10">
        <v>496.08</v>
      </c>
      <c r="J119" s="10">
        <v>57240.450000000026</v>
      </c>
      <c r="K119" s="6">
        <v>116393.70000000004</v>
      </c>
    </row>
    <row r="120" spans="1:11" x14ac:dyDescent="0.25">
      <c r="A120" s="5" t="s">
        <v>818</v>
      </c>
      <c r="B120" s="42">
        <f t="shared" si="1"/>
        <v>57.73653000000003</v>
      </c>
      <c r="C120" s="7" t="s">
        <v>338</v>
      </c>
      <c r="D120" s="7" t="s">
        <v>340</v>
      </c>
      <c r="E120" s="7" t="s">
        <v>826</v>
      </c>
      <c r="F120" s="17">
        <v>55.717390000000073</v>
      </c>
      <c r="G120" s="33" t="s">
        <v>419</v>
      </c>
      <c r="H120" s="7" t="s">
        <v>421</v>
      </c>
      <c r="I120" s="10">
        <v>466.49</v>
      </c>
      <c r="J120" s="10">
        <v>57736.530000000028</v>
      </c>
      <c r="K120" s="6">
        <v>115927.21000000004</v>
      </c>
    </row>
    <row r="121" spans="1:11" x14ac:dyDescent="0.25">
      <c r="A121" s="5" t="s">
        <v>818</v>
      </c>
      <c r="B121" s="42">
        <f t="shared" si="1"/>
        <v>58.203020000000024</v>
      </c>
      <c r="C121" s="7" t="s">
        <v>340</v>
      </c>
      <c r="D121" s="7" t="s">
        <v>342</v>
      </c>
      <c r="E121" s="7" t="s">
        <v>826</v>
      </c>
      <c r="F121" s="17">
        <v>56.246820000000064</v>
      </c>
      <c r="G121" s="33" t="s">
        <v>421</v>
      </c>
      <c r="H121" s="7" t="s">
        <v>423</v>
      </c>
      <c r="I121" s="10">
        <v>517.6</v>
      </c>
      <c r="J121" s="10">
        <v>58203.020000000026</v>
      </c>
      <c r="K121" s="6">
        <v>115409.61000000003</v>
      </c>
    </row>
    <row r="122" spans="1:11" x14ac:dyDescent="0.25">
      <c r="A122" s="5" t="s">
        <v>818</v>
      </c>
      <c r="B122" s="42">
        <f t="shared" si="1"/>
        <v>58.720620000000025</v>
      </c>
      <c r="C122" s="7" t="s">
        <v>342</v>
      </c>
      <c r="D122" s="7" t="s">
        <v>344</v>
      </c>
      <c r="E122" s="7" t="s">
        <v>826</v>
      </c>
      <c r="F122" s="17">
        <v>56.767130000000066</v>
      </c>
      <c r="G122" s="33" t="s">
        <v>423</v>
      </c>
      <c r="H122" s="7" t="s">
        <v>425</v>
      </c>
      <c r="I122" s="10">
        <v>592.9</v>
      </c>
      <c r="J122" s="10">
        <v>58720.620000000024</v>
      </c>
      <c r="K122" s="6">
        <v>114816.71000000004</v>
      </c>
    </row>
    <row r="123" spans="1:11" x14ac:dyDescent="0.25">
      <c r="A123" s="5" t="s">
        <v>818</v>
      </c>
      <c r="B123" s="42">
        <f t="shared" si="1"/>
        <v>59.313520000000025</v>
      </c>
      <c r="C123" s="7" t="s">
        <v>344</v>
      </c>
      <c r="D123" s="7" t="s">
        <v>346</v>
      </c>
      <c r="E123" s="7" t="s">
        <v>826</v>
      </c>
      <c r="F123" s="17">
        <v>57.239650000000061</v>
      </c>
      <c r="G123" s="33" t="s">
        <v>425</v>
      </c>
      <c r="H123" s="7" t="s">
        <v>427</v>
      </c>
      <c r="I123" s="10">
        <v>329.7</v>
      </c>
      <c r="J123" s="10">
        <v>59313.520000000026</v>
      </c>
      <c r="K123" s="6">
        <v>114487.01000000004</v>
      </c>
    </row>
    <row r="124" spans="1:11" x14ac:dyDescent="0.25">
      <c r="A124" s="5" t="s">
        <v>818</v>
      </c>
      <c r="B124" s="42">
        <f t="shared" si="1"/>
        <v>59.643220000000021</v>
      </c>
      <c r="C124" s="7" t="s">
        <v>346</v>
      </c>
      <c r="D124" s="7" t="s">
        <v>348</v>
      </c>
      <c r="E124" s="7" t="s">
        <v>826</v>
      </c>
      <c r="F124" s="17">
        <v>57.815200000000061</v>
      </c>
      <c r="G124" s="33" t="s">
        <v>427</v>
      </c>
      <c r="H124" s="7" t="s">
        <v>429</v>
      </c>
      <c r="I124" s="10">
        <v>484.78</v>
      </c>
      <c r="J124" s="10">
        <v>59643.220000000023</v>
      </c>
      <c r="K124" s="6">
        <v>114002.23000000004</v>
      </c>
    </row>
    <row r="125" spans="1:11" x14ac:dyDescent="0.25">
      <c r="A125" s="5" t="s">
        <v>818</v>
      </c>
      <c r="B125" s="42">
        <f t="shared" si="1"/>
        <v>60.128000000000021</v>
      </c>
      <c r="C125" s="7" t="s">
        <v>348</v>
      </c>
      <c r="D125" s="7" t="s">
        <v>350</v>
      </c>
      <c r="E125" s="7" t="s">
        <v>826</v>
      </c>
      <c r="F125" s="17">
        <v>58.365490000000065</v>
      </c>
      <c r="G125" s="33" t="s">
        <v>429</v>
      </c>
      <c r="H125" s="7" t="s">
        <v>431</v>
      </c>
      <c r="I125" s="10">
        <v>435.83</v>
      </c>
      <c r="J125" s="10">
        <v>60128.000000000022</v>
      </c>
      <c r="K125" s="6">
        <v>113566.40000000004</v>
      </c>
    </row>
    <row r="126" spans="1:11" x14ac:dyDescent="0.25">
      <c r="A126" s="5" t="s">
        <v>818</v>
      </c>
      <c r="B126" s="42">
        <f t="shared" si="1"/>
        <v>60.563830000000024</v>
      </c>
      <c r="C126" s="7" t="s">
        <v>350</v>
      </c>
      <c r="D126" s="7" t="s">
        <v>352</v>
      </c>
      <c r="E126" s="7" t="s">
        <v>826</v>
      </c>
      <c r="F126" s="17">
        <v>58.830140000000064</v>
      </c>
      <c r="G126" s="33" t="s">
        <v>431</v>
      </c>
      <c r="H126" s="7" t="s">
        <v>433</v>
      </c>
      <c r="I126" s="10">
        <v>370.2</v>
      </c>
      <c r="J126" s="10">
        <v>60563.830000000024</v>
      </c>
      <c r="K126" s="6">
        <v>113196.20000000004</v>
      </c>
    </row>
    <row r="127" spans="1:11" x14ac:dyDescent="0.25">
      <c r="A127" s="5" t="s">
        <v>818</v>
      </c>
      <c r="B127" s="42">
        <f t="shared" si="1"/>
        <v>60.934030000000021</v>
      </c>
      <c r="C127" s="7" t="s">
        <v>352</v>
      </c>
      <c r="D127" s="7" t="s">
        <v>354</v>
      </c>
      <c r="E127" s="7" t="s">
        <v>826</v>
      </c>
      <c r="F127" s="17">
        <v>59.388530000000067</v>
      </c>
      <c r="G127" s="33" t="s">
        <v>433</v>
      </c>
      <c r="H127" s="7" t="s">
        <v>435</v>
      </c>
      <c r="I127" s="10">
        <v>412.09</v>
      </c>
      <c r="J127" s="10">
        <v>60934.030000000021</v>
      </c>
      <c r="K127" s="6">
        <v>112784.11000000004</v>
      </c>
    </row>
    <row r="128" spans="1:11" x14ac:dyDescent="0.25">
      <c r="A128" s="5" t="s">
        <v>818</v>
      </c>
      <c r="B128" s="42">
        <f t="shared" si="1"/>
        <v>61.34612000000002</v>
      </c>
      <c r="C128" s="7" t="s">
        <v>354</v>
      </c>
      <c r="D128" s="7" t="s">
        <v>356</v>
      </c>
      <c r="E128" s="7" t="s">
        <v>826</v>
      </c>
      <c r="F128" s="17">
        <v>59.73687000000006</v>
      </c>
      <c r="G128" s="33" t="s">
        <v>435</v>
      </c>
      <c r="H128" s="7" t="s">
        <v>437</v>
      </c>
      <c r="I128" s="10">
        <v>475.68</v>
      </c>
      <c r="J128" s="10">
        <v>61346.120000000017</v>
      </c>
      <c r="K128" s="6">
        <v>112308.43000000005</v>
      </c>
    </row>
    <row r="129" spans="1:11" x14ac:dyDescent="0.25">
      <c r="A129" s="5" t="s">
        <v>818</v>
      </c>
      <c r="B129" s="42">
        <f t="shared" si="1"/>
        <v>61.821800000000017</v>
      </c>
      <c r="C129" s="7" t="s">
        <v>356</v>
      </c>
      <c r="D129" s="7" t="s">
        <v>358</v>
      </c>
      <c r="E129" s="7" t="s">
        <v>826</v>
      </c>
      <c r="F129" s="17">
        <v>60.244290000000056</v>
      </c>
      <c r="G129" s="33" t="s">
        <v>437</v>
      </c>
      <c r="H129" s="7" t="s">
        <v>439</v>
      </c>
      <c r="I129" s="10">
        <v>372.22</v>
      </c>
      <c r="J129" s="10">
        <v>61821.800000000017</v>
      </c>
      <c r="K129" s="6">
        <v>111936.21000000005</v>
      </c>
    </row>
    <row r="130" spans="1:11" x14ac:dyDescent="0.25">
      <c r="A130" s="5" t="s">
        <v>818</v>
      </c>
      <c r="B130" s="42">
        <f t="shared" si="1"/>
        <v>62.194020000000016</v>
      </c>
      <c r="C130" s="7" t="s">
        <v>358</v>
      </c>
      <c r="D130" s="7" t="s">
        <v>360</v>
      </c>
      <c r="E130" s="7" t="s">
        <v>826</v>
      </c>
      <c r="F130" s="17">
        <v>60.743570000000055</v>
      </c>
      <c r="G130" s="33" t="s">
        <v>439</v>
      </c>
      <c r="H130" s="7" t="s">
        <v>441</v>
      </c>
      <c r="I130" s="10">
        <v>553.25</v>
      </c>
      <c r="J130" s="10">
        <v>62194.020000000019</v>
      </c>
      <c r="K130" s="6">
        <v>111382.96000000005</v>
      </c>
    </row>
    <row r="131" spans="1:11" x14ac:dyDescent="0.25">
      <c r="A131" s="5" t="s">
        <v>818</v>
      </c>
      <c r="B131" s="42">
        <f t="shared" ref="B131:B194" si="2">J131/1000</f>
        <v>62.747270000000022</v>
      </c>
      <c r="C131" s="7" t="s">
        <v>360</v>
      </c>
      <c r="D131" s="7" t="s">
        <v>362</v>
      </c>
      <c r="E131" s="7" t="s">
        <v>826</v>
      </c>
      <c r="F131" s="17">
        <v>61.216860000000061</v>
      </c>
      <c r="G131" s="33" t="s">
        <v>441</v>
      </c>
      <c r="H131" s="7" t="s">
        <v>443</v>
      </c>
      <c r="I131" s="10">
        <v>363.44</v>
      </c>
      <c r="J131" s="10">
        <v>62747.270000000019</v>
      </c>
      <c r="K131" s="6">
        <v>111019.52000000005</v>
      </c>
    </row>
    <row r="132" spans="1:11" x14ac:dyDescent="0.25">
      <c r="A132" s="5" t="s">
        <v>818</v>
      </c>
      <c r="B132" s="42">
        <f t="shared" si="2"/>
        <v>63.110710000000019</v>
      </c>
      <c r="C132" s="7" t="s">
        <v>362</v>
      </c>
      <c r="D132" s="7" t="s">
        <v>364</v>
      </c>
      <c r="E132" s="7" t="s">
        <v>826</v>
      </c>
      <c r="F132" s="17">
        <v>61.656790000000058</v>
      </c>
      <c r="G132" s="33" t="s">
        <v>443</v>
      </c>
      <c r="H132" s="7" t="s">
        <v>445</v>
      </c>
      <c r="I132" s="10">
        <v>346.55</v>
      </c>
      <c r="J132" s="10">
        <v>63110.710000000021</v>
      </c>
      <c r="K132" s="6">
        <v>110672.97000000004</v>
      </c>
    </row>
    <row r="133" spans="1:11" x14ac:dyDescent="0.25">
      <c r="A133" s="5" t="s">
        <v>818</v>
      </c>
      <c r="B133" s="42">
        <f t="shared" si="2"/>
        <v>63.457260000000026</v>
      </c>
      <c r="C133" s="7" t="s">
        <v>364</v>
      </c>
      <c r="D133" s="7" t="s">
        <v>366</v>
      </c>
      <c r="E133" s="7" t="s">
        <v>826</v>
      </c>
      <c r="F133" s="17">
        <v>62.244210000000059</v>
      </c>
      <c r="G133" s="33" t="s">
        <v>445</v>
      </c>
      <c r="H133" s="7" t="s">
        <v>447</v>
      </c>
      <c r="I133" s="10">
        <v>403.79</v>
      </c>
      <c r="J133" s="10">
        <v>63457.260000000024</v>
      </c>
      <c r="K133" s="6">
        <v>110269.18000000005</v>
      </c>
    </row>
    <row r="134" spans="1:11" x14ac:dyDescent="0.25">
      <c r="A134" s="5" t="s">
        <v>818</v>
      </c>
      <c r="B134" s="42">
        <f t="shared" si="2"/>
        <v>63.861050000000027</v>
      </c>
      <c r="C134" s="7" t="s">
        <v>366</v>
      </c>
      <c r="D134" s="7" t="s">
        <v>368</v>
      </c>
      <c r="E134" s="7" t="s">
        <v>826</v>
      </c>
      <c r="F134" s="17">
        <v>62.728090000000051</v>
      </c>
      <c r="G134" s="33" t="s">
        <v>447</v>
      </c>
      <c r="H134" s="7" t="s">
        <v>449</v>
      </c>
      <c r="I134" s="10">
        <v>373.79</v>
      </c>
      <c r="J134" s="10">
        <v>63861.050000000025</v>
      </c>
      <c r="K134" s="6">
        <v>109895.39000000006</v>
      </c>
    </row>
    <row r="135" spans="1:11" x14ac:dyDescent="0.25">
      <c r="A135" s="5" t="s">
        <v>818</v>
      </c>
      <c r="B135" s="42">
        <f t="shared" si="2"/>
        <v>64.23484000000002</v>
      </c>
      <c r="C135" s="7" t="s">
        <v>368</v>
      </c>
      <c r="D135" s="7" t="s">
        <v>370</v>
      </c>
      <c r="E135" s="7" t="s">
        <v>826</v>
      </c>
      <c r="F135" s="17">
        <v>63.263720000000056</v>
      </c>
      <c r="G135" s="33" t="s">
        <v>449</v>
      </c>
      <c r="H135" s="7" t="s">
        <v>451</v>
      </c>
      <c r="I135" s="10">
        <v>407.93</v>
      </c>
      <c r="J135" s="10">
        <v>64234.840000000026</v>
      </c>
      <c r="K135" s="6">
        <v>109487.46000000006</v>
      </c>
    </row>
    <row r="136" spans="1:11" x14ac:dyDescent="0.25">
      <c r="A136" s="5" t="s">
        <v>818</v>
      </c>
      <c r="B136" s="42">
        <f t="shared" si="2"/>
        <v>64.642770000000027</v>
      </c>
      <c r="C136" s="7" t="s">
        <v>370</v>
      </c>
      <c r="D136" s="7" t="s">
        <v>372</v>
      </c>
      <c r="E136" s="7" t="s">
        <v>826</v>
      </c>
      <c r="F136" s="17">
        <v>63.775140000000057</v>
      </c>
      <c r="G136" s="33" t="s">
        <v>451</v>
      </c>
      <c r="H136" s="7" t="s">
        <v>453</v>
      </c>
      <c r="I136" s="10">
        <v>430.52</v>
      </c>
      <c r="J136" s="10">
        <v>64642.770000000026</v>
      </c>
      <c r="K136" s="6">
        <v>109056.94000000006</v>
      </c>
    </row>
    <row r="137" spans="1:11" x14ac:dyDescent="0.25">
      <c r="A137" s="5" t="s">
        <v>818</v>
      </c>
      <c r="B137" s="42">
        <f t="shared" si="2"/>
        <v>65.073290000000028</v>
      </c>
      <c r="C137" s="7" t="s">
        <v>372</v>
      </c>
      <c r="D137" s="7" t="s">
        <v>374</v>
      </c>
      <c r="E137" s="7" t="s">
        <v>826</v>
      </c>
      <c r="F137" s="17">
        <v>64.311770000000053</v>
      </c>
      <c r="G137" s="33" t="s">
        <v>453</v>
      </c>
      <c r="H137" s="7" t="s">
        <v>455</v>
      </c>
      <c r="I137" s="10">
        <v>478.66</v>
      </c>
      <c r="J137" s="10">
        <v>65073.290000000023</v>
      </c>
      <c r="K137" s="6">
        <v>108578.28000000006</v>
      </c>
    </row>
    <row r="138" spans="1:11" x14ac:dyDescent="0.25">
      <c r="A138" s="5" t="s">
        <v>818</v>
      </c>
      <c r="B138" s="42">
        <f t="shared" si="2"/>
        <v>65.551950000000019</v>
      </c>
      <c r="C138" s="7" t="s">
        <v>374</v>
      </c>
      <c r="D138" s="7" t="s">
        <v>376</v>
      </c>
      <c r="E138" s="7" t="s">
        <v>826</v>
      </c>
      <c r="F138" s="17">
        <v>64.81242000000006</v>
      </c>
      <c r="G138" s="33" t="s">
        <v>455</v>
      </c>
      <c r="H138" s="7" t="s">
        <v>457</v>
      </c>
      <c r="I138" s="10">
        <v>423.81</v>
      </c>
      <c r="J138" s="10">
        <v>65551.950000000026</v>
      </c>
      <c r="K138" s="6">
        <v>108154.47000000006</v>
      </c>
    </row>
    <row r="139" spans="1:11" x14ac:dyDescent="0.25">
      <c r="A139" s="5" t="s">
        <v>818</v>
      </c>
      <c r="B139" s="42">
        <f t="shared" si="2"/>
        <v>65.975760000000022</v>
      </c>
      <c r="C139" s="7" t="s">
        <v>376</v>
      </c>
      <c r="D139" s="7" t="s">
        <v>378</v>
      </c>
      <c r="E139" s="7" t="s">
        <v>826</v>
      </c>
      <c r="F139" s="17">
        <v>65.411170000000055</v>
      </c>
      <c r="G139" s="33" t="s">
        <v>457</v>
      </c>
      <c r="H139" s="7" t="s">
        <v>459</v>
      </c>
      <c r="I139" s="10">
        <v>357.48</v>
      </c>
      <c r="J139" s="10">
        <v>65975.760000000024</v>
      </c>
      <c r="K139" s="6">
        <v>107796.99000000006</v>
      </c>
    </row>
    <row r="140" spans="1:11" x14ac:dyDescent="0.25">
      <c r="A140" s="5" t="s">
        <v>818</v>
      </c>
      <c r="B140" s="42">
        <f t="shared" si="2"/>
        <v>66.333240000000018</v>
      </c>
      <c r="C140" s="7" t="s">
        <v>378</v>
      </c>
      <c r="D140" s="7" t="s">
        <v>380</v>
      </c>
      <c r="E140" s="7" t="s">
        <v>826</v>
      </c>
      <c r="F140" s="17">
        <v>65.914890000000057</v>
      </c>
      <c r="G140" s="33" t="s">
        <v>459</v>
      </c>
      <c r="H140" s="7" t="s">
        <v>461</v>
      </c>
      <c r="I140" s="10">
        <v>415.81</v>
      </c>
      <c r="J140" s="10">
        <v>66333.24000000002</v>
      </c>
      <c r="K140" s="6">
        <v>107381.18000000007</v>
      </c>
    </row>
    <row r="141" spans="1:11" x14ac:dyDescent="0.25">
      <c r="A141" s="5" t="s">
        <v>818</v>
      </c>
      <c r="B141" s="42">
        <f t="shared" si="2"/>
        <v>66.749050000000011</v>
      </c>
      <c r="C141" s="7" t="s">
        <v>380</v>
      </c>
      <c r="D141" s="7" t="s">
        <v>382</v>
      </c>
      <c r="E141" s="7" t="s">
        <v>826</v>
      </c>
      <c r="F141" s="17">
        <v>66.346680000000049</v>
      </c>
      <c r="G141" s="33" t="s">
        <v>461</v>
      </c>
      <c r="H141" s="7" t="s">
        <v>463</v>
      </c>
      <c r="I141" s="10">
        <v>495.1</v>
      </c>
      <c r="J141" s="10">
        <v>66749.050000000017</v>
      </c>
      <c r="K141" s="6">
        <v>106886.08000000006</v>
      </c>
    </row>
    <row r="142" spans="1:11" x14ac:dyDescent="0.25">
      <c r="A142" s="5" t="s">
        <v>818</v>
      </c>
      <c r="B142" s="42">
        <f t="shared" si="2"/>
        <v>67.244150000000019</v>
      </c>
      <c r="C142" s="7" t="s">
        <v>382</v>
      </c>
      <c r="D142" s="7" t="s">
        <v>384</v>
      </c>
      <c r="E142" s="7" t="s">
        <v>826</v>
      </c>
      <c r="F142" s="17">
        <v>66.704280000000054</v>
      </c>
      <c r="G142" s="33" t="s">
        <v>463</v>
      </c>
      <c r="H142" s="7" t="s">
        <v>465</v>
      </c>
      <c r="I142" s="10">
        <v>324.45</v>
      </c>
      <c r="J142" s="10">
        <v>67244.150000000023</v>
      </c>
      <c r="K142" s="6">
        <v>106561.63000000006</v>
      </c>
    </row>
    <row r="143" spans="1:11" x14ac:dyDescent="0.25">
      <c r="A143" s="5" t="s">
        <v>818</v>
      </c>
      <c r="B143" s="42">
        <f t="shared" si="2"/>
        <v>67.568600000000018</v>
      </c>
      <c r="C143" s="7" t="s">
        <v>384</v>
      </c>
      <c r="D143" s="7" t="s">
        <v>386</v>
      </c>
      <c r="E143" s="7" t="s">
        <v>826</v>
      </c>
      <c r="F143" s="17">
        <v>67.05275000000006</v>
      </c>
      <c r="G143" s="33" t="s">
        <v>465</v>
      </c>
      <c r="H143" s="7" t="s">
        <v>467</v>
      </c>
      <c r="I143" s="10">
        <v>455.33</v>
      </c>
      <c r="J143" s="10">
        <v>67568.60000000002</v>
      </c>
      <c r="K143" s="6">
        <v>106106.30000000006</v>
      </c>
    </row>
    <row r="144" spans="1:11" x14ac:dyDescent="0.25">
      <c r="A144" s="5" t="s">
        <v>818</v>
      </c>
      <c r="B144" s="42">
        <f t="shared" si="2"/>
        <v>68.023930000000021</v>
      </c>
      <c r="C144" s="7" t="s">
        <v>386</v>
      </c>
      <c r="D144" s="7" t="s">
        <v>388</v>
      </c>
      <c r="E144" s="7" t="s">
        <v>826</v>
      </c>
      <c r="F144" s="17">
        <v>67.473450000000057</v>
      </c>
      <c r="G144" s="33" t="s">
        <v>467</v>
      </c>
      <c r="H144" s="7" t="s">
        <v>469</v>
      </c>
      <c r="I144" s="10">
        <v>396.42</v>
      </c>
      <c r="J144" s="10">
        <v>68023.930000000022</v>
      </c>
      <c r="K144" s="6">
        <v>105709.88000000006</v>
      </c>
    </row>
    <row r="145" spans="1:11" x14ac:dyDescent="0.25">
      <c r="A145" s="5" t="s">
        <v>818</v>
      </c>
      <c r="B145" s="42">
        <f t="shared" si="2"/>
        <v>68.420350000000013</v>
      </c>
      <c r="C145" s="7" t="s">
        <v>388</v>
      </c>
      <c r="D145" s="7" t="s">
        <v>390</v>
      </c>
      <c r="E145" s="7" t="s">
        <v>826</v>
      </c>
      <c r="F145" s="17">
        <v>68.022770000000065</v>
      </c>
      <c r="G145" s="33" t="s">
        <v>469</v>
      </c>
      <c r="H145" s="7" t="s">
        <v>471</v>
      </c>
      <c r="I145" s="10">
        <v>550.99</v>
      </c>
      <c r="J145" s="10">
        <v>68420.35000000002</v>
      </c>
      <c r="K145" s="6">
        <v>105158.89000000006</v>
      </c>
    </row>
    <row r="146" spans="1:11" x14ac:dyDescent="0.25">
      <c r="A146" s="5" t="s">
        <v>818</v>
      </c>
      <c r="B146" s="42">
        <f t="shared" si="2"/>
        <v>68.971340000000026</v>
      </c>
      <c r="C146" s="7" t="s">
        <v>390</v>
      </c>
      <c r="D146" s="7" t="s">
        <v>392</v>
      </c>
      <c r="E146" s="7" t="s">
        <v>826</v>
      </c>
      <c r="F146" s="17">
        <v>68.486830000000054</v>
      </c>
      <c r="G146" s="33" t="s">
        <v>471</v>
      </c>
      <c r="H146" s="7" t="s">
        <v>473</v>
      </c>
      <c r="I146" s="10">
        <v>326.87</v>
      </c>
      <c r="J146" s="10">
        <v>68971.340000000026</v>
      </c>
      <c r="K146" s="6">
        <v>104832.02000000006</v>
      </c>
    </row>
    <row r="147" spans="1:11" x14ac:dyDescent="0.25">
      <c r="A147" s="5" t="s">
        <v>818</v>
      </c>
      <c r="B147" s="42">
        <f t="shared" si="2"/>
        <v>69.298210000000026</v>
      </c>
      <c r="C147" s="7" t="s">
        <v>392</v>
      </c>
      <c r="D147" s="7" t="s">
        <v>394</v>
      </c>
      <c r="E147" s="7" t="s">
        <v>826</v>
      </c>
      <c r="F147" s="17">
        <v>69.014580000000066</v>
      </c>
      <c r="G147" s="33" t="s">
        <v>473</v>
      </c>
      <c r="H147" s="7" t="s">
        <v>475</v>
      </c>
      <c r="I147" s="10">
        <v>508.57</v>
      </c>
      <c r="J147" s="10">
        <v>69298.210000000021</v>
      </c>
      <c r="K147" s="6">
        <v>104323.45000000006</v>
      </c>
    </row>
    <row r="148" spans="1:11" x14ac:dyDescent="0.25">
      <c r="A148" s="5" t="s">
        <v>818</v>
      </c>
      <c r="B148" s="42">
        <f t="shared" si="2"/>
        <v>69.806780000000032</v>
      </c>
      <c r="C148" s="7" t="s">
        <v>394</v>
      </c>
      <c r="D148" s="7" t="s">
        <v>396</v>
      </c>
      <c r="E148" s="7" t="s">
        <v>826</v>
      </c>
      <c r="F148" s="17">
        <v>69.550280000000058</v>
      </c>
      <c r="G148" s="33" t="s">
        <v>475</v>
      </c>
      <c r="H148" s="7" t="s">
        <v>477</v>
      </c>
      <c r="I148" s="10">
        <v>535.91</v>
      </c>
      <c r="J148" s="10">
        <v>69806.780000000028</v>
      </c>
      <c r="K148" s="6">
        <v>103787.54000000005</v>
      </c>
    </row>
    <row r="149" spans="1:11" x14ac:dyDescent="0.25">
      <c r="A149" s="5" t="s">
        <v>818</v>
      </c>
      <c r="B149" s="42">
        <f t="shared" si="2"/>
        <v>70.342690000000033</v>
      </c>
      <c r="C149" s="7" t="s">
        <v>396</v>
      </c>
      <c r="D149" s="7" t="s">
        <v>398</v>
      </c>
      <c r="E149" s="7" t="s">
        <v>826</v>
      </c>
      <c r="F149" s="17">
        <v>70.05660000000006</v>
      </c>
      <c r="G149" s="33" t="s">
        <v>477</v>
      </c>
      <c r="H149" s="7" t="s">
        <v>479</v>
      </c>
      <c r="I149" s="10">
        <v>472.69</v>
      </c>
      <c r="J149" s="10">
        <v>70342.690000000031</v>
      </c>
      <c r="K149" s="6">
        <v>103314.85000000005</v>
      </c>
    </row>
    <row r="150" spans="1:11" x14ac:dyDescent="0.25">
      <c r="A150" s="5" t="s">
        <v>818</v>
      </c>
      <c r="B150" s="42">
        <f t="shared" si="2"/>
        <v>70.815380000000033</v>
      </c>
      <c r="C150" s="7" t="s">
        <v>398</v>
      </c>
      <c r="D150" s="7" t="s">
        <v>400</v>
      </c>
      <c r="E150" s="7" t="s">
        <v>826</v>
      </c>
      <c r="F150" s="17">
        <v>70.560550000000063</v>
      </c>
      <c r="G150" s="33" t="s">
        <v>479</v>
      </c>
      <c r="H150" s="7" t="s">
        <v>481</v>
      </c>
      <c r="I150" s="10">
        <v>467.22</v>
      </c>
      <c r="J150" s="10">
        <v>70815.380000000034</v>
      </c>
      <c r="K150" s="6">
        <v>102847.63000000005</v>
      </c>
    </row>
    <row r="151" spans="1:11" x14ac:dyDescent="0.25">
      <c r="A151" s="5" t="s">
        <v>818</v>
      </c>
      <c r="B151" s="42">
        <f t="shared" si="2"/>
        <v>71.282600000000031</v>
      </c>
      <c r="C151" s="7" t="s">
        <v>400</v>
      </c>
      <c r="D151" s="7" t="s">
        <v>402</v>
      </c>
      <c r="E151" s="7" t="s">
        <v>826</v>
      </c>
      <c r="F151" s="17">
        <v>71.127800000000065</v>
      </c>
      <c r="G151" s="33" t="s">
        <v>481</v>
      </c>
      <c r="H151" s="7" t="s">
        <v>483</v>
      </c>
      <c r="I151" s="10">
        <v>533.72</v>
      </c>
      <c r="J151" s="10">
        <v>71282.600000000035</v>
      </c>
      <c r="K151" s="6">
        <v>102313.91000000005</v>
      </c>
    </row>
    <row r="152" spans="1:11" x14ac:dyDescent="0.25">
      <c r="A152" s="5" t="s">
        <v>818</v>
      </c>
      <c r="B152" s="42">
        <f t="shared" si="2"/>
        <v>71.816320000000033</v>
      </c>
      <c r="C152" s="7" t="s">
        <v>402</v>
      </c>
      <c r="D152" s="7" t="s">
        <v>404</v>
      </c>
      <c r="E152" s="7" t="s">
        <v>826</v>
      </c>
      <c r="F152" s="17">
        <v>71.628240000000062</v>
      </c>
      <c r="G152" s="33" t="s">
        <v>483</v>
      </c>
      <c r="H152" s="7" t="s">
        <v>485</v>
      </c>
      <c r="I152" s="10">
        <v>528.39</v>
      </c>
      <c r="J152" s="10">
        <v>71816.320000000036</v>
      </c>
      <c r="K152" s="6">
        <v>101785.52000000005</v>
      </c>
    </row>
    <row r="153" spans="1:11" x14ac:dyDescent="0.25">
      <c r="A153" s="5" t="s">
        <v>818</v>
      </c>
      <c r="B153" s="42">
        <f t="shared" si="2"/>
        <v>72.344710000000035</v>
      </c>
      <c r="C153" s="7" t="s">
        <v>404</v>
      </c>
      <c r="D153" s="7" t="s">
        <v>406</v>
      </c>
      <c r="E153" s="7" t="s">
        <v>826</v>
      </c>
      <c r="F153" s="17">
        <v>72.167950000000076</v>
      </c>
      <c r="G153" s="33" t="s">
        <v>485</v>
      </c>
      <c r="H153" s="7" t="s">
        <v>487</v>
      </c>
      <c r="I153" s="10">
        <v>498.49</v>
      </c>
      <c r="J153" s="10">
        <v>72344.710000000036</v>
      </c>
      <c r="K153" s="6">
        <v>101287.03000000004</v>
      </c>
    </row>
    <row r="154" spans="1:11" x14ac:dyDescent="0.25">
      <c r="A154" s="5" t="s">
        <v>818</v>
      </c>
      <c r="B154" s="42">
        <f t="shared" si="2"/>
        <v>72.843200000000039</v>
      </c>
      <c r="C154" s="7" t="s">
        <v>406</v>
      </c>
      <c r="D154" s="7" t="s">
        <v>408</v>
      </c>
      <c r="E154" s="7" t="s">
        <v>826</v>
      </c>
      <c r="F154" s="17">
        <v>72.580810000000071</v>
      </c>
      <c r="G154" s="33" t="s">
        <v>487</v>
      </c>
      <c r="H154" s="7" t="s">
        <v>489</v>
      </c>
      <c r="I154" s="10">
        <v>480.51</v>
      </c>
      <c r="J154" s="10">
        <v>72843.200000000041</v>
      </c>
      <c r="K154" s="6">
        <v>100806.52000000005</v>
      </c>
    </row>
    <row r="155" spans="1:11" x14ac:dyDescent="0.25">
      <c r="A155" s="5" t="s">
        <v>818</v>
      </c>
      <c r="B155" s="42">
        <f t="shared" si="2"/>
        <v>73.323710000000034</v>
      </c>
      <c r="C155" s="7" t="s">
        <v>408</v>
      </c>
      <c r="D155" s="7" t="s">
        <v>410</v>
      </c>
      <c r="E155" s="7" t="s">
        <v>826</v>
      </c>
      <c r="F155" s="17">
        <v>73.073190000000082</v>
      </c>
      <c r="G155" s="33" t="s">
        <v>489</v>
      </c>
      <c r="H155" s="7" t="s">
        <v>491</v>
      </c>
      <c r="I155" s="10">
        <v>550.17999999999995</v>
      </c>
      <c r="J155" s="10">
        <v>73323.710000000036</v>
      </c>
      <c r="K155" s="6">
        <v>100256.34000000005</v>
      </c>
    </row>
    <row r="156" spans="1:11" x14ac:dyDescent="0.25">
      <c r="A156" s="5" t="s">
        <v>818</v>
      </c>
      <c r="B156" s="42">
        <f t="shared" si="2"/>
        <v>73.873890000000031</v>
      </c>
      <c r="C156" s="7" t="s">
        <v>410</v>
      </c>
      <c r="D156" s="7" t="s">
        <v>412</v>
      </c>
      <c r="E156" s="7" t="s">
        <v>826</v>
      </c>
      <c r="F156" s="17">
        <v>73.642850000000081</v>
      </c>
      <c r="G156" s="33" t="s">
        <v>491</v>
      </c>
      <c r="H156" s="7" t="s">
        <v>493</v>
      </c>
      <c r="I156" s="10">
        <v>584.20000000000005</v>
      </c>
      <c r="J156" s="10">
        <v>73873.890000000029</v>
      </c>
      <c r="K156" s="6">
        <v>99672.140000000058</v>
      </c>
    </row>
    <row r="157" spans="1:11" x14ac:dyDescent="0.25">
      <c r="A157" s="5" t="s">
        <v>818</v>
      </c>
      <c r="B157" s="42">
        <f t="shared" si="2"/>
        <v>74.458090000000027</v>
      </c>
      <c r="C157" s="7" t="s">
        <v>412</v>
      </c>
      <c r="D157" s="7" t="s">
        <v>414</v>
      </c>
      <c r="E157" s="7" t="s">
        <v>826</v>
      </c>
      <c r="F157" s="17">
        <v>74.158200000000079</v>
      </c>
      <c r="G157" s="33" t="s">
        <v>493</v>
      </c>
      <c r="H157" s="7" t="s">
        <v>495</v>
      </c>
      <c r="I157" s="10">
        <v>526.70000000000005</v>
      </c>
      <c r="J157" s="10">
        <v>74458.090000000026</v>
      </c>
      <c r="K157" s="6">
        <v>99145.440000000061</v>
      </c>
    </row>
    <row r="158" spans="1:11" x14ac:dyDescent="0.25">
      <c r="A158" s="5" t="s">
        <v>818</v>
      </c>
      <c r="B158" s="42">
        <f t="shared" si="2"/>
        <v>74.984790000000018</v>
      </c>
      <c r="C158" s="7" t="s">
        <v>414</v>
      </c>
      <c r="D158" s="7" t="s">
        <v>416</v>
      </c>
      <c r="E158" s="7" t="s">
        <v>826</v>
      </c>
      <c r="F158" s="17">
        <v>74.576050000000095</v>
      </c>
      <c r="G158" s="33" t="s">
        <v>495</v>
      </c>
      <c r="H158" s="7" t="s">
        <v>497</v>
      </c>
      <c r="I158" s="10">
        <v>440.67</v>
      </c>
      <c r="J158" s="10">
        <v>74984.790000000023</v>
      </c>
      <c r="K158" s="6">
        <v>98704.770000000062</v>
      </c>
    </row>
    <row r="159" spans="1:11" x14ac:dyDescent="0.25">
      <c r="A159" s="5" t="s">
        <v>818</v>
      </c>
      <c r="B159" s="42">
        <f t="shared" si="2"/>
        <v>75.425460000000015</v>
      </c>
      <c r="C159" s="7" t="s">
        <v>416</v>
      </c>
      <c r="D159" s="7" t="s">
        <v>418</v>
      </c>
      <c r="E159" s="7" t="s">
        <v>826</v>
      </c>
      <c r="F159" s="17">
        <v>75.120450000000091</v>
      </c>
      <c r="G159" s="33" t="s">
        <v>497</v>
      </c>
      <c r="H159" s="7" t="s">
        <v>499</v>
      </c>
      <c r="I159" s="10">
        <v>421.15</v>
      </c>
      <c r="J159" s="10">
        <v>75425.460000000021</v>
      </c>
      <c r="K159" s="6">
        <v>98283.620000000068</v>
      </c>
    </row>
    <row r="160" spans="1:11" x14ac:dyDescent="0.25">
      <c r="A160" s="5" t="s">
        <v>818</v>
      </c>
      <c r="B160" s="42">
        <f t="shared" si="2"/>
        <v>75.846610000000013</v>
      </c>
      <c r="C160" s="7" t="s">
        <v>418</v>
      </c>
      <c r="D160" s="7" t="s">
        <v>420</v>
      </c>
      <c r="E160" s="7" t="s">
        <v>826</v>
      </c>
      <c r="F160" s="17">
        <v>75.641700000000085</v>
      </c>
      <c r="G160" s="33" t="s">
        <v>499</v>
      </c>
      <c r="H160" s="7" t="s">
        <v>501</v>
      </c>
      <c r="I160" s="10">
        <v>477.69</v>
      </c>
      <c r="J160" s="10">
        <v>75846.610000000015</v>
      </c>
      <c r="K160" s="6">
        <v>97805.930000000066</v>
      </c>
    </row>
    <row r="161" spans="1:11" x14ac:dyDescent="0.25">
      <c r="A161" s="5" t="s">
        <v>818</v>
      </c>
      <c r="B161" s="42">
        <f t="shared" si="2"/>
        <v>76.324300000000022</v>
      </c>
      <c r="C161" s="7" t="s">
        <v>420</v>
      </c>
      <c r="D161" s="7" t="s">
        <v>422</v>
      </c>
      <c r="E161" s="7" t="s">
        <v>826</v>
      </c>
      <c r="F161" s="17">
        <v>76.167640000000091</v>
      </c>
      <c r="G161" s="33" t="s">
        <v>501</v>
      </c>
      <c r="H161" s="7" t="s">
        <v>503</v>
      </c>
      <c r="I161" s="10">
        <v>575.11</v>
      </c>
      <c r="J161" s="10">
        <v>76324.300000000017</v>
      </c>
      <c r="K161" s="6">
        <v>97230.820000000065</v>
      </c>
    </row>
    <row r="162" spans="1:11" x14ac:dyDescent="0.25">
      <c r="A162" s="5" t="s">
        <v>818</v>
      </c>
      <c r="B162" s="42">
        <f t="shared" si="2"/>
        <v>76.899410000000017</v>
      </c>
      <c r="C162" s="7" t="s">
        <v>422</v>
      </c>
      <c r="D162" s="7" t="s">
        <v>424</v>
      </c>
      <c r="E162" s="7" t="s">
        <v>826</v>
      </c>
      <c r="F162" s="17">
        <v>76.618500000000083</v>
      </c>
      <c r="G162" s="33" t="s">
        <v>503</v>
      </c>
      <c r="H162" s="7" t="s">
        <v>502</v>
      </c>
      <c r="I162" s="10">
        <v>555.61</v>
      </c>
      <c r="J162" s="10">
        <v>76899.410000000018</v>
      </c>
      <c r="K162" s="6">
        <v>96675.210000000065</v>
      </c>
    </row>
    <row r="163" spans="1:11" x14ac:dyDescent="0.25">
      <c r="A163" s="5" t="s">
        <v>818</v>
      </c>
      <c r="B163" s="42">
        <f t="shared" si="2"/>
        <v>77.455020000000019</v>
      </c>
      <c r="C163" s="7" t="s">
        <v>424</v>
      </c>
      <c r="D163" s="7" t="s">
        <v>426</v>
      </c>
      <c r="E163" s="7" t="s">
        <v>826</v>
      </c>
      <c r="F163" s="17">
        <v>77.289740000000094</v>
      </c>
      <c r="G163" s="33" t="s">
        <v>502</v>
      </c>
      <c r="H163" s="7" t="s">
        <v>500</v>
      </c>
      <c r="I163" s="10">
        <v>592.11</v>
      </c>
      <c r="J163" s="10">
        <v>77455.020000000019</v>
      </c>
      <c r="K163" s="6">
        <v>96083.100000000064</v>
      </c>
    </row>
    <row r="164" spans="1:11" x14ac:dyDescent="0.25">
      <c r="A164" s="5" t="s">
        <v>818</v>
      </c>
      <c r="B164" s="42">
        <f t="shared" si="2"/>
        <v>78.047130000000024</v>
      </c>
      <c r="C164" s="7" t="s">
        <v>426</v>
      </c>
      <c r="D164" s="7" t="s">
        <v>428</v>
      </c>
      <c r="E164" s="7" t="s">
        <v>826</v>
      </c>
      <c r="F164" s="17">
        <v>77.586460000000088</v>
      </c>
      <c r="G164" s="33" t="s">
        <v>500</v>
      </c>
      <c r="H164" s="7" t="s">
        <v>498</v>
      </c>
      <c r="I164" s="10">
        <v>521.95000000000005</v>
      </c>
      <c r="J164" s="10">
        <v>78047.130000000019</v>
      </c>
      <c r="K164" s="6">
        <v>95561.150000000067</v>
      </c>
    </row>
    <row r="165" spans="1:11" x14ac:dyDescent="0.25">
      <c r="A165" s="5" t="s">
        <v>818</v>
      </c>
      <c r="B165" s="42">
        <f t="shared" si="2"/>
        <v>78.569080000000014</v>
      </c>
      <c r="C165" s="7" t="s">
        <v>428</v>
      </c>
      <c r="D165" s="7" t="s">
        <v>430</v>
      </c>
      <c r="E165" s="7" t="s">
        <v>826</v>
      </c>
      <c r="F165" s="17">
        <v>78.061640000000082</v>
      </c>
      <c r="G165" s="33" t="s">
        <v>498</v>
      </c>
      <c r="H165" s="7" t="s">
        <v>496</v>
      </c>
      <c r="I165" s="10">
        <v>391.15</v>
      </c>
      <c r="J165" s="10">
        <v>78569.080000000016</v>
      </c>
      <c r="K165" s="6">
        <v>95170.000000000073</v>
      </c>
    </row>
    <row r="166" spans="1:11" x14ac:dyDescent="0.25">
      <c r="A166" s="5" t="s">
        <v>818</v>
      </c>
      <c r="B166" s="42">
        <f t="shared" si="2"/>
        <v>78.96023000000001</v>
      </c>
      <c r="C166" s="7" t="s">
        <v>430</v>
      </c>
      <c r="D166" s="7" t="s">
        <v>432</v>
      </c>
      <c r="E166" s="7" t="s">
        <v>826</v>
      </c>
      <c r="F166" s="17">
        <v>78.578110000000095</v>
      </c>
      <c r="G166" s="33" t="s">
        <v>496</v>
      </c>
      <c r="H166" s="7" t="s">
        <v>494</v>
      </c>
      <c r="I166" s="10">
        <v>458.75</v>
      </c>
      <c r="J166" s="10">
        <v>78960.23000000001</v>
      </c>
      <c r="K166" s="6">
        <v>94711.250000000073</v>
      </c>
    </row>
    <row r="167" spans="1:11" x14ac:dyDescent="0.25">
      <c r="A167" s="5" t="s">
        <v>818</v>
      </c>
      <c r="B167" s="42">
        <f t="shared" si="2"/>
        <v>79.418980000000005</v>
      </c>
      <c r="C167" s="7" t="s">
        <v>432</v>
      </c>
      <c r="D167" s="7" t="s">
        <v>434</v>
      </c>
      <c r="E167" s="7" t="s">
        <v>826</v>
      </c>
      <c r="F167" s="17">
        <v>79.11597000000009</v>
      </c>
      <c r="G167" s="33" t="s">
        <v>494</v>
      </c>
      <c r="H167" s="7" t="s">
        <v>492</v>
      </c>
      <c r="I167" s="10">
        <v>295.25</v>
      </c>
      <c r="J167" s="10">
        <v>79418.98000000001</v>
      </c>
      <c r="K167" s="6">
        <v>94416.000000000073</v>
      </c>
    </row>
    <row r="168" spans="1:11" x14ac:dyDescent="0.25">
      <c r="A168" s="5" t="s">
        <v>818</v>
      </c>
      <c r="B168" s="42">
        <f t="shared" si="2"/>
        <v>79.714230000000015</v>
      </c>
      <c r="C168" s="7" t="s">
        <v>434</v>
      </c>
      <c r="D168" s="7" t="s">
        <v>436</v>
      </c>
      <c r="E168" s="7" t="s">
        <v>826</v>
      </c>
      <c r="F168" s="17">
        <v>79.657720000000083</v>
      </c>
      <c r="G168" s="33" t="s">
        <v>492</v>
      </c>
      <c r="H168" s="7" t="s">
        <v>490</v>
      </c>
      <c r="I168" s="10">
        <v>409.97999999999593</v>
      </c>
      <c r="J168" s="10">
        <v>79714.23000000001</v>
      </c>
      <c r="K168" s="6">
        <v>94006.020000000077</v>
      </c>
    </row>
    <row r="169" spans="1:11" x14ac:dyDescent="0.25">
      <c r="A169" s="5" t="s">
        <v>818</v>
      </c>
      <c r="B169" s="42">
        <f t="shared" si="2"/>
        <v>80.124210000000005</v>
      </c>
      <c r="C169" s="7" t="s">
        <v>436</v>
      </c>
      <c r="D169" s="7" t="s">
        <v>438</v>
      </c>
      <c r="E169" s="7" t="s">
        <v>826</v>
      </c>
      <c r="F169" s="17">
        <v>80.108820000000094</v>
      </c>
      <c r="G169" s="33" t="s">
        <v>490</v>
      </c>
      <c r="H169" s="7" t="s">
        <v>488</v>
      </c>
      <c r="I169" s="10">
        <v>521.26</v>
      </c>
      <c r="J169" s="10">
        <v>80124.210000000006</v>
      </c>
      <c r="K169" s="6">
        <v>93484.760000000082</v>
      </c>
    </row>
    <row r="170" spans="1:11" x14ac:dyDescent="0.25">
      <c r="A170" s="5" t="s">
        <v>818</v>
      </c>
      <c r="B170" s="42">
        <f t="shared" si="2"/>
        <v>80.645470000000003</v>
      </c>
      <c r="C170" s="7" t="s">
        <v>438</v>
      </c>
      <c r="D170" s="7" t="s">
        <v>440</v>
      </c>
      <c r="E170" s="7" t="s">
        <v>826</v>
      </c>
      <c r="F170" s="17">
        <v>80.554750000000084</v>
      </c>
      <c r="G170" s="33" t="s">
        <v>488</v>
      </c>
      <c r="H170" s="7" t="s">
        <v>486</v>
      </c>
      <c r="I170" s="10">
        <v>470.82</v>
      </c>
      <c r="J170" s="10">
        <v>80645.47</v>
      </c>
      <c r="K170" s="6">
        <v>93013.940000000075</v>
      </c>
    </row>
    <row r="171" spans="1:11" x14ac:dyDescent="0.25">
      <c r="A171" s="5" t="s">
        <v>818</v>
      </c>
      <c r="B171" s="42">
        <f t="shared" si="2"/>
        <v>81.116290000000006</v>
      </c>
      <c r="C171" s="7" t="s">
        <v>440</v>
      </c>
      <c r="D171" s="7" t="s">
        <v>442</v>
      </c>
      <c r="E171" s="7" t="s">
        <v>826</v>
      </c>
      <c r="F171" s="17">
        <v>81.099980000000087</v>
      </c>
      <c r="G171" s="33" t="s">
        <v>486</v>
      </c>
      <c r="H171" s="7" t="s">
        <v>484</v>
      </c>
      <c r="I171" s="10">
        <v>442.3</v>
      </c>
      <c r="J171" s="10">
        <v>81116.290000000008</v>
      </c>
      <c r="K171" s="6">
        <v>92571.640000000072</v>
      </c>
    </row>
    <row r="172" spans="1:11" x14ac:dyDescent="0.25">
      <c r="A172" s="5" t="s">
        <v>818</v>
      </c>
      <c r="B172" s="42">
        <f t="shared" si="2"/>
        <v>81.558590000000009</v>
      </c>
      <c r="C172" s="7" t="s">
        <v>442</v>
      </c>
      <c r="D172" s="7" t="s">
        <v>444</v>
      </c>
      <c r="E172" s="7" t="s">
        <v>826</v>
      </c>
      <c r="F172" s="17">
        <v>81.653920000000085</v>
      </c>
      <c r="G172" s="33" t="s">
        <v>484</v>
      </c>
      <c r="H172" s="7" t="s">
        <v>482</v>
      </c>
      <c r="I172" s="10">
        <v>548.35</v>
      </c>
      <c r="J172" s="10">
        <v>81558.590000000011</v>
      </c>
      <c r="K172" s="6">
        <v>92023.290000000066</v>
      </c>
    </row>
    <row r="173" spans="1:11" x14ac:dyDescent="0.25">
      <c r="A173" s="5" t="s">
        <v>818</v>
      </c>
      <c r="B173" s="42">
        <f t="shared" si="2"/>
        <v>82.106940000000023</v>
      </c>
      <c r="C173" s="7" t="s">
        <v>444</v>
      </c>
      <c r="D173" s="7" t="s">
        <v>446</v>
      </c>
      <c r="E173" s="7" t="s">
        <v>826</v>
      </c>
      <c r="F173" s="17">
        <v>82.193980000000082</v>
      </c>
      <c r="G173" s="33" t="s">
        <v>482</v>
      </c>
      <c r="H173" s="7" t="s">
        <v>480</v>
      </c>
      <c r="I173" s="10">
        <v>462.25</v>
      </c>
      <c r="J173" s="10">
        <v>82106.940000000017</v>
      </c>
      <c r="K173" s="6">
        <v>91561.040000000066</v>
      </c>
    </row>
    <row r="174" spans="1:11" x14ac:dyDescent="0.25">
      <c r="A174" s="5" t="s">
        <v>818</v>
      </c>
      <c r="B174" s="42">
        <f t="shared" si="2"/>
        <v>82.56919000000002</v>
      </c>
      <c r="C174" s="7" t="s">
        <v>446</v>
      </c>
      <c r="D174" s="7" t="s">
        <v>448</v>
      </c>
      <c r="E174" s="7" t="s">
        <v>826</v>
      </c>
      <c r="F174" s="17">
        <v>82.729010000000088</v>
      </c>
      <c r="G174" s="33" t="s">
        <v>480</v>
      </c>
      <c r="H174" s="7" t="s">
        <v>478</v>
      </c>
      <c r="I174" s="10">
        <v>499.37</v>
      </c>
      <c r="J174" s="10">
        <v>82569.190000000017</v>
      </c>
      <c r="K174" s="6">
        <v>91061.670000000071</v>
      </c>
    </row>
    <row r="175" spans="1:11" x14ac:dyDescent="0.25">
      <c r="A175" s="5" t="s">
        <v>818</v>
      </c>
      <c r="B175" s="42">
        <f t="shared" si="2"/>
        <v>83.068560000000019</v>
      </c>
      <c r="C175" s="7" t="s">
        <v>448</v>
      </c>
      <c r="D175" s="7" t="s">
        <v>450</v>
      </c>
      <c r="E175" s="7" t="s">
        <v>826</v>
      </c>
      <c r="F175" s="17">
        <v>83.289550000000077</v>
      </c>
      <c r="G175" s="33" t="s">
        <v>478</v>
      </c>
      <c r="H175" s="7" t="s">
        <v>476</v>
      </c>
      <c r="I175" s="10">
        <v>412.61</v>
      </c>
      <c r="J175" s="10">
        <v>83068.560000000012</v>
      </c>
      <c r="K175" s="6">
        <v>90649.06000000007</v>
      </c>
    </row>
    <row r="176" spans="1:11" x14ac:dyDescent="0.25">
      <c r="A176" s="5" t="s">
        <v>818</v>
      </c>
      <c r="B176" s="42">
        <f t="shared" si="2"/>
        <v>83.481170000000006</v>
      </c>
      <c r="C176" s="7" t="s">
        <v>450</v>
      </c>
      <c r="D176" s="7" t="s">
        <v>452</v>
      </c>
      <c r="E176" s="7" t="s">
        <v>826</v>
      </c>
      <c r="F176" s="17">
        <v>83.810820000000078</v>
      </c>
      <c r="G176" s="33" t="s">
        <v>476</v>
      </c>
      <c r="H176" s="7" t="s">
        <v>474</v>
      </c>
      <c r="I176" s="10">
        <v>382.9</v>
      </c>
      <c r="J176" s="10">
        <v>83481.170000000013</v>
      </c>
      <c r="K176" s="6">
        <v>90266.160000000076</v>
      </c>
    </row>
    <row r="177" spans="1:11" x14ac:dyDescent="0.25">
      <c r="A177" s="5" t="s">
        <v>818</v>
      </c>
      <c r="B177" s="42">
        <f t="shared" si="2"/>
        <v>83.864070000000012</v>
      </c>
      <c r="C177" s="7" t="s">
        <v>452</v>
      </c>
      <c r="D177" s="7" t="s">
        <v>454</v>
      </c>
      <c r="E177" s="7" t="s">
        <v>826</v>
      </c>
      <c r="F177" s="17">
        <v>84.397000000000077</v>
      </c>
      <c r="G177" s="33" t="s">
        <v>474</v>
      </c>
      <c r="H177" s="7" t="s">
        <v>472</v>
      </c>
      <c r="I177" s="10">
        <v>508.86</v>
      </c>
      <c r="J177" s="10">
        <v>83864.070000000007</v>
      </c>
      <c r="K177" s="6">
        <v>89757.300000000076</v>
      </c>
    </row>
    <row r="178" spans="1:11" x14ac:dyDescent="0.25">
      <c r="A178" s="5" t="s">
        <v>818</v>
      </c>
      <c r="B178" s="42">
        <f t="shared" si="2"/>
        <v>84.372930000000011</v>
      </c>
      <c r="C178" s="7" t="s">
        <v>454</v>
      </c>
      <c r="D178" s="7" t="s">
        <v>456</v>
      </c>
      <c r="E178" s="7" t="s">
        <v>826</v>
      </c>
      <c r="F178" s="17">
        <v>84.742370000000065</v>
      </c>
      <c r="G178" s="33" t="s">
        <v>472</v>
      </c>
      <c r="H178" s="7" t="s">
        <v>470</v>
      </c>
      <c r="I178" s="10">
        <v>454.31</v>
      </c>
      <c r="J178" s="10">
        <v>84372.930000000008</v>
      </c>
      <c r="K178" s="6">
        <v>89302.990000000078</v>
      </c>
    </row>
    <row r="179" spans="1:11" x14ac:dyDescent="0.25">
      <c r="A179" s="5" t="s">
        <v>818</v>
      </c>
      <c r="B179" s="42">
        <f t="shared" si="2"/>
        <v>84.827240000000003</v>
      </c>
      <c r="C179" s="7" t="s">
        <v>456</v>
      </c>
      <c r="D179" s="7" t="s">
        <v>458</v>
      </c>
      <c r="E179" s="7" t="s">
        <v>826</v>
      </c>
      <c r="F179" s="17">
        <v>85.093080000000072</v>
      </c>
      <c r="G179" s="33" t="s">
        <v>470</v>
      </c>
      <c r="H179" s="7" t="s">
        <v>468</v>
      </c>
      <c r="I179" s="10">
        <v>526.34</v>
      </c>
      <c r="J179" s="10">
        <v>84827.24</v>
      </c>
      <c r="K179" s="6">
        <v>88776.650000000081</v>
      </c>
    </row>
    <row r="180" spans="1:11" x14ac:dyDescent="0.25">
      <c r="A180" s="5" t="s">
        <v>818</v>
      </c>
      <c r="B180" s="42">
        <f t="shared" si="2"/>
        <v>85.353580000000008</v>
      </c>
      <c r="C180" s="7" t="s">
        <v>458</v>
      </c>
      <c r="D180" s="7" t="s">
        <v>460</v>
      </c>
      <c r="E180" s="7" t="s">
        <v>826</v>
      </c>
      <c r="F180" s="17">
        <v>85.583000000000069</v>
      </c>
      <c r="G180" s="33" t="s">
        <v>468</v>
      </c>
      <c r="H180" s="7" t="s">
        <v>466</v>
      </c>
      <c r="I180" s="10">
        <v>471.63</v>
      </c>
      <c r="J180" s="10">
        <v>85353.58</v>
      </c>
      <c r="K180" s="6">
        <v>88305.020000000077</v>
      </c>
    </row>
    <row r="181" spans="1:11" x14ac:dyDescent="0.25">
      <c r="A181" s="5" t="s">
        <v>818</v>
      </c>
      <c r="B181" s="42">
        <f t="shared" si="2"/>
        <v>85.825210000000013</v>
      </c>
      <c r="C181" s="7" t="s">
        <v>460</v>
      </c>
      <c r="D181" s="7" t="s">
        <v>462</v>
      </c>
      <c r="E181" s="7" t="s">
        <v>826</v>
      </c>
      <c r="F181" s="17">
        <v>86.189640000000068</v>
      </c>
      <c r="G181" s="33" t="s">
        <v>466</v>
      </c>
      <c r="H181" s="7" t="s">
        <v>464</v>
      </c>
      <c r="I181" s="10">
        <v>429.52</v>
      </c>
      <c r="J181" s="10">
        <v>85825.21</v>
      </c>
      <c r="K181" s="6">
        <v>87875.500000000073</v>
      </c>
    </row>
    <row r="182" spans="1:11" x14ac:dyDescent="0.25">
      <c r="A182" s="5" t="s">
        <v>818</v>
      </c>
      <c r="B182" s="42">
        <f t="shared" si="2"/>
        <v>86.254730000000009</v>
      </c>
      <c r="C182" s="7" t="s">
        <v>462</v>
      </c>
      <c r="D182" s="7" t="s">
        <v>464</v>
      </c>
      <c r="E182" s="7" t="s">
        <v>826</v>
      </c>
      <c r="F182" s="17">
        <v>86.769780000000068</v>
      </c>
      <c r="G182" s="33" t="s">
        <v>464</v>
      </c>
      <c r="H182" s="7" t="s">
        <v>462</v>
      </c>
      <c r="I182" s="10">
        <v>576.73</v>
      </c>
      <c r="J182" s="10">
        <v>86254.73000000001</v>
      </c>
      <c r="K182" s="6">
        <v>87298.770000000077</v>
      </c>
    </row>
    <row r="183" spans="1:11" x14ac:dyDescent="0.25">
      <c r="A183" s="5" t="s">
        <v>818</v>
      </c>
      <c r="B183" s="42">
        <f t="shared" si="2"/>
        <v>86.831460000000007</v>
      </c>
      <c r="C183" s="7" t="s">
        <v>464</v>
      </c>
      <c r="D183" s="7" t="s">
        <v>466</v>
      </c>
      <c r="E183" s="7" t="s">
        <v>826</v>
      </c>
      <c r="F183" s="17">
        <v>87.298770000000076</v>
      </c>
      <c r="G183" s="33" t="s">
        <v>462</v>
      </c>
      <c r="H183" s="7" t="s">
        <v>460</v>
      </c>
      <c r="I183" s="10">
        <v>528.99</v>
      </c>
      <c r="J183" s="10">
        <v>86831.46</v>
      </c>
      <c r="K183" s="6">
        <v>86769.780000000072</v>
      </c>
    </row>
    <row r="184" spans="1:11" x14ac:dyDescent="0.25">
      <c r="A184" s="5" t="s">
        <v>818</v>
      </c>
      <c r="B184" s="42">
        <f t="shared" si="2"/>
        <v>87.360450000000014</v>
      </c>
      <c r="C184" s="7" t="s">
        <v>466</v>
      </c>
      <c r="D184" s="7" t="s">
        <v>468</v>
      </c>
      <c r="E184" s="7" t="s">
        <v>826</v>
      </c>
      <c r="F184" s="17">
        <v>87.875500000000073</v>
      </c>
      <c r="G184" s="33" t="s">
        <v>460</v>
      </c>
      <c r="H184" s="7" t="s">
        <v>458</v>
      </c>
      <c r="I184" s="10">
        <v>580.14</v>
      </c>
      <c r="J184" s="10">
        <v>87360.450000000012</v>
      </c>
      <c r="K184" s="6">
        <v>86189.640000000072</v>
      </c>
    </row>
    <row r="185" spans="1:11" x14ac:dyDescent="0.25">
      <c r="A185" s="5" t="s">
        <v>818</v>
      </c>
      <c r="B185" s="42">
        <f t="shared" si="2"/>
        <v>87.940590000000014</v>
      </c>
      <c r="C185" s="7" t="s">
        <v>468</v>
      </c>
      <c r="D185" s="7" t="s">
        <v>470</v>
      </c>
      <c r="E185" s="7" t="s">
        <v>826</v>
      </c>
      <c r="F185" s="17">
        <v>88.30502000000007</v>
      </c>
      <c r="G185" s="33" t="s">
        <v>458</v>
      </c>
      <c r="H185" s="7" t="s">
        <v>456</v>
      </c>
      <c r="I185" s="10">
        <v>606.64</v>
      </c>
      <c r="J185" s="10">
        <v>87940.590000000011</v>
      </c>
      <c r="K185" s="6">
        <v>85583.000000000073</v>
      </c>
    </row>
    <row r="186" spans="1:11" x14ac:dyDescent="0.25">
      <c r="A186" s="5" t="s">
        <v>818</v>
      </c>
      <c r="B186" s="42">
        <f t="shared" si="2"/>
        <v>88.547230000000013</v>
      </c>
      <c r="C186" s="7" t="s">
        <v>470</v>
      </c>
      <c r="D186" s="7" t="s">
        <v>472</v>
      </c>
      <c r="E186" s="7" t="s">
        <v>826</v>
      </c>
      <c r="F186" s="17">
        <v>88.776650000000075</v>
      </c>
      <c r="G186" s="33" t="s">
        <v>456</v>
      </c>
      <c r="H186" s="7" t="s">
        <v>454</v>
      </c>
      <c r="I186" s="10">
        <v>489.92</v>
      </c>
      <c r="J186" s="10">
        <v>88547.23000000001</v>
      </c>
      <c r="K186" s="6">
        <v>85093.080000000075</v>
      </c>
    </row>
    <row r="187" spans="1:11" x14ac:dyDescent="0.25">
      <c r="A187" s="5" t="s">
        <v>818</v>
      </c>
      <c r="B187" s="42">
        <f t="shared" si="2"/>
        <v>89.037150000000011</v>
      </c>
      <c r="C187" s="7" t="s">
        <v>472</v>
      </c>
      <c r="D187" s="7" t="s">
        <v>474</v>
      </c>
      <c r="E187" s="7" t="s">
        <v>826</v>
      </c>
      <c r="F187" s="17">
        <v>89.302990000000079</v>
      </c>
      <c r="G187" s="33" t="s">
        <v>454</v>
      </c>
      <c r="H187" s="7" t="s">
        <v>452</v>
      </c>
      <c r="I187" s="10">
        <v>350.71</v>
      </c>
      <c r="J187" s="10">
        <v>89037.150000000009</v>
      </c>
      <c r="K187" s="6">
        <v>84742.370000000068</v>
      </c>
    </row>
    <row r="188" spans="1:11" x14ac:dyDescent="0.25">
      <c r="A188" s="5" t="s">
        <v>818</v>
      </c>
      <c r="B188" s="42">
        <f t="shared" si="2"/>
        <v>89.387860000000018</v>
      </c>
      <c r="C188" s="7" t="s">
        <v>474</v>
      </c>
      <c r="D188" s="7" t="s">
        <v>476</v>
      </c>
      <c r="E188" s="7" t="s">
        <v>826</v>
      </c>
      <c r="F188" s="17">
        <v>89.757300000000072</v>
      </c>
      <c r="G188" s="33" t="s">
        <v>452</v>
      </c>
      <c r="H188" s="7" t="s">
        <v>450</v>
      </c>
      <c r="I188" s="10">
        <v>345.37</v>
      </c>
      <c r="J188" s="10">
        <v>89387.860000000015</v>
      </c>
      <c r="K188" s="6">
        <v>84397.000000000073</v>
      </c>
    </row>
    <row r="189" spans="1:11" x14ac:dyDescent="0.25">
      <c r="A189" s="5" t="s">
        <v>818</v>
      </c>
      <c r="B189" s="42">
        <f t="shared" si="2"/>
        <v>89.733230000000006</v>
      </c>
      <c r="C189" s="7" t="s">
        <v>476</v>
      </c>
      <c r="D189" s="7" t="s">
        <v>478</v>
      </c>
      <c r="E189" s="7" t="s">
        <v>826</v>
      </c>
      <c r="F189" s="17">
        <v>90.26616000000007</v>
      </c>
      <c r="G189" s="33" t="s">
        <v>450</v>
      </c>
      <c r="H189" s="7" t="s">
        <v>448</v>
      </c>
      <c r="I189" s="10">
        <v>586.17999999999302</v>
      </c>
      <c r="J189" s="10">
        <v>89733.23000000001</v>
      </c>
      <c r="K189" s="6">
        <v>83810.82000000008</v>
      </c>
    </row>
    <row r="190" spans="1:11" x14ac:dyDescent="0.25">
      <c r="A190" s="5" t="s">
        <v>818</v>
      </c>
      <c r="B190" s="42">
        <f t="shared" si="2"/>
        <v>90.319410000000005</v>
      </c>
      <c r="C190" s="7" t="s">
        <v>478</v>
      </c>
      <c r="D190" s="7" t="s">
        <v>480</v>
      </c>
      <c r="E190" s="7" t="s">
        <v>826</v>
      </c>
      <c r="F190" s="17">
        <v>90.649060000000077</v>
      </c>
      <c r="G190" s="33" t="s">
        <v>448</v>
      </c>
      <c r="H190" s="7" t="s">
        <v>446</v>
      </c>
      <c r="I190" s="10">
        <v>521.27</v>
      </c>
      <c r="J190" s="10">
        <v>90319.41</v>
      </c>
      <c r="K190" s="6">
        <v>83289.550000000076</v>
      </c>
    </row>
    <row r="191" spans="1:11" x14ac:dyDescent="0.25">
      <c r="A191" s="5" t="s">
        <v>818</v>
      </c>
      <c r="B191" s="42">
        <f t="shared" si="2"/>
        <v>90.840680000000006</v>
      </c>
      <c r="C191" s="7" t="s">
        <v>480</v>
      </c>
      <c r="D191" s="7" t="s">
        <v>482</v>
      </c>
      <c r="E191" s="7" t="s">
        <v>826</v>
      </c>
      <c r="F191" s="17">
        <v>91.061670000000078</v>
      </c>
      <c r="G191" s="33" t="s">
        <v>446</v>
      </c>
      <c r="H191" s="7" t="s">
        <v>444</v>
      </c>
      <c r="I191" s="10">
        <v>560.54</v>
      </c>
      <c r="J191" s="10">
        <v>90840.680000000008</v>
      </c>
      <c r="K191" s="6">
        <v>82729.010000000082</v>
      </c>
    </row>
    <row r="192" spans="1:11" x14ac:dyDescent="0.25">
      <c r="A192" s="5" t="s">
        <v>818</v>
      </c>
      <c r="B192" s="42">
        <f t="shared" si="2"/>
        <v>91.401219999999995</v>
      </c>
      <c r="C192" s="7" t="s">
        <v>482</v>
      </c>
      <c r="D192" s="7" t="s">
        <v>484</v>
      </c>
      <c r="E192" s="7" t="s">
        <v>826</v>
      </c>
      <c r="F192" s="17">
        <v>91.561040000000062</v>
      </c>
      <c r="G192" s="33" t="s">
        <v>444</v>
      </c>
      <c r="H192" s="7" t="s">
        <v>442</v>
      </c>
      <c r="I192" s="10">
        <v>535.03</v>
      </c>
      <c r="J192" s="10">
        <v>91401.22</v>
      </c>
      <c r="K192" s="6">
        <v>82193.980000000083</v>
      </c>
    </row>
    <row r="193" spans="1:11" x14ac:dyDescent="0.25">
      <c r="A193" s="5" t="s">
        <v>818</v>
      </c>
      <c r="B193" s="42">
        <f t="shared" si="2"/>
        <v>91.936250000000001</v>
      </c>
      <c r="C193" s="7" t="s">
        <v>484</v>
      </c>
      <c r="D193" s="7" t="s">
        <v>486</v>
      </c>
      <c r="E193" s="7" t="s">
        <v>826</v>
      </c>
      <c r="F193" s="17">
        <v>92.02329000000006</v>
      </c>
      <c r="G193" s="33" t="s">
        <v>442</v>
      </c>
      <c r="H193" s="7" t="s">
        <v>440</v>
      </c>
      <c r="I193" s="10">
        <v>540.05999999999995</v>
      </c>
      <c r="J193" s="10">
        <v>91936.25</v>
      </c>
      <c r="K193" s="6">
        <v>81653.920000000086</v>
      </c>
    </row>
    <row r="194" spans="1:11" x14ac:dyDescent="0.25">
      <c r="A194" s="5" t="s">
        <v>818</v>
      </c>
      <c r="B194" s="42">
        <f t="shared" si="2"/>
        <v>92.476309999999998</v>
      </c>
      <c r="C194" s="7" t="s">
        <v>486</v>
      </c>
      <c r="D194" s="7" t="s">
        <v>488</v>
      </c>
      <c r="E194" s="7" t="s">
        <v>826</v>
      </c>
      <c r="F194" s="17">
        <v>92.571640000000073</v>
      </c>
      <c r="G194" s="33" t="s">
        <v>440</v>
      </c>
      <c r="H194" s="7" t="s">
        <v>438</v>
      </c>
      <c r="I194" s="10">
        <v>553.94000000000233</v>
      </c>
      <c r="J194" s="10">
        <v>92476.31</v>
      </c>
      <c r="K194" s="6">
        <v>81099.980000000083</v>
      </c>
    </row>
    <row r="195" spans="1:11" x14ac:dyDescent="0.25">
      <c r="A195" s="5" t="s">
        <v>818</v>
      </c>
      <c r="B195" s="42">
        <f t="shared" ref="B195:B258" si="3">J195/1000</f>
        <v>93.030249999999995</v>
      </c>
      <c r="C195" s="7" t="s">
        <v>488</v>
      </c>
      <c r="D195" s="7" t="s">
        <v>490</v>
      </c>
      <c r="E195" s="7" t="s">
        <v>826</v>
      </c>
      <c r="F195" s="17">
        <v>93.013940000000076</v>
      </c>
      <c r="G195" s="33" t="s">
        <v>438</v>
      </c>
      <c r="H195" s="7" t="s">
        <v>436</v>
      </c>
      <c r="I195" s="10">
        <v>545.23</v>
      </c>
      <c r="J195" s="10">
        <v>93030.25</v>
      </c>
      <c r="K195" s="6">
        <v>80554.750000000087</v>
      </c>
    </row>
    <row r="196" spans="1:11" x14ac:dyDescent="0.25">
      <c r="A196" s="5" t="s">
        <v>818</v>
      </c>
      <c r="B196" s="42">
        <f t="shared" si="3"/>
        <v>93.575479999999999</v>
      </c>
      <c r="C196" s="7" t="s">
        <v>490</v>
      </c>
      <c r="D196" s="7" t="s">
        <v>492</v>
      </c>
      <c r="E196" s="7" t="s">
        <v>826</v>
      </c>
      <c r="F196" s="17">
        <v>93.48476000000008</v>
      </c>
      <c r="G196" s="33" t="s">
        <v>436</v>
      </c>
      <c r="H196" s="7" t="s">
        <v>434</v>
      </c>
      <c r="I196" s="10">
        <v>445.93</v>
      </c>
      <c r="J196" s="10">
        <v>93575.48</v>
      </c>
      <c r="K196" s="6">
        <v>80108.820000000094</v>
      </c>
    </row>
    <row r="197" spans="1:11" x14ac:dyDescent="0.25">
      <c r="A197" s="5" t="s">
        <v>818</v>
      </c>
      <c r="B197" s="42">
        <f t="shared" si="3"/>
        <v>94.021409999999989</v>
      </c>
      <c r="C197" s="7" t="s">
        <v>492</v>
      </c>
      <c r="D197" s="7" t="s">
        <v>494</v>
      </c>
      <c r="E197" s="7" t="s">
        <v>826</v>
      </c>
      <c r="F197" s="17">
        <v>94.006020000000078</v>
      </c>
      <c r="G197" s="33" t="s">
        <v>434</v>
      </c>
      <c r="H197" s="7" t="s">
        <v>432</v>
      </c>
      <c r="I197" s="10">
        <v>451.1</v>
      </c>
      <c r="J197" s="10">
        <v>94021.409999999989</v>
      </c>
      <c r="K197" s="6">
        <v>79657.720000000088</v>
      </c>
    </row>
    <row r="198" spans="1:11" x14ac:dyDescent="0.25">
      <c r="A198" s="5" t="s">
        <v>818</v>
      </c>
      <c r="B198" s="42">
        <f t="shared" si="3"/>
        <v>94.47251</v>
      </c>
      <c r="C198" s="7" t="s">
        <v>494</v>
      </c>
      <c r="D198" s="7" t="s">
        <v>496</v>
      </c>
      <c r="E198" s="7" t="s">
        <v>826</v>
      </c>
      <c r="F198" s="17">
        <v>94.416000000000068</v>
      </c>
      <c r="G198" s="33" t="s">
        <v>432</v>
      </c>
      <c r="H198" s="7" t="s">
        <v>430</v>
      </c>
      <c r="I198" s="10">
        <v>541.75</v>
      </c>
      <c r="J198" s="10">
        <v>94472.51</v>
      </c>
      <c r="K198" s="6">
        <v>79115.970000000088</v>
      </c>
    </row>
    <row r="199" spans="1:11" x14ac:dyDescent="0.25">
      <c r="A199" s="5" t="s">
        <v>818</v>
      </c>
      <c r="B199" s="42">
        <f t="shared" si="3"/>
        <v>95.014259999999993</v>
      </c>
      <c r="C199" s="7" t="s">
        <v>496</v>
      </c>
      <c r="D199" s="7" t="s">
        <v>498</v>
      </c>
      <c r="E199" s="7" t="s">
        <v>826</v>
      </c>
      <c r="F199" s="17">
        <v>94.711250000000078</v>
      </c>
      <c r="G199" s="33" t="s">
        <v>430</v>
      </c>
      <c r="H199" s="7" t="s">
        <v>428</v>
      </c>
      <c r="I199" s="10">
        <v>537.86</v>
      </c>
      <c r="J199" s="10">
        <v>95014.26</v>
      </c>
      <c r="K199" s="6">
        <v>78578.110000000088</v>
      </c>
    </row>
    <row r="200" spans="1:11" x14ac:dyDescent="0.25">
      <c r="A200" s="5" t="s">
        <v>818</v>
      </c>
      <c r="B200" s="42">
        <f t="shared" si="3"/>
        <v>95.552120000000002</v>
      </c>
      <c r="C200" s="7" t="s">
        <v>498</v>
      </c>
      <c r="D200" s="7" t="s">
        <v>500</v>
      </c>
      <c r="E200" s="7" t="s">
        <v>826</v>
      </c>
      <c r="F200" s="17">
        <v>95.170000000000073</v>
      </c>
      <c r="G200" s="33" t="s">
        <v>428</v>
      </c>
      <c r="H200" s="7" t="s">
        <v>426</v>
      </c>
      <c r="I200" s="10">
        <v>516.47</v>
      </c>
      <c r="J200" s="10">
        <v>95552.12</v>
      </c>
      <c r="K200" s="6">
        <v>78061.640000000087</v>
      </c>
    </row>
    <row r="201" spans="1:11" x14ac:dyDescent="0.25">
      <c r="A201" s="5" t="s">
        <v>818</v>
      </c>
      <c r="B201" s="42">
        <f t="shared" si="3"/>
        <v>96.06859</v>
      </c>
      <c r="C201" s="7" t="s">
        <v>500</v>
      </c>
      <c r="D201" s="7" t="s">
        <v>502</v>
      </c>
      <c r="E201" s="7" t="s">
        <v>826</v>
      </c>
      <c r="F201" s="17">
        <v>95.561150000000069</v>
      </c>
      <c r="G201" s="33" t="s">
        <v>426</v>
      </c>
      <c r="H201" s="7" t="s">
        <v>424</v>
      </c>
      <c r="I201" s="10">
        <v>475.18</v>
      </c>
      <c r="J201" s="10">
        <v>96068.59</v>
      </c>
      <c r="K201" s="6">
        <v>77586.460000000094</v>
      </c>
    </row>
    <row r="202" spans="1:11" x14ac:dyDescent="0.25">
      <c r="A202" s="5" t="s">
        <v>818</v>
      </c>
      <c r="B202" s="42">
        <f t="shared" si="3"/>
        <v>96.543769999999995</v>
      </c>
      <c r="C202" s="7" t="s">
        <v>502</v>
      </c>
      <c r="D202" s="7" t="s">
        <v>503</v>
      </c>
      <c r="E202" s="7" t="s">
        <v>826</v>
      </c>
      <c r="F202" s="17">
        <v>96.083100000000059</v>
      </c>
      <c r="G202" s="33" t="s">
        <v>424</v>
      </c>
      <c r="H202" s="7" t="s">
        <v>422</v>
      </c>
      <c r="I202" s="10">
        <v>296.72000000000003</v>
      </c>
      <c r="J202" s="10">
        <v>96543.76999999999</v>
      </c>
      <c r="K202" s="6">
        <v>77289.740000000093</v>
      </c>
    </row>
    <row r="203" spans="1:11" x14ac:dyDescent="0.25">
      <c r="A203" s="5" t="s">
        <v>818</v>
      </c>
      <c r="B203" s="42">
        <f t="shared" si="3"/>
        <v>96.840489999999988</v>
      </c>
      <c r="C203" s="7" t="s">
        <v>503</v>
      </c>
      <c r="D203" s="7" t="s">
        <v>501</v>
      </c>
      <c r="E203" s="7" t="s">
        <v>826</v>
      </c>
      <c r="F203" s="17">
        <v>96.675210000000064</v>
      </c>
      <c r="G203" s="33" t="s">
        <v>422</v>
      </c>
      <c r="H203" s="7" t="s">
        <v>420</v>
      </c>
      <c r="I203" s="10">
        <v>671.24</v>
      </c>
      <c r="J203" s="10">
        <v>96840.489999999991</v>
      </c>
      <c r="K203" s="6">
        <v>76618.500000000087</v>
      </c>
    </row>
    <row r="204" spans="1:11" x14ac:dyDescent="0.25">
      <c r="A204" s="5" t="s">
        <v>818</v>
      </c>
      <c r="B204" s="42">
        <f t="shared" si="3"/>
        <v>97.51173</v>
      </c>
      <c r="C204" s="7" t="s">
        <v>501</v>
      </c>
      <c r="D204" s="7" t="s">
        <v>499</v>
      </c>
      <c r="E204" s="7" t="s">
        <v>826</v>
      </c>
      <c r="F204" s="17">
        <v>97.230820000000065</v>
      </c>
      <c r="G204" s="33" t="s">
        <v>420</v>
      </c>
      <c r="H204" s="7" t="s">
        <v>418</v>
      </c>
      <c r="I204" s="10">
        <v>450.86</v>
      </c>
      <c r="J204" s="10">
        <v>97511.73</v>
      </c>
      <c r="K204" s="6">
        <v>76167.640000000087</v>
      </c>
    </row>
    <row r="205" spans="1:11" x14ac:dyDescent="0.25">
      <c r="A205" s="5" t="s">
        <v>818</v>
      </c>
      <c r="B205" s="42">
        <f t="shared" si="3"/>
        <v>97.962589999999992</v>
      </c>
      <c r="C205" s="7" t="s">
        <v>499</v>
      </c>
      <c r="D205" s="7" t="s">
        <v>497</v>
      </c>
      <c r="E205" s="7" t="s">
        <v>826</v>
      </c>
      <c r="F205" s="17">
        <v>97.80593000000006</v>
      </c>
      <c r="G205" s="33" t="s">
        <v>418</v>
      </c>
      <c r="H205" s="7" t="s">
        <v>416</v>
      </c>
      <c r="I205" s="10">
        <v>525.94000000000005</v>
      </c>
      <c r="J205" s="10">
        <v>97962.59</v>
      </c>
      <c r="K205" s="6">
        <v>75641.700000000084</v>
      </c>
    </row>
    <row r="206" spans="1:11" x14ac:dyDescent="0.25">
      <c r="A206" s="5" t="s">
        <v>818</v>
      </c>
      <c r="B206" s="42">
        <f t="shared" si="3"/>
        <v>98.488529999999997</v>
      </c>
      <c r="C206" s="7" t="s">
        <v>497</v>
      </c>
      <c r="D206" s="7" t="s">
        <v>495</v>
      </c>
      <c r="E206" s="7" t="s">
        <v>826</v>
      </c>
      <c r="F206" s="17">
        <v>98.28362000000007</v>
      </c>
      <c r="G206" s="33" t="s">
        <v>416</v>
      </c>
      <c r="H206" s="7" t="s">
        <v>414</v>
      </c>
      <c r="I206" s="10">
        <v>521.25</v>
      </c>
      <c r="J206" s="10">
        <v>98488.53</v>
      </c>
      <c r="K206" s="6">
        <v>75120.450000000084</v>
      </c>
    </row>
    <row r="207" spans="1:11" x14ac:dyDescent="0.25">
      <c r="A207" s="5" t="s">
        <v>818</v>
      </c>
      <c r="B207" s="42">
        <f t="shared" si="3"/>
        <v>99.009779999999992</v>
      </c>
      <c r="C207" s="7" t="s">
        <v>495</v>
      </c>
      <c r="D207" s="7" t="s">
        <v>493</v>
      </c>
      <c r="E207" s="7" t="s">
        <v>826</v>
      </c>
      <c r="F207" s="17">
        <v>98.704770000000067</v>
      </c>
      <c r="G207" s="33" t="s">
        <v>414</v>
      </c>
      <c r="H207" s="7" t="s">
        <v>412</v>
      </c>
      <c r="I207" s="10">
        <v>544.4</v>
      </c>
      <c r="J207" s="10">
        <v>99009.78</v>
      </c>
      <c r="K207" s="6">
        <v>74576.05000000009</v>
      </c>
    </row>
    <row r="208" spans="1:11" x14ac:dyDescent="0.25">
      <c r="A208" s="5" t="s">
        <v>818</v>
      </c>
      <c r="B208" s="42">
        <f t="shared" si="3"/>
        <v>99.554179999999988</v>
      </c>
      <c r="C208" s="7" t="s">
        <v>493</v>
      </c>
      <c r="D208" s="7" t="s">
        <v>491</v>
      </c>
      <c r="E208" s="7" t="s">
        <v>826</v>
      </c>
      <c r="F208" s="17">
        <v>99.145440000000065</v>
      </c>
      <c r="G208" s="33" t="s">
        <v>412</v>
      </c>
      <c r="H208" s="7" t="s">
        <v>410</v>
      </c>
      <c r="I208" s="10">
        <v>417.85</v>
      </c>
      <c r="J208" s="10">
        <v>99554.18</v>
      </c>
      <c r="K208" s="6">
        <v>74158.200000000084</v>
      </c>
    </row>
    <row r="209" spans="1:11" x14ac:dyDescent="0.25">
      <c r="A209" s="5" t="s">
        <v>818</v>
      </c>
      <c r="B209" s="42">
        <f t="shared" si="3"/>
        <v>99.972030000000004</v>
      </c>
      <c r="C209" s="7" t="s">
        <v>491</v>
      </c>
      <c r="D209" s="7" t="s">
        <v>489</v>
      </c>
      <c r="E209" s="7" t="s">
        <v>826</v>
      </c>
      <c r="F209" s="17">
        <v>99.672140000000056</v>
      </c>
      <c r="G209" s="33" t="s">
        <v>410</v>
      </c>
      <c r="H209" s="7" t="s">
        <v>408</v>
      </c>
      <c r="I209" s="10">
        <v>515.35</v>
      </c>
      <c r="J209" s="10">
        <v>99972.03</v>
      </c>
      <c r="K209" s="6">
        <v>73642.850000000079</v>
      </c>
    </row>
    <row r="210" spans="1:11" x14ac:dyDescent="0.25">
      <c r="A210" s="5" t="s">
        <v>818</v>
      </c>
      <c r="B210" s="42">
        <f t="shared" si="3"/>
        <v>100.48738</v>
      </c>
      <c r="C210" s="7" t="s">
        <v>489</v>
      </c>
      <c r="D210" s="7" t="s">
        <v>487</v>
      </c>
      <c r="E210" s="7" t="s">
        <v>826</v>
      </c>
      <c r="F210" s="17">
        <v>100.25634000000005</v>
      </c>
      <c r="G210" s="33" t="s">
        <v>408</v>
      </c>
      <c r="H210" s="7" t="s">
        <v>406</v>
      </c>
      <c r="I210" s="10">
        <v>569.66</v>
      </c>
      <c r="J210" s="10">
        <v>100487.38</v>
      </c>
      <c r="K210" s="6">
        <v>73073.190000000075</v>
      </c>
    </row>
    <row r="211" spans="1:11" x14ac:dyDescent="0.25">
      <c r="A211" s="5" t="s">
        <v>818</v>
      </c>
      <c r="B211" s="42">
        <f t="shared" si="3"/>
        <v>101.05704000000001</v>
      </c>
      <c r="C211" s="7" t="s">
        <v>487</v>
      </c>
      <c r="D211" s="7" t="s">
        <v>485</v>
      </c>
      <c r="E211" s="7" t="s">
        <v>826</v>
      </c>
      <c r="F211" s="17">
        <v>100.80652000000005</v>
      </c>
      <c r="G211" s="33" t="s">
        <v>406</v>
      </c>
      <c r="H211" s="7" t="s">
        <v>404</v>
      </c>
      <c r="I211" s="10">
        <v>492.38</v>
      </c>
      <c r="J211" s="10">
        <v>101057.04000000001</v>
      </c>
      <c r="K211" s="6">
        <v>72580.81000000007</v>
      </c>
    </row>
    <row r="212" spans="1:11" x14ac:dyDescent="0.25">
      <c r="A212" s="5" t="s">
        <v>818</v>
      </c>
      <c r="B212" s="42">
        <f t="shared" si="3"/>
        <v>101.54942000000001</v>
      </c>
      <c r="C212" s="7" t="s">
        <v>485</v>
      </c>
      <c r="D212" s="7" t="s">
        <v>483</v>
      </c>
      <c r="E212" s="7" t="s">
        <v>826</v>
      </c>
      <c r="F212" s="17">
        <v>101.28703000000004</v>
      </c>
      <c r="G212" s="33" t="s">
        <v>404</v>
      </c>
      <c r="H212" s="7" t="s">
        <v>402</v>
      </c>
      <c r="I212" s="10">
        <v>412.86</v>
      </c>
      <c r="J212" s="10">
        <v>101549.42000000001</v>
      </c>
      <c r="K212" s="6">
        <v>72167.95000000007</v>
      </c>
    </row>
    <row r="213" spans="1:11" x14ac:dyDescent="0.25">
      <c r="A213" s="5" t="s">
        <v>818</v>
      </c>
      <c r="B213" s="42">
        <f t="shared" si="3"/>
        <v>101.96228000000001</v>
      </c>
      <c r="C213" s="7" t="s">
        <v>483</v>
      </c>
      <c r="D213" s="7" t="s">
        <v>481</v>
      </c>
      <c r="E213" s="7" t="s">
        <v>826</v>
      </c>
      <c r="F213" s="17">
        <v>101.78552000000005</v>
      </c>
      <c r="G213" s="33" t="s">
        <v>402</v>
      </c>
      <c r="H213" s="7" t="s">
        <v>400</v>
      </c>
      <c r="I213" s="10">
        <v>539.71</v>
      </c>
      <c r="J213" s="10">
        <v>101962.28000000001</v>
      </c>
      <c r="K213" s="6">
        <v>71628.240000000063</v>
      </c>
    </row>
    <row r="214" spans="1:11" x14ac:dyDescent="0.25">
      <c r="A214" s="5" t="s">
        <v>818</v>
      </c>
      <c r="B214" s="42">
        <f t="shared" si="3"/>
        <v>102.50199000000002</v>
      </c>
      <c r="C214" s="7" t="s">
        <v>481</v>
      </c>
      <c r="D214" s="7" t="s">
        <v>479</v>
      </c>
      <c r="E214" s="7" t="s">
        <v>826</v>
      </c>
      <c r="F214" s="17">
        <v>102.31391000000005</v>
      </c>
      <c r="G214" s="33" t="s">
        <v>400</v>
      </c>
      <c r="H214" s="7" t="s">
        <v>398</v>
      </c>
      <c r="I214" s="10">
        <v>500.44</v>
      </c>
      <c r="J214" s="10">
        <v>102501.99000000002</v>
      </c>
      <c r="K214" s="6">
        <v>71127.800000000061</v>
      </c>
    </row>
    <row r="215" spans="1:11" x14ac:dyDescent="0.25">
      <c r="A215" s="5" t="s">
        <v>818</v>
      </c>
      <c r="B215" s="42">
        <f t="shared" si="3"/>
        <v>103.00243000000002</v>
      </c>
      <c r="C215" s="7" t="s">
        <v>479</v>
      </c>
      <c r="D215" s="7" t="s">
        <v>477</v>
      </c>
      <c r="E215" s="7" t="s">
        <v>826</v>
      </c>
      <c r="F215" s="17">
        <v>102.84763000000005</v>
      </c>
      <c r="G215" s="33" t="s">
        <v>398</v>
      </c>
      <c r="H215" s="7" t="s">
        <v>396</v>
      </c>
      <c r="I215" s="10">
        <v>567.25</v>
      </c>
      <c r="J215" s="10">
        <v>103002.43000000002</v>
      </c>
      <c r="K215" s="6">
        <v>70560.550000000061</v>
      </c>
    </row>
    <row r="216" spans="1:11" x14ac:dyDescent="0.25">
      <c r="A216" s="5" t="s">
        <v>818</v>
      </c>
      <c r="B216" s="42">
        <f t="shared" si="3"/>
        <v>103.56968000000002</v>
      </c>
      <c r="C216" s="7" t="s">
        <v>477</v>
      </c>
      <c r="D216" s="7" t="s">
        <v>475</v>
      </c>
      <c r="E216" s="7" t="s">
        <v>826</v>
      </c>
      <c r="F216" s="17">
        <v>103.31485000000005</v>
      </c>
      <c r="G216" s="33" t="s">
        <v>396</v>
      </c>
      <c r="H216" s="7" t="s">
        <v>394</v>
      </c>
      <c r="I216" s="10">
        <v>503.95</v>
      </c>
      <c r="J216" s="10">
        <v>103569.68000000002</v>
      </c>
      <c r="K216" s="6">
        <v>70056.600000000064</v>
      </c>
    </row>
    <row r="217" spans="1:11" x14ac:dyDescent="0.25">
      <c r="A217" s="5" t="s">
        <v>818</v>
      </c>
      <c r="B217" s="42">
        <f t="shared" si="3"/>
        <v>104.07363000000002</v>
      </c>
      <c r="C217" s="7" t="s">
        <v>475</v>
      </c>
      <c r="D217" s="7" t="s">
        <v>473</v>
      </c>
      <c r="E217" s="7" t="s">
        <v>826</v>
      </c>
      <c r="F217" s="17">
        <v>103.78754000000005</v>
      </c>
      <c r="G217" s="33" t="s">
        <v>394</v>
      </c>
      <c r="H217" s="7" t="s">
        <v>392</v>
      </c>
      <c r="I217" s="10">
        <v>506.32</v>
      </c>
      <c r="J217" s="10">
        <v>104073.63000000002</v>
      </c>
      <c r="K217" s="6">
        <v>69550.280000000057</v>
      </c>
    </row>
    <row r="218" spans="1:11" x14ac:dyDescent="0.25">
      <c r="A218" s="5" t="s">
        <v>818</v>
      </c>
      <c r="B218" s="42">
        <f t="shared" si="3"/>
        <v>104.57995000000003</v>
      </c>
      <c r="C218" s="7" t="s">
        <v>473</v>
      </c>
      <c r="D218" s="7" t="s">
        <v>471</v>
      </c>
      <c r="E218" s="7" t="s">
        <v>826</v>
      </c>
      <c r="F218" s="17">
        <v>104.32345000000005</v>
      </c>
      <c r="G218" s="33" t="s">
        <v>392</v>
      </c>
      <c r="H218" s="7" t="s">
        <v>390</v>
      </c>
      <c r="I218" s="10">
        <v>535.70000000000005</v>
      </c>
      <c r="J218" s="10">
        <v>104579.95000000003</v>
      </c>
      <c r="K218" s="6">
        <v>69014.58000000006</v>
      </c>
    </row>
    <row r="219" spans="1:11" x14ac:dyDescent="0.25">
      <c r="A219" s="5" t="s">
        <v>818</v>
      </c>
      <c r="B219" s="42">
        <f t="shared" si="3"/>
        <v>105.11565000000002</v>
      </c>
      <c r="C219" s="7" t="s">
        <v>471</v>
      </c>
      <c r="D219" s="7" t="s">
        <v>469</v>
      </c>
      <c r="E219" s="7" t="s">
        <v>826</v>
      </c>
      <c r="F219" s="17">
        <v>104.83202000000006</v>
      </c>
      <c r="G219" s="33" t="s">
        <v>390</v>
      </c>
      <c r="H219" s="7" t="s">
        <v>388</v>
      </c>
      <c r="I219" s="10">
        <v>527.75</v>
      </c>
      <c r="J219" s="10">
        <v>105115.65000000002</v>
      </c>
      <c r="K219" s="6">
        <v>68486.83000000006</v>
      </c>
    </row>
    <row r="220" spans="1:11" x14ac:dyDescent="0.25">
      <c r="A220" s="5" t="s">
        <v>818</v>
      </c>
      <c r="B220" s="42">
        <f t="shared" si="3"/>
        <v>105.64340000000003</v>
      </c>
      <c r="C220" s="7" t="s">
        <v>469</v>
      </c>
      <c r="D220" s="7" t="s">
        <v>467</v>
      </c>
      <c r="E220" s="7" t="s">
        <v>826</v>
      </c>
      <c r="F220" s="17">
        <v>105.15889000000006</v>
      </c>
      <c r="G220" s="33" t="s">
        <v>388</v>
      </c>
      <c r="H220" s="7" t="s">
        <v>386</v>
      </c>
      <c r="I220" s="10">
        <v>464.06</v>
      </c>
      <c r="J220" s="10">
        <v>105643.40000000002</v>
      </c>
      <c r="K220" s="6">
        <v>68022.770000000062</v>
      </c>
    </row>
    <row r="221" spans="1:11" x14ac:dyDescent="0.25">
      <c r="A221" s="5" t="s">
        <v>818</v>
      </c>
      <c r="B221" s="42">
        <f t="shared" si="3"/>
        <v>106.10746000000002</v>
      </c>
      <c r="C221" s="7" t="s">
        <v>467</v>
      </c>
      <c r="D221" s="7" t="s">
        <v>465</v>
      </c>
      <c r="E221" s="7" t="s">
        <v>826</v>
      </c>
      <c r="F221" s="17">
        <v>105.70988000000007</v>
      </c>
      <c r="G221" s="33" t="s">
        <v>386</v>
      </c>
      <c r="H221" s="7" t="s">
        <v>384</v>
      </c>
      <c r="I221" s="10">
        <v>549.32000000000005</v>
      </c>
      <c r="J221" s="10">
        <v>106107.46000000002</v>
      </c>
      <c r="K221" s="6">
        <v>67473.450000000055</v>
      </c>
    </row>
    <row r="222" spans="1:11" x14ac:dyDescent="0.25">
      <c r="A222" s="5" t="s">
        <v>818</v>
      </c>
      <c r="B222" s="42">
        <f t="shared" si="3"/>
        <v>106.65678000000003</v>
      </c>
      <c r="C222" s="7" t="s">
        <v>465</v>
      </c>
      <c r="D222" s="7" t="s">
        <v>463</v>
      </c>
      <c r="E222" s="7" t="s">
        <v>826</v>
      </c>
      <c r="F222" s="17">
        <v>106.10630000000006</v>
      </c>
      <c r="G222" s="33" t="s">
        <v>384</v>
      </c>
      <c r="H222" s="7" t="s">
        <v>382</v>
      </c>
      <c r="I222" s="10">
        <v>420.7</v>
      </c>
      <c r="J222" s="10">
        <v>106656.78000000003</v>
      </c>
      <c r="K222" s="6">
        <v>67052.750000000058</v>
      </c>
    </row>
    <row r="223" spans="1:11" x14ac:dyDescent="0.25">
      <c r="A223" s="5" t="s">
        <v>818</v>
      </c>
      <c r="B223" s="42">
        <f t="shared" si="3"/>
        <v>107.07748000000002</v>
      </c>
      <c r="C223" s="7" t="s">
        <v>463</v>
      </c>
      <c r="D223" s="7" t="s">
        <v>461</v>
      </c>
      <c r="E223" s="7" t="s">
        <v>826</v>
      </c>
      <c r="F223" s="17">
        <v>106.56163000000006</v>
      </c>
      <c r="G223" s="33" t="s">
        <v>382</v>
      </c>
      <c r="H223" s="7" t="s">
        <v>380</v>
      </c>
      <c r="I223" s="10">
        <v>348.47</v>
      </c>
      <c r="J223" s="10">
        <v>107077.48000000003</v>
      </c>
      <c r="K223" s="6">
        <v>66704.280000000057</v>
      </c>
    </row>
    <row r="224" spans="1:11" x14ac:dyDescent="0.25">
      <c r="A224" s="5" t="s">
        <v>818</v>
      </c>
      <c r="B224" s="42">
        <f t="shared" si="3"/>
        <v>107.42595000000003</v>
      </c>
      <c r="C224" s="7" t="s">
        <v>461</v>
      </c>
      <c r="D224" s="7" t="s">
        <v>459</v>
      </c>
      <c r="E224" s="7" t="s">
        <v>826</v>
      </c>
      <c r="F224" s="17">
        <v>106.88608000000006</v>
      </c>
      <c r="G224" s="33" t="s">
        <v>380</v>
      </c>
      <c r="H224" s="7" t="s">
        <v>378</v>
      </c>
      <c r="I224" s="10">
        <v>357.60000000000582</v>
      </c>
      <c r="J224" s="10">
        <v>107425.95000000003</v>
      </c>
      <c r="K224" s="6">
        <v>66346.680000000051</v>
      </c>
    </row>
    <row r="225" spans="1:11" x14ac:dyDescent="0.25">
      <c r="A225" s="5" t="s">
        <v>818</v>
      </c>
      <c r="B225" s="42">
        <f t="shared" si="3"/>
        <v>107.78355000000003</v>
      </c>
      <c r="C225" s="7" t="s">
        <v>459</v>
      </c>
      <c r="D225" s="7" t="s">
        <v>457</v>
      </c>
      <c r="E225" s="7" t="s">
        <v>826</v>
      </c>
      <c r="F225" s="17">
        <v>107.38118000000007</v>
      </c>
      <c r="G225" s="33" t="s">
        <v>378</v>
      </c>
      <c r="H225" s="7" t="s">
        <v>376</v>
      </c>
      <c r="I225" s="10">
        <v>431.7899999999936</v>
      </c>
      <c r="J225" s="10">
        <v>107783.55000000003</v>
      </c>
      <c r="K225" s="6">
        <v>65914.890000000058</v>
      </c>
    </row>
    <row r="226" spans="1:11" x14ac:dyDescent="0.25">
      <c r="A226" s="5" t="s">
        <v>818</v>
      </c>
      <c r="B226" s="42">
        <f t="shared" si="3"/>
        <v>108.21534000000003</v>
      </c>
      <c r="C226" s="7" t="s">
        <v>457</v>
      </c>
      <c r="D226" s="7" t="s">
        <v>455</v>
      </c>
      <c r="E226" s="7" t="s">
        <v>826</v>
      </c>
      <c r="F226" s="17">
        <v>107.79699000000006</v>
      </c>
      <c r="G226" s="33" t="s">
        <v>376</v>
      </c>
      <c r="H226" s="7" t="s">
        <v>374</v>
      </c>
      <c r="I226" s="10">
        <v>503.72</v>
      </c>
      <c r="J226" s="10">
        <v>108215.34000000003</v>
      </c>
      <c r="K226" s="6">
        <v>65411.170000000056</v>
      </c>
    </row>
    <row r="227" spans="1:11" x14ac:dyDescent="0.25">
      <c r="A227" s="5" t="s">
        <v>818</v>
      </c>
      <c r="B227" s="42">
        <f t="shared" si="3"/>
        <v>108.71906000000003</v>
      </c>
      <c r="C227" s="7" t="s">
        <v>455</v>
      </c>
      <c r="D227" s="7" t="s">
        <v>453</v>
      </c>
      <c r="E227" s="7" t="s">
        <v>826</v>
      </c>
      <c r="F227" s="17">
        <v>108.15447000000006</v>
      </c>
      <c r="G227" s="33" t="s">
        <v>374</v>
      </c>
      <c r="H227" s="7" t="s">
        <v>372</v>
      </c>
      <c r="I227" s="10">
        <v>598.75</v>
      </c>
      <c r="J227" s="10">
        <v>108719.06000000003</v>
      </c>
      <c r="K227" s="6">
        <v>64812.420000000056</v>
      </c>
    </row>
    <row r="228" spans="1:11" x14ac:dyDescent="0.25">
      <c r="A228" s="5" t="s">
        <v>818</v>
      </c>
      <c r="B228" s="42">
        <f t="shared" si="3"/>
        <v>109.31781000000002</v>
      </c>
      <c r="C228" s="7" t="s">
        <v>453</v>
      </c>
      <c r="D228" s="7" t="s">
        <v>451</v>
      </c>
      <c r="E228" s="7" t="s">
        <v>826</v>
      </c>
      <c r="F228" s="17">
        <v>108.57828000000006</v>
      </c>
      <c r="G228" s="33" t="s">
        <v>372</v>
      </c>
      <c r="H228" s="7" t="s">
        <v>370</v>
      </c>
      <c r="I228" s="10">
        <v>500.65</v>
      </c>
      <c r="J228" s="10">
        <v>109317.81000000003</v>
      </c>
      <c r="K228" s="6">
        <v>64311.770000000055</v>
      </c>
    </row>
    <row r="229" spans="1:11" x14ac:dyDescent="0.25">
      <c r="A229" s="5" t="s">
        <v>818</v>
      </c>
      <c r="B229" s="42">
        <f t="shared" si="3"/>
        <v>109.81846000000002</v>
      </c>
      <c r="C229" s="7" t="s">
        <v>451</v>
      </c>
      <c r="D229" s="7" t="s">
        <v>449</v>
      </c>
      <c r="E229" s="7" t="s">
        <v>826</v>
      </c>
      <c r="F229" s="17">
        <v>109.05694000000005</v>
      </c>
      <c r="G229" s="33" t="s">
        <v>370</v>
      </c>
      <c r="H229" s="7" t="s">
        <v>368</v>
      </c>
      <c r="I229" s="10">
        <v>536.63</v>
      </c>
      <c r="J229" s="10">
        <v>109818.46000000002</v>
      </c>
      <c r="K229" s="6">
        <v>63775.140000000058</v>
      </c>
    </row>
    <row r="230" spans="1:11" x14ac:dyDescent="0.25">
      <c r="A230" s="5" t="s">
        <v>818</v>
      </c>
      <c r="B230" s="42">
        <f t="shared" si="3"/>
        <v>110.35509000000003</v>
      </c>
      <c r="C230" s="7" t="s">
        <v>449</v>
      </c>
      <c r="D230" s="7" t="s">
        <v>447</v>
      </c>
      <c r="E230" s="7" t="s">
        <v>826</v>
      </c>
      <c r="F230" s="17">
        <v>109.48746000000007</v>
      </c>
      <c r="G230" s="33" t="s">
        <v>368</v>
      </c>
      <c r="H230" s="7" t="s">
        <v>366</v>
      </c>
      <c r="I230" s="10">
        <v>511.42</v>
      </c>
      <c r="J230" s="10">
        <v>110355.09000000003</v>
      </c>
      <c r="K230" s="6">
        <v>63263.720000000059</v>
      </c>
    </row>
    <row r="231" spans="1:11" x14ac:dyDescent="0.25">
      <c r="A231" s="5" t="s">
        <v>818</v>
      </c>
      <c r="B231" s="42">
        <f t="shared" si="3"/>
        <v>110.86651000000002</v>
      </c>
      <c r="C231" s="7" t="s">
        <v>447</v>
      </c>
      <c r="D231" s="7" t="s">
        <v>445</v>
      </c>
      <c r="E231" s="7" t="s">
        <v>826</v>
      </c>
      <c r="F231" s="17">
        <v>109.89539000000006</v>
      </c>
      <c r="G231" s="33" t="s">
        <v>366</v>
      </c>
      <c r="H231" s="7" t="s">
        <v>364</v>
      </c>
      <c r="I231" s="10">
        <v>535.63000000000466</v>
      </c>
      <c r="J231" s="10">
        <v>110866.51000000002</v>
      </c>
      <c r="K231" s="6">
        <v>62728.090000000055</v>
      </c>
    </row>
    <row r="232" spans="1:11" x14ac:dyDescent="0.25">
      <c r="A232" s="5" t="s">
        <v>818</v>
      </c>
      <c r="B232" s="42">
        <f t="shared" si="3"/>
        <v>111.40214000000003</v>
      </c>
      <c r="C232" s="7" t="s">
        <v>445</v>
      </c>
      <c r="D232" s="7" t="s">
        <v>443</v>
      </c>
      <c r="E232" s="7" t="s">
        <v>826</v>
      </c>
      <c r="F232" s="17">
        <v>110.26918000000005</v>
      </c>
      <c r="G232" s="33" t="s">
        <v>364</v>
      </c>
      <c r="H232" s="7" t="s">
        <v>362</v>
      </c>
      <c r="I232" s="10">
        <v>483.88</v>
      </c>
      <c r="J232" s="10">
        <v>111402.14000000003</v>
      </c>
      <c r="K232" s="6">
        <v>62244.210000000057</v>
      </c>
    </row>
    <row r="233" spans="1:11" x14ac:dyDescent="0.25">
      <c r="A233" s="5" t="s">
        <v>818</v>
      </c>
      <c r="B233" s="42">
        <f t="shared" si="3"/>
        <v>111.88602000000003</v>
      </c>
      <c r="C233" s="7" t="s">
        <v>443</v>
      </c>
      <c r="D233" s="7" t="s">
        <v>441</v>
      </c>
      <c r="E233" s="7" t="s">
        <v>826</v>
      </c>
      <c r="F233" s="17">
        <v>110.67297000000005</v>
      </c>
      <c r="G233" s="33" t="s">
        <v>362</v>
      </c>
      <c r="H233" s="7" t="s">
        <v>360</v>
      </c>
      <c r="I233" s="10">
        <v>587.41999999999996</v>
      </c>
      <c r="J233" s="10">
        <v>111886.02000000003</v>
      </c>
      <c r="K233" s="6">
        <v>61656.790000000059</v>
      </c>
    </row>
    <row r="234" spans="1:11" x14ac:dyDescent="0.25">
      <c r="A234" s="5" t="s">
        <v>818</v>
      </c>
      <c r="B234" s="42">
        <f t="shared" si="3"/>
        <v>112.47344000000002</v>
      </c>
      <c r="C234" s="7" t="s">
        <v>441</v>
      </c>
      <c r="D234" s="7" t="s">
        <v>439</v>
      </c>
      <c r="E234" s="7" t="s">
        <v>826</v>
      </c>
      <c r="F234" s="17">
        <v>111.01952000000004</v>
      </c>
      <c r="G234" s="33" t="s">
        <v>360</v>
      </c>
      <c r="H234" s="7" t="s">
        <v>358</v>
      </c>
      <c r="I234" s="10">
        <v>439.93</v>
      </c>
      <c r="J234" s="10">
        <v>112473.44000000003</v>
      </c>
      <c r="K234" s="6">
        <v>61216.860000000059</v>
      </c>
    </row>
    <row r="235" spans="1:11" x14ac:dyDescent="0.25">
      <c r="A235" s="5" t="s">
        <v>818</v>
      </c>
      <c r="B235" s="42">
        <f t="shared" si="3"/>
        <v>112.91337000000003</v>
      </c>
      <c r="C235" s="7" t="s">
        <v>439</v>
      </c>
      <c r="D235" s="7" t="s">
        <v>437</v>
      </c>
      <c r="E235" s="7" t="s">
        <v>826</v>
      </c>
      <c r="F235" s="17">
        <v>111.38296000000005</v>
      </c>
      <c r="G235" s="33" t="s">
        <v>358</v>
      </c>
      <c r="H235" s="7" t="s">
        <v>356</v>
      </c>
      <c r="I235" s="10">
        <v>473.29</v>
      </c>
      <c r="J235" s="10">
        <v>112913.37000000002</v>
      </c>
      <c r="K235" s="6">
        <v>60743.570000000058</v>
      </c>
    </row>
    <row r="236" spans="1:11" x14ac:dyDescent="0.25">
      <c r="A236" s="5" t="s">
        <v>818</v>
      </c>
      <c r="B236" s="42">
        <f t="shared" si="3"/>
        <v>113.38666000000002</v>
      </c>
      <c r="C236" s="7" t="s">
        <v>437</v>
      </c>
      <c r="D236" s="7" t="s">
        <v>435</v>
      </c>
      <c r="E236" s="7" t="s">
        <v>826</v>
      </c>
      <c r="F236" s="17">
        <v>111.93621000000005</v>
      </c>
      <c r="G236" s="33" t="s">
        <v>356</v>
      </c>
      <c r="H236" s="7" t="s">
        <v>354</v>
      </c>
      <c r="I236" s="10">
        <v>499.28</v>
      </c>
      <c r="J236" s="10">
        <v>113386.66000000002</v>
      </c>
      <c r="K236" s="6">
        <v>60244.290000000059</v>
      </c>
    </row>
    <row r="237" spans="1:11" x14ac:dyDescent="0.25">
      <c r="A237" s="5" t="s">
        <v>818</v>
      </c>
      <c r="B237" s="42">
        <f t="shared" si="3"/>
        <v>113.88594000000002</v>
      </c>
      <c r="C237" s="7" t="s">
        <v>435</v>
      </c>
      <c r="D237" s="7" t="s">
        <v>433</v>
      </c>
      <c r="E237" s="7" t="s">
        <v>826</v>
      </c>
      <c r="F237" s="17">
        <v>112.30843000000006</v>
      </c>
      <c r="G237" s="33" t="s">
        <v>354</v>
      </c>
      <c r="H237" s="7" t="s">
        <v>352</v>
      </c>
      <c r="I237" s="10">
        <v>507.42</v>
      </c>
      <c r="J237" s="10">
        <v>113885.94000000002</v>
      </c>
      <c r="K237" s="6">
        <v>59736.870000000061</v>
      </c>
    </row>
    <row r="238" spans="1:11" x14ac:dyDescent="0.25">
      <c r="A238" s="5" t="s">
        <v>818</v>
      </c>
      <c r="B238" s="42">
        <f t="shared" si="3"/>
        <v>114.39336000000002</v>
      </c>
      <c r="C238" s="7" t="s">
        <v>433</v>
      </c>
      <c r="D238" s="7" t="s">
        <v>431</v>
      </c>
      <c r="E238" s="7" t="s">
        <v>826</v>
      </c>
      <c r="F238" s="17">
        <v>112.78411000000004</v>
      </c>
      <c r="G238" s="33" t="s">
        <v>352</v>
      </c>
      <c r="H238" s="7" t="s">
        <v>350</v>
      </c>
      <c r="I238" s="10">
        <v>348.34</v>
      </c>
      <c r="J238" s="10">
        <v>114393.36000000002</v>
      </c>
      <c r="K238" s="6">
        <v>59388.530000000064</v>
      </c>
    </row>
    <row r="239" spans="1:11" x14ac:dyDescent="0.25">
      <c r="A239" s="5" t="s">
        <v>818</v>
      </c>
      <c r="B239" s="42">
        <f t="shared" si="3"/>
        <v>114.74170000000001</v>
      </c>
      <c r="C239" s="7" t="s">
        <v>431</v>
      </c>
      <c r="D239" s="7" t="s">
        <v>429</v>
      </c>
      <c r="E239" s="7" t="s">
        <v>826</v>
      </c>
      <c r="F239" s="17">
        <v>113.19620000000005</v>
      </c>
      <c r="G239" s="33" t="s">
        <v>350</v>
      </c>
      <c r="H239" s="7" t="s">
        <v>348</v>
      </c>
      <c r="I239" s="10">
        <v>558.39</v>
      </c>
      <c r="J239" s="10">
        <v>114741.70000000001</v>
      </c>
      <c r="K239" s="6">
        <v>58830.140000000065</v>
      </c>
    </row>
    <row r="240" spans="1:11" x14ac:dyDescent="0.25">
      <c r="A240" s="5" t="s">
        <v>818</v>
      </c>
      <c r="B240" s="42">
        <f t="shared" si="3"/>
        <v>115.30009000000001</v>
      </c>
      <c r="C240" s="7" t="s">
        <v>429</v>
      </c>
      <c r="D240" s="7" t="s">
        <v>427</v>
      </c>
      <c r="E240" s="7" t="s">
        <v>826</v>
      </c>
      <c r="F240" s="17">
        <v>113.56640000000004</v>
      </c>
      <c r="G240" s="33" t="s">
        <v>348</v>
      </c>
      <c r="H240" s="7" t="s">
        <v>346</v>
      </c>
      <c r="I240" s="10">
        <v>464.65</v>
      </c>
      <c r="J240" s="10">
        <v>115300.09000000001</v>
      </c>
      <c r="K240" s="6">
        <v>58365.490000000063</v>
      </c>
    </row>
    <row r="241" spans="1:11" x14ac:dyDescent="0.25">
      <c r="A241" s="5" t="s">
        <v>818</v>
      </c>
      <c r="B241" s="42">
        <f t="shared" si="3"/>
        <v>115.76474</v>
      </c>
      <c r="C241" s="7" t="s">
        <v>427</v>
      </c>
      <c r="D241" s="7" t="s">
        <v>425</v>
      </c>
      <c r="E241" s="7" t="s">
        <v>826</v>
      </c>
      <c r="F241" s="17">
        <v>114.00223000000004</v>
      </c>
      <c r="G241" s="33" t="s">
        <v>346</v>
      </c>
      <c r="H241" s="7" t="s">
        <v>344</v>
      </c>
      <c r="I241" s="10">
        <v>550.29</v>
      </c>
      <c r="J241" s="10">
        <v>115764.74</v>
      </c>
      <c r="K241" s="6">
        <v>57815.200000000063</v>
      </c>
    </row>
    <row r="242" spans="1:11" x14ac:dyDescent="0.25">
      <c r="A242" s="5" t="s">
        <v>818</v>
      </c>
      <c r="B242" s="42">
        <f t="shared" si="3"/>
        <v>116.31502999999999</v>
      </c>
      <c r="C242" s="7" t="s">
        <v>425</v>
      </c>
      <c r="D242" s="7" t="s">
        <v>423</v>
      </c>
      <c r="E242" s="7" t="s">
        <v>826</v>
      </c>
      <c r="F242" s="17">
        <v>114.48701000000004</v>
      </c>
      <c r="G242" s="33" t="s">
        <v>344</v>
      </c>
      <c r="H242" s="7" t="s">
        <v>342</v>
      </c>
      <c r="I242" s="10">
        <v>575.54999999999995</v>
      </c>
      <c r="J242" s="10">
        <v>116315.03</v>
      </c>
      <c r="K242" s="6">
        <v>57239.65000000006</v>
      </c>
    </row>
    <row r="243" spans="1:11" x14ac:dyDescent="0.25">
      <c r="A243" s="5" t="s">
        <v>818</v>
      </c>
      <c r="B243" s="42">
        <f t="shared" si="3"/>
        <v>116.89058</v>
      </c>
      <c r="C243" s="7" t="s">
        <v>423</v>
      </c>
      <c r="D243" s="7" t="s">
        <v>421</v>
      </c>
      <c r="E243" s="7" t="s">
        <v>826</v>
      </c>
      <c r="F243" s="17">
        <v>114.81671000000003</v>
      </c>
      <c r="G243" s="33" t="s">
        <v>342</v>
      </c>
      <c r="H243" s="7" t="s">
        <v>340</v>
      </c>
      <c r="I243" s="10">
        <v>472.52</v>
      </c>
      <c r="J243" s="10">
        <v>116890.58</v>
      </c>
      <c r="K243" s="6">
        <v>56767.130000000063</v>
      </c>
    </row>
    <row r="244" spans="1:11" x14ac:dyDescent="0.25">
      <c r="A244" s="5" t="s">
        <v>818</v>
      </c>
      <c r="B244" s="42">
        <f t="shared" si="3"/>
        <v>117.3631</v>
      </c>
      <c r="C244" s="7" t="s">
        <v>421</v>
      </c>
      <c r="D244" s="7" t="s">
        <v>419</v>
      </c>
      <c r="E244" s="7" t="s">
        <v>826</v>
      </c>
      <c r="F244" s="17">
        <v>115.40961000000003</v>
      </c>
      <c r="G244" s="33" t="s">
        <v>340</v>
      </c>
      <c r="H244" s="7" t="s">
        <v>338</v>
      </c>
      <c r="I244" s="10">
        <v>520.30999999999995</v>
      </c>
      <c r="J244" s="10">
        <v>117363.1</v>
      </c>
      <c r="K244" s="6">
        <v>56246.820000000065</v>
      </c>
    </row>
    <row r="245" spans="1:11" x14ac:dyDescent="0.25">
      <c r="A245" s="5" t="s">
        <v>818</v>
      </c>
      <c r="B245" s="42">
        <f t="shared" si="3"/>
        <v>117.88341</v>
      </c>
      <c r="C245" s="7" t="s">
        <v>419</v>
      </c>
      <c r="D245" s="7" t="s">
        <v>417</v>
      </c>
      <c r="E245" s="7" t="s">
        <v>826</v>
      </c>
      <c r="F245" s="17">
        <v>115.92721000000003</v>
      </c>
      <c r="G245" s="33" t="s">
        <v>338</v>
      </c>
      <c r="H245" s="7" t="s">
        <v>336</v>
      </c>
      <c r="I245" s="10">
        <v>529.42999999999302</v>
      </c>
      <c r="J245" s="10">
        <v>117883.41</v>
      </c>
      <c r="K245" s="6">
        <v>55717.390000000072</v>
      </c>
    </row>
    <row r="246" spans="1:11" x14ac:dyDescent="0.25">
      <c r="A246" s="5" t="s">
        <v>818</v>
      </c>
      <c r="B246" s="42">
        <f t="shared" si="3"/>
        <v>118.41284</v>
      </c>
      <c r="C246" s="7" t="s">
        <v>417</v>
      </c>
      <c r="D246" s="7" t="s">
        <v>415</v>
      </c>
      <c r="E246" s="7" t="s">
        <v>826</v>
      </c>
      <c r="F246" s="17">
        <v>116.39370000000004</v>
      </c>
      <c r="G246" s="33" t="s">
        <v>336</v>
      </c>
      <c r="H246" s="7" t="s">
        <v>334</v>
      </c>
      <c r="I246" s="10">
        <v>540.86</v>
      </c>
      <c r="J246" s="10">
        <v>118412.84</v>
      </c>
      <c r="K246" s="6">
        <v>55176.530000000072</v>
      </c>
    </row>
    <row r="247" spans="1:11" x14ac:dyDescent="0.25">
      <c r="A247" s="5" t="s">
        <v>818</v>
      </c>
      <c r="B247" s="42">
        <f t="shared" si="3"/>
        <v>118.9537</v>
      </c>
      <c r="C247" s="7" t="s">
        <v>415</v>
      </c>
      <c r="D247" s="7" t="s">
        <v>413</v>
      </c>
      <c r="E247" s="7" t="s">
        <v>826</v>
      </c>
      <c r="F247" s="17">
        <v>116.88978000000004</v>
      </c>
      <c r="G247" s="33" t="s">
        <v>334</v>
      </c>
      <c r="H247" s="7" t="s">
        <v>332</v>
      </c>
      <c r="I247" s="10">
        <v>529.83000000000175</v>
      </c>
      <c r="J247" s="10">
        <v>118953.7</v>
      </c>
      <c r="K247" s="6">
        <v>54646.70000000007</v>
      </c>
    </row>
    <row r="248" spans="1:11" x14ac:dyDescent="0.25">
      <c r="A248" s="5" t="s">
        <v>818</v>
      </c>
      <c r="B248" s="42">
        <f t="shared" si="3"/>
        <v>119.48353</v>
      </c>
      <c r="C248" s="7" t="s">
        <v>413</v>
      </c>
      <c r="D248" s="7" t="s">
        <v>411</v>
      </c>
      <c r="E248" s="7" t="s">
        <v>826</v>
      </c>
      <c r="F248" s="17">
        <v>117.39398000000004</v>
      </c>
      <c r="G248" s="33" t="s">
        <v>332</v>
      </c>
      <c r="H248" s="7" t="s">
        <v>330</v>
      </c>
      <c r="I248" s="10">
        <v>473.05</v>
      </c>
      <c r="J248" s="10">
        <v>119483.53</v>
      </c>
      <c r="K248" s="6">
        <v>54173.650000000067</v>
      </c>
    </row>
    <row r="249" spans="1:11" x14ac:dyDescent="0.25">
      <c r="A249" s="5" t="s">
        <v>818</v>
      </c>
      <c r="B249" s="42">
        <f t="shared" si="3"/>
        <v>119.95658</v>
      </c>
      <c r="C249" s="7" t="s">
        <v>411</v>
      </c>
      <c r="D249" s="7" t="s">
        <v>409</v>
      </c>
      <c r="E249" s="7" t="s">
        <v>826</v>
      </c>
      <c r="F249" s="17">
        <v>117.75278000000004</v>
      </c>
      <c r="G249" s="33" t="s">
        <v>330</v>
      </c>
      <c r="H249" s="7" t="s">
        <v>328</v>
      </c>
      <c r="I249" s="10">
        <v>407.5</v>
      </c>
      <c r="J249" s="10">
        <v>119956.58</v>
      </c>
      <c r="K249" s="6">
        <v>53766.150000000067</v>
      </c>
    </row>
    <row r="250" spans="1:11" x14ac:dyDescent="0.25">
      <c r="A250" s="5" t="s">
        <v>818</v>
      </c>
      <c r="B250" s="42">
        <f t="shared" si="3"/>
        <v>120.36408</v>
      </c>
      <c r="C250" s="7" t="s">
        <v>409</v>
      </c>
      <c r="D250" s="7" t="s">
        <v>407</v>
      </c>
      <c r="E250" s="7" t="s">
        <v>826</v>
      </c>
      <c r="F250" s="17">
        <v>118.12653000000005</v>
      </c>
      <c r="G250" s="33" t="s">
        <v>328</v>
      </c>
      <c r="H250" s="7" t="s">
        <v>326</v>
      </c>
      <c r="I250" s="10">
        <v>529.79999999999995</v>
      </c>
      <c r="J250" s="10">
        <v>120364.08</v>
      </c>
      <c r="K250" s="6">
        <v>53236.350000000064</v>
      </c>
    </row>
    <row r="251" spans="1:11" x14ac:dyDescent="0.25">
      <c r="A251" s="5" t="s">
        <v>818</v>
      </c>
      <c r="B251" s="42">
        <f t="shared" si="3"/>
        <v>120.89388000000001</v>
      </c>
      <c r="C251" s="7" t="s">
        <v>407</v>
      </c>
      <c r="D251" s="7" t="s">
        <v>405</v>
      </c>
      <c r="E251" s="7" t="s">
        <v>826</v>
      </c>
      <c r="F251" s="17">
        <v>118.56060000000005</v>
      </c>
      <c r="G251" s="33" t="s">
        <v>326</v>
      </c>
      <c r="H251" s="7" t="s">
        <v>324</v>
      </c>
      <c r="I251" s="10">
        <v>515.66999999999996</v>
      </c>
      <c r="J251" s="10">
        <v>120893.88</v>
      </c>
      <c r="K251" s="6">
        <v>52720.680000000066</v>
      </c>
    </row>
    <row r="252" spans="1:11" x14ac:dyDescent="0.25">
      <c r="A252" s="5" t="s">
        <v>818</v>
      </c>
      <c r="B252" s="42">
        <f t="shared" si="3"/>
        <v>121.40955</v>
      </c>
      <c r="C252" s="7" t="s">
        <v>405</v>
      </c>
      <c r="D252" s="7" t="s">
        <v>403</v>
      </c>
      <c r="E252" s="7" t="s">
        <v>826</v>
      </c>
      <c r="F252" s="17">
        <v>119.00715000000005</v>
      </c>
      <c r="G252" s="33" t="s">
        <v>324</v>
      </c>
      <c r="H252" s="7" t="s">
        <v>322</v>
      </c>
      <c r="I252" s="10">
        <v>552.25</v>
      </c>
      <c r="J252" s="10">
        <v>121409.55</v>
      </c>
      <c r="K252" s="6">
        <v>52168.430000000066</v>
      </c>
    </row>
    <row r="253" spans="1:11" x14ac:dyDescent="0.25">
      <c r="A253" s="5" t="s">
        <v>818</v>
      </c>
      <c r="B253" s="42">
        <f t="shared" si="3"/>
        <v>121.9618</v>
      </c>
      <c r="C253" s="7" t="s">
        <v>403</v>
      </c>
      <c r="D253" s="7" t="s">
        <v>401</v>
      </c>
      <c r="E253" s="7" t="s">
        <v>826</v>
      </c>
      <c r="F253" s="17">
        <v>119.46659000000005</v>
      </c>
      <c r="G253" s="33" t="s">
        <v>322</v>
      </c>
      <c r="H253" s="7" t="s">
        <v>320</v>
      </c>
      <c r="I253" s="10">
        <v>539.79999999999995</v>
      </c>
      <c r="J253" s="10">
        <v>121961.8</v>
      </c>
      <c r="K253" s="6">
        <v>51628.630000000063</v>
      </c>
    </row>
    <row r="254" spans="1:11" x14ac:dyDescent="0.25">
      <c r="A254" s="5" t="s">
        <v>818</v>
      </c>
      <c r="B254" s="42">
        <f t="shared" si="3"/>
        <v>122.50160000000001</v>
      </c>
      <c r="C254" s="7" t="s">
        <v>401</v>
      </c>
      <c r="D254" s="7" t="s">
        <v>399</v>
      </c>
      <c r="E254" s="7" t="s">
        <v>826</v>
      </c>
      <c r="F254" s="17">
        <v>120.03008000000005</v>
      </c>
      <c r="G254" s="33" t="s">
        <v>320</v>
      </c>
      <c r="H254" s="7" t="s">
        <v>318</v>
      </c>
      <c r="I254" s="10">
        <v>520</v>
      </c>
      <c r="J254" s="10">
        <v>122501.6</v>
      </c>
      <c r="K254" s="6">
        <v>51108.630000000063</v>
      </c>
    </row>
    <row r="255" spans="1:11" x14ac:dyDescent="0.25">
      <c r="A255" s="5" t="s">
        <v>818</v>
      </c>
      <c r="B255" s="42">
        <f t="shared" si="3"/>
        <v>123.02160000000001</v>
      </c>
      <c r="C255" s="7" t="s">
        <v>399</v>
      </c>
      <c r="D255" s="7" t="s">
        <v>397</v>
      </c>
      <c r="E255" s="7" t="s">
        <v>826</v>
      </c>
      <c r="F255" s="17">
        <v>120.55759000000006</v>
      </c>
      <c r="G255" s="33" t="s">
        <v>318</v>
      </c>
      <c r="H255" s="7" t="s">
        <v>316</v>
      </c>
      <c r="I255" s="10">
        <v>511.74</v>
      </c>
      <c r="J255" s="10">
        <v>123021.6</v>
      </c>
      <c r="K255" s="6">
        <v>50596.890000000065</v>
      </c>
    </row>
    <row r="256" spans="1:11" x14ac:dyDescent="0.25">
      <c r="A256" s="5" t="s">
        <v>818</v>
      </c>
      <c r="B256" s="42">
        <f t="shared" si="3"/>
        <v>123.53334000000001</v>
      </c>
      <c r="C256" s="7" t="s">
        <v>397</v>
      </c>
      <c r="D256" s="7" t="s">
        <v>395</v>
      </c>
      <c r="E256" s="7" t="s">
        <v>826</v>
      </c>
      <c r="F256" s="17">
        <v>121.00459000000005</v>
      </c>
      <c r="G256" s="33" t="s">
        <v>316</v>
      </c>
      <c r="H256" s="7" t="s">
        <v>314</v>
      </c>
      <c r="I256" s="10">
        <v>530.28</v>
      </c>
      <c r="J256" s="10">
        <v>123533.34000000001</v>
      </c>
      <c r="K256" s="6">
        <v>50066.610000000066</v>
      </c>
    </row>
    <row r="257" spans="1:11" x14ac:dyDescent="0.25">
      <c r="A257" s="5" t="s">
        <v>818</v>
      </c>
      <c r="B257" s="42">
        <f t="shared" si="3"/>
        <v>124.06362000000001</v>
      </c>
      <c r="C257" s="7" t="s">
        <v>395</v>
      </c>
      <c r="D257" s="7" t="s">
        <v>393</v>
      </c>
      <c r="E257" s="7" t="s">
        <v>826</v>
      </c>
      <c r="F257" s="17">
        <v>121.53799000000005</v>
      </c>
      <c r="G257" s="33" t="s">
        <v>314</v>
      </c>
      <c r="H257" s="7" t="s">
        <v>312</v>
      </c>
      <c r="I257" s="10">
        <v>524.73</v>
      </c>
      <c r="J257" s="10">
        <v>124063.62000000001</v>
      </c>
      <c r="K257" s="6">
        <v>49541.880000000063</v>
      </c>
    </row>
    <row r="258" spans="1:11" x14ac:dyDescent="0.25">
      <c r="A258" s="5" t="s">
        <v>818</v>
      </c>
      <c r="B258" s="42">
        <f t="shared" si="3"/>
        <v>124.58835000000001</v>
      </c>
      <c r="C258" s="7" t="s">
        <v>393</v>
      </c>
      <c r="D258" s="7" t="s">
        <v>391</v>
      </c>
      <c r="E258" s="7" t="s">
        <v>826</v>
      </c>
      <c r="F258" s="17">
        <v>122.03749000000005</v>
      </c>
      <c r="G258" s="33" t="s">
        <v>312</v>
      </c>
      <c r="H258" s="7" t="s">
        <v>310</v>
      </c>
      <c r="I258" s="10">
        <v>500.77</v>
      </c>
      <c r="J258" s="10">
        <v>124588.35</v>
      </c>
      <c r="K258" s="6">
        <v>49041.110000000066</v>
      </c>
    </row>
    <row r="259" spans="1:11" x14ac:dyDescent="0.25">
      <c r="A259" s="5" t="s">
        <v>818</v>
      </c>
      <c r="B259" s="42">
        <f t="shared" ref="B259:B322" si="4">J259/1000</f>
        <v>125.08912000000001</v>
      </c>
      <c r="C259" s="7" t="s">
        <v>391</v>
      </c>
      <c r="D259" s="7" t="s">
        <v>389</v>
      </c>
      <c r="E259" s="7" t="s">
        <v>826</v>
      </c>
      <c r="F259" s="17">
        <v>122.60709000000006</v>
      </c>
      <c r="G259" s="33" t="s">
        <v>310</v>
      </c>
      <c r="H259" s="7" t="s">
        <v>308</v>
      </c>
      <c r="I259" s="10">
        <v>549.73</v>
      </c>
      <c r="J259" s="10">
        <v>125089.12000000001</v>
      </c>
      <c r="K259" s="6">
        <v>48491.380000000063</v>
      </c>
    </row>
    <row r="260" spans="1:11" x14ac:dyDescent="0.25">
      <c r="A260" s="5" t="s">
        <v>818</v>
      </c>
      <c r="B260" s="42">
        <f t="shared" si="4"/>
        <v>125.63885000000001</v>
      </c>
      <c r="C260" s="7" t="s">
        <v>389</v>
      </c>
      <c r="D260" s="7" t="s">
        <v>387</v>
      </c>
      <c r="E260" s="7" t="s">
        <v>826</v>
      </c>
      <c r="F260" s="17">
        <v>123.12757000000005</v>
      </c>
      <c r="G260" s="33" t="s">
        <v>308</v>
      </c>
      <c r="H260" s="7" t="s">
        <v>306</v>
      </c>
      <c r="I260" s="10">
        <v>532.29999999999995</v>
      </c>
      <c r="J260" s="10">
        <v>125638.85</v>
      </c>
      <c r="K260" s="6">
        <v>47959.08000000006</v>
      </c>
    </row>
    <row r="261" spans="1:11" x14ac:dyDescent="0.25">
      <c r="A261" s="5" t="s">
        <v>818</v>
      </c>
      <c r="B261" s="42">
        <f t="shared" si="4"/>
        <v>126.17115000000001</v>
      </c>
      <c r="C261" s="7" t="s">
        <v>387</v>
      </c>
      <c r="D261" s="7" t="s">
        <v>385</v>
      </c>
      <c r="E261" s="7" t="s">
        <v>826</v>
      </c>
      <c r="F261" s="17">
        <v>123.70210000000004</v>
      </c>
      <c r="G261" s="33" t="s">
        <v>306</v>
      </c>
      <c r="H261" s="7" t="s">
        <v>304</v>
      </c>
      <c r="I261" s="10">
        <v>562.23</v>
      </c>
      <c r="J261" s="10">
        <v>126171.15000000001</v>
      </c>
      <c r="K261" s="6">
        <v>47396.850000000057</v>
      </c>
    </row>
    <row r="262" spans="1:11" x14ac:dyDescent="0.25">
      <c r="A262" s="5" t="s">
        <v>818</v>
      </c>
      <c r="B262" s="42">
        <f t="shared" si="4"/>
        <v>126.73338000000001</v>
      </c>
      <c r="C262" s="7" t="s">
        <v>385</v>
      </c>
      <c r="D262" s="7" t="s">
        <v>383</v>
      </c>
      <c r="E262" s="7" t="s">
        <v>826</v>
      </c>
      <c r="F262" s="17">
        <v>124.18982000000005</v>
      </c>
      <c r="G262" s="33" t="s">
        <v>304</v>
      </c>
      <c r="H262" s="7" t="s">
        <v>302</v>
      </c>
      <c r="I262" s="10">
        <v>516.44000000000005</v>
      </c>
      <c r="J262" s="10">
        <v>126733.38</v>
      </c>
      <c r="K262" s="6">
        <v>46880.410000000054</v>
      </c>
    </row>
    <row r="263" spans="1:11" x14ac:dyDescent="0.25">
      <c r="A263" s="5" t="s">
        <v>818</v>
      </c>
      <c r="B263" s="42">
        <f t="shared" si="4"/>
        <v>127.24982000000001</v>
      </c>
      <c r="C263" s="7" t="s">
        <v>383</v>
      </c>
      <c r="D263" s="7" t="s">
        <v>381</v>
      </c>
      <c r="E263" s="7" t="s">
        <v>826</v>
      </c>
      <c r="F263" s="17">
        <v>124.69255000000004</v>
      </c>
      <c r="G263" s="33" t="s">
        <v>302</v>
      </c>
      <c r="H263" s="7" t="s">
        <v>300</v>
      </c>
      <c r="I263" s="10">
        <v>508.59</v>
      </c>
      <c r="J263" s="10">
        <v>127249.82</v>
      </c>
      <c r="K263" s="6">
        <v>46371.820000000058</v>
      </c>
    </row>
    <row r="264" spans="1:11" x14ac:dyDescent="0.25">
      <c r="A264" s="5" t="s">
        <v>818</v>
      </c>
      <c r="B264" s="42">
        <f t="shared" si="4"/>
        <v>127.75841</v>
      </c>
      <c r="C264" s="7" t="s">
        <v>381</v>
      </c>
      <c r="D264" s="7" t="s">
        <v>379</v>
      </c>
      <c r="E264" s="7" t="s">
        <v>826</v>
      </c>
      <c r="F264" s="17">
        <v>125.14225000000005</v>
      </c>
      <c r="G264" s="33" t="s">
        <v>300</v>
      </c>
      <c r="H264" s="7" t="s">
        <v>298</v>
      </c>
      <c r="I264" s="10">
        <v>529.91999999999996</v>
      </c>
      <c r="J264" s="10">
        <v>127758.41</v>
      </c>
      <c r="K264" s="6">
        <v>45841.90000000006</v>
      </c>
    </row>
    <row r="265" spans="1:11" x14ac:dyDescent="0.25">
      <c r="A265" s="5" t="s">
        <v>818</v>
      </c>
      <c r="B265" s="42">
        <f t="shared" si="4"/>
        <v>128.28833</v>
      </c>
      <c r="C265" s="7" t="s">
        <v>379</v>
      </c>
      <c r="D265" s="7" t="s">
        <v>377</v>
      </c>
      <c r="E265" s="7" t="s">
        <v>826</v>
      </c>
      <c r="F265" s="17">
        <v>125.62195000000004</v>
      </c>
      <c r="G265" s="33" t="s">
        <v>298</v>
      </c>
      <c r="H265" s="7" t="s">
        <v>296</v>
      </c>
      <c r="I265" s="10">
        <v>437.09</v>
      </c>
      <c r="J265" s="10">
        <v>128288.33</v>
      </c>
      <c r="K265" s="6">
        <v>45404.810000000063</v>
      </c>
    </row>
    <row r="266" spans="1:11" x14ac:dyDescent="0.25">
      <c r="A266" s="5" t="s">
        <v>818</v>
      </c>
      <c r="B266" s="42">
        <f t="shared" si="4"/>
        <v>128.72541999999999</v>
      </c>
      <c r="C266" s="7" t="s">
        <v>377</v>
      </c>
      <c r="D266" s="7" t="s">
        <v>375</v>
      </c>
      <c r="E266" s="7" t="s">
        <v>826</v>
      </c>
      <c r="F266" s="17">
        <v>126.24805000000005</v>
      </c>
      <c r="G266" s="33" t="s">
        <v>296</v>
      </c>
      <c r="H266" s="7" t="s">
        <v>294</v>
      </c>
      <c r="I266" s="10">
        <v>552.23</v>
      </c>
      <c r="J266" s="10">
        <v>128725.42</v>
      </c>
      <c r="K266" s="6">
        <v>44852.58000000006</v>
      </c>
    </row>
    <row r="267" spans="1:11" x14ac:dyDescent="0.25">
      <c r="A267" s="5" t="s">
        <v>818</v>
      </c>
      <c r="B267" s="42">
        <f t="shared" si="4"/>
        <v>129.27764999999999</v>
      </c>
      <c r="C267" s="7" t="s">
        <v>375</v>
      </c>
      <c r="D267" s="7" t="s">
        <v>373</v>
      </c>
      <c r="E267" s="7" t="s">
        <v>826</v>
      </c>
      <c r="F267" s="17">
        <v>126.78465000000006</v>
      </c>
      <c r="G267" s="33" t="s">
        <v>294</v>
      </c>
      <c r="H267" s="7" t="s">
        <v>292</v>
      </c>
      <c r="I267" s="10">
        <v>484.76</v>
      </c>
      <c r="J267" s="10">
        <v>129277.65</v>
      </c>
      <c r="K267" s="6">
        <v>44367.820000000058</v>
      </c>
    </row>
    <row r="268" spans="1:11" x14ac:dyDescent="0.25">
      <c r="A268" s="5" t="s">
        <v>818</v>
      </c>
      <c r="B268" s="42">
        <f t="shared" si="4"/>
        <v>129.76240999999999</v>
      </c>
      <c r="C268" s="7" t="s">
        <v>373</v>
      </c>
      <c r="D268" s="7" t="s">
        <v>371</v>
      </c>
      <c r="E268" s="7" t="s">
        <v>826</v>
      </c>
      <c r="F268" s="17">
        <v>127.22852000000005</v>
      </c>
      <c r="G268" s="33" t="s">
        <v>292</v>
      </c>
      <c r="H268" s="7" t="s">
        <v>290</v>
      </c>
      <c r="I268" s="10">
        <v>547.25</v>
      </c>
      <c r="J268" s="10">
        <v>129762.40999999999</v>
      </c>
      <c r="K268" s="6">
        <v>43820.570000000058</v>
      </c>
    </row>
    <row r="269" spans="1:11" x14ac:dyDescent="0.25">
      <c r="A269" s="5" t="s">
        <v>818</v>
      </c>
      <c r="B269" s="42">
        <f t="shared" si="4"/>
        <v>130.30965999999998</v>
      </c>
      <c r="C269" s="7" t="s">
        <v>371</v>
      </c>
      <c r="D269" s="7" t="s">
        <v>369</v>
      </c>
      <c r="E269" s="7" t="s">
        <v>826</v>
      </c>
      <c r="F269" s="17">
        <v>127.66115000000005</v>
      </c>
      <c r="G269" s="33" t="s">
        <v>290</v>
      </c>
      <c r="H269" s="7" t="s">
        <v>288</v>
      </c>
      <c r="I269" s="10">
        <v>608.84</v>
      </c>
      <c r="J269" s="10">
        <v>130309.65999999999</v>
      </c>
      <c r="K269" s="6">
        <v>43211.730000000061</v>
      </c>
    </row>
    <row r="270" spans="1:11" x14ac:dyDescent="0.25">
      <c r="A270" s="5" t="s">
        <v>818</v>
      </c>
      <c r="B270" s="42">
        <f t="shared" si="4"/>
        <v>130.91849999999999</v>
      </c>
      <c r="C270" s="7" t="s">
        <v>369</v>
      </c>
      <c r="D270" s="7" t="s">
        <v>367</v>
      </c>
      <c r="E270" s="7" t="s">
        <v>826</v>
      </c>
      <c r="F270" s="17">
        <v>128.06580000000005</v>
      </c>
      <c r="G270" s="33" t="s">
        <v>288</v>
      </c>
      <c r="H270" s="7" t="s">
        <v>286</v>
      </c>
      <c r="I270" s="10">
        <v>471.6</v>
      </c>
      <c r="J270" s="10">
        <v>130918.49999999999</v>
      </c>
      <c r="K270" s="6">
        <v>42740.130000000063</v>
      </c>
    </row>
    <row r="271" spans="1:11" x14ac:dyDescent="0.25">
      <c r="A271" s="5" t="s">
        <v>818</v>
      </c>
      <c r="B271" s="42">
        <f t="shared" si="4"/>
        <v>131.39009999999999</v>
      </c>
      <c r="C271" s="7" t="s">
        <v>367</v>
      </c>
      <c r="D271" s="7" t="s">
        <v>365</v>
      </c>
      <c r="E271" s="7" t="s">
        <v>826</v>
      </c>
      <c r="F271" s="17">
        <v>128.45300000000003</v>
      </c>
      <c r="G271" s="33" t="s">
        <v>286</v>
      </c>
      <c r="H271" s="7" t="s">
        <v>284</v>
      </c>
      <c r="I271" s="10">
        <v>546.20000000000005</v>
      </c>
      <c r="J271" s="10">
        <v>131390.09999999998</v>
      </c>
      <c r="K271" s="6">
        <v>42193.930000000066</v>
      </c>
    </row>
    <row r="272" spans="1:11" x14ac:dyDescent="0.25">
      <c r="A272" s="5" t="s">
        <v>818</v>
      </c>
      <c r="B272" s="42">
        <f t="shared" si="4"/>
        <v>131.93629999999999</v>
      </c>
      <c r="C272" s="7" t="s">
        <v>365</v>
      </c>
      <c r="D272" s="7" t="s">
        <v>363</v>
      </c>
      <c r="E272" s="7" t="s">
        <v>826</v>
      </c>
      <c r="F272" s="17">
        <v>129.02935000000005</v>
      </c>
      <c r="G272" s="33" t="s">
        <v>284</v>
      </c>
      <c r="H272" s="7" t="s">
        <v>282</v>
      </c>
      <c r="I272" s="10">
        <v>540.78</v>
      </c>
      <c r="J272" s="10">
        <v>131936.29999999999</v>
      </c>
      <c r="K272" s="6">
        <v>41653.150000000067</v>
      </c>
    </row>
    <row r="273" spans="1:11" x14ac:dyDescent="0.25">
      <c r="A273" s="5" t="s">
        <v>818</v>
      </c>
      <c r="B273" s="42">
        <f t="shared" si="4"/>
        <v>132.47708</v>
      </c>
      <c r="C273" s="7" t="s">
        <v>363</v>
      </c>
      <c r="D273" s="7" t="s">
        <v>361</v>
      </c>
      <c r="E273" s="7" t="s">
        <v>826</v>
      </c>
      <c r="F273" s="17">
        <v>129.57347000000004</v>
      </c>
      <c r="G273" s="33" t="s">
        <v>282</v>
      </c>
      <c r="H273" s="7" t="s">
        <v>280</v>
      </c>
      <c r="I273" s="10">
        <v>434.92</v>
      </c>
      <c r="J273" s="10">
        <v>132477.07999999999</v>
      </c>
      <c r="K273" s="6">
        <v>41218.230000000069</v>
      </c>
    </row>
    <row r="274" spans="1:11" x14ac:dyDescent="0.25">
      <c r="A274" s="5" t="s">
        <v>818</v>
      </c>
      <c r="B274" s="42">
        <f t="shared" si="4"/>
        <v>132.91200000000001</v>
      </c>
      <c r="C274" s="7" t="s">
        <v>361</v>
      </c>
      <c r="D274" s="7" t="s">
        <v>359</v>
      </c>
      <c r="E274" s="7" t="s">
        <v>826</v>
      </c>
      <c r="F274" s="17">
        <v>129.95993000000004</v>
      </c>
      <c r="G274" s="33" t="s">
        <v>280</v>
      </c>
      <c r="H274" s="7" t="s">
        <v>278</v>
      </c>
      <c r="I274" s="10">
        <v>414.7</v>
      </c>
      <c r="J274" s="10">
        <v>132912</v>
      </c>
      <c r="K274" s="6">
        <v>40803.530000000072</v>
      </c>
    </row>
    <row r="275" spans="1:11" x14ac:dyDescent="0.25">
      <c r="A275" s="5" t="s">
        <v>818</v>
      </c>
      <c r="B275" s="42">
        <f t="shared" si="4"/>
        <v>133.32670000000002</v>
      </c>
      <c r="C275" s="7" t="s">
        <v>359</v>
      </c>
      <c r="D275" s="7" t="s">
        <v>357</v>
      </c>
      <c r="E275" s="7" t="s">
        <v>826</v>
      </c>
      <c r="F275" s="17">
        <v>130.43723000000006</v>
      </c>
      <c r="G275" s="33" t="s">
        <v>278</v>
      </c>
      <c r="H275" s="7" t="s">
        <v>276</v>
      </c>
      <c r="I275" s="10">
        <v>442.75</v>
      </c>
      <c r="J275" s="10">
        <v>133326.70000000001</v>
      </c>
      <c r="K275" s="6">
        <v>40360.780000000072</v>
      </c>
    </row>
    <row r="276" spans="1:11" x14ac:dyDescent="0.25">
      <c r="A276" s="5" t="s">
        <v>818</v>
      </c>
      <c r="B276" s="42">
        <f t="shared" si="4"/>
        <v>133.76945000000001</v>
      </c>
      <c r="C276" s="7" t="s">
        <v>357</v>
      </c>
      <c r="D276" s="7" t="s">
        <v>355</v>
      </c>
      <c r="E276" s="7" t="s">
        <v>826</v>
      </c>
      <c r="F276" s="17">
        <v>130.91353000000007</v>
      </c>
      <c r="G276" s="33" t="s">
        <v>276</v>
      </c>
      <c r="H276" s="7" t="s">
        <v>274</v>
      </c>
      <c r="I276" s="10">
        <v>382</v>
      </c>
      <c r="J276" s="10">
        <v>133769.45000000001</v>
      </c>
      <c r="K276" s="6">
        <v>39978.780000000072</v>
      </c>
    </row>
    <row r="277" spans="1:11" x14ac:dyDescent="0.25">
      <c r="A277" s="5" t="s">
        <v>818</v>
      </c>
      <c r="B277" s="42">
        <f t="shared" si="4"/>
        <v>134.15145000000001</v>
      </c>
      <c r="C277" s="7" t="s">
        <v>355</v>
      </c>
      <c r="D277" s="7" t="s">
        <v>353</v>
      </c>
      <c r="E277" s="7" t="s">
        <v>826</v>
      </c>
      <c r="F277" s="17">
        <v>131.43066000000007</v>
      </c>
      <c r="G277" s="33" t="s">
        <v>274</v>
      </c>
      <c r="H277" s="7" t="s">
        <v>272</v>
      </c>
      <c r="I277" s="10">
        <v>415.06</v>
      </c>
      <c r="J277" s="10">
        <v>134151.45000000001</v>
      </c>
      <c r="K277" s="6">
        <v>39563.720000000074</v>
      </c>
    </row>
    <row r="278" spans="1:11" x14ac:dyDescent="0.25">
      <c r="A278" s="5" t="s">
        <v>818</v>
      </c>
      <c r="B278" s="42">
        <f t="shared" si="4"/>
        <v>134.56651000000002</v>
      </c>
      <c r="C278" s="7" t="s">
        <v>353</v>
      </c>
      <c r="D278" s="7" t="s">
        <v>351</v>
      </c>
      <c r="E278" s="7" t="s">
        <v>826</v>
      </c>
      <c r="F278" s="17">
        <v>132.06319000000005</v>
      </c>
      <c r="G278" s="33" t="s">
        <v>272</v>
      </c>
      <c r="H278" s="7" t="s">
        <v>183</v>
      </c>
      <c r="I278" s="10">
        <v>478.04</v>
      </c>
      <c r="J278" s="10">
        <v>134566.51</v>
      </c>
      <c r="K278" s="6">
        <v>39085.680000000073</v>
      </c>
    </row>
    <row r="279" spans="1:11" x14ac:dyDescent="0.25">
      <c r="A279" s="5" t="s">
        <v>818</v>
      </c>
      <c r="B279" s="42">
        <f t="shared" si="4"/>
        <v>135.04455000000002</v>
      </c>
      <c r="C279" s="7" t="s">
        <v>351</v>
      </c>
      <c r="D279" s="7" t="s">
        <v>349</v>
      </c>
      <c r="E279" s="7" t="s">
        <v>826</v>
      </c>
      <c r="F279" s="17">
        <v>132.56962000000004</v>
      </c>
      <c r="G279" s="33" t="s">
        <v>183</v>
      </c>
      <c r="H279" s="7" t="s">
        <v>181</v>
      </c>
      <c r="I279" s="10">
        <v>356.48</v>
      </c>
      <c r="J279" s="10">
        <v>135044.55000000002</v>
      </c>
      <c r="K279" s="6">
        <v>38729.20000000007</v>
      </c>
    </row>
    <row r="280" spans="1:11" x14ac:dyDescent="0.25">
      <c r="A280" s="5" t="s">
        <v>818</v>
      </c>
      <c r="B280" s="42">
        <f t="shared" si="4"/>
        <v>135.40103000000002</v>
      </c>
      <c r="C280" s="7" t="s">
        <v>349</v>
      </c>
      <c r="D280" s="7" t="s">
        <v>347</v>
      </c>
      <c r="E280" s="7" t="s">
        <v>826</v>
      </c>
      <c r="F280" s="17">
        <v>133.08657000000005</v>
      </c>
      <c r="G280" s="33" t="s">
        <v>181</v>
      </c>
      <c r="H280" s="7" t="s">
        <v>179</v>
      </c>
      <c r="I280" s="10">
        <v>344.84</v>
      </c>
      <c r="J280" s="10">
        <v>135401.03000000003</v>
      </c>
      <c r="K280" s="6">
        <v>38384.360000000073</v>
      </c>
    </row>
    <row r="281" spans="1:11" x14ac:dyDescent="0.25">
      <c r="A281" s="5" t="s">
        <v>818</v>
      </c>
      <c r="B281" s="42">
        <f t="shared" si="4"/>
        <v>135.74587000000002</v>
      </c>
      <c r="C281" s="7" t="s">
        <v>347</v>
      </c>
      <c r="D281" s="7" t="s">
        <v>345</v>
      </c>
      <c r="E281" s="7" t="s">
        <v>826</v>
      </c>
      <c r="F281" s="17">
        <v>133.62223000000006</v>
      </c>
      <c r="G281" s="33" t="s">
        <v>179</v>
      </c>
      <c r="H281" s="7" t="s">
        <v>177</v>
      </c>
      <c r="I281" s="10">
        <v>510.19</v>
      </c>
      <c r="J281" s="10">
        <v>135745.87000000002</v>
      </c>
      <c r="K281" s="6">
        <v>37874.170000000071</v>
      </c>
    </row>
    <row r="282" spans="1:11" x14ac:dyDescent="0.25">
      <c r="A282" s="5" t="s">
        <v>818</v>
      </c>
      <c r="B282" s="42">
        <f t="shared" si="4"/>
        <v>136.25606000000002</v>
      </c>
      <c r="C282" s="7" t="s">
        <v>345</v>
      </c>
      <c r="D282" s="7" t="s">
        <v>343</v>
      </c>
      <c r="E282" s="7" t="s">
        <v>826</v>
      </c>
      <c r="F282" s="17">
        <v>134.11839000000006</v>
      </c>
      <c r="G282" s="33" t="s">
        <v>177</v>
      </c>
      <c r="H282" s="7" t="s">
        <v>175</v>
      </c>
      <c r="I282" s="10">
        <v>451.68</v>
      </c>
      <c r="J282" s="10">
        <v>136256.06000000003</v>
      </c>
      <c r="K282" s="6">
        <v>37422.490000000071</v>
      </c>
    </row>
    <row r="283" spans="1:11" x14ac:dyDescent="0.25">
      <c r="A283" s="5" t="s">
        <v>818</v>
      </c>
      <c r="B283" s="42">
        <f t="shared" si="4"/>
        <v>136.70774000000003</v>
      </c>
      <c r="C283" s="7" t="s">
        <v>343</v>
      </c>
      <c r="D283" s="7" t="s">
        <v>341</v>
      </c>
      <c r="E283" s="7" t="s">
        <v>826</v>
      </c>
      <c r="F283" s="17">
        <v>134.57139000000006</v>
      </c>
      <c r="G283" s="33" t="s">
        <v>175</v>
      </c>
      <c r="H283" s="7" t="s">
        <v>173</v>
      </c>
      <c r="I283" s="10">
        <v>477.54</v>
      </c>
      <c r="J283" s="10">
        <v>136707.74000000002</v>
      </c>
      <c r="K283" s="6">
        <v>36944.95000000007</v>
      </c>
    </row>
    <row r="284" spans="1:11" x14ac:dyDescent="0.25">
      <c r="A284" s="5" t="s">
        <v>818</v>
      </c>
      <c r="B284" s="42">
        <f t="shared" si="4"/>
        <v>137.18528000000003</v>
      </c>
      <c r="C284" s="7" t="s">
        <v>341</v>
      </c>
      <c r="D284" s="7" t="s">
        <v>339</v>
      </c>
      <c r="E284" s="7" t="s">
        <v>826</v>
      </c>
      <c r="F284" s="17">
        <v>135.09994000000006</v>
      </c>
      <c r="G284" s="33" t="s">
        <v>173</v>
      </c>
      <c r="H284" s="7" t="s">
        <v>171</v>
      </c>
      <c r="I284" s="10">
        <v>381.37</v>
      </c>
      <c r="J284" s="10">
        <v>137185.28000000003</v>
      </c>
      <c r="K284" s="6">
        <v>36563.580000000067</v>
      </c>
    </row>
    <row r="285" spans="1:11" x14ac:dyDescent="0.25">
      <c r="A285" s="5" t="s">
        <v>818</v>
      </c>
      <c r="B285" s="42">
        <f t="shared" si="4"/>
        <v>137.56665000000001</v>
      </c>
      <c r="C285" s="7" t="s">
        <v>339</v>
      </c>
      <c r="D285" s="7" t="s">
        <v>337</v>
      </c>
      <c r="E285" s="7" t="s">
        <v>826</v>
      </c>
      <c r="F285" s="17">
        <v>135.59004000000007</v>
      </c>
      <c r="G285" s="33" t="s">
        <v>171</v>
      </c>
      <c r="H285" s="7" t="s">
        <v>169</v>
      </c>
      <c r="I285" s="10">
        <v>542.98000000001048</v>
      </c>
      <c r="J285" s="10">
        <v>137566.65000000002</v>
      </c>
      <c r="K285" s="6">
        <v>36020.600000000057</v>
      </c>
    </row>
    <row r="286" spans="1:11" x14ac:dyDescent="0.25">
      <c r="A286" s="5" t="s">
        <v>818</v>
      </c>
      <c r="B286" s="42">
        <f t="shared" si="4"/>
        <v>138.10963000000004</v>
      </c>
      <c r="C286" s="7" t="s">
        <v>337</v>
      </c>
      <c r="D286" s="7" t="s">
        <v>335</v>
      </c>
      <c r="E286" s="7" t="s">
        <v>826</v>
      </c>
      <c r="F286" s="17">
        <v>136.06855000000007</v>
      </c>
      <c r="G286" s="33" t="s">
        <v>169</v>
      </c>
      <c r="H286" s="7" t="s">
        <v>167</v>
      </c>
      <c r="I286" s="10">
        <v>449.43</v>
      </c>
      <c r="J286" s="10">
        <v>138109.63000000003</v>
      </c>
      <c r="K286" s="6">
        <v>35571.170000000056</v>
      </c>
    </row>
    <row r="287" spans="1:11" x14ac:dyDescent="0.25">
      <c r="A287" s="5" t="s">
        <v>818</v>
      </c>
      <c r="B287" s="42">
        <f t="shared" si="4"/>
        <v>138.55906000000002</v>
      </c>
      <c r="C287" s="7" t="s">
        <v>335</v>
      </c>
      <c r="D287" s="7" t="s">
        <v>333</v>
      </c>
      <c r="E287" s="7" t="s">
        <v>826</v>
      </c>
      <c r="F287" s="17">
        <v>136.58423000000008</v>
      </c>
      <c r="G287" s="33" t="s">
        <v>167</v>
      </c>
      <c r="H287" s="7" t="s">
        <v>165</v>
      </c>
      <c r="I287" s="10">
        <v>424.61</v>
      </c>
      <c r="J287" s="10">
        <v>138559.06000000003</v>
      </c>
      <c r="K287" s="6">
        <v>35146.560000000056</v>
      </c>
    </row>
    <row r="288" spans="1:11" x14ac:dyDescent="0.25">
      <c r="A288" s="5" t="s">
        <v>818</v>
      </c>
      <c r="B288" s="42">
        <f t="shared" si="4"/>
        <v>138.98367000000002</v>
      </c>
      <c r="C288" s="7" t="s">
        <v>333</v>
      </c>
      <c r="D288" s="7" t="s">
        <v>331</v>
      </c>
      <c r="E288" s="7" t="s">
        <v>826</v>
      </c>
      <c r="F288" s="17">
        <v>137.17710000000005</v>
      </c>
      <c r="G288" s="33" t="s">
        <v>165</v>
      </c>
      <c r="H288" s="7" t="s">
        <v>163</v>
      </c>
      <c r="I288" s="10">
        <v>373.5</v>
      </c>
      <c r="J288" s="10">
        <v>138983.67000000001</v>
      </c>
      <c r="K288" s="6">
        <v>34773.060000000056</v>
      </c>
    </row>
    <row r="289" spans="1:11" x14ac:dyDescent="0.25">
      <c r="A289" s="5" t="s">
        <v>818</v>
      </c>
      <c r="B289" s="42">
        <f t="shared" si="4"/>
        <v>139.35717000000002</v>
      </c>
      <c r="C289" s="7" t="s">
        <v>331</v>
      </c>
      <c r="D289" s="7" t="s">
        <v>329</v>
      </c>
      <c r="E289" s="7" t="s">
        <v>826</v>
      </c>
      <c r="F289" s="17">
        <v>137.72603000000007</v>
      </c>
      <c r="G289" s="33" t="s">
        <v>163</v>
      </c>
      <c r="H289" s="7" t="s">
        <v>161</v>
      </c>
      <c r="I289" s="10">
        <v>344.44</v>
      </c>
      <c r="J289" s="10">
        <v>139357.17000000001</v>
      </c>
      <c r="K289" s="6">
        <v>34428.620000000054</v>
      </c>
    </row>
    <row r="290" spans="1:11" x14ac:dyDescent="0.25">
      <c r="A290" s="5" t="s">
        <v>818</v>
      </c>
      <c r="B290" s="42">
        <f t="shared" si="4"/>
        <v>139.70161000000002</v>
      </c>
      <c r="C290" s="7" t="s">
        <v>329</v>
      </c>
      <c r="D290" s="7" t="s">
        <v>327</v>
      </c>
      <c r="E290" s="7" t="s">
        <v>826</v>
      </c>
      <c r="F290" s="17">
        <v>138.27302000000006</v>
      </c>
      <c r="G290" s="33" t="s">
        <v>161</v>
      </c>
      <c r="H290" s="7" t="s">
        <v>159</v>
      </c>
      <c r="I290" s="10">
        <v>388.23</v>
      </c>
      <c r="J290" s="10">
        <v>139701.61000000002</v>
      </c>
      <c r="K290" s="6">
        <v>34040.39000000005</v>
      </c>
    </row>
    <row r="291" spans="1:11" x14ac:dyDescent="0.25">
      <c r="A291" s="5" t="s">
        <v>818</v>
      </c>
      <c r="B291" s="42">
        <f t="shared" si="4"/>
        <v>140.08984000000004</v>
      </c>
      <c r="C291" s="7" t="s">
        <v>327</v>
      </c>
      <c r="D291" s="7" t="s">
        <v>325</v>
      </c>
      <c r="E291" s="7" t="s">
        <v>826</v>
      </c>
      <c r="F291" s="17">
        <v>138.89290000000005</v>
      </c>
      <c r="G291" s="33" t="s">
        <v>159</v>
      </c>
      <c r="H291" s="7" t="s">
        <v>157</v>
      </c>
      <c r="I291" s="10">
        <v>453.49</v>
      </c>
      <c r="J291" s="10">
        <v>140089.84000000003</v>
      </c>
      <c r="K291" s="6">
        <v>33586.900000000052</v>
      </c>
    </row>
    <row r="292" spans="1:11" x14ac:dyDescent="0.25">
      <c r="A292" s="5" t="s">
        <v>818</v>
      </c>
      <c r="B292" s="42">
        <f t="shared" si="4"/>
        <v>140.54333000000003</v>
      </c>
      <c r="C292" s="7" t="s">
        <v>325</v>
      </c>
      <c r="D292" s="7" t="s">
        <v>323</v>
      </c>
      <c r="E292" s="7" t="s">
        <v>826</v>
      </c>
      <c r="F292" s="17">
        <v>139.44724000000005</v>
      </c>
      <c r="G292" s="33" t="s">
        <v>157</v>
      </c>
      <c r="H292" s="7" t="s">
        <v>155</v>
      </c>
      <c r="I292" s="10">
        <v>325.04000000000002</v>
      </c>
      <c r="J292" s="10">
        <v>140543.33000000002</v>
      </c>
      <c r="K292" s="6">
        <v>33261.860000000052</v>
      </c>
    </row>
    <row r="293" spans="1:11" x14ac:dyDescent="0.25">
      <c r="A293" s="5" t="s">
        <v>818</v>
      </c>
      <c r="B293" s="42">
        <f t="shared" si="4"/>
        <v>140.86837000000003</v>
      </c>
      <c r="C293" s="7" t="s">
        <v>323</v>
      </c>
      <c r="D293" s="7" t="s">
        <v>321</v>
      </c>
      <c r="E293" s="7" t="s">
        <v>826</v>
      </c>
      <c r="F293" s="17">
        <v>139.89572000000007</v>
      </c>
      <c r="G293" s="33" t="s">
        <v>155</v>
      </c>
      <c r="H293" s="7" t="s">
        <v>153</v>
      </c>
      <c r="I293" s="10">
        <v>472.56</v>
      </c>
      <c r="J293" s="10">
        <v>140868.37000000002</v>
      </c>
      <c r="K293" s="6">
        <v>32789.300000000054</v>
      </c>
    </row>
    <row r="294" spans="1:11" x14ac:dyDescent="0.25">
      <c r="A294" s="5" t="s">
        <v>818</v>
      </c>
      <c r="B294" s="42">
        <f t="shared" si="4"/>
        <v>141.34093000000001</v>
      </c>
      <c r="C294" s="7" t="s">
        <v>321</v>
      </c>
      <c r="D294" s="7" t="s">
        <v>319</v>
      </c>
      <c r="E294" s="7" t="s">
        <v>826</v>
      </c>
      <c r="F294" s="17">
        <v>140.34942000000007</v>
      </c>
      <c r="G294" s="33" t="s">
        <v>153</v>
      </c>
      <c r="H294" s="7" t="s">
        <v>151</v>
      </c>
      <c r="I294" s="10">
        <v>459.54</v>
      </c>
      <c r="J294" s="10">
        <v>141340.93000000002</v>
      </c>
      <c r="K294" s="6">
        <v>32329.760000000053</v>
      </c>
    </row>
    <row r="295" spans="1:11" x14ac:dyDescent="0.25">
      <c r="A295" s="5" t="s">
        <v>818</v>
      </c>
      <c r="B295" s="42">
        <f t="shared" si="4"/>
        <v>141.80047000000002</v>
      </c>
      <c r="C295" s="7" t="s">
        <v>319</v>
      </c>
      <c r="D295" s="7" t="s">
        <v>317</v>
      </c>
      <c r="E295" s="7" t="s">
        <v>826</v>
      </c>
      <c r="F295" s="17">
        <v>140.84033000000008</v>
      </c>
      <c r="G295" s="33" t="s">
        <v>151</v>
      </c>
      <c r="H295" s="7" t="s">
        <v>149</v>
      </c>
      <c r="I295" s="10">
        <v>453.76</v>
      </c>
      <c r="J295" s="10">
        <v>141800.47000000003</v>
      </c>
      <c r="K295" s="6">
        <v>31876.000000000055</v>
      </c>
    </row>
    <row r="296" spans="1:11" x14ac:dyDescent="0.25">
      <c r="A296" s="5" t="s">
        <v>818</v>
      </c>
      <c r="B296" s="42">
        <f t="shared" si="4"/>
        <v>142.25423000000004</v>
      </c>
      <c r="C296" s="7" t="s">
        <v>317</v>
      </c>
      <c r="D296" s="7" t="s">
        <v>315</v>
      </c>
      <c r="E296" s="7" t="s">
        <v>826</v>
      </c>
      <c r="F296" s="17">
        <v>141.37810000000007</v>
      </c>
      <c r="G296" s="33" t="s">
        <v>149</v>
      </c>
      <c r="H296" s="7" t="s">
        <v>147</v>
      </c>
      <c r="I296" s="10">
        <v>426.27999999999884</v>
      </c>
      <c r="J296" s="10">
        <v>142254.23000000004</v>
      </c>
      <c r="K296" s="6">
        <v>31449.720000000056</v>
      </c>
    </row>
    <row r="297" spans="1:11" x14ac:dyDescent="0.25">
      <c r="A297" s="5" t="s">
        <v>818</v>
      </c>
      <c r="B297" s="42">
        <f t="shared" si="4"/>
        <v>142.68051000000003</v>
      </c>
      <c r="C297" s="7" t="s">
        <v>315</v>
      </c>
      <c r="D297" s="7" t="s">
        <v>313</v>
      </c>
      <c r="E297" s="7" t="s">
        <v>826</v>
      </c>
      <c r="F297" s="17">
        <v>141.90615000000005</v>
      </c>
      <c r="G297" s="33" t="s">
        <v>147</v>
      </c>
      <c r="H297" s="7" t="s">
        <v>145</v>
      </c>
      <c r="I297" s="10">
        <v>419.69</v>
      </c>
      <c r="J297" s="10">
        <v>142680.51000000004</v>
      </c>
      <c r="K297" s="6">
        <v>31030.030000000057</v>
      </c>
    </row>
    <row r="298" spans="1:11" x14ac:dyDescent="0.25">
      <c r="A298" s="5" t="s">
        <v>818</v>
      </c>
      <c r="B298" s="42">
        <f t="shared" si="4"/>
        <v>143.10020000000003</v>
      </c>
      <c r="C298" s="7" t="s">
        <v>313</v>
      </c>
      <c r="D298" s="7" t="s">
        <v>311</v>
      </c>
      <c r="E298" s="7" t="s">
        <v>826</v>
      </c>
      <c r="F298" s="17">
        <v>142.47715000000005</v>
      </c>
      <c r="G298" s="33" t="s">
        <v>145</v>
      </c>
      <c r="H298" s="7" t="s">
        <v>143</v>
      </c>
      <c r="I298" s="10">
        <v>489.9</v>
      </c>
      <c r="J298" s="10">
        <v>143100.20000000004</v>
      </c>
      <c r="K298" s="6">
        <v>30540.130000000056</v>
      </c>
    </row>
    <row r="299" spans="1:11" x14ac:dyDescent="0.25">
      <c r="A299" s="5" t="s">
        <v>818</v>
      </c>
      <c r="B299" s="42">
        <f t="shared" si="4"/>
        <v>143.59010000000004</v>
      </c>
      <c r="C299" s="7" t="s">
        <v>311</v>
      </c>
      <c r="D299" s="7" t="s">
        <v>309</v>
      </c>
      <c r="E299" s="7" t="s">
        <v>826</v>
      </c>
      <c r="F299" s="17">
        <v>142.91302000000005</v>
      </c>
      <c r="G299" s="33" t="s">
        <v>143</v>
      </c>
      <c r="H299" s="7" t="s">
        <v>141</v>
      </c>
      <c r="I299" s="10">
        <v>497.11</v>
      </c>
      <c r="J299" s="10">
        <v>143590.10000000003</v>
      </c>
      <c r="K299" s="6">
        <v>30043.020000000055</v>
      </c>
    </row>
    <row r="300" spans="1:11" x14ac:dyDescent="0.25">
      <c r="A300" s="5" t="s">
        <v>818</v>
      </c>
      <c r="B300" s="42">
        <f t="shared" si="4"/>
        <v>144.08721000000003</v>
      </c>
      <c r="C300" s="7" t="s">
        <v>309</v>
      </c>
      <c r="D300" s="7" t="s">
        <v>307</v>
      </c>
      <c r="E300" s="7" t="s">
        <v>826</v>
      </c>
      <c r="F300" s="17">
        <v>143.22421000000006</v>
      </c>
      <c r="G300" s="33" t="s">
        <v>141</v>
      </c>
      <c r="H300" s="7" t="s">
        <v>139</v>
      </c>
      <c r="I300" s="10">
        <v>475.58999999999651</v>
      </c>
      <c r="J300" s="10">
        <v>144087.21000000002</v>
      </c>
      <c r="K300" s="6">
        <v>29567.430000000058</v>
      </c>
    </row>
    <row r="301" spans="1:11" x14ac:dyDescent="0.25">
      <c r="A301" s="5" t="s">
        <v>818</v>
      </c>
      <c r="B301" s="42">
        <f t="shared" si="4"/>
        <v>144.56280000000001</v>
      </c>
      <c r="C301" s="7" t="s">
        <v>307</v>
      </c>
      <c r="D301" s="7" t="s">
        <v>305</v>
      </c>
      <c r="E301" s="7" t="s">
        <v>826</v>
      </c>
      <c r="F301" s="17">
        <v>143.77168000000006</v>
      </c>
      <c r="G301" s="33" t="s">
        <v>139</v>
      </c>
      <c r="H301" s="7" t="s">
        <v>137</v>
      </c>
      <c r="I301" s="10">
        <v>424.81</v>
      </c>
      <c r="J301" s="10">
        <v>144562.80000000002</v>
      </c>
      <c r="K301" s="6">
        <v>29142.620000000057</v>
      </c>
    </row>
    <row r="302" spans="1:11" x14ac:dyDescent="0.25">
      <c r="A302" s="5" t="s">
        <v>818</v>
      </c>
      <c r="B302" s="42">
        <f t="shared" si="4"/>
        <v>144.98761000000002</v>
      </c>
      <c r="C302" s="7" t="s">
        <v>305</v>
      </c>
      <c r="D302" s="7" t="s">
        <v>303</v>
      </c>
      <c r="E302" s="7" t="s">
        <v>826</v>
      </c>
      <c r="F302" s="17">
        <v>144.31535000000005</v>
      </c>
      <c r="G302" s="33" t="s">
        <v>137</v>
      </c>
      <c r="H302" s="7" t="s">
        <v>135</v>
      </c>
      <c r="I302" s="10">
        <v>411.37</v>
      </c>
      <c r="J302" s="10">
        <v>144987.61000000002</v>
      </c>
      <c r="K302" s="6">
        <v>28731.250000000058</v>
      </c>
    </row>
    <row r="303" spans="1:11" x14ac:dyDescent="0.25">
      <c r="A303" s="5" t="s">
        <v>818</v>
      </c>
      <c r="B303" s="42">
        <f t="shared" si="4"/>
        <v>145.39898000000002</v>
      </c>
      <c r="C303" s="7" t="s">
        <v>303</v>
      </c>
      <c r="D303" s="7" t="s">
        <v>301</v>
      </c>
      <c r="E303" s="7" t="s">
        <v>826</v>
      </c>
      <c r="F303" s="17">
        <v>144.88068000000004</v>
      </c>
      <c r="G303" s="33" t="s">
        <v>135</v>
      </c>
      <c r="H303" s="7" t="s">
        <v>133</v>
      </c>
      <c r="I303" s="10">
        <v>344.99</v>
      </c>
      <c r="J303" s="10">
        <v>145398.98000000001</v>
      </c>
      <c r="K303" s="6">
        <v>28386.260000000057</v>
      </c>
    </row>
    <row r="304" spans="1:11" x14ac:dyDescent="0.25">
      <c r="A304" s="5" t="s">
        <v>818</v>
      </c>
      <c r="B304" s="42">
        <f t="shared" si="4"/>
        <v>145.74396999999999</v>
      </c>
      <c r="C304" s="7" t="s">
        <v>301</v>
      </c>
      <c r="D304" s="7" t="s">
        <v>299</v>
      </c>
      <c r="E304" s="7" t="s">
        <v>826</v>
      </c>
      <c r="F304" s="17">
        <v>145.49680000000004</v>
      </c>
      <c r="G304" s="33" t="s">
        <v>133</v>
      </c>
      <c r="H304" s="7" t="s">
        <v>131</v>
      </c>
      <c r="I304" s="10">
        <v>352</v>
      </c>
      <c r="J304" s="10">
        <v>145743.97</v>
      </c>
      <c r="K304" s="6">
        <v>28034.260000000057</v>
      </c>
    </row>
    <row r="305" spans="1:11" x14ac:dyDescent="0.25">
      <c r="A305" s="5" t="s">
        <v>818</v>
      </c>
      <c r="B305" s="42">
        <f t="shared" si="4"/>
        <v>146.09596999999999</v>
      </c>
      <c r="C305" s="7" t="s">
        <v>299</v>
      </c>
      <c r="D305" s="7" t="s">
        <v>297</v>
      </c>
      <c r="E305" s="7" t="s">
        <v>826</v>
      </c>
      <c r="F305" s="17">
        <v>146.07030000000006</v>
      </c>
      <c r="G305" s="33" t="s">
        <v>131</v>
      </c>
      <c r="H305" s="7" t="s">
        <v>129</v>
      </c>
      <c r="I305" s="10">
        <v>446.96</v>
      </c>
      <c r="J305" s="10">
        <v>146095.97</v>
      </c>
      <c r="K305" s="6">
        <v>27587.300000000057</v>
      </c>
    </row>
    <row r="306" spans="1:11" x14ac:dyDescent="0.25">
      <c r="A306" s="5" t="s">
        <v>818</v>
      </c>
      <c r="B306" s="42">
        <f t="shared" si="4"/>
        <v>146.54292999999998</v>
      </c>
      <c r="C306" s="7" t="s">
        <v>297</v>
      </c>
      <c r="D306" s="7" t="s">
        <v>295</v>
      </c>
      <c r="E306" s="7" t="s">
        <v>826</v>
      </c>
      <c r="F306" s="17">
        <v>146.63534000000004</v>
      </c>
      <c r="G306" s="33" t="s">
        <v>129</v>
      </c>
      <c r="H306" s="7" t="s">
        <v>127</v>
      </c>
      <c r="I306" s="10">
        <v>412.28</v>
      </c>
      <c r="J306" s="10">
        <v>146542.93</v>
      </c>
      <c r="K306" s="6">
        <v>27175.020000000059</v>
      </c>
    </row>
    <row r="307" spans="1:11" x14ac:dyDescent="0.25">
      <c r="A307" s="5" t="s">
        <v>818</v>
      </c>
      <c r="B307" s="42">
        <f t="shared" si="4"/>
        <v>146.95520999999999</v>
      </c>
      <c r="C307" s="7" t="s">
        <v>295</v>
      </c>
      <c r="D307" s="7" t="s">
        <v>293</v>
      </c>
      <c r="E307" s="7" t="s">
        <v>826</v>
      </c>
      <c r="F307" s="17">
        <v>147.20940000000004</v>
      </c>
      <c r="G307" s="33" t="s">
        <v>127</v>
      </c>
      <c r="H307" s="7" t="s">
        <v>125</v>
      </c>
      <c r="I307" s="10">
        <v>387.72</v>
      </c>
      <c r="J307" s="10">
        <v>146955.21</v>
      </c>
      <c r="K307" s="6">
        <v>26787.300000000057</v>
      </c>
    </row>
    <row r="308" spans="1:11" x14ac:dyDescent="0.25">
      <c r="A308" s="5" t="s">
        <v>818</v>
      </c>
      <c r="B308" s="42">
        <f t="shared" si="4"/>
        <v>147.34293</v>
      </c>
      <c r="C308" s="7" t="s">
        <v>293</v>
      </c>
      <c r="D308" s="7" t="s">
        <v>291</v>
      </c>
      <c r="E308" s="7" t="s">
        <v>826</v>
      </c>
      <c r="F308" s="17">
        <v>147.69624000000005</v>
      </c>
      <c r="G308" s="33" t="s">
        <v>125</v>
      </c>
      <c r="H308" s="7" t="s">
        <v>123</v>
      </c>
      <c r="I308" s="10">
        <v>362.44</v>
      </c>
      <c r="J308" s="10">
        <v>147342.93</v>
      </c>
      <c r="K308" s="6">
        <v>26424.860000000059</v>
      </c>
    </row>
    <row r="309" spans="1:11" x14ac:dyDescent="0.25">
      <c r="A309" s="5" t="s">
        <v>818</v>
      </c>
      <c r="B309" s="42">
        <f t="shared" si="4"/>
        <v>147.70536999999999</v>
      </c>
      <c r="C309" s="7" t="s">
        <v>291</v>
      </c>
      <c r="D309" s="7" t="s">
        <v>289</v>
      </c>
      <c r="E309" s="7" t="s">
        <v>826</v>
      </c>
      <c r="F309" s="17">
        <v>148.19214000000005</v>
      </c>
      <c r="G309" s="33" t="s">
        <v>123</v>
      </c>
      <c r="H309" s="7" t="s">
        <v>121</v>
      </c>
      <c r="I309" s="10">
        <v>482.14</v>
      </c>
      <c r="J309" s="10">
        <v>147705.37</v>
      </c>
      <c r="K309" s="6">
        <v>25942.720000000059</v>
      </c>
    </row>
    <row r="310" spans="1:11" x14ac:dyDescent="0.25">
      <c r="A310" s="5" t="s">
        <v>818</v>
      </c>
      <c r="B310" s="42">
        <f t="shared" si="4"/>
        <v>148.18751</v>
      </c>
      <c r="C310" s="7" t="s">
        <v>289</v>
      </c>
      <c r="D310" s="7" t="s">
        <v>287</v>
      </c>
      <c r="E310" s="7" t="s">
        <v>826</v>
      </c>
      <c r="F310" s="17">
        <v>148.64910000000003</v>
      </c>
      <c r="G310" s="33" t="s">
        <v>121</v>
      </c>
      <c r="H310" s="7" t="s">
        <v>119</v>
      </c>
      <c r="I310" s="10">
        <v>428.77</v>
      </c>
      <c r="J310" s="10">
        <v>148187.51</v>
      </c>
      <c r="K310" s="6">
        <v>25513.950000000059</v>
      </c>
    </row>
    <row r="311" spans="1:11" x14ac:dyDescent="0.25">
      <c r="A311" s="5" t="s">
        <v>818</v>
      </c>
      <c r="B311" s="42">
        <f t="shared" si="4"/>
        <v>148.61627999999999</v>
      </c>
      <c r="C311" s="7" t="s">
        <v>287</v>
      </c>
      <c r="D311" s="7" t="s">
        <v>285</v>
      </c>
      <c r="E311" s="7" t="s">
        <v>826</v>
      </c>
      <c r="F311" s="17">
        <v>149.17439000000005</v>
      </c>
      <c r="G311" s="33" t="s">
        <v>119</v>
      </c>
      <c r="H311" s="7" t="s">
        <v>19</v>
      </c>
      <c r="I311" s="10">
        <v>329.39</v>
      </c>
      <c r="J311" s="10">
        <v>148616.28</v>
      </c>
      <c r="K311" s="6">
        <v>25184.56000000006</v>
      </c>
    </row>
    <row r="312" spans="1:11" x14ac:dyDescent="0.25">
      <c r="A312" s="5" t="s">
        <v>818</v>
      </c>
      <c r="B312" s="42">
        <f t="shared" si="4"/>
        <v>148.94567000000001</v>
      </c>
      <c r="C312" s="7" t="s">
        <v>285</v>
      </c>
      <c r="D312" s="7" t="s">
        <v>283</v>
      </c>
      <c r="E312" s="7" t="s">
        <v>826</v>
      </c>
      <c r="F312" s="17">
        <v>149.64571000000004</v>
      </c>
      <c r="G312" s="33" t="s">
        <v>19</v>
      </c>
      <c r="H312" s="7" t="s">
        <v>18</v>
      </c>
      <c r="I312" s="10">
        <v>373.37</v>
      </c>
      <c r="J312" s="10">
        <v>148945.67000000001</v>
      </c>
      <c r="K312" s="6">
        <v>24811.190000000061</v>
      </c>
    </row>
    <row r="313" spans="1:11" x14ac:dyDescent="0.25">
      <c r="A313" s="5" t="s">
        <v>818</v>
      </c>
      <c r="B313" s="42">
        <f t="shared" si="4"/>
        <v>149.31904</v>
      </c>
      <c r="C313" s="7" t="s">
        <v>283</v>
      </c>
      <c r="D313" s="7" t="s">
        <v>281</v>
      </c>
      <c r="E313" s="7" t="s">
        <v>826</v>
      </c>
      <c r="F313" s="17">
        <v>150.16066000000006</v>
      </c>
      <c r="G313" s="33" t="s">
        <v>18</v>
      </c>
      <c r="H313" s="7" t="s">
        <v>115</v>
      </c>
      <c r="I313" s="10">
        <v>501.97000000000116</v>
      </c>
      <c r="J313" s="10">
        <v>149319.04000000001</v>
      </c>
      <c r="K313" s="6">
        <v>24309.220000000059</v>
      </c>
    </row>
    <row r="314" spans="1:11" x14ac:dyDescent="0.25">
      <c r="A314" s="5" t="s">
        <v>818</v>
      </c>
      <c r="B314" s="42">
        <f t="shared" si="4"/>
        <v>149.82101</v>
      </c>
      <c r="C314" s="7" t="s">
        <v>281</v>
      </c>
      <c r="D314" s="7" t="s">
        <v>279</v>
      </c>
      <c r="E314" s="7" t="s">
        <v>826</v>
      </c>
      <c r="F314" s="17">
        <v>150.63284000000004</v>
      </c>
      <c r="G314" s="33" t="s">
        <v>115</v>
      </c>
      <c r="H314" s="7" t="s">
        <v>113</v>
      </c>
      <c r="I314" s="10">
        <v>445.97000000000116</v>
      </c>
      <c r="J314" s="10">
        <v>149821.01</v>
      </c>
      <c r="K314" s="6">
        <v>23863.250000000058</v>
      </c>
    </row>
    <row r="315" spans="1:11" x14ac:dyDescent="0.25">
      <c r="A315" s="5" t="s">
        <v>818</v>
      </c>
      <c r="B315" s="42">
        <f t="shared" si="4"/>
        <v>150.26698000000002</v>
      </c>
      <c r="C315" s="7" t="s">
        <v>279</v>
      </c>
      <c r="D315" s="7" t="s">
        <v>277</v>
      </c>
      <c r="E315" s="7" t="s">
        <v>826</v>
      </c>
      <c r="F315" s="17">
        <v>151.12316000000007</v>
      </c>
      <c r="G315" s="33" t="s">
        <v>113</v>
      </c>
      <c r="H315" s="7" t="s">
        <v>111</v>
      </c>
      <c r="I315" s="10">
        <v>541.42999999999995</v>
      </c>
      <c r="J315" s="10">
        <v>150266.98000000001</v>
      </c>
      <c r="K315" s="6">
        <v>23321.820000000058</v>
      </c>
    </row>
    <row r="316" spans="1:11" x14ac:dyDescent="0.25">
      <c r="A316" s="5" t="s">
        <v>818</v>
      </c>
      <c r="B316" s="42">
        <f t="shared" si="4"/>
        <v>150.80841000000001</v>
      </c>
      <c r="C316" s="7" t="s">
        <v>277</v>
      </c>
      <c r="D316" s="7" t="s">
        <v>275</v>
      </c>
      <c r="E316" s="7" t="s">
        <v>826</v>
      </c>
      <c r="F316" s="17">
        <v>151.53906000000006</v>
      </c>
      <c r="G316" s="33" t="s">
        <v>111</v>
      </c>
      <c r="H316" s="7" t="s">
        <v>109</v>
      </c>
      <c r="I316" s="10">
        <v>455.4</v>
      </c>
      <c r="J316" s="10">
        <v>150808.41</v>
      </c>
      <c r="K316" s="6">
        <v>22866.420000000056</v>
      </c>
    </row>
    <row r="317" spans="1:11" x14ac:dyDescent="0.25">
      <c r="A317" s="5" t="s">
        <v>818</v>
      </c>
      <c r="B317" s="42">
        <f t="shared" si="4"/>
        <v>151.26381000000001</v>
      </c>
      <c r="C317" s="7" t="s">
        <v>275</v>
      </c>
      <c r="D317" s="7" t="s">
        <v>273</v>
      </c>
      <c r="E317" s="7" t="s">
        <v>826</v>
      </c>
      <c r="F317" s="17">
        <v>152.01299000000006</v>
      </c>
      <c r="G317" s="33" t="s">
        <v>109</v>
      </c>
      <c r="H317" s="7" t="s">
        <v>107</v>
      </c>
      <c r="I317" s="10">
        <v>477.34</v>
      </c>
      <c r="J317" s="10">
        <v>151263.81</v>
      </c>
      <c r="K317" s="6">
        <v>22389.080000000056</v>
      </c>
    </row>
    <row r="318" spans="1:11" x14ac:dyDescent="0.25">
      <c r="A318" s="5" t="s">
        <v>818</v>
      </c>
      <c r="B318" s="42">
        <f t="shared" si="4"/>
        <v>151.74115</v>
      </c>
      <c r="C318" s="7" t="s">
        <v>273</v>
      </c>
      <c r="D318" s="7" t="s">
        <v>271</v>
      </c>
      <c r="E318" s="7" t="s">
        <v>826</v>
      </c>
      <c r="F318" s="17">
        <v>152.47942000000003</v>
      </c>
      <c r="G318" s="33" t="s">
        <v>107</v>
      </c>
      <c r="H318" s="7" t="s">
        <v>105</v>
      </c>
      <c r="I318" s="10">
        <v>489.48</v>
      </c>
      <c r="J318" s="10">
        <v>151741.15</v>
      </c>
      <c r="K318" s="6">
        <v>21899.600000000057</v>
      </c>
    </row>
    <row r="319" spans="1:11" x14ac:dyDescent="0.25">
      <c r="A319" s="5" t="s">
        <v>818</v>
      </c>
      <c r="B319" s="42">
        <f t="shared" si="4"/>
        <v>152.23062999999999</v>
      </c>
      <c r="C319" s="7" t="s">
        <v>271</v>
      </c>
      <c r="D319" s="7" t="s">
        <v>270</v>
      </c>
      <c r="E319" s="7" t="s">
        <v>826</v>
      </c>
      <c r="F319" s="17">
        <v>152.96694000000002</v>
      </c>
      <c r="G319" s="33" t="s">
        <v>105</v>
      </c>
      <c r="H319" s="7" t="s">
        <v>103</v>
      </c>
      <c r="I319" s="10">
        <v>559.6</v>
      </c>
      <c r="J319" s="10">
        <v>152230.63</v>
      </c>
      <c r="K319" s="6">
        <v>21340.000000000058</v>
      </c>
    </row>
    <row r="320" spans="1:11" x14ac:dyDescent="0.25">
      <c r="A320" s="5" t="s">
        <v>818</v>
      </c>
      <c r="B320" s="42">
        <f t="shared" si="4"/>
        <v>152.79023000000001</v>
      </c>
      <c r="C320" s="7" t="s">
        <v>270</v>
      </c>
      <c r="D320" s="7" t="s">
        <v>269</v>
      </c>
      <c r="E320" s="7" t="s">
        <v>826</v>
      </c>
      <c r="F320" s="17">
        <v>153.40084000000002</v>
      </c>
      <c r="G320" s="33" t="s">
        <v>103</v>
      </c>
      <c r="H320" s="7" t="s">
        <v>101</v>
      </c>
      <c r="I320" s="10">
        <v>542.62000000002445</v>
      </c>
      <c r="J320" s="10">
        <v>152790.23000000001</v>
      </c>
      <c r="K320" s="6">
        <v>20797.380000000034</v>
      </c>
    </row>
    <row r="321" spans="1:11" x14ac:dyDescent="0.25">
      <c r="A321" s="5" t="s">
        <v>818</v>
      </c>
      <c r="B321" s="42">
        <f t="shared" si="4"/>
        <v>153.33285000000004</v>
      </c>
      <c r="C321" s="7" t="s">
        <v>269</v>
      </c>
      <c r="D321" s="7" t="s">
        <v>268</v>
      </c>
      <c r="E321" s="7" t="s">
        <v>826</v>
      </c>
      <c r="F321" s="17">
        <v>153.96263000000005</v>
      </c>
      <c r="G321" s="33" t="s">
        <v>101</v>
      </c>
      <c r="H321" s="7" t="s">
        <v>99</v>
      </c>
      <c r="I321" s="10">
        <v>539.15999999997439</v>
      </c>
      <c r="J321" s="10">
        <v>153332.85000000003</v>
      </c>
      <c r="K321" s="6">
        <v>20258.220000000059</v>
      </c>
    </row>
    <row r="322" spans="1:11" x14ac:dyDescent="0.25">
      <c r="A322" s="5" t="s">
        <v>818</v>
      </c>
      <c r="B322" s="42">
        <f t="shared" si="4"/>
        <v>153.87201000000002</v>
      </c>
      <c r="C322" s="7" t="s">
        <v>268</v>
      </c>
      <c r="D322" s="7" t="s">
        <v>267</v>
      </c>
      <c r="E322" s="7" t="s">
        <v>826</v>
      </c>
      <c r="F322" s="17">
        <v>154.51383000000004</v>
      </c>
      <c r="G322" s="33" t="s">
        <v>99</v>
      </c>
      <c r="H322" s="7" t="s">
        <v>97</v>
      </c>
      <c r="I322" s="10">
        <v>552.64000000001397</v>
      </c>
      <c r="J322" s="10">
        <v>153872.01</v>
      </c>
      <c r="K322" s="6">
        <v>19705.580000000045</v>
      </c>
    </row>
    <row r="323" spans="1:11" x14ac:dyDescent="0.25">
      <c r="A323" s="5" t="s">
        <v>818</v>
      </c>
      <c r="B323" s="42">
        <f t="shared" ref="B323:B363" si="5">J323/1000</f>
        <v>154.42465000000001</v>
      </c>
      <c r="C323" s="7" t="s">
        <v>267</v>
      </c>
      <c r="D323" s="7" t="s">
        <v>266</v>
      </c>
      <c r="E323" s="7" t="s">
        <v>826</v>
      </c>
      <c r="F323" s="17">
        <v>155.03907000000004</v>
      </c>
      <c r="G323" s="33" t="s">
        <v>97</v>
      </c>
      <c r="H323" s="7" t="s">
        <v>95</v>
      </c>
      <c r="I323" s="10">
        <v>492.52</v>
      </c>
      <c r="J323" s="10">
        <v>154424.65000000002</v>
      </c>
      <c r="K323" s="6">
        <v>19213.060000000045</v>
      </c>
    </row>
    <row r="324" spans="1:11" x14ac:dyDescent="0.25">
      <c r="A324" s="5" t="s">
        <v>818</v>
      </c>
      <c r="B324" s="42">
        <f t="shared" si="5"/>
        <v>154.91717</v>
      </c>
      <c r="C324" s="7" t="s">
        <v>266</v>
      </c>
      <c r="D324" s="7" t="s">
        <v>265</v>
      </c>
      <c r="E324" s="7" t="s">
        <v>826</v>
      </c>
      <c r="F324" s="17">
        <v>155.62558000000004</v>
      </c>
      <c r="G324" s="33" t="s">
        <v>95</v>
      </c>
      <c r="H324" s="7" t="s">
        <v>93</v>
      </c>
      <c r="I324" s="10">
        <v>545.59</v>
      </c>
      <c r="J324" s="10">
        <v>154917.17000000001</v>
      </c>
      <c r="K324" s="6">
        <v>18667.470000000045</v>
      </c>
    </row>
    <row r="325" spans="1:11" x14ac:dyDescent="0.25">
      <c r="A325" s="5" t="s">
        <v>818</v>
      </c>
      <c r="B325" s="42">
        <f t="shared" si="5"/>
        <v>155.46276</v>
      </c>
      <c r="C325" s="7" t="s">
        <v>265</v>
      </c>
      <c r="D325" s="7" t="s">
        <v>264</v>
      </c>
      <c r="E325" s="7" t="s">
        <v>826</v>
      </c>
      <c r="F325" s="17">
        <v>156.16687000000005</v>
      </c>
      <c r="G325" s="33" t="s">
        <v>93</v>
      </c>
      <c r="H325" s="7" t="s">
        <v>91</v>
      </c>
      <c r="I325" s="10">
        <v>550.86</v>
      </c>
      <c r="J325" s="10">
        <v>155462.76</v>
      </c>
      <c r="K325" s="6">
        <v>18116.610000000044</v>
      </c>
    </row>
    <row r="326" spans="1:11" x14ac:dyDescent="0.25">
      <c r="A326" s="5" t="s">
        <v>818</v>
      </c>
      <c r="B326" s="42">
        <f t="shared" si="5"/>
        <v>156.01362</v>
      </c>
      <c r="C326" s="7" t="s">
        <v>264</v>
      </c>
      <c r="D326" s="7" t="s">
        <v>263</v>
      </c>
      <c r="E326" s="7" t="s">
        <v>826</v>
      </c>
      <c r="F326" s="17">
        <v>156.68436000000005</v>
      </c>
      <c r="G326" s="33" t="s">
        <v>91</v>
      </c>
      <c r="H326" s="7" t="s">
        <v>89</v>
      </c>
      <c r="I326" s="10">
        <v>511.85</v>
      </c>
      <c r="J326" s="10">
        <v>156013.62</v>
      </c>
      <c r="K326" s="6">
        <v>17604.760000000046</v>
      </c>
    </row>
    <row r="327" spans="1:11" x14ac:dyDescent="0.25">
      <c r="A327" s="5" t="s">
        <v>818</v>
      </c>
      <c r="B327" s="42">
        <f t="shared" si="5"/>
        <v>156.52547000000001</v>
      </c>
      <c r="C327" s="7" t="s">
        <v>263</v>
      </c>
      <c r="D327" s="7" t="s">
        <v>262</v>
      </c>
      <c r="E327" s="7" t="s">
        <v>826</v>
      </c>
      <c r="F327" s="17">
        <v>157.25329000000005</v>
      </c>
      <c r="G327" s="33" t="s">
        <v>89</v>
      </c>
      <c r="H327" s="7" t="s">
        <v>87</v>
      </c>
      <c r="I327" s="10">
        <v>540.84000000002561</v>
      </c>
      <c r="J327" s="10">
        <v>156525.47</v>
      </c>
      <c r="K327" s="6">
        <v>17063.92000000002</v>
      </c>
    </row>
    <row r="328" spans="1:11" x14ac:dyDescent="0.25">
      <c r="A328" s="5" t="s">
        <v>818</v>
      </c>
      <c r="B328" s="42">
        <f t="shared" si="5"/>
        <v>157.06631000000002</v>
      </c>
      <c r="C328" s="7" t="s">
        <v>262</v>
      </c>
      <c r="D328" s="7" t="s">
        <v>261</v>
      </c>
      <c r="E328" s="7" t="s">
        <v>826</v>
      </c>
      <c r="F328" s="17">
        <v>157.79441000000003</v>
      </c>
      <c r="G328" s="33" t="s">
        <v>87</v>
      </c>
      <c r="H328" s="7" t="s">
        <v>85</v>
      </c>
      <c r="I328" s="10">
        <v>516.74</v>
      </c>
      <c r="J328" s="10">
        <v>157066.31000000003</v>
      </c>
      <c r="K328" s="6">
        <v>16547.180000000018</v>
      </c>
    </row>
    <row r="329" spans="1:11" x14ac:dyDescent="0.25">
      <c r="A329" s="5" t="s">
        <v>818</v>
      </c>
      <c r="B329" s="42">
        <f t="shared" si="5"/>
        <v>157.58305000000001</v>
      </c>
      <c r="C329" s="7" t="s">
        <v>261</v>
      </c>
      <c r="D329" s="7" t="s">
        <v>260</v>
      </c>
      <c r="E329" s="7" t="s">
        <v>826</v>
      </c>
      <c r="F329" s="17">
        <v>158.32003000000003</v>
      </c>
      <c r="G329" s="33" t="s">
        <v>85</v>
      </c>
      <c r="H329" s="7" t="s">
        <v>83</v>
      </c>
      <c r="I329" s="10">
        <v>540.66999999999996</v>
      </c>
      <c r="J329" s="10">
        <v>157583.05000000002</v>
      </c>
      <c r="K329" s="6">
        <v>16006.510000000018</v>
      </c>
    </row>
    <row r="330" spans="1:11" x14ac:dyDescent="0.25">
      <c r="A330" s="5" t="s">
        <v>818</v>
      </c>
      <c r="B330" s="42">
        <f t="shared" si="5"/>
        <v>158.12372000000002</v>
      </c>
      <c r="C330" s="7" t="s">
        <v>260</v>
      </c>
      <c r="D330" s="7" t="s">
        <v>259</v>
      </c>
      <c r="E330" s="7" t="s">
        <v>826</v>
      </c>
      <c r="F330" s="17">
        <v>158.83793000000003</v>
      </c>
      <c r="G330" s="33" t="s">
        <v>83</v>
      </c>
      <c r="H330" s="7" t="s">
        <v>81</v>
      </c>
      <c r="I330" s="10">
        <v>602.84000000002561</v>
      </c>
      <c r="J330" s="10">
        <v>158123.72000000003</v>
      </c>
      <c r="K330" s="6">
        <v>15403.669999999993</v>
      </c>
    </row>
    <row r="331" spans="1:11" x14ac:dyDescent="0.25">
      <c r="A331" s="5" t="s">
        <v>818</v>
      </c>
      <c r="B331" s="42">
        <f t="shared" si="5"/>
        <v>158.72656000000006</v>
      </c>
      <c r="C331" s="7" t="s">
        <v>259</v>
      </c>
      <c r="D331" s="7" t="s">
        <v>258</v>
      </c>
      <c r="E331" s="7" t="s">
        <v>826</v>
      </c>
      <c r="F331" s="17">
        <v>159.36197000000004</v>
      </c>
      <c r="G331" s="33" t="s">
        <v>81</v>
      </c>
      <c r="H331" s="7" t="s">
        <v>79</v>
      </c>
      <c r="I331" s="10">
        <v>473.22</v>
      </c>
      <c r="J331" s="10">
        <v>158726.56000000006</v>
      </c>
      <c r="K331" s="6">
        <v>14930.449999999993</v>
      </c>
    </row>
    <row r="332" spans="1:11" x14ac:dyDescent="0.25">
      <c r="A332" s="5" t="s">
        <v>818</v>
      </c>
      <c r="B332" s="42">
        <f t="shared" si="5"/>
        <v>159.19978000000006</v>
      </c>
      <c r="C332" s="7" t="s">
        <v>258</v>
      </c>
      <c r="D332" s="7" t="s">
        <v>257</v>
      </c>
      <c r="E332" s="7" t="s">
        <v>826</v>
      </c>
      <c r="F332" s="17">
        <v>159.92328000000003</v>
      </c>
      <c r="G332" s="33" t="s">
        <v>79</v>
      </c>
      <c r="H332" s="7" t="s">
        <v>77</v>
      </c>
      <c r="I332" s="10">
        <v>457.6</v>
      </c>
      <c r="J332" s="10">
        <v>159199.78000000006</v>
      </c>
      <c r="K332" s="6">
        <v>14472.849999999993</v>
      </c>
    </row>
    <row r="333" spans="1:11" x14ac:dyDescent="0.25">
      <c r="A333" s="5" t="s">
        <v>818</v>
      </c>
      <c r="B333" s="42">
        <f t="shared" si="5"/>
        <v>159.65738000000007</v>
      </c>
      <c r="C333" s="7" t="s">
        <v>257</v>
      </c>
      <c r="D333" s="7" t="s">
        <v>256</v>
      </c>
      <c r="E333" s="7" t="s">
        <v>826</v>
      </c>
      <c r="F333" s="17">
        <v>160.31774000000001</v>
      </c>
      <c r="G333" s="33" t="s">
        <v>77</v>
      </c>
      <c r="H333" s="7" t="s">
        <v>75</v>
      </c>
      <c r="I333" s="10">
        <v>563.76</v>
      </c>
      <c r="J333" s="10">
        <v>159657.38000000006</v>
      </c>
      <c r="K333" s="6">
        <v>13909.089999999993</v>
      </c>
    </row>
    <row r="334" spans="1:11" x14ac:dyDescent="0.25">
      <c r="A334" s="5" t="s">
        <v>818</v>
      </c>
      <c r="B334" s="42">
        <f t="shared" si="5"/>
        <v>160.22114000000008</v>
      </c>
      <c r="C334" s="7" t="s">
        <v>256</v>
      </c>
      <c r="D334" s="7" t="s">
        <v>255</v>
      </c>
      <c r="E334" s="7" t="s">
        <v>826</v>
      </c>
      <c r="F334" s="17">
        <v>160.68075000000002</v>
      </c>
      <c r="G334" s="33" t="s">
        <v>75</v>
      </c>
      <c r="H334" s="7" t="s">
        <v>73</v>
      </c>
      <c r="I334" s="10">
        <v>509.58</v>
      </c>
      <c r="J334" s="10">
        <v>160221.14000000007</v>
      </c>
      <c r="K334" s="6">
        <v>13399.509999999993</v>
      </c>
    </row>
    <row r="335" spans="1:11" x14ac:dyDescent="0.25">
      <c r="A335" s="5" t="s">
        <v>818</v>
      </c>
      <c r="B335" s="42">
        <f t="shared" si="5"/>
        <v>160.73072000000005</v>
      </c>
      <c r="C335" s="7" t="s">
        <v>255</v>
      </c>
      <c r="D335" s="7" t="s">
        <v>254</v>
      </c>
      <c r="E335" s="7" t="s">
        <v>826</v>
      </c>
      <c r="F335" s="17">
        <v>161.02186</v>
      </c>
      <c r="G335" s="33" t="s">
        <v>73</v>
      </c>
      <c r="H335" s="7" t="s">
        <v>71</v>
      </c>
      <c r="I335" s="10">
        <v>526.20000000000005</v>
      </c>
      <c r="J335" s="10">
        <v>160730.72000000006</v>
      </c>
      <c r="K335" s="6">
        <v>12873.309999999992</v>
      </c>
    </row>
    <row r="336" spans="1:11" x14ac:dyDescent="0.25">
      <c r="A336" s="5" t="s">
        <v>818</v>
      </c>
      <c r="B336" s="42">
        <f t="shared" si="5"/>
        <v>161.25692000000006</v>
      </c>
      <c r="C336" s="7" t="s">
        <v>254</v>
      </c>
      <c r="D336" s="7" t="s">
        <v>253</v>
      </c>
      <c r="E336" s="7" t="s">
        <v>826</v>
      </c>
      <c r="F336" s="17">
        <v>161.37286</v>
      </c>
      <c r="G336" s="33" t="s">
        <v>71</v>
      </c>
      <c r="H336" s="7" t="s">
        <v>69</v>
      </c>
      <c r="I336" s="10">
        <v>593.91999999999996</v>
      </c>
      <c r="J336" s="10">
        <v>161256.92000000007</v>
      </c>
      <c r="K336" s="6">
        <v>12279.389999999992</v>
      </c>
    </row>
    <row r="337" spans="1:11" x14ac:dyDescent="0.25">
      <c r="A337" s="5" t="s">
        <v>818</v>
      </c>
      <c r="B337" s="42">
        <f t="shared" si="5"/>
        <v>161.85084000000009</v>
      </c>
      <c r="C337" s="7" t="s">
        <v>253</v>
      </c>
      <c r="D337" s="7" t="s">
        <v>252</v>
      </c>
      <c r="E337" s="7" t="s">
        <v>826</v>
      </c>
      <c r="F337" s="17">
        <v>161.9128</v>
      </c>
      <c r="G337" s="33" t="s">
        <v>69</v>
      </c>
      <c r="H337" s="7" t="s">
        <v>67</v>
      </c>
      <c r="I337" s="10">
        <v>510.15</v>
      </c>
      <c r="J337" s="10">
        <v>161850.84000000008</v>
      </c>
      <c r="K337" s="6">
        <v>11769.239999999993</v>
      </c>
    </row>
    <row r="338" spans="1:11" x14ac:dyDescent="0.25">
      <c r="A338" s="5" t="s">
        <v>818</v>
      </c>
      <c r="B338" s="42">
        <f t="shared" si="5"/>
        <v>162.36099000000007</v>
      </c>
      <c r="C338" s="7" t="s">
        <v>252</v>
      </c>
      <c r="D338" s="7" t="s">
        <v>251</v>
      </c>
      <c r="E338" s="7" t="s">
        <v>826</v>
      </c>
      <c r="F338" s="17">
        <v>162.55005000000003</v>
      </c>
      <c r="G338" s="33" t="s">
        <v>67</v>
      </c>
      <c r="H338" s="7" t="s">
        <v>65</v>
      </c>
      <c r="I338" s="10">
        <v>575.66999999999996</v>
      </c>
      <c r="J338" s="10">
        <v>162360.99000000008</v>
      </c>
      <c r="K338" s="6">
        <v>11193.569999999992</v>
      </c>
    </row>
    <row r="339" spans="1:11" x14ac:dyDescent="0.25">
      <c r="A339" s="5" t="s">
        <v>818</v>
      </c>
      <c r="B339" s="42">
        <f t="shared" si="5"/>
        <v>162.9366600000001</v>
      </c>
      <c r="C339" s="7" t="s">
        <v>251</v>
      </c>
      <c r="D339" s="7" t="s">
        <v>250</v>
      </c>
      <c r="E339" s="7" t="s">
        <v>826</v>
      </c>
      <c r="F339" s="17">
        <v>163.04074000000003</v>
      </c>
      <c r="G339" s="33" t="s">
        <v>65</v>
      </c>
      <c r="H339" s="7" t="s">
        <v>63</v>
      </c>
      <c r="I339" s="10">
        <v>587.83000000000004</v>
      </c>
      <c r="J339" s="10">
        <v>162936.66000000009</v>
      </c>
      <c r="K339" s="6">
        <v>10605.739999999993</v>
      </c>
    </row>
    <row r="340" spans="1:11" x14ac:dyDescent="0.25">
      <c r="A340" s="5" t="s">
        <v>818</v>
      </c>
      <c r="B340" s="42">
        <f t="shared" si="5"/>
        <v>163.52449000000007</v>
      </c>
      <c r="C340" s="7" t="s">
        <v>250</v>
      </c>
      <c r="D340" s="7" t="s">
        <v>249</v>
      </c>
      <c r="E340" s="7" t="s">
        <v>826</v>
      </c>
      <c r="F340" s="17">
        <v>163.67071000000001</v>
      </c>
      <c r="G340" s="33" t="s">
        <v>63</v>
      </c>
      <c r="H340" s="7" t="s">
        <v>61</v>
      </c>
      <c r="I340" s="10">
        <v>449.88</v>
      </c>
      <c r="J340" s="10">
        <v>163524.49000000008</v>
      </c>
      <c r="K340" s="6">
        <v>10155.859999999993</v>
      </c>
    </row>
    <row r="341" spans="1:11" x14ac:dyDescent="0.25">
      <c r="A341" s="5" t="s">
        <v>818</v>
      </c>
      <c r="B341" s="42">
        <f t="shared" si="5"/>
        <v>163.97437000000008</v>
      </c>
      <c r="C341" s="7" t="s">
        <v>249</v>
      </c>
      <c r="D341" s="7" t="s">
        <v>248</v>
      </c>
      <c r="E341" s="7" t="s">
        <v>826</v>
      </c>
      <c r="F341" s="17">
        <v>164.16261000000003</v>
      </c>
      <c r="G341" s="33" t="s">
        <v>61</v>
      </c>
      <c r="H341" s="7" t="s">
        <v>59</v>
      </c>
      <c r="I341" s="10">
        <v>393.24</v>
      </c>
      <c r="J341" s="10">
        <v>163974.37000000008</v>
      </c>
      <c r="K341" s="6">
        <v>9762.6199999999935</v>
      </c>
    </row>
    <row r="342" spans="1:11" x14ac:dyDescent="0.25">
      <c r="A342" s="5" t="s">
        <v>818</v>
      </c>
      <c r="B342" s="42">
        <f t="shared" si="5"/>
        <v>164.36761000000007</v>
      </c>
      <c r="C342" s="7" t="s">
        <v>248</v>
      </c>
      <c r="D342" s="7" t="s">
        <v>247</v>
      </c>
      <c r="E342" s="7" t="s">
        <v>826</v>
      </c>
      <c r="F342" s="17">
        <v>164.56001000000001</v>
      </c>
      <c r="G342" s="33" t="s">
        <v>59</v>
      </c>
      <c r="H342" s="7" t="s">
        <v>57</v>
      </c>
      <c r="I342" s="10">
        <v>429.41</v>
      </c>
      <c r="J342" s="10">
        <v>164367.61000000007</v>
      </c>
      <c r="K342" s="6">
        <v>9333.2099999999937</v>
      </c>
    </row>
    <row r="343" spans="1:11" x14ac:dyDescent="0.25">
      <c r="A343" s="5" t="s">
        <v>818</v>
      </c>
      <c r="B343" s="42">
        <f t="shared" si="5"/>
        <v>164.79702000000009</v>
      </c>
      <c r="C343" s="7" t="s">
        <v>247</v>
      </c>
      <c r="D343" s="7" t="s">
        <v>246</v>
      </c>
      <c r="E343" s="7" t="s">
        <v>826</v>
      </c>
      <c r="F343" s="17">
        <v>164.92935</v>
      </c>
      <c r="G343" s="33" t="s">
        <v>57</v>
      </c>
      <c r="H343" s="7" t="s">
        <v>55</v>
      </c>
      <c r="I343" s="10">
        <v>361.54</v>
      </c>
      <c r="J343" s="10">
        <v>164797.02000000008</v>
      </c>
      <c r="K343" s="6">
        <v>8971.6699999999928</v>
      </c>
    </row>
    <row r="344" spans="1:11" x14ac:dyDescent="0.25">
      <c r="A344" s="5" t="s">
        <v>818</v>
      </c>
      <c r="B344" s="42">
        <f t="shared" si="5"/>
        <v>165.15856000000008</v>
      </c>
      <c r="C344" s="7" t="s">
        <v>246</v>
      </c>
      <c r="D344" s="7" t="s">
        <v>245</v>
      </c>
      <c r="E344" s="7" t="s">
        <v>826</v>
      </c>
      <c r="F344" s="17">
        <v>165.43774999999999</v>
      </c>
      <c r="G344" s="33" t="s">
        <v>55</v>
      </c>
      <c r="H344" s="7" t="s">
        <v>53</v>
      </c>
      <c r="I344" s="10">
        <v>416.32</v>
      </c>
      <c r="J344" s="10">
        <v>165158.56000000008</v>
      </c>
      <c r="K344" s="6">
        <v>8555.3499999999931</v>
      </c>
    </row>
    <row r="345" spans="1:11" x14ac:dyDescent="0.25">
      <c r="A345" s="5" t="s">
        <v>818</v>
      </c>
      <c r="B345" s="42">
        <f t="shared" si="5"/>
        <v>165.57488000000009</v>
      </c>
      <c r="C345" s="7" t="s">
        <v>245</v>
      </c>
      <c r="D345" s="7" t="s">
        <v>244</v>
      </c>
      <c r="E345" s="7" t="s">
        <v>826</v>
      </c>
      <c r="F345" s="17">
        <v>165.92634000000001</v>
      </c>
      <c r="G345" s="33" t="s">
        <v>53</v>
      </c>
      <c r="H345" s="7" t="s">
        <v>51</v>
      </c>
      <c r="I345" s="10">
        <v>507.08</v>
      </c>
      <c r="J345" s="10">
        <v>165574.88000000009</v>
      </c>
      <c r="K345" s="6">
        <v>8048.2699999999932</v>
      </c>
    </row>
    <row r="346" spans="1:11" x14ac:dyDescent="0.25">
      <c r="A346" s="5" t="s">
        <v>818</v>
      </c>
      <c r="B346" s="42">
        <f t="shared" si="5"/>
        <v>166.08196000000007</v>
      </c>
      <c r="C346" s="7" t="s">
        <v>244</v>
      </c>
      <c r="D346" s="7" t="s">
        <v>243</v>
      </c>
      <c r="E346" s="7" t="s">
        <v>826</v>
      </c>
      <c r="F346" s="17">
        <v>166.42482000000001</v>
      </c>
      <c r="G346" s="33" t="s">
        <v>51</v>
      </c>
      <c r="H346" s="7" t="s">
        <v>49</v>
      </c>
      <c r="I346" s="10">
        <v>499.24</v>
      </c>
      <c r="J346" s="10">
        <v>166081.96000000008</v>
      </c>
      <c r="K346" s="6">
        <v>7549.0299999999934</v>
      </c>
    </row>
    <row r="347" spans="1:11" x14ac:dyDescent="0.25">
      <c r="A347" s="5" t="s">
        <v>818</v>
      </c>
      <c r="B347" s="42">
        <f t="shared" si="5"/>
        <v>166.58120000000008</v>
      </c>
      <c r="C347" s="7" t="s">
        <v>243</v>
      </c>
      <c r="D347" s="7" t="s">
        <v>242</v>
      </c>
      <c r="E347" s="7" t="s">
        <v>826</v>
      </c>
      <c r="F347" s="17">
        <v>166.92959999999999</v>
      </c>
      <c r="G347" s="33" t="s">
        <v>49</v>
      </c>
      <c r="H347" s="7" t="s">
        <v>47</v>
      </c>
      <c r="I347" s="10">
        <v>425.63</v>
      </c>
      <c r="J347" s="10">
        <v>166581.20000000007</v>
      </c>
      <c r="K347" s="6">
        <v>7123.3999999999933</v>
      </c>
    </row>
    <row r="348" spans="1:11" x14ac:dyDescent="0.25">
      <c r="A348" s="5" t="s">
        <v>818</v>
      </c>
      <c r="B348" s="42">
        <f t="shared" si="5"/>
        <v>167.00683000000006</v>
      </c>
      <c r="C348" s="7" t="s">
        <v>242</v>
      </c>
      <c r="D348" s="7" t="s">
        <v>241</v>
      </c>
      <c r="E348" s="7" t="s">
        <v>826</v>
      </c>
      <c r="F348" s="17">
        <v>167.3682</v>
      </c>
      <c r="G348" s="33" t="s">
        <v>47</v>
      </c>
      <c r="H348" s="7" t="s">
        <v>45</v>
      </c>
      <c r="I348" s="10">
        <v>649.22</v>
      </c>
      <c r="J348" s="10">
        <v>167006.83000000007</v>
      </c>
      <c r="K348" s="6">
        <v>6474.179999999993</v>
      </c>
    </row>
    <row r="349" spans="1:11" x14ac:dyDescent="0.25">
      <c r="A349" s="5" t="s">
        <v>818</v>
      </c>
      <c r="B349" s="42">
        <f t="shared" si="5"/>
        <v>167.65605000000008</v>
      </c>
      <c r="C349" s="7" t="s">
        <v>241</v>
      </c>
      <c r="D349" s="7" t="s">
        <v>240</v>
      </c>
      <c r="E349" s="7" t="s">
        <v>826</v>
      </c>
      <c r="F349" s="17">
        <v>167.75395</v>
      </c>
      <c r="G349" s="33" t="s">
        <v>45</v>
      </c>
      <c r="H349" s="7" t="s">
        <v>43</v>
      </c>
      <c r="I349" s="10">
        <v>504.39</v>
      </c>
      <c r="J349" s="10">
        <v>167656.05000000008</v>
      </c>
      <c r="K349" s="6">
        <v>5969.7899999999927</v>
      </c>
    </row>
    <row r="350" spans="1:11" x14ac:dyDescent="0.25">
      <c r="A350" s="5" t="s">
        <v>818</v>
      </c>
      <c r="B350" s="42">
        <f t="shared" si="5"/>
        <v>168.16044000000008</v>
      </c>
      <c r="C350" s="7" t="s">
        <v>240</v>
      </c>
      <c r="D350" s="7" t="s">
        <v>239</v>
      </c>
      <c r="E350" s="7" t="s">
        <v>826</v>
      </c>
      <c r="F350" s="17">
        <v>168.29115000000002</v>
      </c>
      <c r="G350" s="33" t="s">
        <v>43</v>
      </c>
      <c r="H350" s="7" t="s">
        <v>41</v>
      </c>
      <c r="I350" s="10">
        <v>526.20000000000005</v>
      </c>
      <c r="J350" s="10">
        <v>168160.44000000009</v>
      </c>
      <c r="K350" s="6">
        <v>5443.5899999999929</v>
      </c>
    </row>
    <row r="351" spans="1:11" x14ac:dyDescent="0.25">
      <c r="A351" s="5" t="s">
        <v>818</v>
      </c>
      <c r="B351" s="42">
        <f t="shared" si="5"/>
        <v>168.6866400000001</v>
      </c>
      <c r="C351" s="7" t="s">
        <v>239</v>
      </c>
      <c r="D351" s="7" t="s">
        <v>238</v>
      </c>
      <c r="E351" s="7" t="s">
        <v>826</v>
      </c>
      <c r="F351" s="17">
        <v>168.83224000000001</v>
      </c>
      <c r="G351" s="33" t="s">
        <v>41</v>
      </c>
      <c r="H351" s="7" t="s">
        <v>39</v>
      </c>
      <c r="I351" s="10">
        <v>519.9199999999837</v>
      </c>
      <c r="J351" s="10">
        <v>168686.6400000001</v>
      </c>
      <c r="K351" s="6">
        <v>4923.6700000000092</v>
      </c>
    </row>
    <row r="352" spans="1:11" x14ac:dyDescent="0.25">
      <c r="A352" s="5" t="s">
        <v>818</v>
      </c>
      <c r="B352" s="42">
        <f t="shared" si="5"/>
        <v>169.20656000000008</v>
      </c>
      <c r="C352" s="7" t="s">
        <v>238</v>
      </c>
      <c r="D352" s="7" t="s">
        <v>237</v>
      </c>
      <c r="E352" s="7" t="s">
        <v>826</v>
      </c>
      <c r="F352" s="17">
        <v>169.35517000000002</v>
      </c>
      <c r="G352" s="33" t="s">
        <v>39</v>
      </c>
      <c r="H352" s="7" t="s">
        <v>37</v>
      </c>
      <c r="I352" s="10">
        <v>568.09</v>
      </c>
      <c r="J352" s="10">
        <v>169206.56000000008</v>
      </c>
      <c r="K352" s="6">
        <v>4355.580000000009</v>
      </c>
    </row>
    <row r="353" spans="1:11" x14ac:dyDescent="0.25">
      <c r="A353" s="5" t="s">
        <v>818</v>
      </c>
      <c r="B353" s="42">
        <f t="shared" si="5"/>
        <v>169.77465000000009</v>
      </c>
      <c r="C353" s="7" t="s">
        <v>237</v>
      </c>
      <c r="D353" s="7" t="s">
        <v>236</v>
      </c>
      <c r="E353" s="7" t="s">
        <v>826</v>
      </c>
      <c r="F353" s="17">
        <v>169.86801</v>
      </c>
      <c r="G353" s="33" t="s">
        <v>37</v>
      </c>
      <c r="H353" s="7" t="s">
        <v>35</v>
      </c>
      <c r="I353" s="10">
        <v>468.52</v>
      </c>
      <c r="J353" s="10">
        <v>169774.65000000008</v>
      </c>
      <c r="K353" s="6">
        <v>3887.060000000009</v>
      </c>
    </row>
    <row r="354" spans="1:11" x14ac:dyDescent="0.25">
      <c r="A354" s="5" t="s">
        <v>818</v>
      </c>
      <c r="B354" s="42">
        <f t="shared" si="5"/>
        <v>170.24317000000008</v>
      </c>
      <c r="C354" s="7" t="s">
        <v>236</v>
      </c>
      <c r="D354" s="7" t="s">
        <v>235</v>
      </c>
      <c r="E354" s="7" t="s">
        <v>826</v>
      </c>
      <c r="F354" s="17">
        <v>170.30083999999999</v>
      </c>
      <c r="G354" s="33" t="s">
        <v>35</v>
      </c>
      <c r="H354" s="7" t="s">
        <v>33</v>
      </c>
      <c r="I354" s="10">
        <v>534.19000000000005</v>
      </c>
      <c r="J354" s="10">
        <v>170243.17000000007</v>
      </c>
      <c r="K354" s="6">
        <v>3352.8700000000099</v>
      </c>
    </row>
    <row r="355" spans="1:11" x14ac:dyDescent="0.25">
      <c r="A355" s="5" t="s">
        <v>818</v>
      </c>
      <c r="B355" s="42">
        <f t="shared" si="5"/>
        <v>170.77736000000007</v>
      </c>
      <c r="C355" s="7" t="s">
        <v>235</v>
      </c>
      <c r="D355" s="7" t="s">
        <v>234</v>
      </c>
      <c r="E355" s="7" t="s">
        <v>826</v>
      </c>
      <c r="F355" s="17">
        <v>170.82075</v>
      </c>
      <c r="G355" s="33" t="s">
        <v>33</v>
      </c>
      <c r="H355" s="7" t="s">
        <v>31</v>
      </c>
      <c r="I355" s="10">
        <v>460.9199999999837</v>
      </c>
      <c r="J355" s="10">
        <v>170777.36000000007</v>
      </c>
      <c r="K355" s="6">
        <v>2891.9500000000253</v>
      </c>
    </row>
    <row r="356" spans="1:11" x14ac:dyDescent="0.25">
      <c r="A356" s="5" t="s">
        <v>818</v>
      </c>
      <c r="B356" s="42">
        <f t="shared" si="5"/>
        <v>171.23828000000006</v>
      </c>
      <c r="C356" s="7" t="s">
        <v>234</v>
      </c>
      <c r="D356" s="7" t="s">
        <v>233</v>
      </c>
      <c r="E356" s="7" t="s">
        <v>826</v>
      </c>
      <c r="F356" s="17">
        <v>171.26014000000001</v>
      </c>
      <c r="G356" s="33" t="s">
        <v>31</v>
      </c>
      <c r="H356" s="7" t="s">
        <v>29</v>
      </c>
      <c r="I356" s="10">
        <v>536.62</v>
      </c>
      <c r="J356" s="10">
        <v>171238.28000000006</v>
      </c>
      <c r="K356" s="6">
        <v>2355.3300000000254</v>
      </c>
    </row>
    <row r="357" spans="1:11" x14ac:dyDescent="0.25">
      <c r="A357" s="5" t="s">
        <v>818</v>
      </c>
      <c r="B357" s="42">
        <f t="shared" si="5"/>
        <v>171.77490000000006</v>
      </c>
      <c r="C357" s="7" t="s">
        <v>233</v>
      </c>
      <c r="D357" s="7" t="s">
        <v>232</v>
      </c>
      <c r="E357" s="7" t="s">
        <v>826</v>
      </c>
      <c r="F357" s="17">
        <v>171.70296000000002</v>
      </c>
      <c r="G357" s="33" t="s">
        <v>29</v>
      </c>
      <c r="H357" s="7" t="s">
        <v>27</v>
      </c>
      <c r="I357" s="10">
        <v>546.33000000000004</v>
      </c>
      <c r="J357" s="10">
        <v>171774.90000000005</v>
      </c>
      <c r="K357" s="6">
        <v>1809.0000000000255</v>
      </c>
    </row>
    <row r="358" spans="1:11" x14ac:dyDescent="0.25">
      <c r="A358" s="5" t="s">
        <v>818</v>
      </c>
      <c r="B358" s="42">
        <f t="shared" si="5"/>
        <v>172.32123000000004</v>
      </c>
      <c r="C358" s="7" t="s">
        <v>232</v>
      </c>
      <c r="D358" s="7" t="s">
        <v>231</v>
      </c>
      <c r="E358" s="7" t="s">
        <v>826</v>
      </c>
      <c r="F358" s="17">
        <v>172.23736000000002</v>
      </c>
      <c r="G358" s="33" t="s">
        <v>27</v>
      </c>
      <c r="H358" s="7" t="s">
        <v>25</v>
      </c>
      <c r="I358" s="10">
        <v>446.02</v>
      </c>
      <c r="J358" s="10">
        <v>172321.23000000004</v>
      </c>
      <c r="K358" s="6">
        <v>1362.9800000000255</v>
      </c>
    </row>
    <row r="359" spans="1:11" x14ac:dyDescent="0.25">
      <c r="A359" s="5" t="s">
        <v>818</v>
      </c>
      <c r="B359" s="42">
        <f t="shared" si="5"/>
        <v>172.76725000000002</v>
      </c>
      <c r="C359" s="7" t="s">
        <v>231</v>
      </c>
      <c r="D359" s="7" t="s">
        <v>230</v>
      </c>
      <c r="E359" s="7" t="s">
        <v>826</v>
      </c>
      <c r="F359" s="17">
        <v>172.76214000000002</v>
      </c>
      <c r="G359" s="33" t="s">
        <v>25</v>
      </c>
      <c r="H359" s="7" t="s">
        <v>23</v>
      </c>
      <c r="I359" s="10">
        <v>363.03</v>
      </c>
      <c r="J359" s="10">
        <v>172767.25000000003</v>
      </c>
      <c r="K359" s="6">
        <v>999.95000000002551</v>
      </c>
    </row>
    <row r="360" spans="1:11" x14ac:dyDescent="0.25">
      <c r="A360" s="5" t="s">
        <v>818</v>
      </c>
      <c r="B360" s="42">
        <f t="shared" si="5"/>
        <v>173.13028000000003</v>
      </c>
      <c r="C360" s="7" t="s">
        <v>230</v>
      </c>
      <c r="D360" s="7" t="s">
        <v>229</v>
      </c>
      <c r="E360" s="7" t="s">
        <v>826</v>
      </c>
      <c r="F360" s="17">
        <v>173.11363</v>
      </c>
      <c r="G360" s="33" t="s">
        <v>23</v>
      </c>
      <c r="H360" s="7" t="s">
        <v>20</v>
      </c>
      <c r="I360" s="10">
        <v>382.88</v>
      </c>
      <c r="J360" s="10">
        <v>173130.28000000003</v>
      </c>
      <c r="K360" s="6">
        <v>617.07000000002552</v>
      </c>
    </row>
    <row r="361" spans="1:11" x14ac:dyDescent="0.25">
      <c r="A361" s="5" t="s">
        <v>818</v>
      </c>
      <c r="B361" s="42">
        <f t="shared" si="5"/>
        <v>173.51316000000003</v>
      </c>
      <c r="C361" s="7" t="s">
        <v>229</v>
      </c>
      <c r="D361" s="7" t="s">
        <v>228</v>
      </c>
      <c r="E361" s="7" t="s">
        <v>826</v>
      </c>
      <c r="F361" s="17">
        <v>173.58023</v>
      </c>
      <c r="G361" s="33" t="s">
        <v>20</v>
      </c>
      <c r="H361" s="7" t="s">
        <v>15</v>
      </c>
      <c r="I361" s="10">
        <v>431.5</v>
      </c>
      <c r="J361" s="10">
        <v>173513.16000000003</v>
      </c>
      <c r="K361" s="6">
        <v>185.57000000002552</v>
      </c>
    </row>
    <row r="362" spans="1:11" x14ac:dyDescent="0.25">
      <c r="A362" s="5" t="s">
        <v>818</v>
      </c>
      <c r="B362" s="42">
        <f t="shared" si="5"/>
        <v>173.94466000000003</v>
      </c>
      <c r="C362" s="7" t="s">
        <v>228</v>
      </c>
      <c r="D362" s="7" t="s">
        <v>819</v>
      </c>
      <c r="E362" s="7" t="s">
        <v>826</v>
      </c>
      <c r="F362" s="17">
        <v>173.80743000000001</v>
      </c>
      <c r="G362" s="33" t="s">
        <v>15</v>
      </c>
      <c r="H362" s="7" t="s">
        <v>708</v>
      </c>
      <c r="I362" s="10">
        <v>89.970000000001164</v>
      </c>
      <c r="J362" s="10">
        <v>173944.66000000003</v>
      </c>
      <c r="K362" s="6">
        <v>95.600000000024352</v>
      </c>
    </row>
    <row r="363" spans="1:11" x14ac:dyDescent="0.25">
      <c r="A363" s="5" t="s">
        <v>818</v>
      </c>
      <c r="B363" s="42">
        <f t="shared" si="5"/>
        <v>174.03463000000002</v>
      </c>
      <c r="C363" s="7" t="s">
        <v>857</v>
      </c>
      <c r="D363" s="7" t="s">
        <v>22</v>
      </c>
      <c r="E363" s="7" t="s">
        <v>826</v>
      </c>
      <c r="F363" s="17">
        <v>174.03462999999999</v>
      </c>
      <c r="G363" s="33" t="s">
        <v>708</v>
      </c>
      <c r="H363" s="7" t="s">
        <v>22</v>
      </c>
      <c r="J363" s="10">
        <v>174034.63000000003</v>
      </c>
      <c r="K363" s="6">
        <v>0</v>
      </c>
    </row>
    <row r="365" spans="1:11" x14ac:dyDescent="0.25">
      <c r="I365" s="21">
        <f>SUM(I2:I362)/1000</f>
        <v>174.03463000000002</v>
      </c>
      <c r="J365" s="5">
        <v>360</v>
      </c>
    </row>
  </sheetData>
  <dataValidations count="3"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A00-000000000000}">
      <formula1>0</formula1>
      <formula2>30</formula2>
    </dataValidation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A00-000001000000}">
      <formula1>0</formula1>
      <formula2>50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A00-000002000000}">
      <formula1>0</formula1>
      <formula2>60</formula2>
    </dataValidation>
  </dataValidation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1"/>
  <dimension ref="A1:O513"/>
  <sheetViews>
    <sheetView workbookViewId="0">
      <selection activeCell="V22" sqref="V22"/>
    </sheetView>
  </sheetViews>
  <sheetFormatPr defaultRowHeight="15" x14ac:dyDescent="0.25"/>
  <cols>
    <col min="1" max="1" width="37" style="22" customWidth="1"/>
    <col min="2" max="2" width="10.5703125" style="22" bestFit="1" customWidth="1"/>
    <col min="3" max="3" width="21.85546875" style="24" bestFit="1" customWidth="1"/>
    <col min="4" max="4" width="21.85546875" style="24" hidden="1" customWidth="1"/>
    <col min="5" max="5" width="7.140625" style="24" bestFit="1" customWidth="1"/>
    <col min="6" max="6" width="13.140625" style="24" hidden="1" customWidth="1"/>
    <col min="7" max="8" width="21.85546875" style="24" hidden="1" customWidth="1"/>
    <col min="9" max="9" width="30.28515625" style="22" hidden="1" customWidth="1"/>
    <col min="10" max="10" width="26.28515625" style="22" hidden="1" customWidth="1"/>
    <col min="11" max="11" width="24.5703125" style="22" hidden="1" customWidth="1"/>
    <col min="12" max="12" width="5" bestFit="1" customWidth="1"/>
    <col min="13" max="13" width="19.42578125" bestFit="1" customWidth="1"/>
    <col min="14" max="14" width="10.140625" bestFit="1" customWidth="1"/>
    <col min="257" max="257" width="25.28515625" bestFit="1" customWidth="1"/>
    <col min="258" max="258" width="25.28515625" customWidth="1"/>
    <col min="259" max="263" width="24.85546875" customWidth="1"/>
    <col min="264" max="264" width="26.7109375" bestFit="1" customWidth="1"/>
    <col min="265" max="265" width="25.5703125" bestFit="1" customWidth="1"/>
    <col min="266" max="266" width="24.140625" customWidth="1"/>
    <col min="268" max="268" width="20" bestFit="1" customWidth="1"/>
    <col min="269" max="269" width="16.85546875" bestFit="1" customWidth="1"/>
    <col min="513" max="513" width="25.28515625" bestFit="1" customWidth="1"/>
    <col min="514" max="514" width="25.28515625" customWidth="1"/>
    <col min="515" max="519" width="24.85546875" customWidth="1"/>
    <col min="520" max="520" width="26.7109375" bestFit="1" customWidth="1"/>
    <col min="521" max="521" width="25.5703125" bestFit="1" customWidth="1"/>
    <col min="522" max="522" width="24.140625" customWidth="1"/>
    <col min="524" max="524" width="20" bestFit="1" customWidth="1"/>
    <col min="525" max="525" width="16.85546875" bestFit="1" customWidth="1"/>
    <col min="769" max="769" width="25.28515625" bestFit="1" customWidth="1"/>
    <col min="770" max="770" width="25.28515625" customWidth="1"/>
    <col min="771" max="775" width="24.85546875" customWidth="1"/>
    <col min="776" max="776" width="26.7109375" bestFit="1" customWidth="1"/>
    <col min="777" max="777" width="25.5703125" bestFit="1" customWidth="1"/>
    <col min="778" max="778" width="24.140625" customWidth="1"/>
    <col min="780" max="780" width="20" bestFit="1" customWidth="1"/>
    <col min="781" max="781" width="16.85546875" bestFit="1" customWidth="1"/>
    <col min="1025" max="1025" width="25.28515625" bestFit="1" customWidth="1"/>
    <col min="1026" max="1026" width="25.28515625" customWidth="1"/>
    <col min="1027" max="1031" width="24.85546875" customWidth="1"/>
    <col min="1032" max="1032" width="26.7109375" bestFit="1" customWidth="1"/>
    <col min="1033" max="1033" width="25.5703125" bestFit="1" customWidth="1"/>
    <col min="1034" max="1034" width="24.140625" customWidth="1"/>
    <col min="1036" max="1036" width="20" bestFit="1" customWidth="1"/>
    <col min="1037" max="1037" width="16.85546875" bestFit="1" customWidth="1"/>
    <col min="1281" max="1281" width="25.28515625" bestFit="1" customWidth="1"/>
    <col min="1282" max="1282" width="25.28515625" customWidth="1"/>
    <col min="1283" max="1287" width="24.85546875" customWidth="1"/>
    <col min="1288" max="1288" width="26.7109375" bestFit="1" customWidth="1"/>
    <col min="1289" max="1289" width="25.5703125" bestFit="1" customWidth="1"/>
    <col min="1290" max="1290" width="24.140625" customWidth="1"/>
    <col min="1292" max="1292" width="20" bestFit="1" customWidth="1"/>
    <col min="1293" max="1293" width="16.85546875" bestFit="1" customWidth="1"/>
    <col min="1537" max="1537" width="25.28515625" bestFit="1" customWidth="1"/>
    <col min="1538" max="1538" width="25.28515625" customWidth="1"/>
    <col min="1539" max="1543" width="24.85546875" customWidth="1"/>
    <col min="1544" max="1544" width="26.7109375" bestFit="1" customWidth="1"/>
    <col min="1545" max="1545" width="25.5703125" bestFit="1" customWidth="1"/>
    <col min="1546" max="1546" width="24.140625" customWidth="1"/>
    <col min="1548" max="1548" width="20" bestFit="1" customWidth="1"/>
    <col min="1549" max="1549" width="16.85546875" bestFit="1" customWidth="1"/>
    <col min="1793" max="1793" width="25.28515625" bestFit="1" customWidth="1"/>
    <col min="1794" max="1794" width="25.28515625" customWidth="1"/>
    <col min="1795" max="1799" width="24.85546875" customWidth="1"/>
    <col min="1800" max="1800" width="26.7109375" bestFit="1" customWidth="1"/>
    <col min="1801" max="1801" width="25.5703125" bestFit="1" customWidth="1"/>
    <col min="1802" max="1802" width="24.140625" customWidth="1"/>
    <col min="1804" max="1804" width="20" bestFit="1" customWidth="1"/>
    <col min="1805" max="1805" width="16.85546875" bestFit="1" customWidth="1"/>
    <col min="2049" max="2049" width="25.28515625" bestFit="1" customWidth="1"/>
    <col min="2050" max="2050" width="25.28515625" customWidth="1"/>
    <col min="2051" max="2055" width="24.85546875" customWidth="1"/>
    <col min="2056" max="2056" width="26.7109375" bestFit="1" customWidth="1"/>
    <col min="2057" max="2057" width="25.5703125" bestFit="1" customWidth="1"/>
    <col min="2058" max="2058" width="24.140625" customWidth="1"/>
    <col min="2060" max="2060" width="20" bestFit="1" customWidth="1"/>
    <col min="2061" max="2061" width="16.85546875" bestFit="1" customWidth="1"/>
    <col min="2305" max="2305" width="25.28515625" bestFit="1" customWidth="1"/>
    <col min="2306" max="2306" width="25.28515625" customWidth="1"/>
    <col min="2307" max="2311" width="24.85546875" customWidth="1"/>
    <col min="2312" max="2312" width="26.7109375" bestFit="1" customWidth="1"/>
    <col min="2313" max="2313" width="25.5703125" bestFit="1" customWidth="1"/>
    <col min="2314" max="2314" width="24.140625" customWidth="1"/>
    <col min="2316" max="2316" width="20" bestFit="1" customWidth="1"/>
    <col min="2317" max="2317" width="16.85546875" bestFit="1" customWidth="1"/>
    <col min="2561" max="2561" width="25.28515625" bestFit="1" customWidth="1"/>
    <col min="2562" max="2562" width="25.28515625" customWidth="1"/>
    <col min="2563" max="2567" width="24.85546875" customWidth="1"/>
    <col min="2568" max="2568" width="26.7109375" bestFit="1" customWidth="1"/>
    <col min="2569" max="2569" width="25.5703125" bestFit="1" customWidth="1"/>
    <col min="2570" max="2570" width="24.140625" customWidth="1"/>
    <col min="2572" max="2572" width="20" bestFit="1" customWidth="1"/>
    <col min="2573" max="2573" width="16.85546875" bestFit="1" customWidth="1"/>
    <col min="2817" max="2817" width="25.28515625" bestFit="1" customWidth="1"/>
    <col min="2818" max="2818" width="25.28515625" customWidth="1"/>
    <col min="2819" max="2823" width="24.85546875" customWidth="1"/>
    <col min="2824" max="2824" width="26.7109375" bestFit="1" customWidth="1"/>
    <col min="2825" max="2825" width="25.5703125" bestFit="1" customWidth="1"/>
    <col min="2826" max="2826" width="24.140625" customWidth="1"/>
    <col min="2828" max="2828" width="20" bestFit="1" customWidth="1"/>
    <col min="2829" max="2829" width="16.85546875" bestFit="1" customWidth="1"/>
    <col min="3073" max="3073" width="25.28515625" bestFit="1" customWidth="1"/>
    <col min="3074" max="3074" width="25.28515625" customWidth="1"/>
    <col min="3075" max="3079" width="24.85546875" customWidth="1"/>
    <col min="3080" max="3080" width="26.7109375" bestFit="1" customWidth="1"/>
    <col min="3081" max="3081" width="25.5703125" bestFit="1" customWidth="1"/>
    <col min="3082" max="3082" width="24.140625" customWidth="1"/>
    <col min="3084" max="3084" width="20" bestFit="1" customWidth="1"/>
    <col min="3085" max="3085" width="16.85546875" bestFit="1" customWidth="1"/>
    <col min="3329" max="3329" width="25.28515625" bestFit="1" customWidth="1"/>
    <col min="3330" max="3330" width="25.28515625" customWidth="1"/>
    <col min="3331" max="3335" width="24.85546875" customWidth="1"/>
    <col min="3336" max="3336" width="26.7109375" bestFit="1" customWidth="1"/>
    <col min="3337" max="3337" width="25.5703125" bestFit="1" customWidth="1"/>
    <col min="3338" max="3338" width="24.140625" customWidth="1"/>
    <col min="3340" max="3340" width="20" bestFit="1" customWidth="1"/>
    <col min="3341" max="3341" width="16.85546875" bestFit="1" customWidth="1"/>
    <col min="3585" max="3585" width="25.28515625" bestFit="1" customWidth="1"/>
    <col min="3586" max="3586" width="25.28515625" customWidth="1"/>
    <col min="3587" max="3591" width="24.85546875" customWidth="1"/>
    <col min="3592" max="3592" width="26.7109375" bestFit="1" customWidth="1"/>
    <col min="3593" max="3593" width="25.5703125" bestFit="1" customWidth="1"/>
    <col min="3594" max="3594" width="24.140625" customWidth="1"/>
    <col min="3596" max="3596" width="20" bestFit="1" customWidth="1"/>
    <col min="3597" max="3597" width="16.85546875" bestFit="1" customWidth="1"/>
    <col min="3841" max="3841" width="25.28515625" bestFit="1" customWidth="1"/>
    <col min="3842" max="3842" width="25.28515625" customWidth="1"/>
    <col min="3843" max="3847" width="24.85546875" customWidth="1"/>
    <col min="3848" max="3848" width="26.7109375" bestFit="1" customWidth="1"/>
    <col min="3849" max="3849" width="25.5703125" bestFit="1" customWidth="1"/>
    <col min="3850" max="3850" width="24.140625" customWidth="1"/>
    <col min="3852" max="3852" width="20" bestFit="1" customWidth="1"/>
    <col min="3853" max="3853" width="16.85546875" bestFit="1" customWidth="1"/>
    <col min="4097" max="4097" width="25.28515625" bestFit="1" customWidth="1"/>
    <col min="4098" max="4098" width="25.28515625" customWidth="1"/>
    <col min="4099" max="4103" width="24.85546875" customWidth="1"/>
    <col min="4104" max="4104" width="26.7109375" bestFit="1" customWidth="1"/>
    <col min="4105" max="4105" width="25.5703125" bestFit="1" customWidth="1"/>
    <col min="4106" max="4106" width="24.140625" customWidth="1"/>
    <col min="4108" max="4108" width="20" bestFit="1" customWidth="1"/>
    <col min="4109" max="4109" width="16.85546875" bestFit="1" customWidth="1"/>
    <col min="4353" max="4353" width="25.28515625" bestFit="1" customWidth="1"/>
    <col min="4354" max="4354" width="25.28515625" customWidth="1"/>
    <col min="4355" max="4359" width="24.85546875" customWidth="1"/>
    <col min="4360" max="4360" width="26.7109375" bestFit="1" customWidth="1"/>
    <col min="4361" max="4361" width="25.5703125" bestFit="1" customWidth="1"/>
    <col min="4362" max="4362" width="24.140625" customWidth="1"/>
    <col min="4364" max="4364" width="20" bestFit="1" customWidth="1"/>
    <col min="4365" max="4365" width="16.85546875" bestFit="1" customWidth="1"/>
    <col min="4609" max="4609" width="25.28515625" bestFit="1" customWidth="1"/>
    <col min="4610" max="4610" width="25.28515625" customWidth="1"/>
    <col min="4611" max="4615" width="24.85546875" customWidth="1"/>
    <col min="4616" max="4616" width="26.7109375" bestFit="1" customWidth="1"/>
    <col min="4617" max="4617" width="25.5703125" bestFit="1" customWidth="1"/>
    <col min="4618" max="4618" width="24.140625" customWidth="1"/>
    <col min="4620" max="4620" width="20" bestFit="1" customWidth="1"/>
    <col min="4621" max="4621" width="16.85546875" bestFit="1" customWidth="1"/>
    <col min="4865" max="4865" width="25.28515625" bestFit="1" customWidth="1"/>
    <col min="4866" max="4866" width="25.28515625" customWidth="1"/>
    <col min="4867" max="4871" width="24.85546875" customWidth="1"/>
    <col min="4872" max="4872" width="26.7109375" bestFit="1" customWidth="1"/>
    <col min="4873" max="4873" width="25.5703125" bestFit="1" customWidth="1"/>
    <col min="4874" max="4874" width="24.140625" customWidth="1"/>
    <col min="4876" max="4876" width="20" bestFit="1" customWidth="1"/>
    <col min="4877" max="4877" width="16.85546875" bestFit="1" customWidth="1"/>
    <col min="5121" max="5121" width="25.28515625" bestFit="1" customWidth="1"/>
    <col min="5122" max="5122" width="25.28515625" customWidth="1"/>
    <col min="5123" max="5127" width="24.85546875" customWidth="1"/>
    <col min="5128" max="5128" width="26.7109375" bestFit="1" customWidth="1"/>
    <col min="5129" max="5129" width="25.5703125" bestFit="1" customWidth="1"/>
    <col min="5130" max="5130" width="24.140625" customWidth="1"/>
    <col min="5132" max="5132" width="20" bestFit="1" customWidth="1"/>
    <col min="5133" max="5133" width="16.85546875" bestFit="1" customWidth="1"/>
    <col min="5377" max="5377" width="25.28515625" bestFit="1" customWidth="1"/>
    <col min="5378" max="5378" width="25.28515625" customWidth="1"/>
    <col min="5379" max="5383" width="24.85546875" customWidth="1"/>
    <col min="5384" max="5384" width="26.7109375" bestFit="1" customWidth="1"/>
    <col min="5385" max="5385" width="25.5703125" bestFit="1" customWidth="1"/>
    <col min="5386" max="5386" width="24.140625" customWidth="1"/>
    <col min="5388" max="5388" width="20" bestFit="1" customWidth="1"/>
    <col min="5389" max="5389" width="16.85546875" bestFit="1" customWidth="1"/>
    <col min="5633" max="5633" width="25.28515625" bestFit="1" customWidth="1"/>
    <col min="5634" max="5634" width="25.28515625" customWidth="1"/>
    <col min="5635" max="5639" width="24.85546875" customWidth="1"/>
    <col min="5640" max="5640" width="26.7109375" bestFit="1" customWidth="1"/>
    <col min="5641" max="5641" width="25.5703125" bestFit="1" customWidth="1"/>
    <col min="5642" max="5642" width="24.140625" customWidth="1"/>
    <col min="5644" max="5644" width="20" bestFit="1" customWidth="1"/>
    <col min="5645" max="5645" width="16.85546875" bestFit="1" customWidth="1"/>
    <col min="5889" max="5889" width="25.28515625" bestFit="1" customWidth="1"/>
    <col min="5890" max="5890" width="25.28515625" customWidth="1"/>
    <col min="5891" max="5895" width="24.85546875" customWidth="1"/>
    <col min="5896" max="5896" width="26.7109375" bestFit="1" customWidth="1"/>
    <col min="5897" max="5897" width="25.5703125" bestFit="1" customWidth="1"/>
    <col min="5898" max="5898" width="24.140625" customWidth="1"/>
    <col min="5900" max="5900" width="20" bestFit="1" customWidth="1"/>
    <col min="5901" max="5901" width="16.85546875" bestFit="1" customWidth="1"/>
    <col min="6145" max="6145" width="25.28515625" bestFit="1" customWidth="1"/>
    <col min="6146" max="6146" width="25.28515625" customWidth="1"/>
    <col min="6147" max="6151" width="24.85546875" customWidth="1"/>
    <col min="6152" max="6152" width="26.7109375" bestFit="1" customWidth="1"/>
    <col min="6153" max="6153" width="25.5703125" bestFit="1" customWidth="1"/>
    <col min="6154" max="6154" width="24.140625" customWidth="1"/>
    <col min="6156" max="6156" width="20" bestFit="1" customWidth="1"/>
    <col min="6157" max="6157" width="16.85546875" bestFit="1" customWidth="1"/>
    <col min="6401" max="6401" width="25.28515625" bestFit="1" customWidth="1"/>
    <col min="6402" max="6402" width="25.28515625" customWidth="1"/>
    <col min="6403" max="6407" width="24.85546875" customWidth="1"/>
    <col min="6408" max="6408" width="26.7109375" bestFit="1" customWidth="1"/>
    <col min="6409" max="6409" width="25.5703125" bestFit="1" customWidth="1"/>
    <col min="6410" max="6410" width="24.140625" customWidth="1"/>
    <col min="6412" max="6412" width="20" bestFit="1" customWidth="1"/>
    <col min="6413" max="6413" width="16.85546875" bestFit="1" customWidth="1"/>
    <col min="6657" max="6657" width="25.28515625" bestFit="1" customWidth="1"/>
    <col min="6658" max="6658" width="25.28515625" customWidth="1"/>
    <col min="6659" max="6663" width="24.85546875" customWidth="1"/>
    <col min="6664" max="6664" width="26.7109375" bestFit="1" customWidth="1"/>
    <col min="6665" max="6665" width="25.5703125" bestFit="1" customWidth="1"/>
    <col min="6666" max="6666" width="24.140625" customWidth="1"/>
    <col min="6668" max="6668" width="20" bestFit="1" customWidth="1"/>
    <col min="6669" max="6669" width="16.85546875" bestFit="1" customWidth="1"/>
    <col min="6913" max="6913" width="25.28515625" bestFit="1" customWidth="1"/>
    <col min="6914" max="6914" width="25.28515625" customWidth="1"/>
    <col min="6915" max="6919" width="24.85546875" customWidth="1"/>
    <col min="6920" max="6920" width="26.7109375" bestFit="1" customWidth="1"/>
    <col min="6921" max="6921" width="25.5703125" bestFit="1" customWidth="1"/>
    <col min="6922" max="6922" width="24.140625" customWidth="1"/>
    <col min="6924" max="6924" width="20" bestFit="1" customWidth="1"/>
    <col min="6925" max="6925" width="16.85546875" bestFit="1" customWidth="1"/>
    <col min="7169" max="7169" width="25.28515625" bestFit="1" customWidth="1"/>
    <col min="7170" max="7170" width="25.28515625" customWidth="1"/>
    <col min="7171" max="7175" width="24.85546875" customWidth="1"/>
    <col min="7176" max="7176" width="26.7109375" bestFit="1" customWidth="1"/>
    <col min="7177" max="7177" width="25.5703125" bestFit="1" customWidth="1"/>
    <col min="7178" max="7178" width="24.140625" customWidth="1"/>
    <col min="7180" max="7180" width="20" bestFit="1" customWidth="1"/>
    <col min="7181" max="7181" width="16.85546875" bestFit="1" customWidth="1"/>
    <col min="7425" max="7425" width="25.28515625" bestFit="1" customWidth="1"/>
    <col min="7426" max="7426" width="25.28515625" customWidth="1"/>
    <col min="7427" max="7431" width="24.85546875" customWidth="1"/>
    <col min="7432" max="7432" width="26.7109375" bestFit="1" customWidth="1"/>
    <col min="7433" max="7433" width="25.5703125" bestFit="1" customWidth="1"/>
    <col min="7434" max="7434" width="24.140625" customWidth="1"/>
    <col min="7436" max="7436" width="20" bestFit="1" customWidth="1"/>
    <col min="7437" max="7437" width="16.85546875" bestFit="1" customWidth="1"/>
    <col min="7681" max="7681" width="25.28515625" bestFit="1" customWidth="1"/>
    <col min="7682" max="7682" width="25.28515625" customWidth="1"/>
    <col min="7683" max="7687" width="24.85546875" customWidth="1"/>
    <col min="7688" max="7688" width="26.7109375" bestFit="1" customWidth="1"/>
    <col min="7689" max="7689" width="25.5703125" bestFit="1" customWidth="1"/>
    <col min="7690" max="7690" width="24.140625" customWidth="1"/>
    <col min="7692" max="7692" width="20" bestFit="1" customWidth="1"/>
    <col min="7693" max="7693" width="16.85546875" bestFit="1" customWidth="1"/>
    <col min="7937" max="7937" width="25.28515625" bestFit="1" customWidth="1"/>
    <col min="7938" max="7938" width="25.28515625" customWidth="1"/>
    <col min="7939" max="7943" width="24.85546875" customWidth="1"/>
    <col min="7944" max="7944" width="26.7109375" bestFit="1" customWidth="1"/>
    <col min="7945" max="7945" width="25.5703125" bestFit="1" customWidth="1"/>
    <col min="7946" max="7946" width="24.140625" customWidth="1"/>
    <col min="7948" max="7948" width="20" bestFit="1" customWidth="1"/>
    <col min="7949" max="7949" width="16.85546875" bestFit="1" customWidth="1"/>
    <col min="8193" max="8193" width="25.28515625" bestFit="1" customWidth="1"/>
    <col min="8194" max="8194" width="25.28515625" customWidth="1"/>
    <col min="8195" max="8199" width="24.85546875" customWidth="1"/>
    <col min="8200" max="8200" width="26.7109375" bestFit="1" customWidth="1"/>
    <col min="8201" max="8201" width="25.5703125" bestFit="1" customWidth="1"/>
    <col min="8202" max="8202" width="24.140625" customWidth="1"/>
    <col min="8204" max="8204" width="20" bestFit="1" customWidth="1"/>
    <col min="8205" max="8205" width="16.85546875" bestFit="1" customWidth="1"/>
    <col min="8449" max="8449" width="25.28515625" bestFit="1" customWidth="1"/>
    <col min="8450" max="8450" width="25.28515625" customWidth="1"/>
    <col min="8451" max="8455" width="24.85546875" customWidth="1"/>
    <col min="8456" max="8456" width="26.7109375" bestFit="1" customWidth="1"/>
    <col min="8457" max="8457" width="25.5703125" bestFit="1" customWidth="1"/>
    <col min="8458" max="8458" width="24.140625" customWidth="1"/>
    <col min="8460" max="8460" width="20" bestFit="1" customWidth="1"/>
    <col min="8461" max="8461" width="16.85546875" bestFit="1" customWidth="1"/>
    <col min="8705" max="8705" width="25.28515625" bestFit="1" customWidth="1"/>
    <col min="8706" max="8706" width="25.28515625" customWidth="1"/>
    <col min="8707" max="8711" width="24.85546875" customWidth="1"/>
    <col min="8712" max="8712" width="26.7109375" bestFit="1" customWidth="1"/>
    <col min="8713" max="8713" width="25.5703125" bestFit="1" customWidth="1"/>
    <col min="8714" max="8714" width="24.140625" customWidth="1"/>
    <col min="8716" max="8716" width="20" bestFit="1" customWidth="1"/>
    <col min="8717" max="8717" width="16.85546875" bestFit="1" customWidth="1"/>
    <col min="8961" max="8961" width="25.28515625" bestFit="1" customWidth="1"/>
    <col min="8962" max="8962" width="25.28515625" customWidth="1"/>
    <col min="8963" max="8967" width="24.85546875" customWidth="1"/>
    <col min="8968" max="8968" width="26.7109375" bestFit="1" customWidth="1"/>
    <col min="8969" max="8969" width="25.5703125" bestFit="1" customWidth="1"/>
    <col min="8970" max="8970" width="24.140625" customWidth="1"/>
    <col min="8972" max="8972" width="20" bestFit="1" customWidth="1"/>
    <col min="8973" max="8973" width="16.85546875" bestFit="1" customWidth="1"/>
    <col min="9217" max="9217" width="25.28515625" bestFit="1" customWidth="1"/>
    <col min="9218" max="9218" width="25.28515625" customWidth="1"/>
    <col min="9219" max="9223" width="24.85546875" customWidth="1"/>
    <col min="9224" max="9224" width="26.7109375" bestFit="1" customWidth="1"/>
    <col min="9225" max="9225" width="25.5703125" bestFit="1" customWidth="1"/>
    <col min="9226" max="9226" width="24.140625" customWidth="1"/>
    <col min="9228" max="9228" width="20" bestFit="1" customWidth="1"/>
    <col min="9229" max="9229" width="16.85546875" bestFit="1" customWidth="1"/>
    <col min="9473" max="9473" width="25.28515625" bestFit="1" customWidth="1"/>
    <col min="9474" max="9474" width="25.28515625" customWidth="1"/>
    <col min="9475" max="9479" width="24.85546875" customWidth="1"/>
    <col min="9480" max="9480" width="26.7109375" bestFit="1" customWidth="1"/>
    <col min="9481" max="9481" width="25.5703125" bestFit="1" customWidth="1"/>
    <col min="9482" max="9482" width="24.140625" customWidth="1"/>
    <col min="9484" max="9484" width="20" bestFit="1" customWidth="1"/>
    <col min="9485" max="9485" width="16.85546875" bestFit="1" customWidth="1"/>
    <col min="9729" max="9729" width="25.28515625" bestFit="1" customWidth="1"/>
    <col min="9730" max="9730" width="25.28515625" customWidth="1"/>
    <col min="9731" max="9735" width="24.85546875" customWidth="1"/>
    <col min="9736" max="9736" width="26.7109375" bestFit="1" customWidth="1"/>
    <col min="9737" max="9737" width="25.5703125" bestFit="1" customWidth="1"/>
    <col min="9738" max="9738" width="24.140625" customWidth="1"/>
    <col min="9740" max="9740" width="20" bestFit="1" customWidth="1"/>
    <col min="9741" max="9741" width="16.85546875" bestFit="1" customWidth="1"/>
    <col min="9985" max="9985" width="25.28515625" bestFit="1" customWidth="1"/>
    <col min="9986" max="9986" width="25.28515625" customWidth="1"/>
    <col min="9987" max="9991" width="24.85546875" customWidth="1"/>
    <col min="9992" max="9992" width="26.7109375" bestFit="1" customWidth="1"/>
    <col min="9993" max="9993" width="25.5703125" bestFit="1" customWidth="1"/>
    <col min="9994" max="9994" width="24.140625" customWidth="1"/>
    <col min="9996" max="9996" width="20" bestFit="1" customWidth="1"/>
    <col min="9997" max="9997" width="16.85546875" bestFit="1" customWidth="1"/>
    <col min="10241" max="10241" width="25.28515625" bestFit="1" customWidth="1"/>
    <col min="10242" max="10242" width="25.28515625" customWidth="1"/>
    <col min="10243" max="10247" width="24.85546875" customWidth="1"/>
    <col min="10248" max="10248" width="26.7109375" bestFit="1" customWidth="1"/>
    <col min="10249" max="10249" width="25.5703125" bestFit="1" customWidth="1"/>
    <col min="10250" max="10250" width="24.140625" customWidth="1"/>
    <col min="10252" max="10252" width="20" bestFit="1" customWidth="1"/>
    <col min="10253" max="10253" width="16.85546875" bestFit="1" customWidth="1"/>
    <col min="10497" max="10497" width="25.28515625" bestFit="1" customWidth="1"/>
    <col min="10498" max="10498" width="25.28515625" customWidth="1"/>
    <col min="10499" max="10503" width="24.85546875" customWidth="1"/>
    <col min="10504" max="10504" width="26.7109375" bestFit="1" customWidth="1"/>
    <col min="10505" max="10505" width="25.5703125" bestFit="1" customWidth="1"/>
    <col min="10506" max="10506" width="24.140625" customWidth="1"/>
    <col min="10508" max="10508" width="20" bestFit="1" customWidth="1"/>
    <col min="10509" max="10509" width="16.85546875" bestFit="1" customWidth="1"/>
    <col min="10753" max="10753" width="25.28515625" bestFit="1" customWidth="1"/>
    <col min="10754" max="10754" width="25.28515625" customWidth="1"/>
    <col min="10755" max="10759" width="24.85546875" customWidth="1"/>
    <col min="10760" max="10760" width="26.7109375" bestFit="1" customWidth="1"/>
    <col min="10761" max="10761" width="25.5703125" bestFit="1" customWidth="1"/>
    <col min="10762" max="10762" width="24.140625" customWidth="1"/>
    <col min="10764" max="10764" width="20" bestFit="1" customWidth="1"/>
    <col min="10765" max="10765" width="16.85546875" bestFit="1" customWidth="1"/>
    <col min="11009" max="11009" width="25.28515625" bestFit="1" customWidth="1"/>
    <col min="11010" max="11010" width="25.28515625" customWidth="1"/>
    <col min="11011" max="11015" width="24.85546875" customWidth="1"/>
    <col min="11016" max="11016" width="26.7109375" bestFit="1" customWidth="1"/>
    <col min="11017" max="11017" width="25.5703125" bestFit="1" customWidth="1"/>
    <col min="11018" max="11018" width="24.140625" customWidth="1"/>
    <col min="11020" max="11020" width="20" bestFit="1" customWidth="1"/>
    <col min="11021" max="11021" width="16.85546875" bestFit="1" customWidth="1"/>
    <col min="11265" max="11265" width="25.28515625" bestFit="1" customWidth="1"/>
    <col min="11266" max="11266" width="25.28515625" customWidth="1"/>
    <col min="11267" max="11271" width="24.85546875" customWidth="1"/>
    <col min="11272" max="11272" width="26.7109375" bestFit="1" customWidth="1"/>
    <col min="11273" max="11273" width="25.5703125" bestFit="1" customWidth="1"/>
    <col min="11274" max="11274" width="24.140625" customWidth="1"/>
    <col min="11276" max="11276" width="20" bestFit="1" customWidth="1"/>
    <col min="11277" max="11277" width="16.85546875" bestFit="1" customWidth="1"/>
    <col min="11521" max="11521" width="25.28515625" bestFit="1" customWidth="1"/>
    <col min="11522" max="11522" width="25.28515625" customWidth="1"/>
    <col min="11523" max="11527" width="24.85546875" customWidth="1"/>
    <col min="11528" max="11528" width="26.7109375" bestFit="1" customWidth="1"/>
    <col min="11529" max="11529" width="25.5703125" bestFit="1" customWidth="1"/>
    <col min="11530" max="11530" width="24.140625" customWidth="1"/>
    <col min="11532" max="11532" width="20" bestFit="1" customWidth="1"/>
    <col min="11533" max="11533" width="16.85546875" bestFit="1" customWidth="1"/>
    <col min="11777" max="11777" width="25.28515625" bestFit="1" customWidth="1"/>
    <col min="11778" max="11778" width="25.28515625" customWidth="1"/>
    <col min="11779" max="11783" width="24.85546875" customWidth="1"/>
    <col min="11784" max="11784" width="26.7109375" bestFit="1" customWidth="1"/>
    <col min="11785" max="11785" width="25.5703125" bestFit="1" customWidth="1"/>
    <col min="11786" max="11786" width="24.140625" customWidth="1"/>
    <col min="11788" max="11788" width="20" bestFit="1" customWidth="1"/>
    <col min="11789" max="11789" width="16.85546875" bestFit="1" customWidth="1"/>
    <col min="12033" max="12033" width="25.28515625" bestFit="1" customWidth="1"/>
    <col min="12034" max="12034" width="25.28515625" customWidth="1"/>
    <col min="12035" max="12039" width="24.85546875" customWidth="1"/>
    <col min="12040" max="12040" width="26.7109375" bestFit="1" customWidth="1"/>
    <col min="12041" max="12041" width="25.5703125" bestFit="1" customWidth="1"/>
    <col min="12042" max="12042" width="24.140625" customWidth="1"/>
    <col min="12044" max="12044" width="20" bestFit="1" customWidth="1"/>
    <col min="12045" max="12045" width="16.85546875" bestFit="1" customWidth="1"/>
    <col min="12289" max="12289" width="25.28515625" bestFit="1" customWidth="1"/>
    <col min="12290" max="12290" width="25.28515625" customWidth="1"/>
    <col min="12291" max="12295" width="24.85546875" customWidth="1"/>
    <col min="12296" max="12296" width="26.7109375" bestFit="1" customWidth="1"/>
    <col min="12297" max="12297" width="25.5703125" bestFit="1" customWidth="1"/>
    <col min="12298" max="12298" width="24.140625" customWidth="1"/>
    <col min="12300" max="12300" width="20" bestFit="1" customWidth="1"/>
    <col min="12301" max="12301" width="16.85546875" bestFit="1" customWidth="1"/>
    <col min="12545" max="12545" width="25.28515625" bestFit="1" customWidth="1"/>
    <col min="12546" max="12546" width="25.28515625" customWidth="1"/>
    <col min="12547" max="12551" width="24.85546875" customWidth="1"/>
    <col min="12552" max="12552" width="26.7109375" bestFit="1" customWidth="1"/>
    <col min="12553" max="12553" width="25.5703125" bestFit="1" customWidth="1"/>
    <col min="12554" max="12554" width="24.140625" customWidth="1"/>
    <col min="12556" max="12556" width="20" bestFit="1" customWidth="1"/>
    <col min="12557" max="12557" width="16.85546875" bestFit="1" customWidth="1"/>
    <col min="12801" max="12801" width="25.28515625" bestFit="1" customWidth="1"/>
    <col min="12802" max="12802" width="25.28515625" customWidth="1"/>
    <col min="12803" max="12807" width="24.85546875" customWidth="1"/>
    <col min="12808" max="12808" width="26.7109375" bestFit="1" customWidth="1"/>
    <col min="12809" max="12809" width="25.5703125" bestFit="1" customWidth="1"/>
    <col min="12810" max="12810" width="24.140625" customWidth="1"/>
    <col min="12812" max="12812" width="20" bestFit="1" customWidth="1"/>
    <col min="12813" max="12813" width="16.85546875" bestFit="1" customWidth="1"/>
    <col min="13057" max="13057" width="25.28515625" bestFit="1" customWidth="1"/>
    <col min="13058" max="13058" width="25.28515625" customWidth="1"/>
    <col min="13059" max="13063" width="24.85546875" customWidth="1"/>
    <col min="13064" max="13064" width="26.7109375" bestFit="1" customWidth="1"/>
    <col min="13065" max="13065" width="25.5703125" bestFit="1" customWidth="1"/>
    <col min="13066" max="13066" width="24.140625" customWidth="1"/>
    <col min="13068" max="13068" width="20" bestFit="1" customWidth="1"/>
    <col min="13069" max="13069" width="16.85546875" bestFit="1" customWidth="1"/>
    <col min="13313" max="13313" width="25.28515625" bestFit="1" customWidth="1"/>
    <col min="13314" max="13314" width="25.28515625" customWidth="1"/>
    <col min="13315" max="13319" width="24.85546875" customWidth="1"/>
    <col min="13320" max="13320" width="26.7109375" bestFit="1" customWidth="1"/>
    <col min="13321" max="13321" width="25.5703125" bestFit="1" customWidth="1"/>
    <col min="13322" max="13322" width="24.140625" customWidth="1"/>
    <col min="13324" max="13324" width="20" bestFit="1" customWidth="1"/>
    <col min="13325" max="13325" width="16.85546875" bestFit="1" customWidth="1"/>
    <col min="13569" max="13569" width="25.28515625" bestFit="1" customWidth="1"/>
    <col min="13570" max="13570" width="25.28515625" customWidth="1"/>
    <col min="13571" max="13575" width="24.85546875" customWidth="1"/>
    <col min="13576" max="13576" width="26.7109375" bestFit="1" customWidth="1"/>
    <col min="13577" max="13577" width="25.5703125" bestFit="1" customWidth="1"/>
    <col min="13578" max="13578" width="24.140625" customWidth="1"/>
    <col min="13580" max="13580" width="20" bestFit="1" customWidth="1"/>
    <col min="13581" max="13581" width="16.85546875" bestFit="1" customWidth="1"/>
    <col min="13825" max="13825" width="25.28515625" bestFit="1" customWidth="1"/>
    <col min="13826" max="13826" width="25.28515625" customWidth="1"/>
    <col min="13827" max="13831" width="24.85546875" customWidth="1"/>
    <col min="13832" max="13832" width="26.7109375" bestFit="1" customWidth="1"/>
    <col min="13833" max="13833" width="25.5703125" bestFit="1" customWidth="1"/>
    <col min="13834" max="13834" width="24.140625" customWidth="1"/>
    <col min="13836" max="13836" width="20" bestFit="1" customWidth="1"/>
    <col min="13837" max="13837" width="16.85546875" bestFit="1" customWidth="1"/>
    <col min="14081" max="14081" width="25.28515625" bestFit="1" customWidth="1"/>
    <col min="14082" max="14082" width="25.28515625" customWidth="1"/>
    <col min="14083" max="14087" width="24.85546875" customWidth="1"/>
    <col min="14088" max="14088" width="26.7109375" bestFit="1" customWidth="1"/>
    <col min="14089" max="14089" width="25.5703125" bestFit="1" customWidth="1"/>
    <col min="14090" max="14090" width="24.140625" customWidth="1"/>
    <col min="14092" max="14092" width="20" bestFit="1" customWidth="1"/>
    <col min="14093" max="14093" width="16.85546875" bestFit="1" customWidth="1"/>
    <col min="14337" max="14337" width="25.28515625" bestFit="1" customWidth="1"/>
    <col min="14338" max="14338" width="25.28515625" customWidth="1"/>
    <col min="14339" max="14343" width="24.85546875" customWidth="1"/>
    <col min="14344" max="14344" width="26.7109375" bestFit="1" customWidth="1"/>
    <col min="14345" max="14345" width="25.5703125" bestFit="1" customWidth="1"/>
    <col min="14346" max="14346" width="24.140625" customWidth="1"/>
    <col min="14348" max="14348" width="20" bestFit="1" customWidth="1"/>
    <col min="14349" max="14349" width="16.85546875" bestFit="1" customWidth="1"/>
    <col min="14593" max="14593" width="25.28515625" bestFit="1" customWidth="1"/>
    <col min="14594" max="14594" width="25.28515625" customWidth="1"/>
    <col min="14595" max="14599" width="24.85546875" customWidth="1"/>
    <col min="14600" max="14600" width="26.7109375" bestFit="1" customWidth="1"/>
    <col min="14601" max="14601" width="25.5703125" bestFit="1" customWidth="1"/>
    <col min="14602" max="14602" width="24.140625" customWidth="1"/>
    <col min="14604" max="14604" width="20" bestFit="1" customWidth="1"/>
    <col min="14605" max="14605" width="16.85546875" bestFit="1" customWidth="1"/>
    <col min="14849" max="14849" width="25.28515625" bestFit="1" customWidth="1"/>
    <col min="14850" max="14850" width="25.28515625" customWidth="1"/>
    <col min="14851" max="14855" width="24.85546875" customWidth="1"/>
    <col min="14856" max="14856" width="26.7109375" bestFit="1" customWidth="1"/>
    <col min="14857" max="14857" width="25.5703125" bestFit="1" customWidth="1"/>
    <col min="14858" max="14858" width="24.140625" customWidth="1"/>
    <col min="14860" max="14860" width="20" bestFit="1" customWidth="1"/>
    <col min="14861" max="14861" width="16.85546875" bestFit="1" customWidth="1"/>
    <col min="15105" max="15105" width="25.28515625" bestFit="1" customWidth="1"/>
    <col min="15106" max="15106" width="25.28515625" customWidth="1"/>
    <col min="15107" max="15111" width="24.85546875" customWidth="1"/>
    <col min="15112" max="15112" width="26.7109375" bestFit="1" customWidth="1"/>
    <col min="15113" max="15113" width="25.5703125" bestFit="1" customWidth="1"/>
    <col min="15114" max="15114" width="24.140625" customWidth="1"/>
    <col min="15116" max="15116" width="20" bestFit="1" customWidth="1"/>
    <col min="15117" max="15117" width="16.85546875" bestFit="1" customWidth="1"/>
    <col min="15361" max="15361" width="25.28515625" bestFit="1" customWidth="1"/>
    <col min="15362" max="15362" width="25.28515625" customWidth="1"/>
    <col min="15363" max="15367" width="24.85546875" customWidth="1"/>
    <col min="15368" max="15368" width="26.7109375" bestFit="1" customWidth="1"/>
    <col min="15369" max="15369" width="25.5703125" bestFit="1" customWidth="1"/>
    <col min="15370" max="15370" width="24.140625" customWidth="1"/>
    <col min="15372" max="15372" width="20" bestFit="1" customWidth="1"/>
    <col min="15373" max="15373" width="16.85546875" bestFit="1" customWidth="1"/>
    <col min="15617" max="15617" width="25.28515625" bestFit="1" customWidth="1"/>
    <col min="15618" max="15618" width="25.28515625" customWidth="1"/>
    <col min="15619" max="15623" width="24.85546875" customWidth="1"/>
    <col min="15624" max="15624" width="26.7109375" bestFit="1" customWidth="1"/>
    <col min="15625" max="15625" width="25.5703125" bestFit="1" customWidth="1"/>
    <col min="15626" max="15626" width="24.140625" customWidth="1"/>
    <col min="15628" max="15628" width="20" bestFit="1" customWidth="1"/>
    <col min="15629" max="15629" width="16.85546875" bestFit="1" customWidth="1"/>
    <col min="15873" max="15873" width="25.28515625" bestFit="1" customWidth="1"/>
    <col min="15874" max="15874" width="25.28515625" customWidth="1"/>
    <col min="15875" max="15879" width="24.85546875" customWidth="1"/>
    <col min="15880" max="15880" width="26.7109375" bestFit="1" customWidth="1"/>
    <col min="15881" max="15881" width="25.5703125" bestFit="1" customWidth="1"/>
    <col min="15882" max="15882" width="24.140625" customWidth="1"/>
    <col min="15884" max="15884" width="20" bestFit="1" customWidth="1"/>
    <col min="15885" max="15885" width="16.85546875" bestFit="1" customWidth="1"/>
    <col min="16129" max="16129" width="25.28515625" bestFit="1" customWidth="1"/>
    <col min="16130" max="16130" width="25.28515625" customWidth="1"/>
    <col min="16131" max="16135" width="24.85546875" customWidth="1"/>
    <col min="16136" max="16136" width="26.7109375" bestFit="1" customWidth="1"/>
    <col min="16137" max="16137" width="25.5703125" bestFit="1" customWidth="1"/>
    <col min="16138" max="16138" width="24.140625" customWidth="1"/>
    <col min="16140" max="16140" width="20" bestFit="1" customWidth="1"/>
    <col min="16141" max="16141" width="16.85546875" bestFit="1" customWidth="1"/>
  </cols>
  <sheetData>
    <row r="1" spans="1:15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80</v>
      </c>
      <c r="N1" s="3"/>
      <c r="O1" s="41" t="s">
        <v>185</v>
      </c>
    </row>
    <row r="2" spans="1:15" x14ac:dyDescent="0.25">
      <c r="A2" s="22" t="s">
        <v>820</v>
      </c>
      <c r="B2" s="43">
        <f>J2/1000</f>
        <v>0</v>
      </c>
      <c r="C2" s="24" t="s">
        <v>857</v>
      </c>
      <c r="D2" s="24" t="s">
        <v>15</v>
      </c>
      <c r="E2" s="24" t="s">
        <v>826</v>
      </c>
      <c r="F2" s="17">
        <v>0</v>
      </c>
      <c r="G2" s="24" t="s">
        <v>821</v>
      </c>
      <c r="H2" s="24" t="s">
        <v>588</v>
      </c>
      <c r="I2" s="25">
        <v>194</v>
      </c>
      <c r="J2" s="23">
        <v>0</v>
      </c>
      <c r="K2" s="40">
        <v>254897.53</v>
      </c>
      <c r="L2" s="38"/>
      <c r="M2" s="37" t="str">
        <f>VLOOKUP($M1,B2:D512,2)</f>
        <v>TORRE 159</v>
      </c>
      <c r="N2" s="37" t="str">
        <f>VLOOKUP($M1,B2:D512,3)</f>
        <v>TORRE 160</v>
      </c>
      <c r="O2" s="37" t="str">
        <f>VLOOKUP($M1,$B2:$E512,4)</f>
        <v>CBA</v>
      </c>
    </row>
    <row r="3" spans="1:15" x14ac:dyDescent="0.25">
      <c r="A3" s="22" t="s">
        <v>820</v>
      </c>
      <c r="B3" s="43">
        <f t="shared" ref="B3:B66" si="0">J3/1000</f>
        <v>0.19400000000000001</v>
      </c>
      <c r="C3" s="24" t="s">
        <v>15</v>
      </c>
      <c r="D3" s="24" t="s">
        <v>20</v>
      </c>
      <c r="E3" s="24" t="s">
        <v>826</v>
      </c>
      <c r="F3" s="17">
        <v>7.2229999999684297E-2</v>
      </c>
      <c r="G3" s="24" t="s">
        <v>588</v>
      </c>
      <c r="H3" s="24" t="s">
        <v>589</v>
      </c>
      <c r="I3" s="25">
        <v>194.34</v>
      </c>
      <c r="J3" s="23">
        <v>194</v>
      </c>
      <c r="K3" s="23">
        <v>254703.5299999998</v>
      </c>
      <c r="L3" s="37"/>
      <c r="M3" s="11" t="s">
        <v>867</v>
      </c>
      <c r="N3" s="11" t="s">
        <v>868</v>
      </c>
    </row>
    <row r="4" spans="1:15" x14ac:dyDescent="0.25">
      <c r="A4" s="22" t="s">
        <v>820</v>
      </c>
      <c r="B4" s="43">
        <f t="shared" si="0"/>
        <v>0.38834000000000002</v>
      </c>
      <c r="C4" s="24" t="s">
        <v>20</v>
      </c>
      <c r="D4" s="24" t="s">
        <v>23</v>
      </c>
      <c r="E4" s="24" t="s">
        <v>826</v>
      </c>
      <c r="F4" s="17">
        <v>0.1899299999996843</v>
      </c>
      <c r="G4" s="24" t="s">
        <v>589</v>
      </c>
      <c r="H4" s="24" t="s">
        <v>590</v>
      </c>
      <c r="I4" s="25">
        <v>469.2</v>
      </c>
      <c r="J4" s="23">
        <v>388.34000000000003</v>
      </c>
      <c r="K4" s="23">
        <v>254509.1899999998</v>
      </c>
      <c r="M4" s="37" t="s">
        <v>867</v>
      </c>
    </row>
    <row r="5" spans="1:15" x14ac:dyDescent="0.25">
      <c r="A5" s="22" t="s">
        <v>820</v>
      </c>
      <c r="B5" s="43">
        <f t="shared" si="0"/>
        <v>0.85753999999999997</v>
      </c>
      <c r="C5" s="24" t="s">
        <v>23</v>
      </c>
      <c r="D5" s="24" t="s">
        <v>25</v>
      </c>
      <c r="E5" s="24" t="s">
        <v>826</v>
      </c>
      <c r="F5" s="17">
        <v>0.57762999999968434</v>
      </c>
      <c r="G5" s="24" t="s">
        <v>590</v>
      </c>
      <c r="H5" s="24" t="s">
        <v>591</v>
      </c>
      <c r="I5" s="25">
        <v>441.54</v>
      </c>
      <c r="J5" s="23">
        <v>857.54</v>
      </c>
      <c r="K5" s="23">
        <v>254039.98999999979</v>
      </c>
    </row>
    <row r="6" spans="1:15" x14ac:dyDescent="0.25">
      <c r="A6" s="22" t="s">
        <v>820</v>
      </c>
      <c r="B6" s="43">
        <f t="shared" si="0"/>
        <v>1.29908</v>
      </c>
      <c r="C6" s="24" t="s">
        <v>25</v>
      </c>
      <c r="D6" s="24" t="s">
        <v>27</v>
      </c>
      <c r="E6" s="24" t="s">
        <v>826</v>
      </c>
      <c r="F6" s="17">
        <v>0.99996999999968417</v>
      </c>
      <c r="G6" s="24" t="s">
        <v>591</v>
      </c>
      <c r="H6" s="24" t="s">
        <v>592</v>
      </c>
      <c r="I6" s="25">
        <v>362</v>
      </c>
      <c r="J6" s="23">
        <v>1299.08</v>
      </c>
      <c r="K6" s="23">
        <v>253598.44999999978</v>
      </c>
    </row>
    <row r="7" spans="1:15" x14ac:dyDescent="0.25">
      <c r="A7" s="22" t="s">
        <v>820</v>
      </c>
      <c r="B7" s="43">
        <f t="shared" si="0"/>
        <v>1.6610799999999999</v>
      </c>
      <c r="C7" s="24" t="s">
        <v>27</v>
      </c>
      <c r="D7" s="24" t="s">
        <v>29</v>
      </c>
      <c r="E7" s="24" t="s">
        <v>826</v>
      </c>
      <c r="F7" s="17">
        <v>1.4230099999996841</v>
      </c>
      <c r="G7" s="24" t="s">
        <v>592</v>
      </c>
      <c r="H7" s="24" t="s">
        <v>593</v>
      </c>
      <c r="I7" s="25">
        <v>576.4</v>
      </c>
      <c r="J7" s="23">
        <v>1661.08</v>
      </c>
      <c r="K7" s="23">
        <v>253236.44999999978</v>
      </c>
    </row>
    <row r="8" spans="1:15" x14ac:dyDescent="0.25">
      <c r="A8" s="22" t="s">
        <v>820</v>
      </c>
      <c r="B8" s="43">
        <f t="shared" si="0"/>
        <v>2.2374800000000001</v>
      </c>
      <c r="C8" s="24" t="s">
        <v>29</v>
      </c>
      <c r="D8" s="24" t="s">
        <v>31</v>
      </c>
      <c r="E8" s="24" t="s">
        <v>826</v>
      </c>
      <c r="F8" s="17">
        <v>1.9532199999996842</v>
      </c>
      <c r="G8" s="24" t="s">
        <v>593</v>
      </c>
      <c r="H8" s="24" t="s">
        <v>594</v>
      </c>
      <c r="I8" s="25">
        <v>502.6</v>
      </c>
      <c r="J8" s="23">
        <v>2237.48</v>
      </c>
      <c r="K8" s="23">
        <v>252660.04999999978</v>
      </c>
    </row>
    <row r="9" spans="1:15" x14ac:dyDescent="0.25">
      <c r="A9" s="22" t="s">
        <v>820</v>
      </c>
      <c r="B9" s="43">
        <f t="shared" si="0"/>
        <v>2.7400799999999998</v>
      </c>
      <c r="C9" s="24" t="s">
        <v>31</v>
      </c>
      <c r="D9" s="24" t="s">
        <v>33</v>
      </c>
      <c r="E9" s="24" t="s">
        <v>826</v>
      </c>
      <c r="F9" s="17">
        <v>2.5034499999996842</v>
      </c>
      <c r="G9" s="24" t="s">
        <v>594</v>
      </c>
      <c r="H9" s="24" t="s">
        <v>595</v>
      </c>
      <c r="I9" s="25">
        <v>412.1</v>
      </c>
      <c r="J9" s="23">
        <v>2740.08</v>
      </c>
      <c r="K9" s="23">
        <v>252157.44999999978</v>
      </c>
    </row>
    <row r="10" spans="1:15" x14ac:dyDescent="0.25">
      <c r="A10" s="22" t="s">
        <v>820</v>
      </c>
      <c r="B10" s="43">
        <f t="shared" si="0"/>
        <v>3.15218</v>
      </c>
      <c r="C10" s="24" t="s">
        <v>33</v>
      </c>
      <c r="D10" s="24" t="s">
        <v>35</v>
      </c>
      <c r="E10" s="24" t="s">
        <v>826</v>
      </c>
      <c r="F10" s="17">
        <v>3.0434399999996842</v>
      </c>
      <c r="G10" s="24" t="s">
        <v>595</v>
      </c>
      <c r="H10" s="24" t="s">
        <v>596</v>
      </c>
      <c r="I10" s="25">
        <v>522.30999999999995</v>
      </c>
      <c r="J10" s="23">
        <v>3152.18</v>
      </c>
      <c r="K10" s="23">
        <v>251745.34999999977</v>
      </c>
    </row>
    <row r="11" spans="1:15" x14ac:dyDescent="0.25">
      <c r="A11" s="22" t="s">
        <v>820</v>
      </c>
      <c r="B11" s="43">
        <f t="shared" si="0"/>
        <v>3.6744899999999996</v>
      </c>
      <c r="C11" s="24" t="s">
        <v>35</v>
      </c>
      <c r="D11" s="24" t="s">
        <v>37</v>
      </c>
      <c r="E11" s="24" t="s">
        <v>826</v>
      </c>
      <c r="F11" s="17">
        <v>3.5545399999996841</v>
      </c>
      <c r="G11" s="24" t="s">
        <v>596</v>
      </c>
      <c r="H11" s="24" t="s">
        <v>597</v>
      </c>
      <c r="I11" s="25">
        <v>552.6</v>
      </c>
      <c r="J11" s="23">
        <v>3674.49</v>
      </c>
      <c r="K11" s="23">
        <v>251223.03999999978</v>
      </c>
    </row>
    <row r="12" spans="1:15" x14ac:dyDescent="0.25">
      <c r="A12" s="22" t="s">
        <v>820</v>
      </c>
      <c r="B12" s="43">
        <f t="shared" si="0"/>
        <v>4.2270900000000005</v>
      </c>
      <c r="C12" s="24" t="s">
        <v>37</v>
      </c>
      <c r="D12" s="24" t="s">
        <v>39</v>
      </c>
      <c r="E12" s="24" t="s">
        <v>826</v>
      </c>
      <c r="F12" s="17">
        <v>4.0801399999996839</v>
      </c>
      <c r="G12" s="24" t="s">
        <v>597</v>
      </c>
      <c r="H12" s="24" t="s">
        <v>598</v>
      </c>
      <c r="I12" s="25">
        <v>510.33</v>
      </c>
      <c r="J12" s="23">
        <v>4227.09</v>
      </c>
      <c r="K12" s="23">
        <v>250670.43999999977</v>
      </c>
    </row>
    <row r="13" spans="1:15" x14ac:dyDescent="0.25">
      <c r="A13" s="22" t="s">
        <v>820</v>
      </c>
      <c r="B13" s="43">
        <f t="shared" si="0"/>
        <v>4.7374200000000002</v>
      </c>
      <c r="C13" s="24" t="s">
        <v>39</v>
      </c>
      <c r="D13" s="24" t="s">
        <v>41</v>
      </c>
      <c r="E13" s="24" t="s">
        <v>826</v>
      </c>
      <c r="F13" s="17">
        <v>4.6371499999996839</v>
      </c>
      <c r="G13" s="24" t="s">
        <v>598</v>
      </c>
      <c r="H13" s="24" t="s">
        <v>599</v>
      </c>
      <c r="I13" s="25">
        <v>350.27</v>
      </c>
      <c r="J13" s="23">
        <v>4737.42</v>
      </c>
      <c r="K13" s="23">
        <v>250160.10999999978</v>
      </c>
    </row>
    <row r="14" spans="1:15" x14ac:dyDescent="0.25">
      <c r="A14" s="22" t="s">
        <v>820</v>
      </c>
      <c r="B14" s="43">
        <f t="shared" si="0"/>
        <v>5.0876900000000003</v>
      </c>
      <c r="C14" s="24" t="s">
        <v>41</v>
      </c>
      <c r="D14" s="24" t="s">
        <v>43</v>
      </c>
      <c r="E14" s="24" t="s">
        <v>826</v>
      </c>
      <c r="F14" s="17">
        <v>5.164349999999696</v>
      </c>
      <c r="G14" s="24" t="s">
        <v>599</v>
      </c>
      <c r="H14" s="24" t="s">
        <v>600</v>
      </c>
      <c r="I14" s="25">
        <v>437.1</v>
      </c>
      <c r="J14" s="23">
        <v>5087.6900000000005</v>
      </c>
      <c r="K14" s="23">
        <v>249809.83999999979</v>
      </c>
    </row>
    <row r="15" spans="1:15" x14ac:dyDescent="0.25">
      <c r="A15" s="22" t="s">
        <v>820</v>
      </c>
      <c r="B15" s="43">
        <f t="shared" si="0"/>
        <v>5.5247900000000012</v>
      </c>
      <c r="C15" s="24" t="s">
        <v>43</v>
      </c>
      <c r="D15" s="24" t="s">
        <v>45</v>
      </c>
      <c r="E15" s="24" t="s">
        <v>826</v>
      </c>
      <c r="F15" s="17">
        <v>5.5167699999996955</v>
      </c>
      <c r="G15" s="24" t="s">
        <v>600</v>
      </c>
      <c r="H15" s="24" t="s">
        <v>601</v>
      </c>
      <c r="I15" s="25">
        <v>643.79999999999995</v>
      </c>
      <c r="J15" s="23">
        <v>5524.7900000000009</v>
      </c>
      <c r="K15" s="23">
        <v>249372.73999999979</v>
      </c>
    </row>
    <row r="16" spans="1:15" x14ac:dyDescent="0.25">
      <c r="A16" s="22" t="s">
        <v>820</v>
      </c>
      <c r="B16" s="43">
        <f t="shared" si="0"/>
        <v>6.1685900000000009</v>
      </c>
      <c r="C16" s="24" t="s">
        <v>45</v>
      </c>
      <c r="D16" s="24" t="s">
        <v>47</v>
      </c>
      <c r="E16" s="24" t="s">
        <v>826</v>
      </c>
      <c r="F16" s="17">
        <v>5.9285699999996959</v>
      </c>
      <c r="G16" s="24" t="s">
        <v>601</v>
      </c>
      <c r="H16" s="24" t="s">
        <v>602</v>
      </c>
      <c r="I16" s="25">
        <v>494.2</v>
      </c>
      <c r="J16" s="23">
        <v>6168.5900000000011</v>
      </c>
      <c r="K16" s="23">
        <v>248728.9399999998</v>
      </c>
    </row>
    <row r="17" spans="1:11" x14ac:dyDescent="0.25">
      <c r="A17" s="22" t="s">
        <v>820</v>
      </c>
      <c r="B17" s="43">
        <f t="shared" si="0"/>
        <v>6.6627900000000011</v>
      </c>
      <c r="C17" s="24" t="s">
        <v>47</v>
      </c>
      <c r="D17" s="24" t="s">
        <v>49</v>
      </c>
      <c r="E17" s="24" t="s">
        <v>826</v>
      </c>
      <c r="F17" s="17">
        <v>6.391569999999696</v>
      </c>
      <c r="G17" s="24" t="s">
        <v>602</v>
      </c>
      <c r="H17" s="24" t="s">
        <v>603</v>
      </c>
      <c r="I17" s="25">
        <v>556.22</v>
      </c>
      <c r="J17" s="23">
        <v>6662.7900000000009</v>
      </c>
      <c r="K17" s="23">
        <v>248234.73999999979</v>
      </c>
    </row>
    <row r="18" spans="1:11" x14ac:dyDescent="0.25">
      <c r="A18" s="22" t="s">
        <v>820</v>
      </c>
      <c r="B18" s="43">
        <f t="shared" si="0"/>
        <v>7.2190100000000008</v>
      </c>
      <c r="C18" s="24" t="s">
        <v>49</v>
      </c>
      <c r="D18" s="24" t="s">
        <v>51</v>
      </c>
      <c r="E18" s="24" t="s">
        <v>826</v>
      </c>
      <c r="F18" s="17">
        <v>6.8255899999996963</v>
      </c>
      <c r="G18" s="24" t="s">
        <v>603</v>
      </c>
      <c r="H18" s="24" t="s">
        <v>604</v>
      </c>
      <c r="I18" s="25">
        <v>369.9</v>
      </c>
      <c r="J18" s="23">
        <v>7219.0100000000011</v>
      </c>
      <c r="K18" s="23">
        <v>247678.51999999979</v>
      </c>
    </row>
    <row r="19" spans="1:11" x14ac:dyDescent="0.25">
      <c r="A19" s="22" t="s">
        <v>820</v>
      </c>
      <c r="B19" s="43">
        <f t="shared" si="0"/>
        <v>7.5889100000000012</v>
      </c>
      <c r="C19" s="24" t="s">
        <v>51</v>
      </c>
      <c r="D19" s="24" t="s">
        <v>53</v>
      </c>
      <c r="E19" s="24" t="s">
        <v>826</v>
      </c>
      <c r="F19" s="17">
        <v>7.1935799999996961</v>
      </c>
      <c r="G19" s="24" t="s">
        <v>604</v>
      </c>
      <c r="H19" s="24" t="s">
        <v>605</v>
      </c>
      <c r="I19" s="25">
        <v>499</v>
      </c>
      <c r="J19" s="23">
        <v>7588.9100000000008</v>
      </c>
      <c r="K19" s="23">
        <v>247308.61999999979</v>
      </c>
    </row>
    <row r="20" spans="1:11" x14ac:dyDescent="0.25">
      <c r="A20" s="22" t="s">
        <v>820</v>
      </c>
      <c r="B20" s="43">
        <f t="shared" si="0"/>
        <v>8.0879100000000008</v>
      </c>
      <c r="C20" s="24" t="s">
        <v>53</v>
      </c>
      <c r="D20" s="24" t="s">
        <v>55</v>
      </c>
      <c r="E20" s="24" t="s">
        <v>826</v>
      </c>
      <c r="F20" s="17">
        <v>7.649289999999688</v>
      </c>
      <c r="G20" s="24" t="s">
        <v>605</v>
      </c>
      <c r="H20" s="24" t="s">
        <v>606</v>
      </c>
      <c r="I20" s="25">
        <v>485.5</v>
      </c>
      <c r="J20" s="23">
        <v>8087.9100000000008</v>
      </c>
      <c r="K20" s="23">
        <v>246809.61999999979</v>
      </c>
    </row>
    <row r="21" spans="1:11" x14ac:dyDescent="0.25">
      <c r="A21" s="22" t="s">
        <v>820</v>
      </c>
      <c r="B21" s="43">
        <f t="shared" si="0"/>
        <v>8.5734099999999991</v>
      </c>
      <c r="C21" s="24" t="s">
        <v>55</v>
      </c>
      <c r="D21" s="24" t="s">
        <v>57</v>
      </c>
      <c r="E21" s="24" t="s">
        <v>826</v>
      </c>
      <c r="F21" s="17">
        <v>8.1700799999996967</v>
      </c>
      <c r="G21" s="24" t="s">
        <v>606</v>
      </c>
      <c r="H21" s="24" t="s">
        <v>607</v>
      </c>
      <c r="I21" s="25">
        <v>447.7</v>
      </c>
      <c r="J21" s="23">
        <v>8573.41</v>
      </c>
      <c r="K21" s="23">
        <v>246324.11999999979</v>
      </c>
    </row>
    <row r="22" spans="1:11" x14ac:dyDescent="0.25">
      <c r="A22" s="22" t="s">
        <v>820</v>
      </c>
      <c r="B22" s="43">
        <f t="shared" si="0"/>
        <v>9.0211100000000002</v>
      </c>
      <c r="C22" s="24" t="s">
        <v>57</v>
      </c>
      <c r="D22" s="24" t="s">
        <v>59</v>
      </c>
      <c r="E22" s="24" t="s">
        <v>826</v>
      </c>
      <c r="F22" s="17">
        <v>8.7892499999996794</v>
      </c>
      <c r="G22" s="24" t="s">
        <v>607</v>
      </c>
      <c r="H22" s="24" t="s">
        <v>608</v>
      </c>
      <c r="I22" s="25">
        <v>491.76</v>
      </c>
      <c r="J22" s="23">
        <v>9021.11</v>
      </c>
      <c r="K22" s="23">
        <v>245876.41999999978</v>
      </c>
    </row>
    <row r="23" spans="1:11" x14ac:dyDescent="0.25">
      <c r="A23" s="22" t="s">
        <v>820</v>
      </c>
      <c r="B23" s="43">
        <f t="shared" si="0"/>
        <v>9.5128700000000013</v>
      </c>
      <c r="C23" s="24" t="s">
        <v>59</v>
      </c>
      <c r="D23" s="24" t="s">
        <v>61</v>
      </c>
      <c r="E23" s="24" t="s">
        <v>826</v>
      </c>
      <c r="F23" s="17">
        <v>9.2425499999996799</v>
      </c>
      <c r="G23" s="24" t="s">
        <v>608</v>
      </c>
      <c r="H23" s="24" t="s">
        <v>609</v>
      </c>
      <c r="I23" s="25">
        <v>468.07</v>
      </c>
      <c r="J23" s="23">
        <v>9512.8700000000008</v>
      </c>
      <c r="K23" s="23">
        <v>245384.65999999977</v>
      </c>
    </row>
    <row r="24" spans="1:11" x14ac:dyDescent="0.25">
      <c r="A24" s="22" t="s">
        <v>820</v>
      </c>
      <c r="B24" s="43">
        <f t="shared" si="0"/>
        <v>9.9809400000000004</v>
      </c>
      <c r="C24" s="24" t="s">
        <v>61</v>
      </c>
      <c r="D24" s="24" t="s">
        <v>63</v>
      </c>
      <c r="E24" s="24" t="s">
        <v>826</v>
      </c>
      <c r="F24" s="17">
        <v>9.7655399999996781</v>
      </c>
      <c r="G24" s="24" t="s">
        <v>609</v>
      </c>
      <c r="H24" s="24" t="s">
        <v>610</v>
      </c>
      <c r="I24" s="25">
        <v>376.72</v>
      </c>
      <c r="J24" s="23">
        <v>9980.94</v>
      </c>
      <c r="K24" s="23">
        <v>244916.58999999976</v>
      </c>
    </row>
    <row r="25" spans="1:11" x14ac:dyDescent="0.25">
      <c r="A25" s="22" t="s">
        <v>820</v>
      </c>
      <c r="B25" s="43">
        <f t="shared" si="0"/>
        <v>10.357659999999999</v>
      </c>
      <c r="C25" s="24" t="s">
        <v>63</v>
      </c>
      <c r="D25" s="24" t="s">
        <v>65</v>
      </c>
      <c r="E25" s="24" t="s">
        <v>826</v>
      </c>
      <c r="F25" s="17">
        <v>10.19823999999968</v>
      </c>
      <c r="G25" s="24" t="s">
        <v>610</v>
      </c>
      <c r="H25" s="24" t="s">
        <v>611</v>
      </c>
      <c r="I25" s="25">
        <v>389.78</v>
      </c>
      <c r="J25" s="23">
        <v>10357.66</v>
      </c>
      <c r="K25" s="23">
        <v>244539.86999999976</v>
      </c>
    </row>
    <row r="26" spans="1:11" x14ac:dyDescent="0.25">
      <c r="A26" s="22" t="s">
        <v>820</v>
      </c>
      <c r="B26" s="43">
        <f t="shared" si="0"/>
        <v>10.747440000000001</v>
      </c>
      <c r="C26" s="24" t="s">
        <v>65</v>
      </c>
      <c r="D26" s="24" t="s">
        <v>67</v>
      </c>
      <c r="E26" s="24" t="s">
        <v>826</v>
      </c>
      <c r="F26" s="17">
        <v>10.676839999999686</v>
      </c>
      <c r="G26" s="24" t="s">
        <v>611</v>
      </c>
      <c r="H26" s="24" t="s">
        <v>612</v>
      </c>
      <c r="I26" s="25">
        <v>514.44000000000005</v>
      </c>
      <c r="J26" s="23">
        <v>10747.44</v>
      </c>
      <c r="K26" s="23">
        <v>244150.08999999976</v>
      </c>
    </row>
    <row r="27" spans="1:11" x14ac:dyDescent="0.25">
      <c r="A27" s="22" t="s">
        <v>820</v>
      </c>
      <c r="B27" s="43">
        <f t="shared" si="0"/>
        <v>11.261880000000001</v>
      </c>
      <c r="C27" s="24" t="s">
        <v>67</v>
      </c>
      <c r="D27" s="24" t="s">
        <v>69</v>
      </c>
      <c r="E27" s="24" t="s">
        <v>826</v>
      </c>
      <c r="F27" s="17">
        <v>11.194039999999687</v>
      </c>
      <c r="G27" s="24" t="s">
        <v>612</v>
      </c>
      <c r="H27" s="24" t="s">
        <v>613</v>
      </c>
      <c r="I27" s="25">
        <v>503.76</v>
      </c>
      <c r="J27" s="23">
        <v>11261.880000000001</v>
      </c>
      <c r="K27" s="23">
        <v>243635.64999999976</v>
      </c>
    </row>
    <row r="28" spans="1:11" x14ac:dyDescent="0.25">
      <c r="A28" s="22" t="s">
        <v>820</v>
      </c>
      <c r="B28" s="43">
        <f t="shared" si="0"/>
        <v>11.765640000000001</v>
      </c>
      <c r="C28" s="24" t="s">
        <v>69</v>
      </c>
      <c r="D28" s="24" t="s">
        <v>71</v>
      </c>
      <c r="E28" s="24" t="s">
        <v>826</v>
      </c>
      <c r="F28" s="17">
        <v>11.728439999999681</v>
      </c>
      <c r="G28" s="24" t="s">
        <v>613</v>
      </c>
      <c r="H28" s="24" t="s">
        <v>614</v>
      </c>
      <c r="I28" s="25">
        <v>608.16</v>
      </c>
      <c r="J28" s="23">
        <v>11765.640000000001</v>
      </c>
      <c r="K28" s="23">
        <v>243131.88999999975</v>
      </c>
    </row>
    <row r="29" spans="1:11" x14ac:dyDescent="0.25">
      <c r="A29" s="22" t="s">
        <v>820</v>
      </c>
      <c r="B29" s="43">
        <f t="shared" si="0"/>
        <v>12.373800000000001</v>
      </c>
      <c r="C29" s="24" t="s">
        <v>71</v>
      </c>
      <c r="D29" s="24" t="s">
        <v>73</v>
      </c>
      <c r="E29" s="24" t="s">
        <v>826</v>
      </c>
      <c r="F29" s="17">
        <v>12.187349999999681</v>
      </c>
      <c r="G29" s="24" t="s">
        <v>614</v>
      </c>
      <c r="H29" s="24" t="s">
        <v>615</v>
      </c>
      <c r="I29" s="25">
        <v>575.1</v>
      </c>
      <c r="J29" s="23">
        <v>12373.800000000001</v>
      </c>
      <c r="K29" s="23">
        <v>242523.72999999975</v>
      </c>
    </row>
    <row r="30" spans="1:11" x14ac:dyDescent="0.25">
      <c r="A30" s="22" t="s">
        <v>820</v>
      </c>
      <c r="B30" s="43">
        <f t="shared" si="0"/>
        <v>12.948900000000002</v>
      </c>
      <c r="C30" s="24" t="s">
        <v>73</v>
      </c>
      <c r="D30" s="24" t="s">
        <v>75</v>
      </c>
      <c r="E30" s="24" t="s">
        <v>826</v>
      </c>
      <c r="F30" s="17">
        <v>12.718179999999668</v>
      </c>
      <c r="G30" s="24" t="s">
        <v>615</v>
      </c>
      <c r="H30" s="24" t="s">
        <v>616</v>
      </c>
      <c r="I30" s="25">
        <v>545.79999999999995</v>
      </c>
      <c r="J30" s="23">
        <v>12948.900000000001</v>
      </c>
      <c r="K30" s="23">
        <v>241948.62999999974</v>
      </c>
    </row>
    <row r="31" spans="1:11" x14ac:dyDescent="0.25">
      <c r="A31" s="22" t="s">
        <v>820</v>
      </c>
      <c r="B31" s="43">
        <f t="shared" si="0"/>
        <v>13.4947</v>
      </c>
      <c r="C31" s="24" t="s">
        <v>75</v>
      </c>
      <c r="D31" s="24" t="s">
        <v>77</v>
      </c>
      <c r="E31" s="24" t="s">
        <v>826</v>
      </c>
      <c r="F31" s="17">
        <v>13.283569999999667</v>
      </c>
      <c r="G31" s="24" t="s">
        <v>616</v>
      </c>
      <c r="H31" s="24" t="s">
        <v>617</v>
      </c>
      <c r="I31" s="25">
        <v>443.13</v>
      </c>
      <c r="J31" s="23">
        <v>13494.7</v>
      </c>
      <c r="K31" s="23">
        <v>241402.82999999975</v>
      </c>
    </row>
    <row r="32" spans="1:11" x14ac:dyDescent="0.25">
      <c r="A32" s="22" t="s">
        <v>820</v>
      </c>
      <c r="B32" s="43">
        <f t="shared" si="0"/>
        <v>13.93783</v>
      </c>
      <c r="C32" s="24" t="s">
        <v>77</v>
      </c>
      <c r="D32" s="24" t="s">
        <v>79</v>
      </c>
      <c r="E32" s="24" t="s">
        <v>826</v>
      </c>
      <c r="F32" s="17">
        <v>13.779769999999667</v>
      </c>
      <c r="G32" s="24" t="s">
        <v>617</v>
      </c>
      <c r="H32" s="24" t="s">
        <v>618</v>
      </c>
      <c r="I32" s="25">
        <v>451.8</v>
      </c>
      <c r="J32" s="23">
        <v>13937.83</v>
      </c>
      <c r="K32" s="23">
        <v>240959.69999999975</v>
      </c>
    </row>
    <row r="33" spans="1:11" x14ac:dyDescent="0.25">
      <c r="A33" s="22" t="s">
        <v>820</v>
      </c>
      <c r="B33" s="43">
        <f t="shared" si="0"/>
        <v>14.389629999999999</v>
      </c>
      <c r="C33" s="24" t="s">
        <v>79</v>
      </c>
      <c r="D33" s="24" t="s">
        <v>81</v>
      </c>
      <c r="E33" s="24" t="s">
        <v>826</v>
      </c>
      <c r="F33" s="17">
        <v>14.259499999999667</v>
      </c>
      <c r="G33" s="24" t="s">
        <v>618</v>
      </c>
      <c r="H33" s="24" t="s">
        <v>619</v>
      </c>
      <c r="I33" s="25">
        <v>535.29999999999995</v>
      </c>
      <c r="J33" s="23">
        <v>14389.63</v>
      </c>
      <c r="K33" s="23">
        <v>240507.89999999976</v>
      </c>
    </row>
    <row r="34" spans="1:11" x14ac:dyDescent="0.25">
      <c r="A34" s="22" t="s">
        <v>820</v>
      </c>
      <c r="B34" s="43">
        <f t="shared" si="0"/>
        <v>14.924929999999998</v>
      </c>
      <c r="C34" s="24" t="s">
        <v>81</v>
      </c>
      <c r="D34" s="24" t="s">
        <v>83</v>
      </c>
      <c r="E34" s="24" t="s">
        <v>826</v>
      </c>
      <c r="F34" s="17">
        <v>14.840579999999667</v>
      </c>
      <c r="G34" s="24" t="s">
        <v>619</v>
      </c>
      <c r="H34" s="24" t="s">
        <v>620</v>
      </c>
      <c r="I34" s="25">
        <v>578.03</v>
      </c>
      <c r="J34" s="23">
        <v>14924.929999999998</v>
      </c>
      <c r="K34" s="23">
        <v>239972.59999999977</v>
      </c>
    </row>
    <row r="35" spans="1:11" x14ac:dyDescent="0.25">
      <c r="A35" s="22" t="s">
        <v>820</v>
      </c>
      <c r="B35" s="43">
        <f t="shared" si="0"/>
        <v>15.50296</v>
      </c>
      <c r="C35" s="24" t="s">
        <v>83</v>
      </c>
      <c r="D35" s="24" t="s">
        <v>85</v>
      </c>
      <c r="E35" s="24" t="s">
        <v>826</v>
      </c>
      <c r="F35" s="17">
        <v>15.318079999999666</v>
      </c>
      <c r="G35" s="24" t="s">
        <v>620</v>
      </c>
      <c r="H35" s="24" t="s">
        <v>621</v>
      </c>
      <c r="I35" s="25">
        <v>472.80000000000109</v>
      </c>
      <c r="J35" s="23">
        <v>15502.96</v>
      </c>
      <c r="K35" s="23">
        <v>239394.56999999977</v>
      </c>
    </row>
    <row r="36" spans="1:11" x14ac:dyDescent="0.25">
      <c r="A36" s="22" t="s">
        <v>820</v>
      </c>
      <c r="B36" s="43">
        <f t="shared" si="0"/>
        <v>15.975760000000001</v>
      </c>
      <c r="C36" s="24" t="s">
        <v>85</v>
      </c>
      <c r="D36" s="24" t="s">
        <v>87</v>
      </c>
      <c r="E36" s="24" t="s">
        <v>826</v>
      </c>
      <c r="F36" s="17">
        <v>15.791579999999668</v>
      </c>
      <c r="G36" s="24" t="s">
        <v>621</v>
      </c>
      <c r="H36" s="24" t="s">
        <v>622</v>
      </c>
      <c r="I36" s="25">
        <v>470.46</v>
      </c>
      <c r="J36" s="23">
        <v>15975.76</v>
      </c>
      <c r="K36" s="23">
        <v>238921.76999999979</v>
      </c>
    </row>
    <row r="37" spans="1:11" x14ac:dyDescent="0.25">
      <c r="A37" s="22" t="s">
        <v>820</v>
      </c>
      <c r="B37" s="43">
        <f t="shared" si="0"/>
        <v>16.44622</v>
      </c>
      <c r="C37" s="24" t="s">
        <v>87</v>
      </c>
      <c r="D37" s="24" t="s">
        <v>89</v>
      </c>
      <c r="E37" s="24" t="s">
        <v>826</v>
      </c>
      <c r="F37" s="17">
        <v>16.376629999999654</v>
      </c>
      <c r="G37" s="24" t="s">
        <v>622</v>
      </c>
      <c r="H37" s="24" t="s">
        <v>623</v>
      </c>
      <c r="I37" s="25">
        <v>614.39999999999782</v>
      </c>
      <c r="J37" s="23">
        <v>16446.22</v>
      </c>
      <c r="K37" s="23">
        <v>238451.30999999979</v>
      </c>
    </row>
    <row r="38" spans="1:11" x14ac:dyDescent="0.25">
      <c r="A38" s="22" t="s">
        <v>820</v>
      </c>
      <c r="B38" s="43">
        <f t="shared" si="0"/>
        <v>17.06062</v>
      </c>
      <c r="C38" s="24" t="s">
        <v>89</v>
      </c>
      <c r="D38" s="24" t="s">
        <v>91</v>
      </c>
      <c r="E38" s="24" t="s">
        <v>826</v>
      </c>
      <c r="F38" s="17">
        <v>16.900739999999672</v>
      </c>
      <c r="G38" s="24" t="s">
        <v>623</v>
      </c>
      <c r="H38" s="24" t="s">
        <v>624</v>
      </c>
      <c r="I38" s="25">
        <v>453.32</v>
      </c>
      <c r="J38" s="23">
        <v>17060.62</v>
      </c>
      <c r="K38" s="23">
        <v>237836.9099999998</v>
      </c>
    </row>
    <row r="39" spans="1:11" x14ac:dyDescent="0.25">
      <c r="A39" s="22" t="s">
        <v>820</v>
      </c>
      <c r="B39" s="43">
        <f t="shared" si="0"/>
        <v>17.513939999999998</v>
      </c>
      <c r="C39" s="24" t="s">
        <v>91</v>
      </c>
      <c r="D39" s="24" t="s">
        <v>93</v>
      </c>
      <c r="E39" s="24" t="s">
        <v>826</v>
      </c>
      <c r="F39" s="17">
        <v>17.404329999999671</v>
      </c>
      <c r="G39" s="24" t="s">
        <v>624</v>
      </c>
      <c r="H39" s="24" t="s">
        <v>625</v>
      </c>
      <c r="I39" s="25">
        <v>622.20000000000005</v>
      </c>
      <c r="J39" s="23">
        <v>17513.939999999999</v>
      </c>
      <c r="K39" s="23">
        <v>237383.58999999979</v>
      </c>
    </row>
    <row r="40" spans="1:11" x14ac:dyDescent="0.25">
      <c r="A40" s="22" t="s">
        <v>820</v>
      </c>
      <c r="B40" s="43">
        <f t="shared" si="0"/>
        <v>18.136140000000001</v>
      </c>
      <c r="C40" s="24" t="s">
        <v>93</v>
      </c>
      <c r="D40" s="24" t="s">
        <v>95</v>
      </c>
      <c r="E40" s="24" t="s">
        <v>826</v>
      </c>
      <c r="F40" s="17">
        <v>17.908629999999668</v>
      </c>
      <c r="G40" s="24" t="s">
        <v>625</v>
      </c>
      <c r="H40" s="24" t="s">
        <v>626</v>
      </c>
      <c r="I40" s="25">
        <v>521.79</v>
      </c>
      <c r="J40" s="23">
        <v>18136.14</v>
      </c>
      <c r="K40" s="23">
        <v>236761.38999999978</v>
      </c>
    </row>
    <row r="41" spans="1:11" x14ac:dyDescent="0.25">
      <c r="A41" s="22" t="s">
        <v>820</v>
      </c>
      <c r="B41" s="43">
        <f t="shared" si="0"/>
        <v>18.65793</v>
      </c>
      <c r="C41" s="24" t="s">
        <v>95</v>
      </c>
      <c r="D41" s="24" t="s">
        <v>97</v>
      </c>
      <c r="E41" s="24" t="s">
        <v>826</v>
      </c>
      <c r="F41" s="17">
        <v>18.481149999999658</v>
      </c>
      <c r="G41" s="24" t="s">
        <v>626</v>
      </c>
      <c r="H41" s="24" t="s">
        <v>627</v>
      </c>
      <c r="I41" s="25">
        <v>588.82000000000005</v>
      </c>
      <c r="J41" s="23">
        <v>18657.93</v>
      </c>
      <c r="K41" s="23">
        <v>236239.59999999977</v>
      </c>
    </row>
    <row r="42" spans="1:11" x14ac:dyDescent="0.25">
      <c r="A42" s="22" t="s">
        <v>820</v>
      </c>
      <c r="B42" s="43">
        <f t="shared" si="0"/>
        <v>19.246749999999999</v>
      </c>
      <c r="C42" s="24" t="s">
        <v>97</v>
      </c>
      <c r="D42" s="24" t="s">
        <v>99</v>
      </c>
      <c r="E42" s="24" t="s">
        <v>826</v>
      </c>
      <c r="F42" s="17">
        <v>19.027149999999658</v>
      </c>
      <c r="G42" s="24" t="s">
        <v>627</v>
      </c>
      <c r="H42" s="24" t="s">
        <v>628</v>
      </c>
      <c r="I42" s="25">
        <v>561.87</v>
      </c>
      <c r="J42" s="23">
        <v>19246.75</v>
      </c>
      <c r="K42" s="23">
        <v>235650.77999999977</v>
      </c>
    </row>
    <row r="43" spans="1:11" x14ac:dyDescent="0.25">
      <c r="A43" s="22" t="s">
        <v>820</v>
      </c>
      <c r="B43" s="43">
        <f t="shared" si="0"/>
        <v>19.808619999999998</v>
      </c>
      <c r="C43" s="24" t="s">
        <v>99</v>
      </c>
      <c r="D43" s="24" t="s">
        <v>101</v>
      </c>
      <c r="E43" s="24" t="s">
        <v>826</v>
      </c>
      <c r="F43" s="17">
        <v>19.556039999999658</v>
      </c>
      <c r="G43" s="24" t="s">
        <v>628</v>
      </c>
      <c r="H43" s="24" t="s">
        <v>629</v>
      </c>
      <c r="I43" s="25">
        <v>520.52</v>
      </c>
      <c r="J43" s="23">
        <v>19808.62</v>
      </c>
      <c r="K43" s="23">
        <v>235088.90999999977</v>
      </c>
    </row>
    <row r="44" spans="1:11" x14ac:dyDescent="0.25">
      <c r="A44" s="22" t="s">
        <v>820</v>
      </c>
      <c r="B44" s="43">
        <f t="shared" si="0"/>
        <v>20.329139999999999</v>
      </c>
      <c r="C44" s="24" t="s">
        <v>101</v>
      </c>
      <c r="D44" s="24" t="s">
        <v>103</v>
      </c>
      <c r="E44" s="24" t="s">
        <v>826</v>
      </c>
      <c r="F44" s="17">
        <v>20.112439999999655</v>
      </c>
      <c r="G44" s="24" t="s">
        <v>629</v>
      </c>
      <c r="H44" s="24" t="s">
        <v>630</v>
      </c>
      <c r="I44" s="25">
        <v>593.71000000000276</v>
      </c>
      <c r="J44" s="23">
        <v>20329.14</v>
      </c>
      <c r="K44" s="23">
        <v>234568.38999999978</v>
      </c>
    </row>
    <row r="45" spans="1:11" x14ac:dyDescent="0.25">
      <c r="A45" s="22" t="s">
        <v>820</v>
      </c>
      <c r="B45" s="43">
        <f t="shared" si="0"/>
        <v>20.922850000000004</v>
      </c>
      <c r="C45" s="24" t="s">
        <v>103</v>
      </c>
      <c r="D45" s="24" t="s">
        <v>105</v>
      </c>
      <c r="E45" s="24" t="s">
        <v>826</v>
      </c>
      <c r="F45" s="17">
        <v>20.678739999999653</v>
      </c>
      <c r="G45" s="24" t="s">
        <v>630</v>
      </c>
      <c r="H45" s="24" t="s">
        <v>631</v>
      </c>
      <c r="I45" s="25">
        <v>519.44000000000005</v>
      </c>
      <c r="J45" s="23">
        <v>20922.850000000002</v>
      </c>
      <c r="K45" s="23">
        <v>233974.67999999979</v>
      </c>
    </row>
    <row r="46" spans="1:11" x14ac:dyDescent="0.25">
      <c r="A46" s="22" t="s">
        <v>820</v>
      </c>
      <c r="B46" s="43">
        <f t="shared" si="0"/>
        <v>21.44229</v>
      </c>
      <c r="C46" s="24" t="s">
        <v>105</v>
      </c>
      <c r="D46" s="24" t="s">
        <v>107</v>
      </c>
      <c r="E46" s="24" t="s">
        <v>826</v>
      </c>
      <c r="F46" s="17">
        <v>21.224019999999651</v>
      </c>
      <c r="G46" s="24" t="s">
        <v>631</v>
      </c>
      <c r="H46" s="24" t="s">
        <v>632</v>
      </c>
      <c r="I46" s="25">
        <v>548.5</v>
      </c>
      <c r="J46" s="23">
        <v>21442.29</v>
      </c>
      <c r="K46" s="23">
        <v>233455.23999999979</v>
      </c>
    </row>
    <row r="47" spans="1:11" x14ac:dyDescent="0.25">
      <c r="A47" s="22" t="s">
        <v>820</v>
      </c>
      <c r="B47" s="43">
        <f t="shared" si="0"/>
        <v>21.990790000000001</v>
      </c>
      <c r="C47" s="24" t="s">
        <v>107</v>
      </c>
      <c r="D47" s="24" t="s">
        <v>109</v>
      </c>
      <c r="E47" s="24" t="s">
        <v>826</v>
      </c>
      <c r="F47" s="17">
        <v>21.784009999999654</v>
      </c>
      <c r="G47" s="24" t="s">
        <v>632</v>
      </c>
      <c r="H47" s="24" t="s">
        <v>633</v>
      </c>
      <c r="I47" s="25">
        <v>417.70999999999913</v>
      </c>
      <c r="J47" s="23">
        <v>21990.79</v>
      </c>
      <c r="K47" s="23">
        <v>232906.73999999979</v>
      </c>
    </row>
    <row r="48" spans="1:11" x14ac:dyDescent="0.25">
      <c r="A48" s="22" t="s">
        <v>820</v>
      </c>
      <c r="B48" s="43">
        <f t="shared" si="0"/>
        <v>22.4085</v>
      </c>
      <c r="C48" s="24" t="s">
        <v>109</v>
      </c>
      <c r="D48" s="24" t="s">
        <v>111</v>
      </c>
      <c r="E48" s="24" t="s">
        <v>826</v>
      </c>
      <c r="F48" s="17">
        <v>22.265009999999652</v>
      </c>
      <c r="G48" s="24" t="s">
        <v>633</v>
      </c>
      <c r="H48" s="24" t="s">
        <v>634</v>
      </c>
      <c r="I48" s="25">
        <v>405.51</v>
      </c>
      <c r="J48" s="23">
        <v>22408.5</v>
      </c>
      <c r="K48" s="23">
        <v>232489.0299999998</v>
      </c>
    </row>
    <row r="49" spans="1:11" x14ac:dyDescent="0.25">
      <c r="A49" s="22" t="s">
        <v>820</v>
      </c>
      <c r="B49" s="43">
        <f t="shared" si="0"/>
        <v>22.81401</v>
      </c>
      <c r="C49" s="24" t="s">
        <v>111</v>
      </c>
      <c r="D49" s="24" t="s">
        <v>113</v>
      </c>
      <c r="E49" s="24" t="s">
        <v>826</v>
      </c>
      <c r="F49" s="17">
        <v>22.816809999999652</v>
      </c>
      <c r="G49" s="24" t="s">
        <v>634</v>
      </c>
      <c r="H49" s="24" t="s">
        <v>635</v>
      </c>
      <c r="I49" s="25">
        <v>477.6</v>
      </c>
      <c r="J49" s="23">
        <v>22814.01</v>
      </c>
      <c r="K49" s="23">
        <v>232083.51999999979</v>
      </c>
    </row>
    <row r="50" spans="1:11" x14ac:dyDescent="0.25">
      <c r="A50" s="22" t="s">
        <v>820</v>
      </c>
      <c r="B50" s="43">
        <f t="shared" si="0"/>
        <v>23.291609999999999</v>
      </c>
      <c r="C50" s="24" t="s">
        <v>113</v>
      </c>
      <c r="D50" s="24" t="s">
        <v>115</v>
      </c>
      <c r="E50" s="24" t="s">
        <v>826</v>
      </c>
      <c r="F50" s="17">
        <v>23.378679999999676</v>
      </c>
      <c r="G50" s="24" t="s">
        <v>635</v>
      </c>
      <c r="H50" s="24" t="s">
        <v>636</v>
      </c>
      <c r="I50" s="25">
        <v>459.86</v>
      </c>
      <c r="J50" s="23">
        <v>23291.609999999997</v>
      </c>
      <c r="K50" s="23">
        <v>231605.91999999978</v>
      </c>
    </row>
    <row r="51" spans="1:11" x14ac:dyDescent="0.25">
      <c r="A51" s="22" t="s">
        <v>820</v>
      </c>
      <c r="B51" s="43">
        <f t="shared" si="0"/>
        <v>23.751469999999998</v>
      </c>
      <c r="C51" s="24" t="s">
        <v>115</v>
      </c>
      <c r="D51" s="24" t="s">
        <v>18</v>
      </c>
      <c r="E51" s="24" t="s">
        <v>826</v>
      </c>
      <c r="F51" s="17">
        <v>23.874179999999676</v>
      </c>
      <c r="G51" s="24" t="s">
        <v>636</v>
      </c>
      <c r="H51" s="24" t="s">
        <v>637</v>
      </c>
      <c r="I51" s="25">
        <v>540.84</v>
      </c>
      <c r="J51" s="23">
        <v>23751.469999999998</v>
      </c>
      <c r="K51" s="23">
        <v>231146.05999999979</v>
      </c>
    </row>
    <row r="52" spans="1:11" x14ac:dyDescent="0.25">
      <c r="A52" s="22" t="s">
        <v>820</v>
      </c>
      <c r="B52" s="43">
        <f t="shared" si="0"/>
        <v>24.292309999999997</v>
      </c>
      <c r="C52" s="24" t="s">
        <v>18</v>
      </c>
      <c r="D52" s="24" t="s">
        <v>19</v>
      </c>
      <c r="E52" s="24" t="s">
        <v>826</v>
      </c>
      <c r="F52" s="17">
        <v>24.377579999999679</v>
      </c>
      <c r="G52" s="24" t="s">
        <v>637</v>
      </c>
      <c r="H52" s="24" t="s">
        <v>638</v>
      </c>
      <c r="I52" s="25">
        <v>523.95000000000005</v>
      </c>
      <c r="J52" s="23">
        <v>24292.309999999998</v>
      </c>
      <c r="K52" s="23">
        <v>230605.2199999998</v>
      </c>
    </row>
    <row r="53" spans="1:11" x14ac:dyDescent="0.25">
      <c r="A53" s="22" t="s">
        <v>820</v>
      </c>
      <c r="B53" s="43">
        <f t="shared" si="0"/>
        <v>24.81626</v>
      </c>
      <c r="C53" s="24" t="s">
        <v>19</v>
      </c>
      <c r="D53" s="24" t="s">
        <v>119</v>
      </c>
      <c r="E53" s="24" t="s">
        <v>826</v>
      </c>
      <c r="F53" s="17">
        <v>24.87866999999968</v>
      </c>
      <c r="G53" s="24" t="s">
        <v>638</v>
      </c>
      <c r="H53" s="24" t="s">
        <v>639</v>
      </c>
      <c r="I53" s="25">
        <v>478.8</v>
      </c>
      <c r="J53" s="23">
        <v>24816.26</v>
      </c>
      <c r="K53" s="23">
        <v>230081.26999999979</v>
      </c>
    </row>
    <row r="54" spans="1:11" x14ac:dyDescent="0.25">
      <c r="A54" s="22" t="s">
        <v>820</v>
      </c>
      <c r="B54" s="43">
        <f t="shared" si="0"/>
        <v>25.295059999999999</v>
      </c>
      <c r="C54" s="24" t="s">
        <v>119</v>
      </c>
      <c r="D54" s="24" t="s">
        <v>121</v>
      </c>
      <c r="E54" s="24" t="s">
        <v>826</v>
      </c>
      <c r="F54" s="17">
        <v>25.274939999999667</v>
      </c>
      <c r="G54" s="24" t="s">
        <v>639</v>
      </c>
      <c r="H54" s="24" t="s">
        <v>640</v>
      </c>
      <c r="I54" s="25">
        <v>532.79999999999995</v>
      </c>
      <c r="J54" s="23">
        <v>25295.059999999998</v>
      </c>
      <c r="K54" s="23">
        <v>229602.4699999998</v>
      </c>
    </row>
    <row r="55" spans="1:11" x14ac:dyDescent="0.25">
      <c r="A55" s="22" t="s">
        <v>820</v>
      </c>
      <c r="B55" s="43">
        <f t="shared" si="0"/>
        <v>25.827859999999998</v>
      </c>
      <c r="C55" s="24" t="s">
        <v>121</v>
      </c>
      <c r="D55" s="24" t="s">
        <v>123</v>
      </c>
      <c r="E55" s="24" t="s">
        <v>826</v>
      </c>
      <c r="F55" s="17">
        <v>25.848719999999666</v>
      </c>
      <c r="G55" s="24" t="s">
        <v>640</v>
      </c>
      <c r="H55" s="24" t="s">
        <v>641</v>
      </c>
      <c r="I55" s="25">
        <v>555</v>
      </c>
      <c r="J55" s="23">
        <v>25827.859999999997</v>
      </c>
      <c r="K55" s="23">
        <v>229069.66999999981</v>
      </c>
    </row>
    <row r="56" spans="1:11" x14ac:dyDescent="0.25">
      <c r="A56" s="22" t="s">
        <v>820</v>
      </c>
      <c r="B56" s="43">
        <f t="shared" si="0"/>
        <v>26.382859999999997</v>
      </c>
      <c r="C56" s="24" t="s">
        <v>123</v>
      </c>
      <c r="D56" s="24" t="s">
        <v>125</v>
      </c>
      <c r="E56" s="24" t="s">
        <v>826</v>
      </c>
      <c r="F56" s="17">
        <v>26.247999999999664</v>
      </c>
      <c r="G56" s="24" t="s">
        <v>641</v>
      </c>
      <c r="H56" s="24" t="s">
        <v>642</v>
      </c>
      <c r="I56" s="25">
        <v>429.47</v>
      </c>
      <c r="J56" s="23">
        <v>26382.859999999997</v>
      </c>
      <c r="K56" s="23">
        <v>228514.66999999981</v>
      </c>
    </row>
    <row r="57" spans="1:11" x14ac:dyDescent="0.25">
      <c r="A57" s="22" t="s">
        <v>820</v>
      </c>
      <c r="B57" s="43">
        <f t="shared" si="0"/>
        <v>26.812329999999999</v>
      </c>
      <c r="C57" s="24" t="s">
        <v>125</v>
      </c>
      <c r="D57" s="24" t="s">
        <v>127</v>
      </c>
      <c r="E57" s="24" t="s">
        <v>826</v>
      </c>
      <c r="F57" s="17">
        <v>26.769409999999667</v>
      </c>
      <c r="G57" s="24" t="s">
        <v>642</v>
      </c>
      <c r="H57" s="24" t="s">
        <v>643</v>
      </c>
      <c r="I57" s="25">
        <v>546.34999999999854</v>
      </c>
      <c r="J57" s="23">
        <v>26812.329999999998</v>
      </c>
      <c r="K57" s="23">
        <v>228085.19999999981</v>
      </c>
    </row>
    <row r="58" spans="1:11" x14ac:dyDescent="0.25">
      <c r="A58" s="22" t="s">
        <v>820</v>
      </c>
      <c r="B58" s="43">
        <f t="shared" si="0"/>
        <v>27.358679999999996</v>
      </c>
      <c r="C58" s="24" t="s">
        <v>127</v>
      </c>
      <c r="D58" s="24" t="s">
        <v>129</v>
      </c>
      <c r="E58" s="24" t="s">
        <v>826</v>
      </c>
      <c r="F58" s="17">
        <v>27.253009999999662</v>
      </c>
      <c r="G58" s="24" t="s">
        <v>643</v>
      </c>
      <c r="H58" s="24" t="s">
        <v>644</v>
      </c>
      <c r="I58" s="25">
        <v>575.5</v>
      </c>
      <c r="J58" s="23">
        <v>27358.679999999997</v>
      </c>
      <c r="K58" s="23">
        <v>227538.8499999998</v>
      </c>
    </row>
    <row r="59" spans="1:11" x14ac:dyDescent="0.25">
      <c r="A59" s="22" t="s">
        <v>820</v>
      </c>
      <c r="B59" s="43">
        <f t="shared" si="0"/>
        <v>27.934179999999998</v>
      </c>
      <c r="C59" s="24" t="s">
        <v>129</v>
      </c>
      <c r="D59" s="24" t="s">
        <v>131</v>
      </c>
      <c r="E59" s="24" t="s">
        <v>826</v>
      </c>
      <c r="F59" s="17">
        <v>27.800099999999663</v>
      </c>
      <c r="G59" s="24" t="s">
        <v>644</v>
      </c>
      <c r="H59" s="24" t="s">
        <v>645</v>
      </c>
      <c r="I59" s="25">
        <v>537.5</v>
      </c>
      <c r="J59" s="23">
        <v>27934.179999999997</v>
      </c>
      <c r="K59" s="23">
        <v>226963.3499999998</v>
      </c>
    </row>
    <row r="60" spans="1:11" x14ac:dyDescent="0.25">
      <c r="A60" s="22" t="s">
        <v>820</v>
      </c>
      <c r="B60" s="43">
        <f t="shared" si="0"/>
        <v>28.471679999999996</v>
      </c>
      <c r="C60" s="24" t="s">
        <v>131</v>
      </c>
      <c r="D60" s="24" t="s">
        <v>133</v>
      </c>
      <c r="E60" s="24" t="s">
        <v>826</v>
      </c>
      <c r="F60" s="17">
        <v>28.402109999999663</v>
      </c>
      <c r="G60" s="24" t="s">
        <v>645</v>
      </c>
      <c r="H60" s="24" t="s">
        <v>646</v>
      </c>
      <c r="I60" s="25">
        <v>436.78</v>
      </c>
      <c r="J60" s="23">
        <v>28471.679999999997</v>
      </c>
      <c r="K60" s="23">
        <v>226425.8499999998</v>
      </c>
    </row>
    <row r="61" spans="1:11" x14ac:dyDescent="0.25">
      <c r="A61" s="22" t="s">
        <v>820</v>
      </c>
      <c r="B61" s="43">
        <f t="shared" si="0"/>
        <v>28.908459999999994</v>
      </c>
      <c r="C61" s="24" t="s">
        <v>133</v>
      </c>
      <c r="D61" s="24" t="s">
        <v>135</v>
      </c>
      <c r="E61" s="24" t="s">
        <v>826</v>
      </c>
      <c r="F61" s="17">
        <v>28.940929999999668</v>
      </c>
      <c r="G61" s="24" t="s">
        <v>646</v>
      </c>
      <c r="H61" s="24" t="s">
        <v>647</v>
      </c>
      <c r="I61" s="25">
        <v>679.6</v>
      </c>
      <c r="J61" s="23">
        <v>28908.459999999995</v>
      </c>
      <c r="K61" s="23">
        <v>225989.0699999998</v>
      </c>
    </row>
    <row r="62" spans="1:11" x14ac:dyDescent="0.25">
      <c r="A62" s="22" t="s">
        <v>820</v>
      </c>
      <c r="B62" s="43">
        <f t="shared" si="0"/>
        <v>29.588059999999995</v>
      </c>
      <c r="C62" s="24" t="s">
        <v>135</v>
      </c>
      <c r="D62" s="24" t="s">
        <v>137</v>
      </c>
      <c r="E62" s="24" t="s">
        <v>826</v>
      </c>
      <c r="F62" s="17">
        <v>29.494029999999647</v>
      </c>
      <c r="G62" s="24" t="s">
        <v>647</v>
      </c>
      <c r="H62" s="24" t="s">
        <v>648</v>
      </c>
      <c r="I62" s="25">
        <v>477.9</v>
      </c>
      <c r="J62" s="23">
        <v>29588.059999999994</v>
      </c>
      <c r="K62" s="23">
        <v>225309.4699999998</v>
      </c>
    </row>
    <row r="63" spans="1:11" x14ac:dyDescent="0.25">
      <c r="A63" s="22" t="s">
        <v>820</v>
      </c>
      <c r="B63" s="43">
        <f t="shared" si="0"/>
        <v>30.065959999999997</v>
      </c>
      <c r="C63" s="24" t="s">
        <v>137</v>
      </c>
      <c r="D63" s="24" t="s">
        <v>139</v>
      </c>
      <c r="E63" s="24" t="s">
        <v>826</v>
      </c>
      <c r="F63" s="17">
        <v>29.942999999999646</v>
      </c>
      <c r="G63" s="24" t="s">
        <v>648</v>
      </c>
      <c r="H63" s="24" t="s">
        <v>649</v>
      </c>
      <c r="I63" s="25">
        <v>638.1</v>
      </c>
      <c r="J63" s="23">
        <v>30065.959999999995</v>
      </c>
      <c r="K63" s="23">
        <v>224831.5699999998</v>
      </c>
    </row>
    <row r="64" spans="1:11" x14ac:dyDescent="0.25">
      <c r="A64" s="22" t="s">
        <v>820</v>
      </c>
      <c r="B64" s="43">
        <f t="shared" si="0"/>
        <v>30.704059999999995</v>
      </c>
      <c r="C64" s="24" t="s">
        <v>139</v>
      </c>
      <c r="D64" s="24" t="s">
        <v>141</v>
      </c>
      <c r="E64" s="24" t="s">
        <v>826</v>
      </c>
      <c r="F64" s="17">
        <v>30.361599999999644</v>
      </c>
      <c r="G64" s="24" t="s">
        <v>649</v>
      </c>
      <c r="H64" s="24" t="s">
        <v>650</v>
      </c>
      <c r="I64" s="25">
        <v>402.44</v>
      </c>
      <c r="J64" s="23">
        <v>30704.059999999994</v>
      </c>
      <c r="K64" s="23">
        <v>224193.4699999998</v>
      </c>
    </row>
    <row r="65" spans="1:11" x14ac:dyDescent="0.25">
      <c r="A65" s="22" t="s">
        <v>820</v>
      </c>
      <c r="B65" s="43">
        <f t="shared" si="0"/>
        <v>31.106499999999993</v>
      </c>
      <c r="C65" s="24" t="s">
        <v>141</v>
      </c>
      <c r="D65" s="24" t="s">
        <v>143</v>
      </c>
      <c r="E65" s="24" t="s">
        <v>826</v>
      </c>
      <c r="F65" s="17">
        <v>31.018849999999645</v>
      </c>
      <c r="G65" s="24" t="s">
        <v>650</v>
      </c>
      <c r="H65" s="24" t="s">
        <v>651</v>
      </c>
      <c r="I65" s="25">
        <v>513.39</v>
      </c>
      <c r="J65" s="23">
        <v>31106.499999999993</v>
      </c>
      <c r="K65" s="23">
        <v>223791.0299999998</v>
      </c>
    </row>
    <row r="66" spans="1:11" x14ac:dyDescent="0.25">
      <c r="A66" s="22" t="s">
        <v>820</v>
      </c>
      <c r="B66" s="43">
        <f t="shared" si="0"/>
        <v>31.619889999999991</v>
      </c>
      <c r="C66" s="24" t="s">
        <v>143</v>
      </c>
      <c r="D66" s="24" t="s">
        <v>145</v>
      </c>
      <c r="E66" s="24" t="s">
        <v>826</v>
      </c>
      <c r="F66" s="17">
        <v>31.441029999999646</v>
      </c>
      <c r="G66" s="24" t="s">
        <v>651</v>
      </c>
      <c r="H66" s="24" t="s">
        <v>652</v>
      </c>
      <c r="I66" s="25">
        <v>438.7</v>
      </c>
      <c r="J66" s="23">
        <v>31619.889999999992</v>
      </c>
      <c r="K66" s="23">
        <v>223277.63999999978</v>
      </c>
    </row>
    <row r="67" spans="1:11" x14ac:dyDescent="0.25">
      <c r="A67" s="22" t="s">
        <v>820</v>
      </c>
      <c r="B67" s="43">
        <f t="shared" ref="B67:B130" si="1">J67/1000</f>
        <v>32.058589999999995</v>
      </c>
      <c r="C67" s="24" t="s">
        <v>145</v>
      </c>
      <c r="D67" s="24" t="s">
        <v>147</v>
      </c>
      <c r="E67" s="24" t="s">
        <v>826</v>
      </c>
      <c r="F67" s="17">
        <v>31.892719999999649</v>
      </c>
      <c r="G67" s="24" t="s">
        <v>652</v>
      </c>
      <c r="H67" s="24" t="s">
        <v>653</v>
      </c>
      <c r="I67" s="25">
        <v>431.04000000000087</v>
      </c>
      <c r="J67" s="23">
        <v>32058.589999999993</v>
      </c>
      <c r="K67" s="23">
        <v>222838.93999999977</v>
      </c>
    </row>
    <row r="68" spans="1:11" x14ac:dyDescent="0.25">
      <c r="A68" s="22" t="s">
        <v>820</v>
      </c>
      <c r="B68" s="43">
        <f t="shared" si="1"/>
        <v>32.489629999999991</v>
      </c>
      <c r="C68" s="24" t="s">
        <v>147</v>
      </c>
      <c r="D68" s="24" t="s">
        <v>149</v>
      </c>
      <c r="E68" s="24" t="s">
        <v>826</v>
      </c>
      <c r="F68" s="17">
        <v>32.422839999999645</v>
      </c>
      <c r="G68" s="24" t="s">
        <v>653</v>
      </c>
      <c r="H68" s="24" t="s">
        <v>654</v>
      </c>
      <c r="I68" s="25">
        <v>405.4</v>
      </c>
      <c r="J68" s="23">
        <v>32489.629999999994</v>
      </c>
      <c r="K68" s="23">
        <v>222407.89999999976</v>
      </c>
    </row>
    <row r="69" spans="1:11" x14ac:dyDescent="0.25">
      <c r="A69" s="22" t="s">
        <v>820</v>
      </c>
      <c r="B69" s="43">
        <f t="shared" si="1"/>
        <v>32.895029999999991</v>
      </c>
      <c r="C69" s="24" t="s">
        <v>149</v>
      </c>
      <c r="D69" s="24" t="s">
        <v>151</v>
      </c>
      <c r="E69" s="24" t="s">
        <v>826</v>
      </c>
      <c r="F69" s="17">
        <v>32.910049999999643</v>
      </c>
      <c r="G69" s="24" t="s">
        <v>654</v>
      </c>
      <c r="H69" s="24" t="s">
        <v>655</v>
      </c>
      <c r="I69" s="25">
        <v>503.9</v>
      </c>
      <c r="J69" s="23">
        <v>32895.029999999992</v>
      </c>
      <c r="K69" s="23">
        <v>222002.49999999977</v>
      </c>
    </row>
    <row r="70" spans="1:11" x14ac:dyDescent="0.25">
      <c r="A70" s="22" t="s">
        <v>820</v>
      </c>
      <c r="B70" s="43">
        <f t="shared" si="1"/>
        <v>33.398929999999993</v>
      </c>
      <c r="C70" s="24" t="s">
        <v>151</v>
      </c>
      <c r="D70" s="24" t="s">
        <v>153</v>
      </c>
      <c r="E70" s="24" t="s">
        <v>826</v>
      </c>
      <c r="F70" s="17">
        <v>33.363939999999644</v>
      </c>
      <c r="G70" s="24" t="s">
        <v>655</v>
      </c>
      <c r="H70" s="24" t="s">
        <v>656</v>
      </c>
      <c r="I70" s="25">
        <v>390.1</v>
      </c>
      <c r="J70" s="23">
        <v>33398.929999999993</v>
      </c>
      <c r="K70" s="23">
        <v>221498.59999999977</v>
      </c>
    </row>
    <row r="71" spans="1:11" x14ac:dyDescent="0.25">
      <c r="A71" s="22" t="s">
        <v>820</v>
      </c>
      <c r="B71" s="43">
        <f t="shared" si="1"/>
        <v>33.78902999999999</v>
      </c>
      <c r="C71" s="24" t="s">
        <v>153</v>
      </c>
      <c r="D71" s="24" t="s">
        <v>155</v>
      </c>
      <c r="E71" s="24" t="s">
        <v>826</v>
      </c>
      <c r="F71" s="17">
        <v>33.822119999999643</v>
      </c>
      <c r="G71" s="24" t="s">
        <v>656</v>
      </c>
      <c r="H71" s="24" t="s">
        <v>657</v>
      </c>
      <c r="I71" s="25">
        <v>667.16</v>
      </c>
      <c r="J71" s="23">
        <v>33789.029999999992</v>
      </c>
      <c r="K71" s="23">
        <v>221108.49999999977</v>
      </c>
    </row>
    <row r="72" spans="1:11" x14ac:dyDescent="0.25">
      <c r="A72" s="22" t="s">
        <v>820</v>
      </c>
      <c r="B72" s="43">
        <f t="shared" si="1"/>
        <v>34.456189999999992</v>
      </c>
      <c r="C72" s="24" t="s">
        <v>155</v>
      </c>
      <c r="D72" s="24" t="s">
        <v>157</v>
      </c>
      <c r="E72" s="24" t="s">
        <v>826</v>
      </c>
      <c r="F72" s="17">
        <v>34.380469999999647</v>
      </c>
      <c r="G72" s="24" t="s">
        <v>657</v>
      </c>
      <c r="H72" s="24" t="s">
        <v>658</v>
      </c>
      <c r="I72" s="25">
        <v>516.79999999999995</v>
      </c>
      <c r="J72" s="23">
        <v>34456.189999999995</v>
      </c>
      <c r="K72" s="23">
        <v>220441.33999999976</v>
      </c>
    </row>
    <row r="73" spans="1:11" x14ac:dyDescent="0.25">
      <c r="A73" s="22" t="s">
        <v>820</v>
      </c>
      <c r="B73" s="43">
        <f t="shared" si="1"/>
        <v>34.972989999999996</v>
      </c>
      <c r="C73" s="24" t="s">
        <v>157</v>
      </c>
      <c r="D73" s="24" t="s">
        <v>159</v>
      </c>
      <c r="E73" s="24" t="s">
        <v>826</v>
      </c>
      <c r="F73" s="17">
        <v>34.840999999999646</v>
      </c>
      <c r="G73" s="24" t="s">
        <v>658</v>
      </c>
      <c r="H73" s="24" t="s">
        <v>659</v>
      </c>
      <c r="I73" s="25">
        <v>368.92</v>
      </c>
      <c r="J73" s="23">
        <v>34972.99</v>
      </c>
      <c r="K73" s="23">
        <v>219924.53999999978</v>
      </c>
    </row>
    <row r="74" spans="1:11" x14ac:dyDescent="0.25">
      <c r="A74" s="22" t="s">
        <v>820</v>
      </c>
      <c r="B74" s="43">
        <f t="shared" si="1"/>
        <v>35.341909999999999</v>
      </c>
      <c r="C74" s="24" t="s">
        <v>159</v>
      </c>
      <c r="D74" s="24" t="s">
        <v>161</v>
      </c>
      <c r="E74" s="24" t="s">
        <v>826</v>
      </c>
      <c r="F74" s="17">
        <v>35.310509999999653</v>
      </c>
      <c r="G74" s="24" t="s">
        <v>659</v>
      </c>
      <c r="H74" s="24" t="s">
        <v>660</v>
      </c>
      <c r="I74" s="25">
        <v>340</v>
      </c>
      <c r="J74" s="23">
        <v>35341.909999999996</v>
      </c>
      <c r="K74" s="23">
        <v>219555.61999999976</v>
      </c>
    </row>
    <row r="75" spans="1:11" x14ac:dyDescent="0.25">
      <c r="A75" s="22" t="s">
        <v>820</v>
      </c>
      <c r="B75" s="43">
        <f t="shared" si="1"/>
        <v>35.681909999999995</v>
      </c>
      <c r="C75" s="24" t="s">
        <v>161</v>
      </c>
      <c r="D75" s="24" t="s">
        <v>163</v>
      </c>
      <c r="E75" s="24" t="s">
        <v>826</v>
      </c>
      <c r="F75" s="17">
        <v>35.852109999999627</v>
      </c>
      <c r="G75" s="24" t="s">
        <v>660</v>
      </c>
      <c r="H75" s="24" t="s">
        <v>661</v>
      </c>
      <c r="I75" s="25">
        <v>415.2</v>
      </c>
      <c r="J75" s="23">
        <v>35681.909999999996</v>
      </c>
      <c r="K75" s="23">
        <v>219215.61999999976</v>
      </c>
    </row>
    <row r="76" spans="1:11" x14ac:dyDescent="0.25">
      <c r="A76" s="22" t="s">
        <v>820</v>
      </c>
      <c r="B76" s="43">
        <f t="shared" si="1"/>
        <v>36.097109999999994</v>
      </c>
      <c r="C76" s="24" t="s">
        <v>163</v>
      </c>
      <c r="D76" s="24" t="s">
        <v>165</v>
      </c>
      <c r="E76" s="24" t="s">
        <v>826</v>
      </c>
      <c r="F76" s="17">
        <v>36.488109999999629</v>
      </c>
      <c r="G76" s="24" t="s">
        <v>661</v>
      </c>
      <c r="H76" s="24" t="s">
        <v>662</v>
      </c>
      <c r="I76" s="25">
        <v>510.82</v>
      </c>
      <c r="J76" s="23">
        <v>36097.109999999993</v>
      </c>
      <c r="K76" s="23">
        <v>218800.41999999975</v>
      </c>
    </row>
    <row r="77" spans="1:11" x14ac:dyDescent="0.25">
      <c r="A77" s="22" t="s">
        <v>820</v>
      </c>
      <c r="B77" s="43">
        <f t="shared" si="1"/>
        <v>36.607929999999996</v>
      </c>
      <c r="C77" s="24" t="s">
        <v>165</v>
      </c>
      <c r="D77" s="24" t="s">
        <v>167</v>
      </c>
      <c r="E77" s="24" t="s">
        <v>826</v>
      </c>
      <c r="F77" s="17">
        <v>37.015989999999626</v>
      </c>
      <c r="G77" s="24" t="s">
        <v>662</v>
      </c>
      <c r="H77" s="24" t="s">
        <v>663</v>
      </c>
      <c r="I77" s="25">
        <v>579.13</v>
      </c>
      <c r="J77" s="23">
        <v>36607.929999999993</v>
      </c>
      <c r="K77" s="23">
        <v>218289.59999999974</v>
      </c>
    </row>
    <row r="78" spans="1:11" x14ac:dyDescent="0.25">
      <c r="A78" s="22" t="s">
        <v>820</v>
      </c>
      <c r="B78" s="43">
        <f t="shared" si="1"/>
        <v>37.187059999999988</v>
      </c>
      <c r="C78" s="24" t="s">
        <v>167</v>
      </c>
      <c r="D78" s="24" t="s">
        <v>169</v>
      </c>
      <c r="E78" s="24" t="s">
        <v>826</v>
      </c>
      <c r="F78" s="17">
        <v>37.506299999999626</v>
      </c>
      <c r="G78" s="24" t="s">
        <v>663</v>
      </c>
      <c r="H78" s="24" t="s">
        <v>664</v>
      </c>
      <c r="I78" s="25">
        <v>584.70000000000005</v>
      </c>
      <c r="J78" s="23">
        <v>37187.05999999999</v>
      </c>
      <c r="K78" s="23">
        <v>217710.46999999974</v>
      </c>
    </row>
    <row r="79" spans="1:11" x14ac:dyDescent="0.25">
      <c r="A79" s="22" t="s">
        <v>820</v>
      </c>
      <c r="B79" s="43">
        <f t="shared" si="1"/>
        <v>37.771759999999986</v>
      </c>
      <c r="C79" s="24" t="s">
        <v>169</v>
      </c>
      <c r="D79" s="24" t="s">
        <v>171</v>
      </c>
      <c r="E79" s="24" t="s">
        <v>826</v>
      </c>
      <c r="F79" s="17">
        <v>38.080569999999618</v>
      </c>
      <c r="G79" s="24" t="s">
        <v>664</v>
      </c>
      <c r="H79" s="24" t="s">
        <v>665</v>
      </c>
      <c r="I79" s="25">
        <v>434.75</v>
      </c>
      <c r="J79" s="23">
        <v>37771.759999999987</v>
      </c>
      <c r="K79" s="23">
        <v>217125.76999999973</v>
      </c>
    </row>
    <row r="80" spans="1:11" x14ac:dyDescent="0.25">
      <c r="A80" s="22" t="s">
        <v>820</v>
      </c>
      <c r="B80" s="43">
        <f t="shared" si="1"/>
        <v>38.206509999999987</v>
      </c>
      <c r="C80" s="24" t="s">
        <v>171</v>
      </c>
      <c r="D80" s="24" t="s">
        <v>173</v>
      </c>
      <c r="E80" s="24" t="s">
        <v>826</v>
      </c>
      <c r="F80" s="17">
        <v>38.64555999999962</v>
      </c>
      <c r="G80" s="24" t="s">
        <v>665</v>
      </c>
      <c r="H80" s="24" t="s">
        <v>666</v>
      </c>
      <c r="I80" s="25">
        <v>525.45000000000005</v>
      </c>
      <c r="J80" s="23">
        <v>38206.509999999987</v>
      </c>
      <c r="K80" s="23">
        <v>216691.01999999973</v>
      </c>
    </row>
    <row r="81" spans="1:11" x14ac:dyDescent="0.25">
      <c r="A81" s="22" t="s">
        <v>820</v>
      </c>
      <c r="B81" s="43">
        <f t="shared" si="1"/>
        <v>38.731959999999987</v>
      </c>
      <c r="C81" s="24" t="s">
        <v>173</v>
      </c>
      <c r="D81" s="24" t="s">
        <v>175</v>
      </c>
      <c r="E81" s="24" t="s">
        <v>826</v>
      </c>
      <c r="F81" s="17">
        <v>39.13212999999962</v>
      </c>
      <c r="G81" s="24" t="s">
        <v>666</v>
      </c>
      <c r="H81" s="24" t="s">
        <v>667</v>
      </c>
      <c r="I81" s="25">
        <v>449.35</v>
      </c>
      <c r="J81" s="23">
        <v>38731.959999999985</v>
      </c>
      <c r="K81" s="23">
        <v>216165.56999999972</v>
      </c>
    </row>
    <row r="82" spans="1:11" x14ac:dyDescent="0.25">
      <c r="A82" s="22" t="s">
        <v>820</v>
      </c>
      <c r="B82" s="43">
        <f t="shared" si="1"/>
        <v>39.181309999999982</v>
      </c>
      <c r="C82" s="24" t="s">
        <v>175</v>
      </c>
      <c r="D82" s="24" t="s">
        <v>177</v>
      </c>
      <c r="E82" s="24" t="s">
        <v>826</v>
      </c>
      <c r="F82" s="17">
        <v>39.648169999999617</v>
      </c>
      <c r="G82" s="24" t="s">
        <v>667</v>
      </c>
      <c r="H82" s="24" t="s">
        <v>668</v>
      </c>
      <c r="I82" s="25">
        <v>507.02000000000407</v>
      </c>
      <c r="J82" s="23">
        <v>39181.309999999983</v>
      </c>
      <c r="K82" s="23">
        <v>215716.21999999971</v>
      </c>
    </row>
    <row r="83" spans="1:11" x14ac:dyDescent="0.25">
      <c r="A83" s="22" t="s">
        <v>820</v>
      </c>
      <c r="B83" s="43">
        <f t="shared" si="1"/>
        <v>39.688329999999986</v>
      </c>
      <c r="C83" s="24" t="s">
        <v>177</v>
      </c>
      <c r="D83" s="24" t="s">
        <v>179</v>
      </c>
      <c r="E83" s="24" t="s">
        <v>826</v>
      </c>
      <c r="F83" s="17">
        <v>40.190739999999622</v>
      </c>
      <c r="G83" s="24" t="s">
        <v>668</v>
      </c>
      <c r="H83" s="24" t="s">
        <v>669</v>
      </c>
      <c r="I83" s="25">
        <v>597.1</v>
      </c>
      <c r="J83" s="23">
        <v>39688.329999999987</v>
      </c>
      <c r="K83" s="23">
        <v>215209.19999999972</v>
      </c>
    </row>
    <row r="84" spans="1:11" x14ac:dyDescent="0.25">
      <c r="A84" s="22" t="s">
        <v>820</v>
      </c>
      <c r="B84" s="43">
        <f t="shared" si="1"/>
        <v>40.285429999999984</v>
      </c>
      <c r="C84" s="24" t="s">
        <v>179</v>
      </c>
      <c r="D84" s="24" t="s">
        <v>181</v>
      </c>
      <c r="E84" s="24" t="s">
        <v>826</v>
      </c>
      <c r="F84" s="17">
        <v>40.620619999999619</v>
      </c>
      <c r="G84" s="24" t="s">
        <v>669</v>
      </c>
      <c r="H84" s="24" t="s">
        <v>670</v>
      </c>
      <c r="I84" s="25">
        <v>507.58</v>
      </c>
      <c r="J84" s="23">
        <v>40285.429999999986</v>
      </c>
      <c r="K84" s="23">
        <v>214612.09999999971</v>
      </c>
    </row>
    <row r="85" spans="1:11" x14ac:dyDescent="0.25">
      <c r="A85" s="22" t="s">
        <v>820</v>
      </c>
      <c r="B85" s="43">
        <f t="shared" si="1"/>
        <v>40.793009999999988</v>
      </c>
      <c r="C85" s="24" t="s">
        <v>181</v>
      </c>
      <c r="D85" s="24" t="s">
        <v>183</v>
      </c>
      <c r="E85" s="24" t="s">
        <v>826</v>
      </c>
      <c r="F85" s="17">
        <v>40.992249999999615</v>
      </c>
      <c r="G85" s="24" t="s">
        <v>670</v>
      </c>
      <c r="H85" s="24" t="s">
        <v>671</v>
      </c>
      <c r="I85" s="25">
        <v>521.26</v>
      </c>
      <c r="J85" s="23">
        <v>40793.009999999987</v>
      </c>
      <c r="K85" s="23">
        <v>214104.51999999973</v>
      </c>
    </row>
    <row r="86" spans="1:11" x14ac:dyDescent="0.25">
      <c r="A86" s="22" t="s">
        <v>820</v>
      </c>
      <c r="B86" s="43">
        <f t="shared" si="1"/>
        <v>41.314269999999986</v>
      </c>
      <c r="C86" s="24" t="s">
        <v>183</v>
      </c>
      <c r="D86" s="24" t="s">
        <v>272</v>
      </c>
      <c r="E86" s="24" t="s">
        <v>826</v>
      </c>
      <c r="F86" s="17">
        <v>41.502429999999613</v>
      </c>
      <c r="G86" s="24" t="s">
        <v>671</v>
      </c>
      <c r="H86" s="24" t="s">
        <v>672</v>
      </c>
      <c r="I86" s="25">
        <v>540.70000000000005</v>
      </c>
      <c r="J86" s="23">
        <v>41314.26999999999</v>
      </c>
      <c r="K86" s="23">
        <v>213583.25999999972</v>
      </c>
    </row>
    <row r="87" spans="1:11" x14ac:dyDescent="0.25">
      <c r="A87" s="22" t="s">
        <v>820</v>
      </c>
      <c r="B87" s="43">
        <f t="shared" si="1"/>
        <v>41.854969999999987</v>
      </c>
      <c r="C87" s="24" t="s">
        <v>272</v>
      </c>
      <c r="D87" s="24" t="s">
        <v>274</v>
      </c>
      <c r="E87" s="24" t="s">
        <v>826</v>
      </c>
      <c r="F87" s="17">
        <v>42.059999999999611</v>
      </c>
      <c r="G87" s="24" t="s">
        <v>672</v>
      </c>
      <c r="H87" s="24" t="s">
        <v>673</v>
      </c>
      <c r="I87" s="25">
        <v>575</v>
      </c>
      <c r="J87" s="23">
        <v>41854.969999999987</v>
      </c>
      <c r="K87" s="23">
        <v>213042.55999999971</v>
      </c>
    </row>
    <row r="88" spans="1:11" x14ac:dyDescent="0.25">
      <c r="A88" s="22" t="s">
        <v>820</v>
      </c>
      <c r="B88" s="43">
        <f t="shared" si="1"/>
        <v>42.429969999999983</v>
      </c>
      <c r="C88" s="24" t="s">
        <v>274</v>
      </c>
      <c r="D88" s="24" t="s">
        <v>276</v>
      </c>
      <c r="E88" s="24" t="s">
        <v>826</v>
      </c>
      <c r="F88" s="17">
        <v>42.514599999999611</v>
      </c>
      <c r="G88" s="24" t="s">
        <v>673</v>
      </c>
      <c r="H88" s="24" t="s">
        <v>674</v>
      </c>
      <c r="I88" s="25">
        <v>523.84</v>
      </c>
      <c r="J88" s="23">
        <v>42429.969999999987</v>
      </c>
      <c r="K88" s="23">
        <v>212467.55999999971</v>
      </c>
    </row>
    <row r="89" spans="1:11" x14ac:dyDescent="0.25">
      <c r="A89" s="22" t="s">
        <v>820</v>
      </c>
      <c r="B89" s="43">
        <f t="shared" si="1"/>
        <v>42.953809999999983</v>
      </c>
      <c r="C89" s="24" t="s">
        <v>276</v>
      </c>
      <c r="D89" s="24" t="s">
        <v>278</v>
      </c>
      <c r="E89" s="24" t="s">
        <v>826</v>
      </c>
      <c r="F89" s="17">
        <v>42.903909999999613</v>
      </c>
      <c r="G89" s="24" t="s">
        <v>674</v>
      </c>
      <c r="H89" s="24" t="s">
        <v>675</v>
      </c>
      <c r="I89" s="25">
        <v>561.55999999999995</v>
      </c>
      <c r="J89" s="23">
        <v>42953.809999999983</v>
      </c>
      <c r="K89" s="23">
        <v>211943.71999999971</v>
      </c>
    </row>
    <row r="90" spans="1:11" x14ac:dyDescent="0.25">
      <c r="A90" s="22" t="s">
        <v>820</v>
      </c>
      <c r="B90" s="43">
        <f t="shared" si="1"/>
        <v>43.515369999999983</v>
      </c>
      <c r="C90" s="24" t="s">
        <v>278</v>
      </c>
      <c r="D90" s="24" t="s">
        <v>280</v>
      </c>
      <c r="E90" s="24" t="s">
        <v>826</v>
      </c>
      <c r="F90" s="17">
        <v>43.332199999999609</v>
      </c>
      <c r="G90" s="24" t="s">
        <v>675</v>
      </c>
      <c r="H90" s="24" t="s">
        <v>676</v>
      </c>
      <c r="I90" s="25">
        <v>462.15</v>
      </c>
      <c r="J90" s="23">
        <v>43515.369999999981</v>
      </c>
      <c r="K90" s="23">
        <v>211382.15999999971</v>
      </c>
    </row>
    <row r="91" spans="1:11" x14ac:dyDescent="0.25">
      <c r="A91" s="22" t="s">
        <v>820</v>
      </c>
      <c r="B91" s="43">
        <f t="shared" si="1"/>
        <v>43.977519999999984</v>
      </c>
      <c r="C91" s="24" t="s">
        <v>280</v>
      </c>
      <c r="D91" s="24" t="s">
        <v>282</v>
      </c>
      <c r="E91" s="24" t="s">
        <v>826</v>
      </c>
      <c r="F91" s="17">
        <v>43.73703999999961</v>
      </c>
      <c r="G91" s="24" t="s">
        <v>676</v>
      </c>
      <c r="H91" s="24" t="s">
        <v>677</v>
      </c>
      <c r="I91" s="25">
        <v>512</v>
      </c>
      <c r="J91" s="23">
        <v>43977.519999999982</v>
      </c>
      <c r="K91" s="23">
        <v>210920.00999999972</v>
      </c>
    </row>
    <row r="92" spans="1:11" x14ac:dyDescent="0.25">
      <c r="A92" s="22" t="s">
        <v>820</v>
      </c>
      <c r="B92" s="43">
        <f t="shared" si="1"/>
        <v>44.489519999999985</v>
      </c>
      <c r="C92" s="24" t="s">
        <v>282</v>
      </c>
      <c r="D92" s="24" t="s">
        <v>284</v>
      </c>
      <c r="E92" s="24" t="s">
        <v>826</v>
      </c>
      <c r="F92" s="17">
        <v>44.14299999999961</v>
      </c>
      <c r="G92" s="24" t="s">
        <v>677</v>
      </c>
      <c r="H92" s="24" t="s">
        <v>678</v>
      </c>
      <c r="I92" s="25">
        <v>458.1</v>
      </c>
      <c r="J92" s="23">
        <v>44489.519999999982</v>
      </c>
      <c r="K92" s="23">
        <v>210408.00999999972</v>
      </c>
    </row>
    <row r="93" spans="1:11" x14ac:dyDescent="0.25">
      <c r="A93" s="22" t="s">
        <v>820</v>
      </c>
      <c r="B93" s="43">
        <f t="shared" si="1"/>
        <v>44.947619999999979</v>
      </c>
      <c r="C93" s="24" t="s">
        <v>284</v>
      </c>
      <c r="D93" s="24" t="s">
        <v>286</v>
      </c>
      <c r="E93" s="24" t="s">
        <v>826</v>
      </c>
      <c r="F93" s="17">
        <v>44.544109999999606</v>
      </c>
      <c r="G93" s="24" t="s">
        <v>678</v>
      </c>
      <c r="H93" s="24" t="s">
        <v>679</v>
      </c>
      <c r="I93" s="25">
        <v>415.63</v>
      </c>
      <c r="J93" s="23">
        <v>44947.619999999981</v>
      </c>
      <c r="K93" s="23">
        <v>209949.90999999971</v>
      </c>
    </row>
    <row r="94" spans="1:11" x14ac:dyDescent="0.25">
      <c r="A94" s="22" t="s">
        <v>820</v>
      </c>
      <c r="B94" s="43">
        <f t="shared" si="1"/>
        <v>45.363249999999979</v>
      </c>
      <c r="C94" s="24" t="s">
        <v>286</v>
      </c>
      <c r="D94" s="24" t="s">
        <v>288</v>
      </c>
      <c r="E94" s="24" t="s">
        <v>826</v>
      </c>
      <c r="F94" s="17">
        <v>45.065729999999611</v>
      </c>
      <c r="G94" s="24" t="s">
        <v>679</v>
      </c>
      <c r="H94" s="24" t="s">
        <v>680</v>
      </c>
      <c r="I94" s="25">
        <v>562.08000000000004</v>
      </c>
      <c r="J94" s="23">
        <v>45363.249999999978</v>
      </c>
      <c r="K94" s="23">
        <v>209534.27999999971</v>
      </c>
    </row>
    <row r="95" spans="1:11" x14ac:dyDescent="0.25">
      <c r="A95" s="22" t="s">
        <v>820</v>
      </c>
      <c r="B95" s="43">
        <f t="shared" si="1"/>
        <v>45.925329999999981</v>
      </c>
      <c r="C95" s="24" t="s">
        <v>288</v>
      </c>
      <c r="D95" s="24" t="s">
        <v>290</v>
      </c>
      <c r="E95" s="24" t="s">
        <v>826</v>
      </c>
      <c r="F95" s="17">
        <v>45.624969999999607</v>
      </c>
      <c r="G95" s="24" t="s">
        <v>680</v>
      </c>
      <c r="H95" s="24" t="s">
        <v>681</v>
      </c>
      <c r="I95" s="25">
        <v>558</v>
      </c>
      <c r="J95" s="23">
        <v>45925.32999999998</v>
      </c>
      <c r="K95" s="23">
        <v>208972.19999999972</v>
      </c>
    </row>
    <row r="96" spans="1:11" x14ac:dyDescent="0.25">
      <c r="A96" s="22" t="s">
        <v>820</v>
      </c>
      <c r="B96" s="43">
        <f t="shared" si="1"/>
        <v>46.483329999999981</v>
      </c>
      <c r="C96" s="24" t="s">
        <v>290</v>
      </c>
      <c r="D96" s="24" t="s">
        <v>292</v>
      </c>
      <c r="E96" s="24" t="s">
        <v>826</v>
      </c>
      <c r="F96" s="17">
        <v>46.12450999999961</v>
      </c>
      <c r="G96" s="24" t="s">
        <v>681</v>
      </c>
      <c r="H96" s="24" t="s">
        <v>682</v>
      </c>
      <c r="I96" s="25">
        <v>575.35</v>
      </c>
      <c r="J96" s="23">
        <v>46483.32999999998</v>
      </c>
      <c r="K96" s="23">
        <v>208414.19999999972</v>
      </c>
    </row>
    <row r="97" spans="1:11" x14ac:dyDescent="0.25">
      <c r="A97" s="22" t="s">
        <v>820</v>
      </c>
      <c r="B97" s="43">
        <f t="shared" si="1"/>
        <v>47.058679999999981</v>
      </c>
      <c r="C97" s="24" t="s">
        <v>292</v>
      </c>
      <c r="D97" s="24" t="s">
        <v>294</v>
      </c>
      <c r="E97" s="24" t="s">
        <v>826</v>
      </c>
      <c r="F97" s="17">
        <v>46.605589999999609</v>
      </c>
      <c r="G97" s="24" t="s">
        <v>682</v>
      </c>
      <c r="H97" s="24" t="s">
        <v>683</v>
      </c>
      <c r="I97" s="25">
        <v>511.35</v>
      </c>
      <c r="J97" s="23">
        <v>47058.679999999978</v>
      </c>
      <c r="K97" s="23">
        <v>207838.84999999971</v>
      </c>
    </row>
    <row r="98" spans="1:11" x14ac:dyDescent="0.25">
      <c r="A98" s="22" t="s">
        <v>820</v>
      </c>
      <c r="B98" s="43">
        <f t="shared" si="1"/>
        <v>47.570029999999974</v>
      </c>
      <c r="C98" s="24" t="s">
        <v>294</v>
      </c>
      <c r="D98" s="24" t="s">
        <v>296</v>
      </c>
      <c r="E98" s="24" t="s">
        <v>826</v>
      </c>
      <c r="F98" s="17">
        <v>47.101379999999615</v>
      </c>
      <c r="G98" s="24" t="s">
        <v>683</v>
      </c>
      <c r="H98" s="24" t="s">
        <v>684</v>
      </c>
      <c r="I98" s="25">
        <v>537.43999999999505</v>
      </c>
      <c r="J98" s="23">
        <v>47570.029999999977</v>
      </c>
      <c r="K98" s="23">
        <v>207327.49999999971</v>
      </c>
    </row>
    <row r="99" spans="1:11" x14ac:dyDescent="0.25">
      <c r="A99" s="22" t="s">
        <v>820</v>
      </c>
      <c r="B99" s="43">
        <f t="shared" si="1"/>
        <v>48.107469999999971</v>
      </c>
      <c r="C99" s="24" t="s">
        <v>296</v>
      </c>
      <c r="D99" s="24" t="s">
        <v>298</v>
      </c>
      <c r="E99" s="24" t="s">
        <v>826</v>
      </c>
      <c r="F99" s="17">
        <v>47.59972999999961</v>
      </c>
      <c r="G99" s="24" t="s">
        <v>684</v>
      </c>
      <c r="H99" s="24" t="s">
        <v>685</v>
      </c>
      <c r="I99" s="25">
        <v>603.02</v>
      </c>
      <c r="J99" s="23">
        <v>48107.469999999972</v>
      </c>
      <c r="K99" s="23">
        <v>206790.05999999971</v>
      </c>
    </row>
    <row r="100" spans="1:11" x14ac:dyDescent="0.25">
      <c r="A100" s="22" t="s">
        <v>820</v>
      </c>
      <c r="B100" s="43">
        <f t="shared" si="1"/>
        <v>48.710489999999972</v>
      </c>
      <c r="C100" s="24" t="s">
        <v>298</v>
      </c>
      <c r="D100" s="24" t="s">
        <v>300</v>
      </c>
      <c r="E100" s="24" t="s">
        <v>826</v>
      </c>
      <c r="F100" s="17">
        <v>48.022349999999612</v>
      </c>
      <c r="G100" s="24" t="s">
        <v>685</v>
      </c>
      <c r="H100" s="24" t="s">
        <v>686</v>
      </c>
      <c r="I100" s="25">
        <v>548.01</v>
      </c>
      <c r="J100" s="23">
        <v>48710.489999999969</v>
      </c>
      <c r="K100" s="23">
        <v>206187.03999999972</v>
      </c>
    </row>
    <row r="101" spans="1:11" x14ac:dyDescent="0.25">
      <c r="A101" s="22" t="s">
        <v>820</v>
      </c>
      <c r="B101" s="43">
        <f t="shared" si="1"/>
        <v>49.25849999999997</v>
      </c>
      <c r="C101" s="24" t="s">
        <v>300</v>
      </c>
      <c r="D101" s="24" t="s">
        <v>302</v>
      </c>
      <c r="E101" s="24" t="s">
        <v>826</v>
      </c>
      <c r="F101" s="17">
        <v>48.52869999999961</v>
      </c>
      <c r="G101" s="24" t="s">
        <v>686</v>
      </c>
      <c r="H101" s="24" t="s">
        <v>687</v>
      </c>
      <c r="I101" s="25">
        <v>560</v>
      </c>
      <c r="J101" s="23">
        <v>49258.499999999971</v>
      </c>
      <c r="K101" s="23">
        <v>205639.02999999971</v>
      </c>
    </row>
    <row r="102" spans="1:11" x14ac:dyDescent="0.25">
      <c r="A102" s="22" t="s">
        <v>820</v>
      </c>
      <c r="B102" s="43">
        <f t="shared" si="1"/>
        <v>49.818499999999972</v>
      </c>
      <c r="C102" s="24" t="s">
        <v>302</v>
      </c>
      <c r="D102" s="24" t="s">
        <v>304</v>
      </c>
      <c r="E102" s="24" t="s">
        <v>826</v>
      </c>
      <c r="F102" s="17">
        <v>49.06294999999961</v>
      </c>
      <c r="G102" s="24" t="s">
        <v>687</v>
      </c>
      <c r="H102" s="24" t="s">
        <v>688</v>
      </c>
      <c r="I102" s="25">
        <v>597.56000000000495</v>
      </c>
      <c r="J102" s="23">
        <v>49818.499999999971</v>
      </c>
      <c r="K102" s="23">
        <v>205079.02999999971</v>
      </c>
    </row>
    <row r="103" spans="1:11" x14ac:dyDescent="0.25">
      <c r="A103" s="22" t="s">
        <v>820</v>
      </c>
      <c r="B103" s="43">
        <f t="shared" si="1"/>
        <v>50.416059999999973</v>
      </c>
      <c r="C103" s="24" t="s">
        <v>304</v>
      </c>
      <c r="D103" s="24" t="s">
        <v>306</v>
      </c>
      <c r="E103" s="24" t="s">
        <v>826</v>
      </c>
      <c r="F103" s="17">
        <v>49.536639999999615</v>
      </c>
      <c r="G103" s="24" t="s">
        <v>688</v>
      </c>
      <c r="H103" s="24" t="s">
        <v>689</v>
      </c>
      <c r="I103" s="25">
        <v>447.2</v>
      </c>
      <c r="J103" s="23">
        <v>50416.059999999976</v>
      </c>
      <c r="K103" s="23">
        <v>204481.46999999971</v>
      </c>
    </row>
    <row r="104" spans="1:11" x14ac:dyDescent="0.25">
      <c r="A104" s="22" t="s">
        <v>820</v>
      </c>
      <c r="B104" s="43">
        <f t="shared" si="1"/>
        <v>50.863259999999975</v>
      </c>
      <c r="C104" s="24" t="s">
        <v>306</v>
      </c>
      <c r="D104" s="24" t="s">
        <v>308</v>
      </c>
      <c r="E104" s="24" t="s">
        <v>826</v>
      </c>
      <c r="F104" s="17">
        <v>50.07308999999961</v>
      </c>
      <c r="G104" s="24" t="s">
        <v>689</v>
      </c>
      <c r="H104" s="24" t="s">
        <v>690</v>
      </c>
      <c r="I104" s="25">
        <v>409.39999999999418</v>
      </c>
      <c r="J104" s="23">
        <v>50863.259999999973</v>
      </c>
      <c r="K104" s="23">
        <v>204034.2699999997</v>
      </c>
    </row>
    <row r="105" spans="1:11" x14ac:dyDescent="0.25">
      <c r="A105" s="22" t="s">
        <v>820</v>
      </c>
      <c r="B105" s="43">
        <f t="shared" si="1"/>
        <v>51.272659999999966</v>
      </c>
      <c r="C105" s="24" t="s">
        <v>308</v>
      </c>
      <c r="D105" s="24" t="s">
        <v>310</v>
      </c>
      <c r="E105" s="24" t="s">
        <v>826</v>
      </c>
      <c r="F105" s="17">
        <v>50.636359999999605</v>
      </c>
      <c r="G105" s="24" t="s">
        <v>690</v>
      </c>
      <c r="H105" s="24" t="s">
        <v>691</v>
      </c>
      <c r="I105" s="25">
        <v>443.18</v>
      </c>
      <c r="J105" s="23">
        <v>51272.659999999967</v>
      </c>
      <c r="K105" s="23">
        <v>203624.8699999997</v>
      </c>
    </row>
    <row r="106" spans="1:11" x14ac:dyDescent="0.25">
      <c r="A106" s="22" t="s">
        <v>820</v>
      </c>
      <c r="B106" s="43">
        <f t="shared" si="1"/>
        <v>51.715839999999965</v>
      </c>
      <c r="C106" s="24" t="s">
        <v>310</v>
      </c>
      <c r="D106" s="24" t="s">
        <v>312</v>
      </c>
      <c r="E106" s="24" t="s">
        <v>826</v>
      </c>
      <c r="F106" s="17">
        <v>51.144289999999607</v>
      </c>
      <c r="G106" s="24" t="s">
        <v>691</v>
      </c>
      <c r="H106" s="24" t="s">
        <v>692</v>
      </c>
      <c r="I106" s="25">
        <v>538.27000000000407</v>
      </c>
      <c r="J106" s="23">
        <v>51715.839999999967</v>
      </c>
      <c r="K106" s="23">
        <v>203181.68999999971</v>
      </c>
    </row>
    <row r="107" spans="1:11" x14ac:dyDescent="0.25">
      <c r="A107" s="22" t="s">
        <v>820</v>
      </c>
      <c r="B107" s="43">
        <f t="shared" si="1"/>
        <v>52.254109999999969</v>
      </c>
      <c r="C107" s="24" t="s">
        <v>312</v>
      </c>
      <c r="D107" s="24" t="s">
        <v>314</v>
      </c>
      <c r="E107" s="24" t="s">
        <v>826</v>
      </c>
      <c r="F107" s="17">
        <v>51.706449999999613</v>
      </c>
      <c r="G107" s="24" t="s">
        <v>692</v>
      </c>
      <c r="H107" s="24" t="s">
        <v>693</v>
      </c>
      <c r="I107" s="25">
        <v>490.92</v>
      </c>
      <c r="J107" s="23">
        <v>52254.109999999971</v>
      </c>
      <c r="K107" s="23">
        <v>202643.41999999969</v>
      </c>
    </row>
    <row r="108" spans="1:11" x14ac:dyDescent="0.25">
      <c r="A108" s="22" t="s">
        <v>820</v>
      </c>
      <c r="B108" s="43">
        <f t="shared" si="1"/>
        <v>52.745029999999971</v>
      </c>
      <c r="C108" s="24" t="s">
        <v>314</v>
      </c>
      <c r="D108" s="24" t="s">
        <v>316</v>
      </c>
      <c r="E108" s="24" t="s">
        <v>826</v>
      </c>
      <c r="F108" s="17">
        <v>52.225099999999614</v>
      </c>
      <c r="G108" s="24" t="s">
        <v>693</v>
      </c>
      <c r="H108" s="24" t="s">
        <v>694</v>
      </c>
      <c r="I108" s="25">
        <v>517.79999999999995</v>
      </c>
      <c r="J108" s="23">
        <v>52745.02999999997</v>
      </c>
      <c r="K108" s="23">
        <v>202152.49999999968</v>
      </c>
    </row>
    <row r="109" spans="1:11" x14ac:dyDescent="0.25">
      <c r="A109" s="22" t="s">
        <v>820</v>
      </c>
      <c r="B109" s="43">
        <f t="shared" si="1"/>
        <v>53.262829999999973</v>
      </c>
      <c r="C109" s="24" t="s">
        <v>316</v>
      </c>
      <c r="D109" s="24" t="s">
        <v>318</v>
      </c>
      <c r="E109" s="24" t="s">
        <v>826</v>
      </c>
      <c r="F109" s="17">
        <v>52.813709999999617</v>
      </c>
      <c r="G109" s="24" t="s">
        <v>694</v>
      </c>
      <c r="H109" s="24" t="s">
        <v>695</v>
      </c>
      <c r="I109" s="25">
        <v>537.13</v>
      </c>
      <c r="J109" s="23">
        <v>53262.829999999973</v>
      </c>
      <c r="K109" s="23">
        <v>201634.69999999969</v>
      </c>
    </row>
    <row r="110" spans="1:11" x14ac:dyDescent="0.25">
      <c r="A110" s="22" t="s">
        <v>820</v>
      </c>
      <c r="B110" s="43">
        <f t="shared" si="1"/>
        <v>53.79995999999997</v>
      </c>
      <c r="C110" s="24" t="s">
        <v>318</v>
      </c>
      <c r="D110" s="24" t="s">
        <v>320</v>
      </c>
      <c r="E110" s="24" t="s">
        <v>826</v>
      </c>
      <c r="F110" s="17">
        <v>53.418739999999609</v>
      </c>
      <c r="G110" s="24" t="s">
        <v>695</v>
      </c>
      <c r="H110" s="24" t="s">
        <v>696</v>
      </c>
      <c r="I110" s="25">
        <v>580.5</v>
      </c>
      <c r="J110" s="23">
        <v>53799.95999999997</v>
      </c>
      <c r="K110" s="23">
        <v>201097.56999999969</v>
      </c>
    </row>
    <row r="111" spans="1:11" x14ac:dyDescent="0.25">
      <c r="A111" s="22" t="s">
        <v>820</v>
      </c>
      <c r="B111" s="43">
        <f t="shared" si="1"/>
        <v>54.380459999999971</v>
      </c>
      <c r="C111" s="24" t="s">
        <v>320</v>
      </c>
      <c r="D111" s="24" t="s">
        <v>322</v>
      </c>
      <c r="E111" s="24" t="s">
        <v>826</v>
      </c>
      <c r="F111" s="17">
        <v>53.969879999999613</v>
      </c>
      <c r="G111" s="24" t="s">
        <v>696</v>
      </c>
      <c r="H111" s="24" t="s">
        <v>188</v>
      </c>
      <c r="I111" s="25">
        <v>565.9</v>
      </c>
      <c r="J111" s="23">
        <v>54380.45999999997</v>
      </c>
      <c r="K111" s="23">
        <v>200517.06999999969</v>
      </c>
    </row>
    <row r="112" spans="1:11" x14ac:dyDescent="0.25">
      <c r="A112" s="22" t="s">
        <v>820</v>
      </c>
      <c r="B112" s="43">
        <f t="shared" si="1"/>
        <v>54.94635999999997</v>
      </c>
      <c r="C112" s="24" t="s">
        <v>322</v>
      </c>
      <c r="D112" s="24" t="s">
        <v>324</v>
      </c>
      <c r="E112" s="24" t="s">
        <v>826</v>
      </c>
      <c r="F112" s="17">
        <v>54.471879999999615</v>
      </c>
      <c r="G112" s="24" t="s">
        <v>188</v>
      </c>
      <c r="H112" s="24" t="s">
        <v>189</v>
      </c>
      <c r="I112" s="25">
        <v>497.64</v>
      </c>
      <c r="J112" s="23">
        <v>54946.359999999971</v>
      </c>
      <c r="K112" s="23">
        <v>199951.16999999969</v>
      </c>
    </row>
    <row r="113" spans="1:11" x14ac:dyDescent="0.25">
      <c r="A113" s="22" t="s">
        <v>820</v>
      </c>
      <c r="B113" s="43">
        <f t="shared" si="1"/>
        <v>55.443999999999974</v>
      </c>
      <c r="C113" s="24" t="s">
        <v>324</v>
      </c>
      <c r="D113" s="24" t="s">
        <v>326</v>
      </c>
      <c r="E113" s="24" t="s">
        <v>826</v>
      </c>
      <c r="F113" s="17">
        <v>54.976969999999611</v>
      </c>
      <c r="G113" s="24" t="s">
        <v>189</v>
      </c>
      <c r="H113" s="24" t="s">
        <v>190</v>
      </c>
      <c r="I113" s="25">
        <v>504.75</v>
      </c>
      <c r="J113" s="23">
        <v>55443.999999999971</v>
      </c>
      <c r="K113" s="23">
        <v>199453.52999999968</v>
      </c>
    </row>
    <row r="114" spans="1:11" x14ac:dyDescent="0.25">
      <c r="A114" s="22" t="s">
        <v>820</v>
      </c>
      <c r="B114" s="43">
        <f t="shared" si="1"/>
        <v>55.948749999999968</v>
      </c>
      <c r="C114" s="24" t="s">
        <v>326</v>
      </c>
      <c r="D114" s="24" t="s">
        <v>328</v>
      </c>
      <c r="E114" s="24" t="s">
        <v>826</v>
      </c>
      <c r="F114" s="17">
        <v>55.518229999999612</v>
      </c>
      <c r="G114" s="24" t="s">
        <v>190</v>
      </c>
      <c r="H114" s="24" t="s">
        <v>191</v>
      </c>
      <c r="I114" s="25">
        <v>544.66999999999996</v>
      </c>
      <c r="J114" s="23">
        <v>55948.749999999971</v>
      </c>
      <c r="K114" s="23">
        <v>198948.77999999968</v>
      </c>
    </row>
    <row r="115" spans="1:11" x14ac:dyDescent="0.25">
      <c r="A115" s="22" t="s">
        <v>820</v>
      </c>
      <c r="B115" s="43">
        <f t="shared" si="1"/>
        <v>56.493419999999972</v>
      </c>
      <c r="C115" s="24" t="s">
        <v>328</v>
      </c>
      <c r="D115" s="24" t="s">
        <v>330</v>
      </c>
      <c r="E115" s="24" t="s">
        <v>826</v>
      </c>
      <c r="F115" s="17">
        <v>55.985309999999615</v>
      </c>
      <c r="G115" s="24" t="s">
        <v>191</v>
      </c>
      <c r="H115" s="24" t="s">
        <v>192</v>
      </c>
      <c r="I115" s="25">
        <v>655.59000000000378</v>
      </c>
      <c r="J115" s="23">
        <v>56493.419999999969</v>
      </c>
      <c r="K115" s="23">
        <v>198404.10999999967</v>
      </c>
    </row>
    <row r="116" spans="1:11" x14ac:dyDescent="0.25">
      <c r="A116" s="22" t="s">
        <v>820</v>
      </c>
      <c r="B116" s="43">
        <f t="shared" si="1"/>
        <v>57.149009999999976</v>
      </c>
      <c r="C116" s="24" t="s">
        <v>330</v>
      </c>
      <c r="D116" s="24" t="s">
        <v>332</v>
      </c>
      <c r="E116" s="24" t="s">
        <v>826</v>
      </c>
      <c r="F116" s="17">
        <v>56.51170999999961</v>
      </c>
      <c r="G116" s="24" t="s">
        <v>192</v>
      </c>
      <c r="H116" s="24" t="s">
        <v>193</v>
      </c>
      <c r="I116" s="25">
        <v>603.66</v>
      </c>
      <c r="J116" s="23">
        <v>57149.009999999973</v>
      </c>
      <c r="K116" s="23">
        <v>197748.51999999967</v>
      </c>
    </row>
    <row r="117" spans="1:11" x14ac:dyDescent="0.25">
      <c r="A117" s="22" t="s">
        <v>820</v>
      </c>
      <c r="B117" s="43">
        <f t="shared" si="1"/>
        <v>57.752669999999974</v>
      </c>
      <c r="C117" s="24" t="s">
        <v>332</v>
      </c>
      <c r="D117" s="24" t="s">
        <v>334</v>
      </c>
      <c r="E117" s="24" t="s">
        <v>826</v>
      </c>
      <c r="F117" s="17">
        <v>57.053899999999615</v>
      </c>
      <c r="G117" s="24" t="s">
        <v>193</v>
      </c>
      <c r="H117" s="24" t="s">
        <v>194</v>
      </c>
      <c r="I117" s="25">
        <v>594.15</v>
      </c>
      <c r="J117" s="23">
        <v>57752.669999999976</v>
      </c>
      <c r="K117" s="23">
        <v>197144.85999999967</v>
      </c>
    </row>
    <row r="118" spans="1:11" x14ac:dyDescent="0.25">
      <c r="A118" s="22" t="s">
        <v>820</v>
      </c>
      <c r="B118" s="43">
        <f t="shared" si="1"/>
        <v>58.34681999999998</v>
      </c>
      <c r="C118" s="24" t="s">
        <v>334</v>
      </c>
      <c r="D118" s="24" t="s">
        <v>336</v>
      </c>
      <c r="E118" s="24" t="s">
        <v>826</v>
      </c>
      <c r="F118" s="17">
        <v>57.504899999999616</v>
      </c>
      <c r="G118" s="24" t="s">
        <v>194</v>
      </c>
      <c r="H118" s="24" t="s">
        <v>195</v>
      </c>
      <c r="I118" s="25">
        <v>484.25</v>
      </c>
      <c r="J118" s="23">
        <v>58346.819999999978</v>
      </c>
      <c r="K118" s="23">
        <v>196550.70999999967</v>
      </c>
    </row>
    <row r="119" spans="1:11" x14ac:dyDescent="0.25">
      <c r="A119" s="22" t="s">
        <v>820</v>
      </c>
      <c r="B119" s="43">
        <f t="shared" si="1"/>
        <v>58.831069999999976</v>
      </c>
      <c r="C119" s="24" t="s">
        <v>336</v>
      </c>
      <c r="D119" s="24" t="s">
        <v>338</v>
      </c>
      <c r="E119" s="24" t="s">
        <v>826</v>
      </c>
      <c r="F119" s="17">
        <v>57.883929999999616</v>
      </c>
      <c r="G119" s="24" t="s">
        <v>195</v>
      </c>
      <c r="H119" s="24" t="s">
        <v>196</v>
      </c>
      <c r="I119" s="25">
        <v>513.02</v>
      </c>
      <c r="J119" s="23">
        <v>58831.069999999978</v>
      </c>
      <c r="K119" s="23">
        <v>196066.45999999967</v>
      </c>
    </row>
    <row r="120" spans="1:11" x14ac:dyDescent="0.25">
      <c r="A120" s="22" t="s">
        <v>820</v>
      </c>
      <c r="B120" s="43">
        <f t="shared" si="1"/>
        <v>59.344089999999973</v>
      </c>
      <c r="C120" s="24" t="s">
        <v>338</v>
      </c>
      <c r="D120" s="24" t="s">
        <v>340</v>
      </c>
      <c r="E120" s="24" t="s">
        <v>826</v>
      </c>
      <c r="F120" s="17">
        <v>58.400729999999605</v>
      </c>
      <c r="G120" s="24" t="s">
        <v>196</v>
      </c>
      <c r="H120" s="24" t="s">
        <v>197</v>
      </c>
      <c r="I120" s="25">
        <v>424.2</v>
      </c>
      <c r="J120" s="23">
        <v>59344.089999999975</v>
      </c>
      <c r="K120" s="23">
        <v>195553.43999999968</v>
      </c>
    </row>
    <row r="121" spans="1:11" x14ac:dyDescent="0.25">
      <c r="A121" s="22" t="s">
        <v>820</v>
      </c>
      <c r="B121" s="43">
        <f t="shared" si="1"/>
        <v>59.768289999999972</v>
      </c>
      <c r="C121" s="24" t="s">
        <v>340</v>
      </c>
      <c r="D121" s="24" t="s">
        <v>342</v>
      </c>
      <c r="E121" s="24" t="s">
        <v>826</v>
      </c>
      <c r="F121" s="17">
        <v>58.922739999999607</v>
      </c>
      <c r="G121" s="24" t="s">
        <v>197</v>
      </c>
      <c r="H121" s="24" t="s">
        <v>198</v>
      </c>
      <c r="I121" s="25">
        <v>464.23</v>
      </c>
      <c r="J121" s="23">
        <v>59768.289999999972</v>
      </c>
      <c r="K121" s="23">
        <v>195129.23999999967</v>
      </c>
    </row>
    <row r="122" spans="1:11" x14ac:dyDescent="0.25">
      <c r="A122" s="22" t="s">
        <v>820</v>
      </c>
      <c r="B122" s="43">
        <f t="shared" si="1"/>
        <v>60.232519999999973</v>
      </c>
      <c r="C122" s="24" t="s">
        <v>342</v>
      </c>
      <c r="D122" s="24" t="s">
        <v>344</v>
      </c>
      <c r="E122" s="24" t="s">
        <v>826</v>
      </c>
      <c r="F122" s="17">
        <v>59.442379999999616</v>
      </c>
      <c r="G122" s="24" t="s">
        <v>198</v>
      </c>
      <c r="H122" s="24" t="s">
        <v>199</v>
      </c>
      <c r="I122" s="25">
        <v>472.9</v>
      </c>
      <c r="J122" s="23">
        <v>60232.519999999975</v>
      </c>
      <c r="K122" s="23">
        <v>194665.00999999966</v>
      </c>
    </row>
    <row r="123" spans="1:11" x14ac:dyDescent="0.25">
      <c r="A123" s="22" t="s">
        <v>820</v>
      </c>
      <c r="B123" s="43">
        <f t="shared" si="1"/>
        <v>60.705419999999975</v>
      </c>
      <c r="C123" s="24" t="s">
        <v>344</v>
      </c>
      <c r="D123" s="24" t="s">
        <v>346</v>
      </c>
      <c r="E123" s="24" t="s">
        <v>826</v>
      </c>
      <c r="F123" s="17">
        <v>59.934069999999622</v>
      </c>
      <c r="G123" s="24" t="s">
        <v>199</v>
      </c>
      <c r="H123" s="24" t="s">
        <v>200</v>
      </c>
      <c r="I123" s="25">
        <v>565.98</v>
      </c>
      <c r="J123" s="23">
        <v>60705.419999999976</v>
      </c>
      <c r="K123" s="23">
        <v>194192.10999999967</v>
      </c>
    </row>
    <row r="124" spans="1:11" x14ac:dyDescent="0.25">
      <c r="A124" s="22" t="s">
        <v>820</v>
      </c>
      <c r="B124" s="43">
        <f t="shared" si="1"/>
        <v>61.271399999999979</v>
      </c>
      <c r="C124" s="24" t="s">
        <v>346</v>
      </c>
      <c r="D124" s="24" t="s">
        <v>348</v>
      </c>
      <c r="E124" s="24" t="s">
        <v>826</v>
      </c>
      <c r="F124" s="17">
        <v>60.363289999999623</v>
      </c>
      <c r="G124" s="24" t="s">
        <v>200</v>
      </c>
      <c r="H124" s="24" t="s">
        <v>201</v>
      </c>
      <c r="I124" s="25">
        <v>617.20000000000005</v>
      </c>
      <c r="J124" s="23">
        <v>61271.39999999998</v>
      </c>
      <c r="K124" s="23">
        <v>193626.12999999966</v>
      </c>
    </row>
    <row r="125" spans="1:11" x14ac:dyDescent="0.25">
      <c r="A125" s="22" t="s">
        <v>820</v>
      </c>
      <c r="B125" s="43">
        <f t="shared" si="1"/>
        <v>61.888599999999975</v>
      </c>
      <c r="C125" s="24" t="s">
        <v>348</v>
      </c>
      <c r="D125" s="24" t="s">
        <v>350</v>
      </c>
      <c r="E125" s="24" t="s">
        <v>826</v>
      </c>
      <c r="F125" s="17">
        <v>60.849059999999611</v>
      </c>
      <c r="G125" s="24" t="s">
        <v>201</v>
      </c>
      <c r="H125" s="24" t="s">
        <v>202</v>
      </c>
      <c r="I125" s="25">
        <v>548.71</v>
      </c>
      <c r="J125" s="23">
        <v>61888.599999999977</v>
      </c>
      <c r="K125" s="23">
        <v>193008.92999999964</v>
      </c>
    </row>
    <row r="126" spans="1:11" x14ac:dyDescent="0.25">
      <c r="A126" s="22" t="s">
        <v>820</v>
      </c>
      <c r="B126" s="43">
        <f t="shared" si="1"/>
        <v>62.437309999999975</v>
      </c>
      <c r="C126" s="24" t="s">
        <v>350</v>
      </c>
      <c r="D126" s="24" t="s">
        <v>352</v>
      </c>
      <c r="E126" s="24" t="s">
        <v>826</v>
      </c>
      <c r="F126" s="17">
        <v>61.34316999999961</v>
      </c>
      <c r="G126" s="24" t="s">
        <v>202</v>
      </c>
      <c r="H126" s="24" t="s">
        <v>203</v>
      </c>
      <c r="I126" s="25">
        <v>566.92999999999995</v>
      </c>
      <c r="J126" s="23">
        <v>62437.309999999976</v>
      </c>
      <c r="K126" s="23">
        <v>192460.21999999965</v>
      </c>
    </row>
    <row r="127" spans="1:11" x14ac:dyDescent="0.25">
      <c r="A127" s="22" t="s">
        <v>820</v>
      </c>
      <c r="B127" s="43">
        <f t="shared" si="1"/>
        <v>63.004239999999974</v>
      </c>
      <c r="C127" s="24" t="s">
        <v>352</v>
      </c>
      <c r="D127" s="24" t="s">
        <v>354</v>
      </c>
      <c r="E127" s="24" t="s">
        <v>826</v>
      </c>
      <c r="F127" s="17">
        <v>61.884959999999616</v>
      </c>
      <c r="G127" s="24" t="s">
        <v>203</v>
      </c>
      <c r="H127" s="24" t="s">
        <v>204</v>
      </c>
      <c r="I127" s="25">
        <v>441.51</v>
      </c>
      <c r="J127" s="23">
        <v>63004.239999999976</v>
      </c>
      <c r="K127" s="23">
        <v>191893.28999999966</v>
      </c>
    </row>
    <row r="128" spans="1:11" x14ac:dyDescent="0.25">
      <c r="A128" s="22" t="s">
        <v>820</v>
      </c>
      <c r="B128" s="43">
        <f t="shared" si="1"/>
        <v>63.445749999999975</v>
      </c>
      <c r="C128" s="24" t="s">
        <v>354</v>
      </c>
      <c r="D128" s="24" t="s">
        <v>356</v>
      </c>
      <c r="E128" s="24" t="s">
        <v>826</v>
      </c>
      <c r="F128" s="17">
        <v>62.368839999999608</v>
      </c>
      <c r="G128" s="24" t="s">
        <v>204</v>
      </c>
      <c r="H128" s="24" t="s">
        <v>205</v>
      </c>
      <c r="I128" s="25">
        <v>700.99</v>
      </c>
      <c r="J128" s="23">
        <v>63445.749999999978</v>
      </c>
      <c r="K128" s="23">
        <v>191451.77999999965</v>
      </c>
    </row>
    <row r="129" spans="1:11" x14ac:dyDescent="0.25">
      <c r="A129" s="22" t="s">
        <v>820</v>
      </c>
      <c r="B129" s="43">
        <f t="shared" si="1"/>
        <v>64.14673999999998</v>
      </c>
      <c r="C129" s="24" t="s">
        <v>356</v>
      </c>
      <c r="D129" s="24" t="s">
        <v>358</v>
      </c>
      <c r="E129" s="24" t="s">
        <v>826</v>
      </c>
      <c r="F129" s="17">
        <v>62.867609999999608</v>
      </c>
      <c r="G129" s="24" t="s">
        <v>205</v>
      </c>
      <c r="H129" s="24" t="s">
        <v>206</v>
      </c>
      <c r="I129" s="25">
        <v>353.52</v>
      </c>
      <c r="J129" s="23">
        <v>64146.739999999976</v>
      </c>
      <c r="K129" s="23">
        <v>190750.78999999966</v>
      </c>
    </row>
    <row r="130" spans="1:11" x14ac:dyDescent="0.25">
      <c r="A130" s="22" t="s">
        <v>820</v>
      </c>
      <c r="B130" s="43">
        <f t="shared" si="1"/>
        <v>64.500259999999969</v>
      </c>
      <c r="C130" s="24" t="s">
        <v>358</v>
      </c>
      <c r="D130" s="24" t="s">
        <v>360</v>
      </c>
      <c r="E130" s="24" t="s">
        <v>826</v>
      </c>
      <c r="F130" s="17">
        <v>63.377369999999608</v>
      </c>
      <c r="G130" s="24" t="s">
        <v>206</v>
      </c>
      <c r="H130" s="24" t="s">
        <v>207</v>
      </c>
      <c r="I130" s="25">
        <v>270.37</v>
      </c>
      <c r="J130" s="23">
        <v>64500.259999999973</v>
      </c>
      <c r="K130" s="23">
        <v>190397.26999999967</v>
      </c>
    </row>
    <row r="131" spans="1:11" x14ac:dyDescent="0.25">
      <c r="A131" s="22" t="s">
        <v>820</v>
      </c>
      <c r="B131" s="43">
        <f t="shared" ref="B131:B194" si="2">J131/1000</f>
        <v>64.770629999999969</v>
      </c>
      <c r="C131" s="24" t="s">
        <v>360</v>
      </c>
      <c r="D131" s="24" t="s">
        <v>362</v>
      </c>
      <c r="E131" s="24" t="s">
        <v>826</v>
      </c>
      <c r="F131" s="17">
        <v>63.906759999999608</v>
      </c>
      <c r="G131" s="24" t="s">
        <v>207</v>
      </c>
      <c r="H131" s="24" t="s">
        <v>208</v>
      </c>
      <c r="I131" s="25">
        <v>616.82000000000698</v>
      </c>
      <c r="J131" s="23">
        <v>64770.629999999976</v>
      </c>
      <c r="K131" s="23">
        <v>190126.89999999967</v>
      </c>
    </row>
    <row r="132" spans="1:11" x14ac:dyDescent="0.25">
      <c r="A132" s="22" t="s">
        <v>820</v>
      </c>
      <c r="B132" s="43">
        <f t="shared" si="2"/>
        <v>65.387449999999987</v>
      </c>
      <c r="C132" s="24" t="s">
        <v>362</v>
      </c>
      <c r="D132" s="24" t="s">
        <v>364</v>
      </c>
      <c r="E132" s="24" t="s">
        <v>826</v>
      </c>
      <c r="F132" s="17">
        <v>64.409809999999609</v>
      </c>
      <c r="G132" s="24" t="s">
        <v>208</v>
      </c>
      <c r="H132" s="24" t="s">
        <v>209</v>
      </c>
      <c r="I132" s="25">
        <v>589.91000000000349</v>
      </c>
      <c r="J132" s="23">
        <v>65387.449999999983</v>
      </c>
      <c r="K132" s="23">
        <v>189510.07999999967</v>
      </c>
    </row>
    <row r="133" spans="1:11" x14ac:dyDescent="0.25">
      <c r="A133" s="22" t="s">
        <v>820</v>
      </c>
      <c r="B133" s="43">
        <f t="shared" si="2"/>
        <v>65.97735999999999</v>
      </c>
      <c r="C133" s="24" t="s">
        <v>364</v>
      </c>
      <c r="D133" s="24" t="s">
        <v>366</v>
      </c>
      <c r="E133" s="24" t="s">
        <v>826</v>
      </c>
      <c r="F133" s="17">
        <v>64.856509999999602</v>
      </c>
      <c r="G133" s="24" t="s">
        <v>209</v>
      </c>
      <c r="H133" s="24" t="s">
        <v>210</v>
      </c>
      <c r="I133" s="25">
        <v>446.85</v>
      </c>
      <c r="J133" s="23">
        <v>65977.359999999986</v>
      </c>
      <c r="K133" s="23">
        <v>188920.16999999966</v>
      </c>
    </row>
    <row r="134" spans="1:11" x14ac:dyDescent="0.25">
      <c r="A134" s="22" t="s">
        <v>820</v>
      </c>
      <c r="B134" s="43">
        <f t="shared" si="2"/>
        <v>66.424209999999988</v>
      </c>
      <c r="C134" s="24" t="s">
        <v>366</v>
      </c>
      <c r="D134" s="24" t="s">
        <v>368</v>
      </c>
      <c r="E134" s="24" t="s">
        <v>826</v>
      </c>
      <c r="F134" s="17">
        <v>65.407659999999609</v>
      </c>
      <c r="G134" s="24" t="s">
        <v>210</v>
      </c>
      <c r="H134" s="24" t="s">
        <v>211</v>
      </c>
      <c r="I134" s="25">
        <v>590</v>
      </c>
      <c r="J134" s="23">
        <v>66424.209999999992</v>
      </c>
      <c r="K134" s="23">
        <v>188473.31999999966</v>
      </c>
    </row>
    <row r="135" spans="1:11" x14ac:dyDescent="0.25">
      <c r="A135" s="22" t="s">
        <v>820</v>
      </c>
      <c r="B135" s="43">
        <f t="shared" si="2"/>
        <v>67.014209999999991</v>
      </c>
      <c r="C135" s="24" t="s">
        <v>368</v>
      </c>
      <c r="D135" s="24" t="s">
        <v>370</v>
      </c>
      <c r="E135" s="24" t="s">
        <v>826</v>
      </c>
      <c r="F135" s="17">
        <v>65.921959999999615</v>
      </c>
      <c r="G135" s="24" t="s">
        <v>211</v>
      </c>
      <c r="H135" s="24" t="s">
        <v>212</v>
      </c>
      <c r="I135" s="25">
        <v>693.6</v>
      </c>
      <c r="J135" s="23">
        <v>67014.209999999992</v>
      </c>
      <c r="K135" s="23">
        <v>187883.31999999966</v>
      </c>
    </row>
    <row r="136" spans="1:11" x14ac:dyDescent="0.25">
      <c r="A136" s="22" t="s">
        <v>820</v>
      </c>
      <c r="B136" s="43">
        <f t="shared" si="2"/>
        <v>67.707809999999995</v>
      </c>
      <c r="C136" s="24" t="s">
        <v>370</v>
      </c>
      <c r="D136" s="24" t="s">
        <v>372</v>
      </c>
      <c r="E136" s="24" t="s">
        <v>826</v>
      </c>
      <c r="F136" s="17">
        <v>66.488319999999618</v>
      </c>
      <c r="G136" s="24" t="s">
        <v>212</v>
      </c>
      <c r="H136" s="24" t="s">
        <v>213</v>
      </c>
      <c r="I136" s="25">
        <v>416.14</v>
      </c>
      <c r="J136" s="23">
        <v>67707.81</v>
      </c>
      <c r="K136" s="23">
        <v>187189.71999999965</v>
      </c>
    </row>
    <row r="137" spans="1:11" x14ac:dyDescent="0.25">
      <c r="A137" s="22" t="s">
        <v>820</v>
      </c>
      <c r="B137" s="43">
        <f t="shared" si="2"/>
        <v>68.123949999999994</v>
      </c>
      <c r="C137" s="24" t="s">
        <v>372</v>
      </c>
      <c r="D137" s="24" t="s">
        <v>374</v>
      </c>
      <c r="E137" s="24" t="s">
        <v>826</v>
      </c>
      <c r="F137" s="17">
        <v>67.073219999999608</v>
      </c>
      <c r="G137" s="24" t="s">
        <v>213</v>
      </c>
      <c r="H137" s="24" t="s">
        <v>214</v>
      </c>
      <c r="I137" s="25">
        <v>472.18999999998778</v>
      </c>
      <c r="J137" s="23">
        <v>68123.95</v>
      </c>
      <c r="K137" s="23">
        <v>186773.57999999964</v>
      </c>
    </row>
    <row r="138" spans="1:11" x14ac:dyDescent="0.25">
      <c r="A138" s="22" t="s">
        <v>820</v>
      </c>
      <c r="B138" s="43">
        <f t="shared" si="2"/>
        <v>68.596139999999991</v>
      </c>
      <c r="C138" s="24" t="s">
        <v>374</v>
      </c>
      <c r="D138" s="24" t="s">
        <v>376</v>
      </c>
      <c r="E138" s="24" t="s">
        <v>826</v>
      </c>
      <c r="F138" s="17">
        <v>67.666119999999609</v>
      </c>
      <c r="G138" s="24" t="s">
        <v>214</v>
      </c>
      <c r="H138" s="24" t="s">
        <v>215</v>
      </c>
      <c r="I138" s="25">
        <v>443.5</v>
      </c>
      <c r="J138" s="23">
        <v>68596.139999999985</v>
      </c>
      <c r="K138" s="23">
        <v>186301.38999999966</v>
      </c>
    </row>
    <row r="139" spans="1:11" x14ac:dyDescent="0.25">
      <c r="A139" s="22" t="s">
        <v>820</v>
      </c>
      <c r="B139" s="43">
        <f t="shared" si="2"/>
        <v>69.039639999999991</v>
      </c>
      <c r="C139" s="24" t="s">
        <v>376</v>
      </c>
      <c r="D139" s="24" t="s">
        <v>378</v>
      </c>
      <c r="E139" s="24" t="s">
        <v>826</v>
      </c>
      <c r="F139" s="17">
        <v>68.230419999999611</v>
      </c>
      <c r="G139" s="24" t="s">
        <v>215</v>
      </c>
      <c r="H139" s="24" t="s">
        <v>216</v>
      </c>
      <c r="I139" s="25">
        <v>941.2</v>
      </c>
      <c r="J139" s="23">
        <v>69039.639999999985</v>
      </c>
      <c r="K139" s="23">
        <v>185857.88999999966</v>
      </c>
    </row>
    <row r="140" spans="1:11" x14ac:dyDescent="0.25">
      <c r="A140" s="22" t="s">
        <v>820</v>
      </c>
      <c r="B140" s="43">
        <f t="shared" si="2"/>
        <v>69.980839999999986</v>
      </c>
      <c r="C140" s="24" t="s">
        <v>378</v>
      </c>
      <c r="D140" s="24" t="s">
        <v>380</v>
      </c>
      <c r="E140" s="24" t="s">
        <v>826</v>
      </c>
      <c r="F140" s="17">
        <v>68.687209999999595</v>
      </c>
      <c r="G140" s="24" t="s">
        <v>216</v>
      </c>
      <c r="H140" s="24" t="s">
        <v>217</v>
      </c>
      <c r="I140" s="25">
        <v>485.78</v>
      </c>
      <c r="J140" s="23">
        <v>69980.839999999982</v>
      </c>
      <c r="K140" s="23">
        <v>184916.68999999965</v>
      </c>
    </row>
    <row r="141" spans="1:11" x14ac:dyDescent="0.25">
      <c r="A141" s="22" t="s">
        <v>820</v>
      </c>
      <c r="B141" s="43">
        <f t="shared" si="2"/>
        <v>70.466619999999978</v>
      </c>
      <c r="C141" s="24" t="s">
        <v>380</v>
      </c>
      <c r="D141" s="24" t="s">
        <v>382</v>
      </c>
      <c r="E141" s="24" t="s">
        <v>826</v>
      </c>
      <c r="F141" s="17">
        <v>69.133809999999599</v>
      </c>
      <c r="G141" s="24" t="s">
        <v>217</v>
      </c>
      <c r="H141" s="24" t="s">
        <v>218</v>
      </c>
      <c r="I141" s="25">
        <v>547.38999999999942</v>
      </c>
      <c r="J141" s="23">
        <v>70466.619999999981</v>
      </c>
      <c r="K141" s="23">
        <v>184430.90999999965</v>
      </c>
    </row>
    <row r="142" spans="1:11" x14ac:dyDescent="0.25">
      <c r="A142" s="22" t="s">
        <v>820</v>
      </c>
      <c r="B142" s="43">
        <f t="shared" si="2"/>
        <v>71.014009999999985</v>
      </c>
      <c r="C142" s="24" t="s">
        <v>382</v>
      </c>
      <c r="D142" s="24" t="s">
        <v>384</v>
      </c>
      <c r="E142" s="24" t="s">
        <v>826</v>
      </c>
      <c r="F142" s="17">
        <v>69.6292899999996</v>
      </c>
      <c r="G142" s="24" t="s">
        <v>218</v>
      </c>
      <c r="H142" s="24" t="s">
        <v>219</v>
      </c>
      <c r="I142" s="25">
        <v>448.49</v>
      </c>
      <c r="J142" s="23">
        <v>71014.00999999998</v>
      </c>
      <c r="K142" s="23">
        <v>183883.51999999967</v>
      </c>
    </row>
    <row r="143" spans="1:11" x14ac:dyDescent="0.25">
      <c r="A143" s="22" t="s">
        <v>820</v>
      </c>
      <c r="B143" s="43">
        <f t="shared" si="2"/>
        <v>71.462499999999991</v>
      </c>
      <c r="C143" s="24" t="s">
        <v>384</v>
      </c>
      <c r="D143" s="24" t="s">
        <v>386</v>
      </c>
      <c r="E143" s="24" t="s">
        <v>826</v>
      </c>
      <c r="F143" s="17">
        <v>70.150149999999599</v>
      </c>
      <c r="G143" s="24" t="s">
        <v>219</v>
      </c>
      <c r="H143" s="24" t="s">
        <v>220</v>
      </c>
      <c r="I143" s="25">
        <v>507.1</v>
      </c>
      <c r="J143" s="23">
        <v>71462.499999999985</v>
      </c>
      <c r="K143" s="23">
        <v>183435.02999999968</v>
      </c>
    </row>
    <row r="144" spans="1:11" x14ac:dyDescent="0.25">
      <c r="A144" s="22" t="s">
        <v>820</v>
      </c>
      <c r="B144" s="43">
        <f t="shared" si="2"/>
        <v>71.969599999999986</v>
      </c>
      <c r="C144" s="24" t="s">
        <v>386</v>
      </c>
      <c r="D144" s="24" t="s">
        <v>388</v>
      </c>
      <c r="E144" s="24" t="s">
        <v>826</v>
      </c>
      <c r="F144" s="17">
        <v>70.709829999999599</v>
      </c>
      <c r="G144" s="24" t="s">
        <v>220</v>
      </c>
      <c r="H144" s="24" t="s">
        <v>221</v>
      </c>
      <c r="I144" s="25">
        <v>370.4</v>
      </c>
      <c r="J144" s="23">
        <v>71969.599999999991</v>
      </c>
      <c r="K144" s="23">
        <v>182927.92999999967</v>
      </c>
    </row>
    <row r="145" spans="1:11" x14ac:dyDescent="0.25">
      <c r="A145" s="22" t="s">
        <v>820</v>
      </c>
      <c r="B145" s="43">
        <f t="shared" si="2"/>
        <v>72.339999999999989</v>
      </c>
      <c r="C145" s="24" t="s">
        <v>388</v>
      </c>
      <c r="D145" s="24" t="s">
        <v>390</v>
      </c>
      <c r="E145" s="24" t="s">
        <v>826</v>
      </c>
      <c r="F145" s="17">
        <v>71.287569999999604</v>
      </c>
      <c r="G145" s="24" t="s">
        <v>221</v>
      </c>
      <c r="H145" s="24" t="s">
        <v>222</v>
      </c>
      <c r="I145" s="25">
        <v>537.13</v>
      </c>
      <c r="J145" s="23">
        <v>72339.999999999985</v>
      </c>
      <c r="K145" s="23">
        <v>182557.52999999968</v>
      </c>
    </row>
    <row r="146" spans="1:11" x14ac:dyDescent="0.25">
      <c r="A146" s="22" t="s">
        <v>820</v>
      </c>
      <c r="B146" s="43">
        <f t="shared" si="2"/>
        <v>72.877129999999994</v>
      </c>
      <c r="C146" s="24" t="s">
        <v>390</v>
      </c>
      <c r="D146" s="24" t="s">
        <v>392</v>
      </c>
      <c r="E146" s="24" t="s">
        <v>826</v>
      </c>
      <c r="F146" s="17">
        <v>71.8182699999996</v>
      </c>
      <c r="G146" s="24" t="s">
        <v>222</v>
      </c>
      <c r="H146" s="24" t="s">
        <v>223</v>
      </c>
      <c r="I146" s="25">
        <v>486</v>
      </c>
      <c r="J146" s="23">
        <v>72877.12999999999</v>
      </c>
      <c r="K146" s="23">
        <v>182020.39999999967</v>
      </c>
    </row>
    <row r="147" spans="1:11" x14ac:dyDescent="0.25">
      <c r="A147" s="22" t="s">
        <v>820</v>
      </c>
      <c r="B147" s="43">
        <f t="shared" si="2"/>
        <v>73.363129999999984</v>
      </c>
      <c r="C147" s="24" t="s">
        <v>392</v>
      </c>
      <c r="D147" s="24" t="s">
        <v>394</v>
      </c>
      <c r="E147" s="24" t="s">
        <v>826</v>
      </c>
      <c r="F147" s="17">
        <v>72.379969999999588</v>
      </c>
      <c r="G147" s="24" t="s">
        <v>223</v>
      </c>
      <c r="H147" s="24" t="s">
        <v>224</v>
      </c>
      <c r="I147" s="25">
        <v>494.27</v>
      </c>
      <c r="J147" s="23">
        <v>73363.12999999999</v>
      </c>
      <c r="K147" s="23">
        <v>181534.39999999967</v>
      </c>
    </row>
    <row r="148" spans="1:11" x14ac:dyDescent="0.25">
      <c r="A148" s="22" t="s">
        <v>820</v>
      </c>
      <c r="B148" s="43">
        <f t="shared" si="2"/>
        <v>73.857399999999998</v>
      </c>
      <c r="C148" s="24" t="s">
        <v>394</v>
      </c>
      <c r="D148" s="24" t="s">
        <v>396</v>
      </c>
      <c r="E148" s="24" t="s">
        <v>826</v>
      </c>
      <c r="F148" s="17">
        <v>72.923119999999585</v>
      </c>
      <c r="G148" s="24" t="s">
        <v>224</v>
      </c>
      <c r="H148" s="24" t="s">
        <v>225</v>
      </c>
      <c r="I148" s="25">
        <v>490.37</v>
      </c>
      <c r="J148" s="23">
        <v>73857.399999999994</v>
      </c>
      <c r="K148" s="23">
        <v>181040.12999999968</v>
      </c>
    </row>
    <row r="149" spans="1:11" x14ac:dyDescent="0.25">
      <c r="A149" s="22" t="s">
        <v>820</v>
      </c>
      <c r="B149" s="43">
        <f t="shared" si="2"/>
        <v>74.347769999999983</v>
      </c>
      <c r="C149" s="24" t="s">
        <v>396</v>
      </c>
      <c r="D149" s="24" t="s">
        <v>398</v>
      </c>
      <c r="E149" s="24" t="s">
        <v>826</v>
      </c>
      <c r="F149" s="17">
        <v>73.396749999999599</v>
      </c>
      <c r="G149" s="24" t="s">
        <v>225</v>
      </c>
      <c r="H149" s="24" t="s">
        <v>226</v>
      </c>
      <c r="I149" s="25">
        <v>317.22000000000003</v>
      </c>
      <c r="J149" s="23">
        <v>74347.76999999999</v>
      </c>
      <c r="K149" s="23">
        <v>180549.75999999969</v>
      </c>
    </row>
    <row r="150" spans="1:11" x14ac:dyDescent="0.25">
      <c r="A150" s="22" t="s">
        <v>820</v>
      </c>
      <c r="B150" s="43">
        <f t="shared" si="2"/>
        <v>74.664989999999989</v>
      </c>
      <c r="C150" s="24" t="s">
        <v>398</v>
      </c>
      <c r="D150" s="24" t="s">
        <v>400</v>
      </c>
      <c r="E150" s="24" t="s">
        <v>826</v>
      </c>
      <c r="F150" s="17">
        <v>73.902419999999594</v>
      </c>
      <c r="G150" s="24" t="s">
        <v>226</v>
      </c>
      <c r="H150" s="24" t="s">
        <v>227</v>
      </c>
      <c r="I150" s="25">
        <v>747.28</v>
      </c>
      <c r="J150" s="23">
        <v>74664.989999999991</v>
      </c>
      <c r="K150" s="23">
        <v>180232.53999999969</v>
      </c>
    </row>
    <row r="151" spans="1:11" x14ac:dyDescent="0.25">
      <c r="A151" s="22" t="s">
        <v>820</v>
      </c>
      <c r="B151" s="43">
        <f t="shared" si="2"/>
        <v>75.412269999999992</v>
      </c>
      <c r="C151" s="24" t="s">
        <v>400</v>
      </c>
      <c r="D151" s="24" t="s">
        <v>402</v>
      </c>
      <c r="E151" s="24" t="s">
        <v>826</v>
      </c>
      <c r="F151" s="17">
        <v>74.383879999999593</v>
      </c>
      <c r="G151" s="24" t="s">
        <v>227</v>
      </c>
      <c r="H151" s="24" t="s">
        <v>228</v>
      </c>
      <c r="I151" s="25">
        <v>476.20999999999185</v>
      </c>
      <c r="J151" s="23">
        <v>75412.26999999999</v>
      </c>
      <c r="K151" s="23">
        <v>179485.25999999969</v>
      </c>
    </row>
    <row r="152" spans="1:11" x14ac:dyDescent="0.25">
      <c r="A152" s="22" t="s">
        <v>820</v>
      </c>
      <c r="B152" s="43">
        <f t="shared" si="2"/>
        <v>75.888479999999987</v>
      </c>
      <c r="C152" s="24" t="s">
        <v>402</v>
      </c>
      <c r="D152" s="24" t="s">
        <v>404</v>
      </c>
      <c r="E152" s="24" t="s">
        <v>826</v>
      </c>
      <c r="F152" s="17">
        <v>74.854089999999601</v>
      </c>
      <c r="G152" s="24" t="s">
        <v>228</v>
      </c>
      <c r="H152" s="24" t="s">
        <v>229</v>
      </c>
      <c r="I152" s="25">
        <v>471.78</v>
      </c>
      <c r="J152" s="23">
        <v>75888.479999999981</v>
      </c>
      <c r="K152" s="23">
        <v>179009.0499999997</v>
      </c>
    </row>
    <row r="153" spans="1:11" x14ac:dyDescent="0.25">
      <c r="A153" s="22" t="s">
        <v>820</v>
      </c>
      <c r="B153" s="43">
        <f t="shared" si="2"/>
        <v>76.360259999999982</v>
      </c>
      <c r="C153" s="24" t="s">
        <v>404</v>
      </c>
      <c r="D153" s="24" t="s">
        <v>406</v>
      </c>
      <c r="E153" s="24" t="s">
        <v>826</v>
      </c>
      <c r="F153" s="17">
        <v>75.232099999999605</v>
      </c>
      <c r="G153" s="24" t="s">
        <v>229</v>
      </c>
      <c r="H153" s="24" t="s">
        <v>230</v>
      </c>
      <c r="I153" s="25">
        <v>501.86</v>
      </c>
      <c r="J153" s="23">
        <v>76360.25999999998</v>
      </c>
      <c r="K153" s="23">
        <v>178537.2699999997</v>
      </c>
    </row>
    <row r="154" spans="1:11" x14ac:dyDescent="0.25">
      <c r="A154" s="22" t="s">
        <v>820</v>
      </c>
      <c r="B154" s="43">
        <f t="shared" si="2"/>
        <v>76.862119999999976</v>
      </c>
      <c r="C154" s="24" t="s">
        <v>406</v>
      </c>
      <c r="D154" s="24" t="s">
        <v>408</v>
      </c>
      <c r="E154" s="24" t="s">
        <v>826</v>
      </c>
      <c r="F154" s="17">
        <v>75.607609999999596</v>
      </c>
      <c r="G154" s="24" t="s">
        <v>230</v>
      </c>
      <c r="H154" s="24" t="s">
        <v>231</v>
      </c>
      <c r="I154" s="25">
        <v>359.1</v>
      </c>
      <c r="J154" s="23">
        <v>76862.119999999981</v>
      </c>
      <c r="K154" s="23">
        <v>178035.40999999971</v>
      </c>
    </row>
    <row r="155" spans="1:11" x14ac:dyDescent="0.25">
      <c r="A155" s="22" t="s">
        <v>820</v>
      </c>
      <c r="B155" s="43">
        <f t="shared" si="2"/>
        <v>77.221219999999988</v>
      </c>
      <c r="C155" s="24" t="s">
        <v>408</v>
      </c>
      <c r="D155" s="24" t="s">
        <v>410</v>
      </c>
      <c r="E155" s="24" t="s">
        <v>826</v>
      </c>
      <c r="F155" s="17">
        <v>75.962569999999602</v>
      </c>
      <c r="G155" s="24" t="s">
        <v>231</v>
      </c>
      <c r="H155" s="24" t="s">
        <v>232</v>
      </c>
      <c r="I155" s="25">
        <v>317.67</v>
      </c>
      <c r="J155" s="23">
        <v>77221.219999999987</v>
      </c>
      <c r="K155" s="23">
        <v>177676.30999999971</v>
      </c>
    </row>
    <row r="156" spans="1:11" x14ac:dyDescent="0.25">
      <c r="A156" s="22" t="s">
        <v>820</v>
      </c>
      <c r="B156" s="43">
        <f t="shared" si="2"/>
        <v>77.538889999999981</v>
      </c>
      <c r="C156" s="24" t="s">
        <v>410</v>
      </c>
      <c r="D156" s="24" t="s">
        <v>412</v>
      </c>
      <c r="E156" s="24" t="s">
        <v>826</v>
      </c>
      <c r="F156" s="17">
        <v>76.423919999999612</v>
      </c>
      <c r="G156" s="24" t="s">
        <v>232</v>
      </c>
      <c r="H156" s="24" t="s">
        <v>233</v>
      </c>
      <c r="I156" s="25">
        <v>646.55000000000291</v>
      </c>
      <c r="J156" s="23">
        <v>77538.889999999985</v>
      </c>
      <c r="K156" s="23">
        <v>177358.63999999969</v>
      </c>
    </row>
    <row r="157" spans="1:11" x14ac:dyDescent="0.25">
      <c r="A157" s="22" t="s">
        <v>820</v>
      </c>
      <c r="B157" s="43">
        <f t="shared" si="2"/>
        <v>78.185439999999986</v>
      </c>
      <c r="C157" s="24" t="s">
        <v>412</v>
      </c>
      <c r="D157" s="24" t="s">
        <v>414</v>
      </c>
      <c r="E157" s="24" t="s">
        <v>826</v>
      </c>
      <c r="F157" s="17">
        <v>76.962949999999609</v>
      </c>
      <c r="G157" s="24" t="s">
        <v>233</v>
      </c>
      <c r="H157" s="24" t="s">
        <v>234</v>
      </c>
      <c r="I157" s="25">
        <v>508.44</v>
      </c>
      <c r="J157" s="23">
        <v>78185.439999999988</v>
      </c>
      <c r="K157" s="23">
        <v>176712.08999999968</v>
      </c>
    </row>
    <row r="158" spans="1:11" x14ac:dyDescent="0.25">
      <c r="A158" s="22" t="s">
        <v>820</v>
      </c>
      <c r="B158" s="43">
        <f t="shared" si="2"/>
        <v>78.693879999999993</v>
      </c>
      <c r="C158" s="24" t="s">
        <v>414</v>
      </c>
      <c r="D158" s="24" t="s">
        <v>416</v>
      </c>
      <c r="E158" s="24" t="s">
        <v>826</v>
      </c>
      <c r="F158" s="17">
        <v>77.505669999999611</v>
      </c>
      <c r="G158" s="24" t="s">
        <v>234</v>
      </c>
      <c r="H158" s="24" t="s">
        <v>235</v>
      </c>
      <c r="I158" s="25">
        <v>558.39</v>
      </c>
      <c r="J158" s="23">
        <v>78693.87999999999</v>
      </c>
      <c r="K158" s="23">
        <v>176203.64999999967</v>
      </c>
    </row>
    <row r="159" spans="1:11" x14ac:dyDescent="0.25">
      <c r="A159" s="22" t="s">
        <v>820</v>
      </c>
      <c r="B159" s="43">
        <f t="shared" si="2"/>
        <v>79.252269999999996</v>
      </c>
      <c r="C159" s="24" t="s">
        <v>416</v>
      </c>
      <c r="D159" s="24" t="s">
        <v>418</v>
      </c>
      <c r="E159" s="24" t="s">
        <v>826</v>
      </c>
      <c r="F159" s="17">
        <v>78.006009999999605</v>
      </c>
      <c r="G159" s="24" t="s">
        <v>235</v>
      </c>
      <c r="H159" s="24" t="s">
        <v>236</v>
      </c>
      <c r="I159" s="25">
        <v>359.91</v>
      </c>
      <c r="J159" s="23">
        <v>79252.26999999999</v>
      </c>
      <c r="K159" s="23">
        <v>175645.25999999966</v>
      </c>
    </row>
    <row r="160" spans="1:11" x14ac:dyDescent="0.25">
      <c r="A160" s="22" t="s">
        <v>820</v>
      </c>
      <c r="B160" s="43">
        <f t="shared" si="2"/>
        <v>79.612179999999995</v>
      </c>
      <c r="C160" s="24" t="s">
        <v>418</v>
      </c>
      <c r="D160" s="24" t="s">
        <v>420</v>
      </c>
      <c r="E160" s="24" t="s">
        <v>826</v>
      </c>
      <c r="F160" s="17">
        <v>78.524119999999598</v>
      </c>
      <c r="G160" s="24" t="s">
        <v>236</v>
      </c>
      <c r="H160" s="24" t="s">
        <v>237</v>
      </c>
      <c r="I160" s="25">
        <v>325.19999999999709</v>
      </c>
      <c r="J160" s="23">
        <v>79612.179999999993</v>
      </c>
      <c r="K160" s="23">
        <v>175285.34999999966</v>
      </c>
    </row>
    <row r="161" spans="1:11" x14ac:dyDescent="0.25">
      <c r="A161" s="22" t="s">
        <v>820</v>
      </c>
      <c r="B161" s="43">
        <f t="shared" si="2"/>
        <v>79.93737999999999</v>
      </c>
      <c r="C161" s="24" t="s">
        <v>420</v>
      </c>
      <c r="D161" s="24" t="s">
        <v>422</v>
      </c>
      <c r="E161" s="24" t="s">
        <v>826</v>
      </c>
      <c r="F161" s="17">
        <v>79.065949999999603</v>
      </c>
      <c r="G161" s="24" t="s">
        <v>237</v>
      </c>
      <c r="H161" s="24" t="s">
        <v>238</v>
      </c>
      <c r="I161" s="25">
        <v>314.16000000000003</v>
      </c>
      <c r="J161" s="23">
        <v>79937.37999999999</v>
      </c>
      <c r="K161" s="23">
        <v>174960.14999999967</v>
      </c>
    </row>
    <row r="162" spans="1:11" x14ac:dyDescent="0.25">
      <c r="A162" s="22" t="s">
        <v>820</v>
      </c>
      <c r="B162" s="43">
        <f t="shared" si="2"/>
        <v>80.251539999999991</v>
      </c>
      <c r="C162" s="24" t="s">
        <v>422</v>
      </c>
      <c r="D162" s="24" t="s">
        <v>424</v>
      </c>
      <c r="E162" s="24" t="s">
        <v>826</v>
      </c>
      <c r="F162" s="17">
        <v>79.430249999999603</v>
      </c>
      <c r="G162" s="24" t="s">
        <v>238</v>
      </c>
      <c r="H162" s="24" t="s">
        <v>239</v>
      </c>
      <c r="I162" s="25">
        <v>525.89</v>
      </c>
      <c r="J162" s="23">
        <v>80251.539999999994</v>
      </c>
      <c r="K162" s="23">
        <v>174645.98999999967</v>
      </c>
    </row>
    <row r="163" spans="1:11" x14ac:dyDescent="0.25">
      <c r="A163" s="22" t="s">
        <v>820</v>
      </c>
      <c r="B163" s="43">
        <f t="shared" si="2"/>
        <v>80.777429999999995</v>
      </c>
      <c r="C163" s="24" t="s">
        <v>424</v>
      </c>
      <c r="D163" s="24" t="s">
        <v>426</v>
      </c>
      <c r="E163" s="24" t="s">
        <v>826</v>
      </c>
      <c r="F163" s="17">
        <v>79.974649999999599</v>
      </c>
      <c r="G163" s="24" t="s">
        <v>239</v>
      </c>
      <c r="H163" s="24" t="s">
        <v>240</v>
      </c>
      <c r="I163" s="25">
        <v>365.18</v>
      </c>
      <c r="J163" s="23">
        <v>80777.429999999993</v>
      </c>
      <c r="K163" s="23">
        <v>174120.09999999966</v>
      </c>
    </row>
    <row r="164" spans="1:11" x14ac:dyDescent="0.25">
      <c r="A164" s="22" t="s">
        <v>820</v>
      </c>
      <c r="B164" s="43">
        <f t="shared" si="2"/>
        <v>81.142609999999991</v>
      </c>
      <c r="C164" s="24" t="s">
        <v>426</v>
      </c>
      <c r="D164" s="24" t="s">
        <v>428</v>
      </c>
      <c r="E164" s="24" t="s">
        <v>826</v>
      </c>
      <c r="F164" s="17">
        <v>80.500649999999595</v>
      </c>
      <c r="G164" s="24" t="s">
        <v>240</v>
      </c>
      <c r="H164" s="24" t="s">
        <v>241</v>
      </c>
      <c r="I164" s="25">
        <v>474.74</v>
      </c>
      <c r="J164" s="23">
        <v>81142.609999999986</v>
      </c>
      <c r="K164" s="23">
        <v>173754.91999999966</v>
      </c>
    </row>
    <row r="165" spans="1:11" x14ac:dyDescent="0.25">
      <c r="A165" s="22" t="s">
        <v>820</v>
      </c>
      <c r="B165" s="43">
        <f t="shared" si="2"/>
        <v>81.617349999999988</v>
      </c>
      <c r="C165" s="24" t="s">
        <v>428</v>
      </c>
      <c r="D165" s="24" t="s">
        <v>430</v>
      </c>
      <c r="E165" s="24" t="s">
        <v>826</v>
      </c>
      <c r="F165" s="17">
        <v>81.034279999999612</v>
      </c>
      <c r="G165" s="24" t="s">
        <v>241</v>
      </c>
      <c r="H165" s="24" t="s">
        <v>242</v>
      </c>
      <c r="I165" s="25">
        <v>480.11000000000058</v>
      </c>
      <c r="J165" s="23">
        <v>81617.349999999991</v>
      </c>
      <c r="K165" s="23">
        <v>173280.17999999967</v>
      </c>
    </row>
    <row r="166" spans="1:11" x14ac:dyDescent="0.25">
      <c r="A166" s="22" t="s">
        <v>820</v>
      </c>
      <c r="B166" s="43">
        <f t="shared" si="2"/>
        <v>82.097459999999998</v>
      </c>
      <c r="C166" s="24" t="s">
        <v>430</v>
      </c>
      <c r="D166" s="24" t="s">
        <v>432</v>
      </c>
      <c r="E166" s="24" t="s">
        <v>826</v>
      </c>
      <c r="F166" s="17">
        <v>81.574109999999592</v>
      </c>
      <c r="G166" s="24" t="s">
        <v>242</v>
      </c>
      <c r="H166" s="24" t="s">
        <v>243</v>
      </c>
      <c r="I166" s="25">
        <v>652.28</v>
      </c>
      <c r="J166" s="23">
        <v>82097.459999999992</v>
      </c>
      <c r="K166" s="23">
        <v>172800.06999999966</v>
      </c>
    </row>
    <row r="167" spans="1:11" x14ac:dyDescent="0.25">
      <c r="A167" s="22" t="s">
        <v>820</v>
      </c>
      <c r="B167" s="43">
        <f t="shared" si="2"/>
        <v>82.749739999999989</v>
      </c>
      <c r="C167" s="24" t="s">
        <v>432</v>
      </c>
      <c r="D167" s="24" t="s">
        <v>434</v>
      </c>
      <c r="E167" s="24" t="s">
        <v>826</v>
      </c>
      <c r="F167" s="17">
        <v>82.118639999999587</v>
      </c>
      <c r="G167" s="24" t="s">
        <v>243</v>
      </c>
      <c r="H167" s="24" t="s">
        <v>244</v>
      </c>
      <c r="I167" s="25">
        <v>421.77</v>
      </c>
      <c r="J167" s="23">
        <v>82749.739999999991</v>
      </c>
      <c r="K167" s="23">
        <v>172147.78999999966</v>
      </c>
    </row>
    <row r="168" spans="1:11" x14ac:dyDescent="0.25">
      <c r="A168" s="22" t="s">
        <v>820</v>
      </c>
      <c r="B168" s="43">
        <f t="shared" si="2"/>
        <v>83.171509999999998</v>
      </c>
      <c r="C168" s="24" t="s">
        <v>434</v>
      </c>
      <c r="D168" s="24" t="s">
        <v>436</v>
      </c>
      <c r="E168" s="24" t="s">
        <v>826</v>
      </c>
      <c r="F168" s="17">
        <v>82.671039999999621</v>
      </c>
      <c r="G168" s="24" t="s">
        <v>244</v>
      </c>
      <c r="H168" s="24" t="s">
        <v>245</v>
      </c>
      <c r="I168" s="25">
        <v>348.43</v>
      </c>
      <c r="J168" s="23">
        <v>83171.509999999995</v>
      </c>
      <c r="K168" s="23">
        <v>171726.01999999967</v>
      </c>
    </row>
    <row r="169" spans="1:11" x14ac:dyDescent="0.25">
      <c r="A169" s="22" t="s">
        <v>820</v>
      </c>
      <c r="B169" s="43">
        <f t="shared" si="2"/>
        <v>83.519939999999991</v>
      </c>
      <c r="C169" s="24" t="s">
        <v>436</v>
      </c>
      <c r="D169" s="24" t="s">
        <v>438</v>
      </c>
      <c r="E169" s="24" t="s">
        <v>826</v>
      </c>
      <c r="F169" s="17">
        <v>83.210339999999618</v>
      </c>
      <c r="G169" s="24" t="s">
        <v>245</v>
      </c>
      <c r="H169" s="24" t="s">
        <v>246</v>
      </c>
      <c r="I169" s="25">
        <v>588.79999999999995</v>
      </c>
      <c r="J169" s="23">
        <v>83519.939999999988</v>
      </c>
      <c r="K169" s="23">
        <v>171377.58999999968</v>
      </c>
    </row>
    <row r="170" spans="1:11" x14ac:dyDescent="0.25">
      <c r="A170" s="22" t="s">
        <v>820</v>
      </c>
      <c r="B170" s="43">
        <f t="shared" si="2"/>
        <v>84.108739999999997</v>
      </c>
      <c r="C170" s="24" t="s">
        <v>438</v>
      </c>
      <c r="D170" s="24" t="s">
        <v>440</v>
      </c>
      <c r="E170" s="24" t="s">
        <v>826</v>
      </c>
      <c r="F170" s="17">
        <v>83.799649999999616</v>
      </c>
      <c r="G170" s="24" t="s">
        <v>246</v>
      </c>
      <c r="H170" s="24" t="s">
        <v>247</v>
      </c>
      <c r="I170" s="25">
        <v>355.79</v>
      </c>
      <c r="J170" s="23">
        <v>84108.739999999991</v>
      </c>
      <c r="K170" s="23">
        <v>170788.78999999969</v>
      </c>
    </row>
    <row r="171" spans="1:11" x14ac:dyDescent="0.25">
      <c r="A171" s="22" t="s">
        <v>820</v>
      </c>
      <c r="B171" s="43">
        <f t="shared" si="2"/>
        <v>84.464529999999982</v>
      </c>
      <c r="C171" s="24" t="s">
        <v>440</v>
      </c>
      <c r="D171" s="24" t="s">
        <v>442</v>
      </c>
      <c r="E171" s="24" t="s">
        <v>826</v>
      </c>
      <c r="F171" s="17">
        <v>84.336749999999626</v>
      </c>
      <c r="G171" s="24" t="s">
        <v>247</v>
      </c>
      <c r="H171" s="24" t="s">
        <v>248</v>
      </c>
      <c r="I171" s="25">
        <v>467.25</v>
      </c>
      <c r="J171" s="23">
        <v>84464.529999999984</v>
      </c>
      <c r="K171" s="23">
        <v>170432.99999999968</v>
      </c>
    </row>
    <row r="172" spans="1:11" x14ac:dyDescent="0.25">
      <c r="A172" s="22" t="s">
        <v>820</v>
      </c>
      <c r="B172" s="43">
        <f t="shared" si="2"/>
        <v>84.931779999999989</v>
      </c>
      <c r="C172" s="24" t="s">
        <v>442</v>
      </c>
      <c r="D172" s="24" t="s">
        <v>444</v>
      </c>
      <c r="E172" s="24" t="s">
        <v>826</v>
      </c>
      <c r="F172" s="17">
        <v>84.893539999999618</v>
      </c>
      <c r="G172" s="24" t="s">
        <v>248</v>
      </c>
      <c r="H172" s="24" t="s">
        <v>249</v>
      </c>
      <c r="I172" s="25">
        <v>342.24</v>
      </c>
      <c r="J172" s="23">
        <v>84931.779999999984</v>
      </c>
      <c r="K172" s="23">
        <v>169965.74999999968</v>
      </c>
    </row>
    <row r="173" spans="1:11" x14ac:dyDescent="0.25">
      <c r="A173" s="22" t="s">
        <v>820</v>
      </c>
      <c r="B173" s="43">
        <f t="shared" si="2"/>
        <v>85.274019999999993</v>
      </c>
      <c r="C173" s="24" t="s">
        <v>444</v>
      </c>
      <c r="D173" s="24" t="s">
        <v>446</v>
      </c>
      <c r="E173" s="24" t="s">
        <v>826</v>
      </c>
      <c r="F173" s="17">
        <v>85.426649999999611</v>
      </c>
      <c r="G173" s="24" t="s">
        <v>249</v>
      </c>
      <c r="H173" s="24" t="s">
        <v>250</v>
      </c>
      <c r="I173" s="25">
        <v>344.73</v>
      </c>
      <c r="J173" s="23">
        <v>85274.01999999999</v>
      </c>
      <c r="K173" s="23">
        <v>169623.50999999969</v>
      </c>
    </row>
    <row r="174" spans="1:11" x14ac:dyDescent="0.25">
      <c r="A174" s="22" t="s">
        <v>820</v>
      </c>
      <c r="B174" s="43">
        <f t="shared" si="2"/>
        <v>85.618749999999991</v>
      </c>
      <c r="C174" s="24" t="s">
        <v>446</v>
      </c>
      <c r="D174" s="24" t="s">
        <v>448</v>
      </c>
      <c r="E174" s="24" t="s">
        <v>826</v>
      </c>
      <c r="F174" s="17">
        <v>85.961169999999626</v>
      </c>
      <c r="G174" s="24" t="s">
        <v>250</v>
      </c>
      <c r="H174" s="24" t="s">
        <v>251</v>
      </c>
      <c r="I174" s="25">
        <v>353.29</v>
      </c>
      <c r="J174" s="23">
        <v>85618.749999999985</v>
      </c>
      <c r="K174" s="23">
        <v>169278.77999999968</v>
      </c>
    </row>
    <row r="175" spans="1:11" x14ac:dyDescent="0.25">
      <c r="A175" s="22" t="s">
        <v>820</v>
      </c>
      <c r="B175" s="43">
        <f t="shared" si="2"/>
        <v>85.972039999999978</v>
      </c>
      <c r="C175" s="24" t="s">
        <v>448</v>
      </c>
      <c r="D175" s="24" t="s">
        <v>450</v>
      </c>
      <c r="E175" s="24" t="s">
        <v>826</v>
      </c>
      <c r="F175" s="17">
        <v>86.355519999999629</v>
      </c>
      <c r="G175" s="24" t="s">
        <v>251</v>
      </c>
      <c r="H175" s="24" t="s">
        <v>252</v>
      </c>
      <c r="I175" s="25">
        <v>412.88</v>
      </c>
      <c r="J175" s="23">
        <v>85972.039999999979</v>
      </c>
      <c r="K175" s="23">
        <v>168925.48999999967</v>
      </c>
    </row>
    <row r="176" spans="1:11" x14ac:dyDescent="0.25">
      <c r="A176" s="22" t="s">
        <v>820</v>
      </c>
      <c r="B176" s="43">
        <f t="shared" si="2"/>
        <v>86.38491999999998</v>
      </c>
      <c r="C176" s="24" t="s">
        <v>450</v>
      </c>
      <c r="D176" s="24" t="s">
        <v>452</v>
      </c>
      <c r="E176" s="24" t="s">
        <v>826</v>
      </c>
      <c r="F176" s="17">
        <v>86.925219999999626</v>
      </c>
      <c r="G176" s="24" t="s">
        <v>252</v>
      </c>
      <c r="H176" s="24" t="s">
        <v>253</v>
      </c>
      <c r="I176" s="25">
        <v>521.09</v>
      </c>
      <c r="J176" s="23">
        <v>86384.919999999984</v>
      </c>
      <c r="K176" s="23">
        <v>168512.60999999967</v>
      </c>
    </row>
    <row r="177" spans="1:11" x14ac:dyDescent="0.25">
      <c r="A177" s="22" t="s">
        <v>820</v>
      </c>
      <c r="B177" s="43">
        <f t="shared" si="2"/>
        <v>86.906009999999981</v>
      </c>
      <c r="C177" s="24" t="s">
        <v>452</v>
      </c>
      <c r="D177" s="24" t="s">
        <v>454</v>
      </c>
      <c r="E177" s="24" t="s">
        <v>826</v>
      </c>
      <c r="F177" s="17">
        <v>87.485919999999638</v>
      </c>
      <c r="G177" s="24" t="s">
        <v>253</v>
      </c>
      <c r="H177" s="24" t="s">
        <v>254</v>
      </c>
      <c r="I177" s="25">
        <v>618.29999999999995</v>
      </c>
      <c r="J177" s="23">
        <v>86906.00999999998</v>
      </c>
      <c r="K177" s="23">
        <v>167991.51999999967</v>
      </c>
    </row>
    <row r="178" spans="1:11" x14ac:dyDescent="0.25">
      <c r="A178" s="22" t="s">
        <v>820</v>
      </c>
      <c r="B178" s="43">
        <f t="shared" si="2"/>
        <v>87.524309999999986</v>
      </c>
      <c r="C178" s="24" t="s">
        <v>454</v>
      </c>
      <c r="D178" s="24" t="s">
        <v>456</v>
      </c>
      <c r="E178" s="24" t="s">
        <v>826</v>
      </c>
      <c r="F178" s="17">
        <v>88.064319999999626</v>
      </c>
      <c r="G178" s="24" t="s">
        <v>254</v>
      </c>
      <c r="H178" s="24" t="s">
        <v>255</v>
      </c>
      <c r="I178" s="25">
        <v>397.01</v>
      </c>
      <c r="J178" s="23">
        <v>87524.309999999983</v>
      </c>
      <c r="K178" s="23">
        <v>167373.21999999968</v>
      </c>
    </row>
    <row r="179" spans="1:11" x14ac:dyDescent="0.25">
      <c r="A179" s="22" t="s">
        <v>820</v>
      </c>
      <c r="B179" s="43">
        <f t="shared" si="2"/>
        <v>87.92131999999998</v>
      </c>
      <c r="C179" s="24" t="s">
        <v>456</v>
      </c>
      <c r="D179" s="24" t="s">
        <v>458</v>
      </c>
      <c r="E179" s="24" t="s">
        <v>826</v>
      </c>
      <c r="F179" s="17">
        <v>88.66882999999963</v>
      </c>
      <c r="G179" s="24" t="s">
        <v>255</v>
      </c>
      <c r="H179" s="24" t="s">
        <v>256</v>
      </c>
      <c r="I179" s="25">
        <v>533.34</v>
      </c>
      <c r="J179" s="23">
        <v>87921.319999999978</v>
      </c>
      <c r="K179" s="23">
        <v>166976.20999999967</v>
      </c>
    </row>
    <row r="180" spans="1:11" x14ac:dyDescent="0.25">
      <c r="A180" s="22" t="s">
        <v>820</v>
      </c>
      <c r="B180" s="43">
        <f t="shared" si="2"/>
        <v>88.454659999999976</v>
      </c>
      <c r="C180" s="24" t="s">
        <v>458</v>
      </c>
      <c r="D180" s="24" t="s">
        <v>460</v>
      </c>
      <c r="E180" s="24" t="s">
        <v>826</v>
      </c>
      <c r="F180" s="17">
        <v>89.297229999999615</v>
      </c>
      <c r="G180" s="24" t="s">
        <v>256</v>
      </c>
      <c r="H180" s="24" t="s">
        <v>257</v>
      </c>
      <c r="I180" s="25">
        <v>428.92</v>
      </c>
      <c r="J180" s="23">
        <v>88454.659999999974</v>
      </c>
      <c r="K180" s="23">
        <v>166442.86999999968</v>
      </c>
    </row>
    <row r="181" spans="1:11" x14ac:dyDescent="0.25">
      <c r="A181" s="22" t="s">
        <v>820</v>
      </c>
      <c r="B181" s="43">
        <f t="shared" si="2"/>
        <v>88.883579999999967</v>
      </c>
      <c r="C181" s="24" t="s">
        <v>460</v>
      </c>
      <c r="D181" s="24" t="s">
        <v>462</v>
      </c>
      <c r="E181" s="24" t="s">
        <v>826</v>
      </c>
      <c r="F181" s="17">
        <v>89.647029999999617</v>
      </c>
      <c r="G181" s="24" t="s">
        <v>257</v>
      </c>
      <c r="H181" s="24" t="s">
        <v>258</v>
      </c>
      <c r="I181" s="25">
        <v>490.7</v>
      </c>
      <c r="J181" s="23">
        <v>88883.579999999973</v>
      </c>
      <c r="K181" s="23">
        <v>166013.94999999966</v>
      </c>
    </row>
    <row r="182" spans="1:11" x14ac:dyDescent="0.25">
      <c r="A182" s="22" t="s">
        <v>820</v>
      </c>
      <c r="B182" s="43">
        <f t="shared" si="2"/>
        <v>89.37427999999997</v>
      </c>
      <c r="C182" s="24" t="s">
        <v>462</v>
      </c>
      <c r="D182" s="24" t="s">
        <v>464</v>
      </c>
      <c r="E182" s="24" t="s">
        <v>826</v>
      </c>
      <c r="F182" s="17">
        <v>90.204309999999623</v>
      </c>
      <c r="G182" s="24" t="s">
        <v>258</v>
      </c>
      <c r="H182" s="24" t="s">
        <v>259</v>
      </c>
      <c r="I182" s="25">
        <v>594.52999999999884</v>
      </c>
      <c r="J182" s="23">
        <v>89374.27999999997</v>
      </c>
      <c r="K182" s="23">
        <v>165523.24999999965</v>
      </c>
    </row>
    <row r="183" spans="1:11" x14ac:dyDescent="0.25">
      <c r="A183" s="22" t="s">
        <v>820</v>
      </c>
      <c r="B183" s="43">
        <f t="shared" si="2"/>
        <v>89.968809999999962</v>
      </c>
      <c r="C183" s="24" t="s">
        <v>464</v>
      </c>
      <c r="D183" s="24" t="s">
        <v>466</v>
      </c>
      <c r="E183" s="24" t="s">
        <v>826</v>
      </c>
      <c r="F183" s="17">
        <v>90.553719999999629</v>
      </c>
      <c r="G183" s="24" t="s">
        <v>259</v>
      </c>
      <c r="H183" s="24" t="s">
        <v>260</v>
      </c>
      <c r="I183" s="25">
        <v>459.6</v>
      </c>
      <c r="J183" s="23">
        <v>89968.809999999969</v>
      </c>
      <c r="K183" s="23">
        <v>164928.71999999965</v>
      </c>
    </row>
    <row r="184" spans="1:11" x14ac:dyDescent="0.25">
      <c r="A184" s="22" t="s">
        <v>820</v>
      </c>
      <c r="B184" s="43">
        <f t="shared" si="2"/>
        <v>90.428409999999971</v>
      </c>
      <c r="C184" s="24" t="s">
        <v>466</v>
      </c>
      <c r="D184" s="24" t="s">
        <v>468</v>
      </c>
      <c r="E184" s="24" t="s">
        <v>826</v>
      </c>
      <c r="F184" s="17">
        <v>91.050969999999623</v>
      </c>
      <c r="G184" s="24" t="s">
        <v>260</v>
      </c>
      <c r="H184" s="24" t="s">
        <v>261</v>
      </c>
      <c r="I184" s="25">
        <v>375.85</v>
      </c>
      <c r="J184" s="23">
        <v>90428.409999999974</v>
      </c>
      <c r="K184" s="23">
        <v>164469.11999999965</v>
      </c>
    </row>
    <row r="185" spans="1:11" x14ac:dyDescent="0.25">
      <c r="A185" s="22" t="s">
        <v>820</v>
      </c>
      <c r="B185" s="43">
        <f t="shared" si="2"/>
        <v>90.804259999999985</v>
      </c>
      <c r="C185" s="24" t="s">
        <v>468</v>
      </c>
      <c r="D185" s="24" t="s">
        <v>470</v>
      </c>
      <c r="E185" s="24" t="s">
        <v>826</v>
      </c>
      <c r="F185" s="17">
        <v>91.514499999999629</v>
      </c>
      <c r="G185" s="24" t="s">
        <v>261</v>
      </c>
      <c r="H185" s="24" t="s">
        <v>262</v>
      </c>
      <c r="I185" s="25">
        <v>423.53</v>
      </c>
      <c r="J185" s="23">
        <v>90804.25999999998</v>
      </c>
      <c r="K185" s="23">
        <v>164093.26999999964</v>
      </c>
    </row>
    <row r="186" spans="1:11" x14ac:dyDescent="0.25">
      <c r="A186" s="22" t="s">
        <v>820</v>
      </c>
      <c r="B186" s="43">
        <f t="shared" si="2"/>
        <v>91.227789999999985</v>
      </c>
      <c r="C186" s="24" t="s">
        <v>470</v>
      </c>
      <c r="D186" s="24" t="s">
        <v>472</v>
      </c>
      <c r="E186" s="24" t="s">
        <v>826</v>
      </c>
      <c r="F186" s="17">
        <v>92.073799999999622</v>
      </c>
      <c r="G186" s="24" t="s">
        <v>262</v>
      </c>
      <c r="H186" s="24" t="s">
        <v>263</v>
      </c>
      <c r="I186" s="25">
        <v>451.46</v>
      </c>
      <c r="J186" s="23">
        <v>91227.789999999979</v>
      </c>
      <c r="K186" s="23">
        <v>163669.73999999964</v>
      </c>
    </row>
    <row r="187" spans="1:11" x14ac:dyDescent="0.25">
      <c r="A187" s="22" t="s">
        <v>820</v>
      </c>
      <c r="B187" s="43">
        <f t="shared" si="2"/>
        <v>91.679249999999982</v>
      </c>
      <c r="C187" s="24" t="s">
        <v>472</v>
      </c>
      <c r="D187" s="24" t="s">
        <v>474</v>
      </c>
      <c r="E187" s="24" t="s">
        <v>826</v>
      </c>
      <c r="F187" s="17">
        <v>92.631629999999632</v>
      </c>
      <c r="G187" s="24" t="s">
        <v>263</v>
      </c>
      <c r="H187" s="24" t="s">
        <v>264</v>
      </c>
      <c r="I187" s="25">
        <v>357.58</v>
      </c>
      <c r="J187" s="23">
        <v>91679.249999999985</v>
      </c>
      <c r="K187" s="23">
        <v>163218.27999999965</v>
      </c>
    </row>
    <row r="188" spans="1:11" x14ac:dyDescent="0.25">
      <c r="A188" s="22" t="s">
        <v>820</v>
      </c>
      <c r="B188" s="43">
        <f t="shared" si="2"/>
        <v>92.036829999999981</v>
      </c>
      <c r="C188" s="24" t="s">
        <v>474</v>
      </c>
      <c r="D188" s="24" t="s">
        <v>476</v>
      </c>
      <c r="E188" s="24" t="s">
        <v>826</v>
      </c>
      <c r="F188" s="17">
        <v>93.180099999999626</v>
      </c>
      <c r="G188" s="24" t="s">
        <v>264</v>
      </c>
      <c r="H188" s="24" t="s">
        <v>265</v>
      </c>
      <c r="I188" s="25">
        <v>458.95</v>
      </c>
      <c r="J188" s="23">
        <v>92036.829999999987</v>
      </c>
      <c r="K188" s="23">
        <v>162860.69999999966</v>
      </c>
    </row>
    <row r="189" spans="1:11" x14ac:dyDescent="0.25">
      <c r="A189" s="22" t="s">
        <v>820</v>
      </c>
      <c r="B189" s="43">
        <f t="shared" si="2"/>
        <v>92.495779999999982</v>
      </c>
      <c r="C189" s="24" t="s">
        <v>476</v>
      </c>
      <c r="D189" s="24" t="s">
        <v>478</v>
      </c>
      <c r="E189" s="24" t="s">
        <v>826</v>
      </c>
      <c r="F189" s="17">
        <v>93.564459999999627</v>
      </c>
      <c r="G189" s="24" t="s">
        <v>265</v>
      </c>
      <c r="H189" s="24" t="s">
        <v>266</v>
      </c>
      <c r="I189" s="25">
        <v>461.6</v>
      </c>
      <c r="J189" s="23">
        <v>92495.779999999984</v>
      </c>
      <c r="K189" s="23">
        <v>162401.74999999965</v>
      </c>
    </row>
    <row r="190" spans="1:11" x14ac:dyDescent="0.25">
      <c r="A190" s="22" t="s">
        <v>820</v>
      </c>
      <c r="B190" s="43">
        <f t="shared" si="2"/>
        <v>92.957379999999986</v>
      </c>
      <c r="C190" s="24" t="s">
        <v>478</v>
      </c>
      <c r="D190" s="24" t="s">
        <v>480</v>
      </c>
      <c r="E190" s="24" t="s">
        <v>826</v>
      </c>
      <c r="F190" s="17">
        <v>94.097849999999625</v>
      </c>
      <c r="G190" s="24" t="s">
        <v>266</v>
      </c>
      <c r="H190" s="24" t="s">
        <v>267</v>
      </c>
      <c r="I190" s="25">
        <v>505.02</v>
      </c>
      <c r="J190" s="23">
        <v>92957.37999999999</v>
      </c>
      <c r="K190" s="23">
        <v>161940.14999999964</v>
      </c>
    </row>
    <row r="191" spans="1:11" x14ac:dyDescent="0.25">
      <c r="A191" s="22" t="s">
        <v>820</v>
      </c>
      <c r="B191" s="43">
        <f t="shared" si="2"/>
        <v>93.462399999999988</v>
      </c>
      <c r="C191" s="24" t="s">
        <v>480</v>
      </c>
      <c r="D191" s="24" t="s">
        <v>482</v>
      </c>
      <c r="E191" s="24" t="s">
        <v>826</v>
      </c>
      <c r="F191" s="17">
        <v>94.654449999999628</v>
      </c>
      <c r="G191" s="24" t="s">
        <v>267</v>
      </c>
      <c r="H191" s="24" t="s">
        <v>268</v>
      </c>
      <c r="I191" s="25">
        <v>480.88</v>
      </c>
      <c r="J191" s="23">
        <v>93462.399999999994</v>
      </c>
      <c r="K191" s="23">
        <v>161435.12999999966</v>
      </c>
    </row>
    <row r="192" spans="1:11" x14ac:dyDescent="0.25">
      <c r="A192" s="22" t="s">
        <v>820</v>
      </c>
      <c r="B192" s="43">
        <f t="shared" si="2"/>
        <v>93.943280000000001</v>
      </c>
      <c r="C192" s="24" t="s">
        <v>482</v>
      </c>
      <c r="D192" s="24" t="s">
        <v>484</v>
      </c>
      <c r="E192" s="24" t="s">
        <v>826</v>
      </c>
      <c r="F192" s="17">
        <v>95.231699999999634</v>
      </c>
      <c r="G192" s="24" t="s">
        <v>268</v>
      </c>
      <c r="H192" s="24" t="s">
        <v>269</v>
      </c>
      <c r="I192" s="25">
        <v>444.89</v>
      </c>
      <c r="J192" s="23">
        <v>93943.28</v>
      </c>
      <c r="K192" s="23">
        <v>160954.24999999965</v>
      </c>
    </row>
    <row r="193" spans="1:11" x14ac:dyDescent="0.25">
      <c r="A193" s="22" t="s">
        <v>820</v>
      </c>
      <c r="B193" s="43">
        <f t="shared" si="2"/>
        <v>94.388170000000002</v>
      </c>
      <c r="C193" s="24" t="s">
        <v>484</v>
      </c>
      <c r="D193" s="24" t="s">
        <v>486</v>
      </c>
      <c r="E193" s="24" t="s">
        <v>826</v>
      </c>
      <c r="F193" s="17">
        <v>95.768049999999633</v>
      </c>
      <c r="G193" s="24" t="s">
        <v>269</v>
      </c>
      <c r="H193" s="24" t="s">
        <v>270</v>
      </c>
      <c r="I193" s="25">
        <v>476.49</v>
      </c>
      <c r="J193" s="23">
        <v>94388.17</v>
      </c>
      <c r="K193" s="23">
        <v>160509.35999999964</v>
      </c>
    </row>
    <row r="194" spans="1:11" x14ac:dyDescent="0.25">
      <c r="A194" s="22" t="s">
        <v>820</v>
      </c>
      <c r="B194" s="43">
        <f t="shared" si="2"/>
        <v>94.864660000000001</v>
      </c>
      <c r="C194" s="24" t="s">
        <v>486</v>
      </c>
      <c r="D194" s="24" t="s">
        <v>488</v>
      </c>
      <c r="E194" s="24" t="s">
        <v>826</v>
      </c>
      <c r="F194" s="17">
        <v>96.322899999999649</v>
      </c>
      <c r="G194" s="24" t="s">
        <v>270</v>
      </c>
      <c r="H194" s="24" t="s">
        <v>271</v>
      </c>
      <c r="I194" s="25">
        <v>441.83</v>
      </c>
      <c r="J194" s="23">
        <v>94864.66</v>
      </c>
      <c r="K194" s="23">
        <v>160032.86999999965</v>
      </c>
    </row>
    <row r="195" spans="1:11" x14ac:dyDescent="0.25">
      <c r="A195" s="22" t="s">
        <v>820</v>
      </c>
      <c r="B195" s="43">
        <f t="shared" ref="B195:B258" si="3">J195/1000</f>
        <v>95.306490000000011</v>
      </c>
      <c r="C195" s="24" t="s">
        <v>488</v>
      </c>
      <c r="D195" s="24" t="s">
        <v>490</v>
      </c>
      <c r="E195" s="24" t="s">
        <v>826</v>
      </c>
      <c r="F195" s="17">
        <v>96.884349999999642</v>
      </c>
      <c r="G195" s="24" t="s">
        <v>271</v>
      </c>
      <c r="H195" s="24" t="s">
        <v>273</v>
      </c>
      <c r="I195" s="25">
        <v>418.83</v>
      </c>
      <c r="J195" s="23">
        <v>95306.49</v>
      </c>
      <c r="K195" s="23">
        <v>159591.03999999966</v>
      </c>
    </row>
    <row r="196" spans="1:11" x14ac:dyDescent="0.25">
      <c r="A196" s="22" t="s">
        <v>820</v>
      </c>
      <c r="B196" s="43">
        <f t="shared" si="3"/>
        <v>95.725320000000011</v>
      </c>
      <c r="C196" s="24" t="s">
        <v>490</v>
      </c>
      <c r="D196" s="24" t="s">
        <v>492</v>
      </c>
      <c r="E196" s="24" t="s">
        <v>826</v>
      </c>
      <c r="F196" s="17">
        <v>97.40824999999964</v>
      </c>
      <c r="G196" s="24" t="s">
        <v>273</v>
      </c>
      <c r="H196" s="24" t="s">
        <v>275</v>
      </c>
      <c r="I196" s="25">
        <v>546.96</v>
      </c>
      <c r="J196" s="23">
        <v>95725.32</v>
      </c>
      <c r="K196" s="23">
        <v>159172.20999999967</v>
      </c>
    </row>
    <row r="197" spans="1:11" x14ac:dyDescent="0.25">
      <c r="A197" s="22" t="s">
        <v>820</v>
      </c>
      <c r="B197" s="43">
        <f t="shared" si="3"/>
        <v>96.272280000000009</v>
      </c>
      <c r="C197" s="24" t="s">
        <v>492</v>
      </c>
      <c r="D197" s="24" t="s">
        <v>494</v>
      </c>
      <c r="E197" s="24" t="s">
        <v>826</v>
      </c>
      <c r="F197" s="17">
        <v>97.89594999999963</v>
      </c>
      <c r="G197" s="24" t="s">
        <v>275</v>
      </c>
      <c r="H197" s="24" t="s">
        <v>277</v>
      </c>
      <c r="I197" s="25">
        <v>566.73</v>
      </c>
      <c r="J197" s="23">
        <v>96272.280000000013</v>
      </c>
      <c r="K197" s="23">
        <v>158625.24999999968</v>
      </c>
    </row>
    <row r="198" spans="1:11" x14ac:dyDescent="0.25">
      <c r="A198" s="22" t="s">
        <v>820</v>
      </c>
      <c r="B198" s="43">
        <f t="shared" si="3"/>
        <v>96.839010000000016</v>
      </c>
      <c r="C198" s="24" t="s">
        <v>494</v>
      </c>
      <c r="D198" s="24" t="s">
        <v>496</v>
      </c>
      <c r="E198" s="24" t="s">
        <v>826</v>
      </c>
      <c r="F198" s="17">
        <v>98.309559999999635</v>
      </c>
      <c r="G198" s="24" t="s">
        <v>277</v>
      </c>
      <c r="H198" s="24" t="s">
        <v>279</v>
      </c>
      <c r="I198" s="25">
        <v>374.07</v>
      </c>
      <c r="J198" s="23">
        <v>96839.010000000009</v>
      </c>
      <c r="K198" s="23">
        <v>158058.51999999967</v>
      </c>
    </row>
    <row r="199" spans="1:11" x14ac:dyDescent="0.25">
      <c r="A199" s="22" t="s">
        <v>820</v>
      </c>
      <c r="B199" s="43">
        <f t="shared" si="3"/>
        <v>97.213080000000019</v>
      </c>
      <c r="C199" s="24" t="s">
        <v>496</v>
      </c>
      <c r="D199" s="24" t="s">
        <v>498</v>
      </c>
      <c r="E199" s="24" t="s">
        <v>826</v>
      </c>
      <c r="F199" s="17">
        <v>98.849049999999622</v>
      </c>
      <c r="G199" s="24" t="s">
        <v>279</v>
      </c>
      <c r="H199" s="24" t="s">
        <v>281</v>
      </c>
      <c r="I199" s="25">
        <v>544.29999999999995</v>
      </c>
      <c r="J199" s="23">
        <v>97213.080000000016</v>
      </c>
      <c r="K199" s="23">
        <v>157684.44999999966</v>
      </c>
    </row>
    <row r="200" spans="1:11" x14ac:dyDescent="0.25">
      <c r="A200" s="22" t="s">
        <v>820</v>
      </c>
      <c r="B200" s="43">
        <f t="shared" si="3"/>
        <v>97.757380000000026</v>
      </c>
      <c r="C200" s="24" t="s">
        <v>498</v>
      </c>
      <c r="D200" s="24" t="s">
        <v>500</v>
      </c>
      <c r="E200" s="24" t="s">
        <v>826</v>
      </c>
      <c r="F200" s="17">
        <v>99.402149999999637</v>
      </c>
      <c r="G200" s="24" t="s">
        <v>281</v>
      </c>
      <c r="H200" s="24" t="s">
        <v>283</v>
      </c>
      <c r="I200" s="25">
        <v>531.9</v>
      </c>
      <c r="J200" s="23">
        <v>97757.380000000019</v>
      </c>
      <c r="K200" s="23">
        <v>157140.14999999967</v>
      </c>
    </row>
    <row r="201" spans="1:11" x14ac:dyDescent="0.25">
      <c r="A201" s="22" t="s">
        <v>820</v>
      </c>
      <c r="B201" s="43">
        <f t="shared" si="3"/>
        <v>98.289280000000019</v>
      </c>
      <c r="C201" s="24" t="s">
        <v>500</v>
      </c>
      <c r="D201" s="24" t="s">
        <v>502</v>
      </c>
      <c r="E201" s="24" t="s">
        <v>826</v>
      </c>
      <c r="F201" s="17">
        <v>99.953889999999632</v>
      </c>
      <c r="G201" s="24" t="s">
        <v>283</v>
      </c>
      <c r="H201" s="24" t="s">
        <v>285</v>
      </c>
      <c r="I201" s="25">
        <v>486.31</v>
      </c>
      <c r="J201" s="23">
        <v>98289.280000000013</v>
      </c>
      <c r="K201" s="23">
        <v>156608.24999999968</v>
      </c>
    </row>
    <row r="202" spans="1:11" x14ac:dyDescent="0.25">
      <c r="A202" s="22" t="s">
        <v>820</v>
      </c>
      <c r="B202" s="43">
        <f t="shared" si="3"/>
        <v>98.775590000000008</v>
      </c>
      <c r="C202" s="24" t="s">
        <v>502</v>
      </c>
      <c r="D202" s="24" t="s">
        <v>503</v>
      </c>
      <c r="E202" s="24" t="s">
        <v>826</v>
      </c>
      <c r="F202" s="17">
        <v>100.33928999999964</v>
      </c>
      <c r="G202" s="24" t="s">
        <v>285</v>
      </c>
      <c r="H202" s="24" t="s">
        <v>287</v>
      </c>
      <c r="I202" s="25">
        <v>428.35</v>
      </c>
      <c r="J202" s="23">
        <v>98775.590000000011</v>
      </c>
      <c r="K202" s="23">
        <v>156121.93999999968</v>
      </c>
    </row>
    <row r="203" spans="1:11" x14ac:dyDescent="0.25">
      <c r="A203" s="22" t="s">
        <v>820</v>
      </c>
      <c r="B203" s="43">
        <f t="shared" si="3"/>
        <v>99.203940000000017</v>
      </c>
      <c r="C203" s="24" t="s">
        <v>503</v>
      </c>
      <c r="D203" s="24" t="s">
        <v>501</v>
      </c>
      <c r="E203" s="24" t="s">
        <v>826</v>
      </c>
      <c r="F203" s="17">
        <v>100.83608999999963</v>
      </c>
      <c r="G203" s="24" t="s">
        <v>287</v>
      </c>
      <c r="H203" s="24" t="s">
        <v>289</v>
      </c>
      <c r="I203" s="25">
        <v>556.70000000000005</v>
      </c>
      <c r="J203" s="23">
        <v>99203.940000000017</v>
      </c>
      <c r="K203" s="23">
        <v>155693.58999999968</v>
      </c>
    </row>
    <row r="204" spans="1:11" x14ac:dyDescent="0.25">
      <c r="A204" s="22" t="s">
        <v>820</v>
      </c>
      <c r="B204" s="43">
        <f t="shared" si="3"/>
        <v>99.760640000000009</v>
      </c>
      <c r="C204" s="24" t="s">
        <v>501</v>
      </c>
      <c r="D204" s="24" t="s">
        <v>499</v>
      </c>
      <c r="E204" s="24" t="s">
        <v>826</v>
      </c>
      <c r="F204" s="17">
        <v>101.38986999999963</v>
      </c>
      <c r="G204" s="24" t="s">
        <v>289</v>
      </c>
      <c r="H204" s="24" t="s">
        <v>291</v>
      </c>
      <c r="I204" s="25">
        <v>504.87</v>
      </c>
      <c r="J204" s="23">
        <v>99760.640000000014</v>
      </c>
      <c r="K204" s="23">
        <v>155136.88999999966</v>
      </c>
    </row>
    <row r="205" spans="1:11" x14ac:dyDescent="0.25">
      <c r="A205" s="22" t="s">
        <v>820</v>
      </c>
      <c r="B205" s="43">
        <f t="shared" si="3"/>
        <v>100.26551000000001</v>
      </c>
      <c r="C205" s="24" t="s">
        <v>499</v>
      </c>
      <c r="D205" s="24" t="s">
        <v>497</v>
      </c>
      <c r="E205" s="24" t="s">
        <v>826</v>
      </c>
      <c r="F205" s="17">
        <v>101.97827999999963</v>
      </c>
      <c r="G205" s="24" t="s">
        <v>291</v>
      </c>
      <c r="H205" s="24" t="s">
        <v>293</v>
      </c>
      <c r="I205" s="25">
        <v>401.88</v>
      </c>
      <c r="J205" s="23">
        <v>100265.51000000001</v>
      </c>
      <c r="K205" s="23">
        <v>154632.01999999967</v>
      </c>
    </row>
    <row r="206" spans="1:11" x14ac:dyDescent="0.25">
      <c r="A206" s="22" t="s">
        <v>820</v>
      </c>
      <c r="B206" s="43">
        <f t="shared" si="3"/>
        <v>100.66739000000001</v>
      </c>
      <c r="C206" s="24" t="s">
        <v>497</v>
      </c>
      <c r="D206" s="24" t="s">
        <v>495</v>
      </c>
      <c r="E206" s="24" t="s">
        <v>826</v>
      </c>
      <c r="F206" s="17">
        <v>102.49805999999964</v>
      </c>
      <c r="G206" s="24" t="s">
        <v>293</v>
      </c>
      <c r="H206" s="24" t="s">
        <v>295</v>
      </c>
      <c r="I206" s="25">
        <v>387.77</v>
      </c>
      <c r="J206" s="23">
        <v>100667.39000000001</v>
      </c>
      <c r="K206" s="23">
        <v>154230.13999999966</v>
      </c>
    </row>
    <row r="207" spans="1:11" x14ac:dyDescent="0.25">
      <c r="A207" s="22" t="s">
        <v>820</v>
      </c>
      <c r="B207" s="43">
        <f t="shared" si="3"/>
        <v>101.05516000000001</v>
      </c>
      <c r="C207" s="24" t="s">
        <v>495</v>
      </c>
      <c r="D207" s="24" t="s">
        <v>493</v>
      </c>
      <c r="E207" s="24" t="s">
        <v>826</v>
      </c>
      <c r="F207" s="17">
        <v>103.00969999999963</v>
      </c>
      <c r="G207" s="24" t="s">
        <v>295</v>
      </c>
      <c r="H207" s="24" t="s">
        <v>297</v>
      </c>
      <c r="I207" s="25">
        <v>479.51</v>
      </c>
      <c r="J207" s="23">
        <v>101055.16000000002</v>
      </c>
      <c r="K207" s="23">
        <v>153842.36999999968</v>
      </c>
    </row>
    <row r="208" spans="1:11" x14ac:dyDescent="0.25">
      <c r="A208" s="22" t="s">
        <v>820</v>
      </c>
      <c r="B208" s="43">
        <f t="shared" si="3"/>
        <v>101.53467000000002</v>
      </c>
      <c r="C208" s="24" t="s">
        <v>493</v>
      </c>
      <c r="D208" s="24" t="s">
        <v>491</v>
      </c>
      <c r="E208" s="24" t="s">
        <v>826</v>
      </c>
      <c r="F208" s="17">
        <v>103.54699999999963</v>
      </c>
      <c r="G208" s="24" t="s">
        <v>297</v>
      </c>
      <c r="H208" s="24" t="s">
        <v>299</v>
      </c>
      <c r="I208" s="25">
        <v>557.55999999999995</v>
      </c>
      <c r="J208" s="23">
        <v>101534.67000000001</v>
      </c>
      <c r="K208" s="23">
        <v>153362.85999999967</v>
      </c>
    </row>
    <row r="209" spans="1:11" x14ac:dyDescent="0.25">
      <c r="A209" s="22" t="s">
        <v>820</v>
      </c>
      <c r="B209" s="43">
        <f t="shared" si="3"/>
        <v>102.09223000000001</v>
      </c>
      <c r="C209" s="24" t="s">
        <v>491</v>
      </c>
      <c r="D209" s="24" t="s">
        <v>489</v>
      </c>
      <c r="E209" s="24" t="s">
        <v>826</v>
      </c>
      <c r="F209" s="17">
        <v>103.98049999999962</v>
      </c>
      <c r="G209" s="24" t="s">
        <v>299</v>
      </c>
      <c r="H209" s="24" t="s">
        <v>301</v>
      </c>
      <c r="I209" s="25">
        <v>561.98</v>
      </c>
      <c r="J209" s="23">
        <v>102092.23000000001</v>
      </c>
      <c r="K209" s="23">
        <v>152805.29999999967</v>
      </c>
    </row>
    <row r="210" spans="1:11" x14ac:dyDescent="0.25">
      <c r="A210" s="22" t="s">
        <v>820</v>
      </c>
      <c r="B210" s="43">
        <f t="shared" si="3"/>
        <v>102.65421000000001</v>
      </c>
      <c r="C210" s="24" t="s">
        <v>489</v>
      </c>
      <c r="D210" s="24" t="s">
        <v>487</v>
      </c>
      <c r="E210" s="24" t="s">
        <v>826</v>
      </c>
      <c r="F210" s="17">
        <v>104.42607999999963</v>
      </c>
      <c r="G210" s="24" t="s">
        <v>301</v>
      </c>
      <c r="H210" s="24" t="s">
        <v>303</v>
      </c>
      <c r="I210" s="25">
        <v>490.69</v>
      </c>
      <c r="J210" s="23">
        <v>102654.21</v>
      </c>
      <c r="K210" s="23">
        <v>152243.31999999966</v>
      </c>
    </row>
    <row r="211" spans="1:11" x14ac:dyDescent="0.25">
      <c r="A211" s="22" t="s">
        <v>820</v>
      </c>
      <c r="B211" s="43">
        <f t="shared" si="3"/>
        <v>103.14490000000001</v>
      </c>
      <c r="C211" s="24" t="s">
        <v>487</v>
      </c>
      <c r="D211" s="24" t="s">
        <v>485</v>
      </c>
      <c r="E211" s="24" t="s">
        <v>826</v>
      </c>
      <c r="F211" s="17">
        <v>104.97716999999962</v>
      </c>
      <c r="G211" s="24" t="s">
        <v>303</v>
      </c>
      <c r="H211" s="24" t="s">
        <v>305</v>
      </c>
      <c r="I211" s="25">
        <v>466.72</v>
      </c>
      <c r="J211" s="23">
        <v>103144.90000000001</v>
      </c>
      <c r="K211" s="23">
        <v>151752.62999999966</v>
      </c>
    </row>
    <row r="212" spans="1:11" x14ac:dyDescent="0.25">
      <c r="A212" s="22" t="s">
        <v>820</v>
      </c>
      <c r="B212" s="43">
        <f t="shared" si="3"/>
        <v>103.61162000000002</v>
      </c>
      <c r="C212" s="24" t="s">
        <v>485</v>
      </c>
      <c r="D212" s="24" t="s">
        <v>483</v>
      </c>
      <c r="E212" s="24" t="s">
        <v>826</v>
      </c>
      <c r="F212" s="17">
        <v>105.57581999999961</v>
      </c>
      <c r="G212" s="24" t="s">
        <v>305</v>
      </c>
      <c r="H212" s="24" t="s">
        <v>307</v>
      </c>
      <c r="I212" s="25">
        <v>524.85</v>
      </c>
      <c r="J212" s="23">
        <v>103611.62000000001</v>
      </c>
      <c r="K212" s="23">
        <v>151285.90999999965</v>
      </c>
    </row>
    <row r="213" spans="1:11" x14ac:dyDescent="0.25">
      <c r="A213" s="22" t="s">
        <v>820</v>
      </c>
      <c r="B213" s="43">
        <f t="shared" si="3"/>
        <v>104.13647000000002</v>
      </c>
      <c r="C213" s="24" t="s">
        <v>483</v>
      </c>
      <c r="D213" s="24" t="s">
        <v>481</v>
      </c>
      <c r="E213" s="24" t="s">
        <v>826</v>
      </c>
      <c r="F213" s="17">
        <v>106.13125999999961</v>
      </c>
      <c r="G213" s="24" t="s">
        <v>307</v>
      </c>
      <c r="H213" s="24" t="s">
        <v>309</v>
      </c>
      <c r="I213" s="25">
        <v>608.19000000000005</v>
      </c>
      <c r="J213" s="23">
        <v>104136.47000000002</v>
      </c>
      <c r="K213" s="23">
        <v>150761.05999999965</v>
      </c>
    </row>
    <row r="214" spans="1:11" x14ac:dyDescent="0.25">
      <c r="A214" s="22" t="s">
        <v>820</v>
      </c>
      <c r="B214" s="43">
        <f t="shared" si="3"/>
        <v>104.74466000000002</v>
      </c>
      <c r="C214" s="24" t="s">
        <v>481</v>
      </c>
      <c r="D214" s="24" t="s">
        <v>479</v>
      </c>
      <c r="E214" s="24" t="s">
        <v>826</v>
      </c>
      <c r="F214" s="17">
        <v>106.66383999999962</v>
      </c>
      <c r="G214" s="24" t="s">
        <v>309</v>
      </c>
      <c r="H214" s="24" t="s">
        <v>311</v>
      </c>
      <c r="I214" s="25">
        <v>492.98</v>
      </c>
      <c r="J214" s="23">
        <v>104744.66000000002</v>
      </c>
      <c r="K214" s="23">
        <v>150152.86999999965</v>
      </c>
    </row>
    <row r="215" spans="1:11" x14ac:dyDescent="0.25">
      <c r="A215" s="22" t="s">
        <v>820</v>
      </c>
      <c r="B215" s="43">
        <f t="shared" si="3"/>
        <v>105.23764000000001</v>
      </c>
      <c r="C215" s="24" t="s">
        <v>479</v>
      </c>
      <c r="D215" s="24" t="s">
        <v>477</v>
      </c>
      <c r="E215" s="24" t="s">
        <v>826</v>
      </c>
      <c r="F215" s="17">
        <v>107.21164999999962</v>
      </c>
      <c r="G215" s="24" t="s">
        <v>311</v>
      </c>
      <c r="H215" s="24" t="s">
        <v>313</v>
      </c>
      <c r="I215" s="25">
        <v>383.27</v>
      </c>
      <c r="J215" s="23">
        <v>105237.64000000001</v>
      </c>
      <c r="K215" s="23">
        <v>149659.88999999964</v>
      </c>
    </row>
    <row r="216" spans="1:11" x14ac:dyDescent="0.25">
      <c r="A216" s="22" t="s">
        <v>820</v>
      </c>
      <c r="B216" s="43">
        <f t="shared" si="3"/>
        <v>105.62091000000002</v>
      </c>
      <c r="C216" s="24" t="s">
        <v>477</v>
      </c>
      <c r="D216" s="24" t="s">
        <v>475</v>
      </c>
      <c r="E216" s="24" t="s">
        <v>826</v>
      </c>
      <c r="F216" s="17">
        <v>107.86123999999961</v>
      </c>
      <c r="G216" s="24" t="s">
        <v>313</v>
      </c>
      <c r="H216" s="24" t="s">
        <v>315</v>
      </c>
      <c r="I216" s="25">
        <v>500.8</v>
      </c>
      <c r="J216" s="23">
        <v>105620.91000000002</v>
      </c>
      <c r="K216" s="23">
        <v>149276.61999999965</v>
      </c>
    </row>
    <row r="217" spans="1:11" x14ac:dyDescent="0.25">
      <c r="A217" s="22" t="s">
        <v>820</v>
      </c>
      <c r="B217" s="43">
        <f t="shared" si="3"/>
        <v>106.12171000000002</v>
      </c>
      <c r="C217" s="24" t="s">
        <v>475</v>
      </c>
      <c r="D217" s="24" t="s">
        <v>473</v>
      </c>
      <c r="E217" s="24" t="s">
        <v>826</v>
      </c>
      <c r="F217" s="17">
        <v>108.32913999999961</v>
      </c>
      <c r="G217" s="24" t="s">
        <v>315</v>
      </c>
      <c r="H217" s="24" t="s">
        <v>317</v>
      </c>
      <c r="I217" s="25">
        <v>482.45</v>
      </c>
      <c r="J217" s="23">
        <v>106121.71000000002</v>
      </c>
      <c r="K217" s="23">
        <v>148775.81999999966</v>
      </c>
    </row>
    <row r="218" spans="1:11" x14ac:dyDescent="0.25">
      <c r="A218" s="22" t="s">
        <v>820</v>
      </c>
      <c r="B218" s="43">
        <f t="shared" si="3"/>
        <v>106.60416000000002</v>
      </c>
      <c r="C218" s="24" t="s">
        <v>473</v>
      </c>
      <c r="D218" s="24" t="s">
        <v>471</v>
      </c>
      <c r="E218" s="24" t="s">
        <v>826</v>
      </c>
      <c r="F218" s="17">
        <v>108.7491799999996</v>
      </c>
      <c r="G218" s="24" t="s">
        <v>317</v>
      </c>
      <c r="H218" s="24" t="s">
        <v>319</v>
      </c>
      <c r="I218" s="25">
        <v>484.9</v>
      </c>
      <c r="J218" s="23">
        <v>106604.16000000002</v>
      </c>
      <c r="K218" s="23">
        <v>148293.36999999965</v>
      </c>
    </row>
    <row r="219" spans="1:11" x14ac:dyDescent="0.25">
      <c r="A219" s="22" t="s">
        <v>820</v>
      </c>
      <c r="B219" s="43">
        <f t="shared" si="3"/>
        <v>107.08906000000002</v>
      </c>
      <c r="C219" s="24" t="s">
        <v>471</v>
      </c>
      <c r="D219" s="24" t="s">
        <v>469</v>
      </c>
      <c r="E219" s="24" t="s">
        <v>826</v>
      </c>
      <c r="F219" s="17">
        <v>109.34689999999958</v>
      </c>
      <c r="G219" s="24" t="s">
        <v>319</v>
      </c>
      <c r="H219" s="24" t="s">
        <v>321</v>
      </c>
      <c r="I219" s="25">
        <v>518.67999999999995</v>
      </c>
      <c r="J219" s="23">
        <v>107089.06000000001</v>
      </c>
      <c r="K219" s="23">
        <v>147808.46999999965</v>
      </c>
    </row>
    <row r="220" spans="1:11" x14ac:dyDescent="0.25">
      <c r="A220" s="22" t="s">
        <v>820</v>
      </c>
      <c r="B220" s="43">
        <f t="shared" si="3"/>
        <v>107.60774000000001</v>
      </c>
      <c r="C220" s="24" t="s">
        <v>469</v>
      </c>
      <c r="D220" s="24" t="s">
        <v>467</v>
      </c>
      <c r="E220" s="24" t="s">
        <v>826</v>
      </c>
      <c r="F220" s="17">
        <v>109.77099999999957</v>
      </c>
      <c r="G220" s="24" t="s">
        <v>321</v>
      </c>
      <c r="H220" s="24" t="s">
        <v>323</v>
      </c>
      <c r="I220" s="25">
        <v>619.15</v>
      </c>
      <c r="J220" s="23">
        <v>107607.74</v>
      </c>
      <c r="K220" s="23">
        <v>147289.78999999966</v>
      </c>
    </row>
    <row r="221" spans="1:11" x14ac:dyDescent="0.25">
      <c r="A221" s="22" t="s">
        <v>820</v>
      </c>
      <c r="B221" s="43">
        <f t="shared" si="3"/>
        <v>108.22689</v>
      </c>
      <c r="C221" s="24" t="s">
        <v>467</v>
      </c>
      <c r="D221" s="24" t="s">
        <v>465</v>
      </c>
      <c r="E221" s="24" t="s">
        <v>826</v>
      </c>
      <c r="F221" s="17">
        <v>110.22824999999958</v>
      </c>
      <c r="G221" s="24" t="s">
        <v>323</v>
      </c>
      <c r="H221" s="24" t="s">
        <v>325</v>
      </c>
      <c r="I221" s="25">
        <v>522.51</v>
      </c>
      <c r="J221" s="23">
        <v>108226.89</v>
      </c>
      <c r="K221" s="23">
        <v>146670.63999999966</v>
      </c>
    </row>
    <row r="222" spans="1:11" x14ac:dyDescent="0.25">
      <c r="A222" s="22" t="s">
        <v>820</v>
      </c>
      <c r="B222" s="43">
        <f t="shared" si="3"/>
        <v>108.74939999999999</v>
      </c>
      <c r="C222" s="24" t="s">
        <v>465</v>
      </c>
      <c r="D222" s="24" t="s">
        <v>463</v>
      </c>
      <c r="E222" s="24" t="s">
        <v>826</v>
      </c>
      <c r="F222" s="17">
        <v>110.73279999999959</v>
      </c>
      <c r="G222" s="24" t="s">
        <v>325</v>
      </c>
      <c r="H222" s="24" t="s">
        <v>327</v>
      </c>
      <c r="I222" s="25">
        <v>475.15000000000873</v>
      </c>
      <c r="J222" s="23">
        <v>108749.4</v>
      </c>
      <c r="K222" s="23">
        <v>146148.12999999966</v>
      </c>
    </row>
    <row r="223" spans="1:11" x14ac:dyDescent="0.25">
      <c r="A223" s="22" t="s">
        <v>820</v>
      </c>
      <c r="B223" s="43">
        <f t="shared" si="3"/>
        <v>109.22455000000001</v>
      </c>
      <c r="C223" s="24" t="s">
        <v>463</v>
      </c>
      <c r="D223" s="24" t="s">
        <v>461</v>
      </c>
      <c r="E223" s="24" t="s">
        <v>826</v>
      </c>
      <c r="F223" s="17">
        <v>111.23920999999956</v>
      </c>
      <c r="G223" s="24" t="s">
        <v>327</v>
      </c>
      <c r="H223" s="24" t="s">
        <v>329</v>
      </c>
      <c r="I223" s="25">
        <v>514.44999999999709</v>
      </c>
      <c r="J223" s="23">
        <v>109224.55</v>
      </c>
      <c r="K223" s="23">
        <v>145672.97999999963</v>
      </c>
    </row>
    <row r="224" spans="1:11" x14ac:dyDescent="0.25">
      <c r="A224" s="22" t="s">
        <v>820</v>
      </c>
      <c r="B224" s="43">
        <f t="shared" si="3"/>
        <v>109.739</v>
      </c>
      <c r="C224" s="24" t="s">
        <v>461</v>
      </c>
      <c r="D224" s="24" t="s">
        <v>459</v>
      </c>
      <c r="E224" s="24" t="s">
        <v>826</v>
      </c>
      <c r="F224" s="17">
        <v>111.76410999999955</v>
      </c>
      <c r="G224" s="24" t="s">
        <v>329</v>
      </c>
      <c r="H224" s="24" t="s">
        <v>331</v>
      </c>
      <c r="I224" s="25">
        <v>500.39</v>
      </c>
      <c r="J224" s="23">
        <v>109739</v>
      </c>
      <c r="K224" s="23">
        <v>145158.52999999962</v>
      </c>
    </row>
    <row r="225" spans="1:11" x14ac:dyDescent="0.25">
      <c r="A225" s="22" t="s">
        <v>820</v>
      </c>
      <c r="B225" s="43">
        <f t="shared" si="3"/>
        <v>110.23939</v>
      </c>
      <c r="C225" s="24" t="s">
        <v>459</v>
      </c>
      <c r="D225" s="24" t="s">
        <v>457</v>
      </c>
      <c r="E225" s="24" t="s">
        <v>826</v>
      </c>
      <c r="F225" s="17">
        <v>112.05510999999954</v>
      </c>
      <c r="G225" s="24" t="s">
        <v>331</v>
      </c>
      <c r="H225" s="24" t="s">
        <v>333</v>
      </c>
      <c r="I225" s="25">
        <v>451.39</v>
      </c>
      <c r="J225" s="23">
        <v>110239.39</v>
      </c>
      <c r="K225" s="23">
        <v>144658.13999999961</v>
      </c>
    </row>
    <row r="226" spans="1:11" x14ac:dyDescent="0.25">
      <c r="A226" s="22" t="s">
        <v>820</v>
      </c>
      <c r="B226" s="43">
        <f t="shared" si="3"/>
        <v>110.69078</v>
      </c>
      <c r="C226" s="24" t="s">
        <v>457</v>
      </c>
      <c r="D226" s="24" t="s">
        <v>455</v>
      </c>
      <c r="E226" s="24" t="s">
        <v>826</v>
      </c>
      <c r="F226" s="17">
        <v>112.42900999999955</v>
      </c>
      <c r="G226" s="24" t="s">
        <v>333</v>
      </c>
      <c r="H226" s="24" t="s">
        <v>335</v>
      </c>
      <c r="I226" s="25">
        <v>499.55</v>
      </c>
      <c r="J226" s="23">
        <v>110690.78</v>
      </c>
      <c r="K226" s="23">
        <v>144206.74999999959</v>
      </c>
    </row>
    <row r="227" spans="1:11" x14ac:dyDescent="0.25">
      <c r="A227" s="22" t="s">
        <v>820</v>
      </c>
      <c r="B227" s="43">
        <f t="shared" si="3"/>
        <v>111.19033</v>
      </c>
      <c r="C227" s="24" t="s">
        <v>455</v>
      </c>
      <c r="D227" s="24" t="s">
        <v>453</v>
      </c>
      <c r="E227" s="24" t="s">
        <v>826</v>
      </c>
      <c r="F227" s="17">
        <v>112.89470999999953</v>
      </c>
      <c r="G227" s="24" t="s">
        <v>335</v>
      </c>
      <c r="H227" s="24" t="s">
        <v>337</v>
      </c>
      <c r="I227" s="25">
        <v>579.6</v>
      </c>
      <c r="J227" s="23">
        <v>111190.33</v>
      </c>
      <c r="K227" s="23">
        <v>143707.1999999996</v>
      </c>
    </row>
    <row r="228" spans="1:11" x14ac:dyDescent="0.25">
      <c r="A228" s="22" t="s">
        <v>820</v>
      </c>
      <c r="B228" s="43">
        <f t="shared" si="3"/>
        <v>111.76993</v>
      </c>
      <c r="C228" s="24" t="s">
        <v>453</v>
      </c>
      <c r="D228" s="24" t="s">
        <v>451</v>
      </c>
      <c r="E228" s="24" t="s">
        <v>826</v>
      </c>
      <c r="F228" s="17">
        <v>113.32730999999954</v>
      </c>
      <c r="G228" s="24" t="s">
        <v>337</v>
      </c>
      <c r="H228" s="24" t="s">
        <v>339</v>
      </c>
      <c r="I228" s="25">
        <v>558.75</v>
      </c>
      <c r="J228" s="23">
        <v>111769.93000000001</v>
      </c>
      <c r="K228" s="23">
        <v>143127.5999999996</v>
      </c>
    </row>
    <row r="229" spans="1:11" x14ac:dyDescent="0.25">
      <c r="A229" s="22" t="s">
        <v>820</v>
      </c>
      <c r="B229" s="43">
        <f t="shared" si="3"/>
        <v>112.32868000000001</v>
      </c>
      <c r="C229" s="24" t="s">
        <v>451</v>
      </c>
      <c r="D229" s="24" t="s">
        <v>449</v>
      </c>
      <c r="E229" s="24" t="s">
        <v>826</v>
      </c>
      <c r="F229" s="17">
        <v>113.77315999999955</v>
      </c>
      <c r="G229" s="24" t="s">
        <v>339</v>
      </c>
      <c r="H229" s="24" t="s">
        <v>341</v>
      </c>
      <c r="I229" s="25">
        <v>527.35</v>
      </c>
      <c r="J229" s="23">
        <v>112328.68000000001</v>
      </c>
      <c r="K229" s="23">
        <v>142568.8499999996</v>
      </c>
    </row>
    <row r="230" spans="1:11" x14ac:dyDescent="0.25">
      <c r="A230" s="22" t="s">
        <v>820</v>
      </c>
      <c r="B230" s="43">
        <f t="shared" si="3"/>
        <v>112.85603000000002</v>
      </c>
      <c r="C230" s="24" t="s">
        <v>449</v>
      </c>
      <c r="D230" s="24" t="s">
        <v>447</v>
      </c>
      <c r="E230" s="24" t="s">
        <v>826</v>
      </c>
      <c r="F230" s="17">
        <v>114.23561999999956</v>
      </c>
      <c r="G230" s="24" t="s">
        <v>341</v>
      </c>
      <c r="H230" s="24" t="s">
        <v>343</v>
      </c>
      <c r="I230" s="25">
        <v>630.36000000000058</v>
      </c>
      <c r="J230" s="23">
        <v>112856.03000000001</v>
      </c>
      <c r="K230" s="23">
        <v>142041.49999999959</v>
      </c>
    </row>
    <row r="231" spans="1:11" x14ac:dyDescent="0.25">
      <c r="A231" s="22" t="s">
        <v>820</v>
      </c>
      <c r="B231" s="43">
        <f t="shared" si="3"/>
        <v>113.48639000000001</v>
      </c>
      <c r="C231" s="24" t="s">
        <v>447</v>
      </c>
      <c r="D231" s="24" t="s">
        <v>445</v>
      </c>
      <c r="E231" s="24" t="s">
        <v>826</v>
      </c>
      <c r="F231" s="17">
        <v>114.76868999999957</v>
      </c>
      <c r="G231" s="24" t="s">
        <v>343</v>
      </c>
      <c r="H231" s="24" t="s">
        <v>345</v>
      </c>
      <c r="I231" s="25">
        <v>532.25</v>
      </c>
      <c r="J231" s="23">
        <v>113486.39000000001</v>
      </c>
      <c r="K231" s="23">
        <v>141411.13999999961</v>
      </c>
    </row>
    <row r="232" spans="1:11" x14ac:dyDescent="0.25">
      <c r="A232" s="22" t="s">
        <v>820</v>
      </c>
      <c r="B232" s="43">
        <f t="shared" si="3"/>
        <v>114.01864000000002</v>
      </c>
      <c r="C232" s="24" t="s">
        <v>445</v>
      </c>
      <c r="D232" s="24" t="s">
        <v>443</v>
      </c>
      <c r="E232" s="24" t="s">
        <v>826</v>
      </c>
      <c r="F232" s="17">
        <v>115.34421999999957</v>
      </c>
      <c r="G232" s="24" t="s">
        <v>345</v>
      </c>
      <c r="H232" s="24" t="s">
        <v>347</v>
      </c>
      <c r="I232" s="25">
        <v>543.57000000000698</v>
      </c>
      <c r="J232" s="23">
        <v>114018.64000000001</v>
      </c>
      <c r="K232" s="23">
        <v>140878.88999999961</v>
      </c>
    </row>
    <row r="233" spans="1:11" x14ac:dyDescent="0.25">
      <c r="A233" s="22" t="s">
        <v>820</v>
      </c>
      <c r="B233" s="43">
        <f t="shared" si="3"/>
        <v>114.56221000000002</v>
      </c>
      <c r="C233" s="24" t="s">
        <v>443</v>
      </c>
      <c r="D233" s="24" t="s">
        <v>441</v>
      </c>
      <c r="E233" s="24" t="s">
        <v>826</v>
      </c>
      <c r="F233" s="17">
        <v>115.85365999999956</v>
      </c>
      <c r="G233" s="24" t="s">
        <v>347</v>
      </c>
      <c r="H233" s="24" t="s">
        <v>349</v>
      </c>
      <c r="I233" s="25">
        <v>522.20000000000005</v>
      </c>
      <c r="J233" s="23">
        <v>114562.21000000002</v>
      </c>
      <c r="K233" s="23">
        <v>140335.3199999996</v>
      </c>
    </row>
    <row r="234" spans="1:11" x14ac:dyDescent="0.25">
      <c r="A234" s="22" t="s">
        <v>820</v>
      </c>
      <c r="B234" s="43">
        <f t="shared" si="3"/>
        <v>115.08441000000002</v>
      </c>
      <c r="C234" s="24" t="s">
        <v>441</v>
      </c>
      <c r="D234" s="24" t="s">
        <v>439</v>
      </c>
      <c r="E234" s="24" t="s">
        <v>826</v>
      </c>
      <c r="F234" s="17">
        <v>116.38608999999956</v>
      </c>
      <c r="G234" s="24" t="s">
        <v>349</v>
      </c>
      <c r="H234" s="24" t="s">
        <v>351</v>
      </c>
      <c r="I234" s="25">
        <v>567.63</v>
      </c>
      <c r="J234" s="23">
        <v>115084.41000000002</v>
      </c>
      <c r="K234" s="23">
        <v>139813.11999999959</v>
      </c>
    </row>
    <row r="235" spans="1:11" x14ac:dyDescent="0.25">
      <c r="A235" s="22" t="s">
        <v>820</v>
      </c>
      <c r="B235" s="43">
        <f t="shared" si="3"/>
        <v>115.65204000000003</v>
      </c>
      <c r="C235" s="24" t="s">
        <v>439</v>
      </c>
      <c r="D235" s="24" t="s">
        <v>437</v>
      </c>
      <c r="E235" s="24" t="s">
        <v>826</v>
      </c>
      <c r="F235" s="17">
        <v>116.92407999999956</v>
      </c>
      <c r="G235" s="24" t="s">
        <v>351</v>
      </c>
      <c r="H235" s="24" t="s">
        <v>353</v>
      </c>
      <c r="I235" s="25">
        <v>446.74</v>
      </c>
      <c r="J235" s="23">
        <v>115652.04000000002</v>
      </c>
      <c r="K235" s="23">
        <v>139245.48999999958</v>
      </c>
    </row>
    <row r="236" spans="1:11" x14ac:dyDescent="0.25">
      <c r="A236" s="22" t="s">
        <v>820</v>
      </c>
      <c r="B236" s="43">
        <f t="shared" si="3"/>
        <v>116.09878000000003</v>
      </c>
      <c r="C236" s="24" t="s">
        <v>437</v>
      </c>
      <c r="D236" s="24" t="s">
        <v>435</v>
      </c>
      <c r="E236" s="24" t="s">
        <v>826</v>
      </c>
      <c r="F236" s="17">
        <v>117.41005999999956</v>
      </c>
      <c r="G236" s="24" t="s">
        <v>353</v>
      </c>
      <c r="H236" s="24" t="s">
        <v>355</v>
      </c>
      <c r="I236" s="25">
        <v>494.01</v>
      </c>
      <c r="J236" s="23">
        <v>116098.78000000003</v>
      </c>
      <c r="K236" s="23">
        <v>138798.74999999959</v>
      </c>
    </row>
    <row r="237" spans="1:11" x14ac:dyDescent="0.25">
      <c r="A237" s="22" t="s">
        <v>820</v>
      </c>
      <c r="B237" s="43">
        <f t="shared" si="3"/>
        <v>116.59279000000002</v>
      </c>
      <c r="C237" s="24" t="s">
        <v>435</v>
      </c>
      <c r="D237" s="24" t="s">
        <v>433</v>
      </c>
      <c r="E237" s="24" t="s">
        <v>826</v>
      </c>
      <c r="F237" s="17">
        <v>117.94457999999956</v>
      </c>
      <c r="G237" s="24" t="s">
        <v>355</v>
      </c>
      <c r="H237" s="24" t="s">
        <v>357</v>
      </c>
      <c r="I237" s="25">
        <v>521.59</v>
      </c>
      <c r="J237" s="23">
        <v>116592.79000000002</v>
      </c>
      <c r="K237" s="23">
        <v>138304.73999999958</v>
      </c>
    </row>
    <row r="238" spans="1:11" x14ac:dyDescent="0.25">
      <c r="A238" s="22" t="s">
        <v>820</v>
      </c>
      <c r="B238" s="43">
        <f t="shared" si="3"/>
        <v>117.11438000000003</v>
      </c>
      <c r="C238" s="24" t="s">
        <v>433</v>
      </c>
      <c r="D238" s="24" t="s">
        <v>431</v>
      </c>
      <c r="E238" s="24" t="s">
        <v>826</v>
      </c>
      <c r="F238" s="17">
        <v>118.48340999999957</v>
      </c>
      <c r="G238" s="24" t="s">
        <v>357</v>
      </c>
      <c r="H238" s="24" t="s">
        <v>359</v>
      </c>
      <c r="I238" s="25">
        <v>502.62</v>
      </c>
      <c r="J238" s="23">
        <v>117114.38000000002</v>
      </c>
      <c r="K238" s="23">
        <v>137783.14999999959</v>
      </c>
    </row>
    <row r="239" spans="1:11" x14ac:dyDescent="0.25">
      <c r="A239" s="22" t="s">
        <v>820</v>
      </c>
      <c r="B239" s="43">
        <f t="shared" si="3"/>
        <v>117.61700000000002</v>
      </c>
      <c r="C239" s="24" t="s">
        <v>431</v>
      </c>
      <c r="D239" s="24" t="s">
        <v>429</v>
      </c>
      <c r="E239" s="24" t="s">
        <v>826</v>
      </c>
      <c r="F239" s="17">
        <v>118.92740999999957</v>
      </c>
      <c r="G239" s="24" t="s">
        <v>359</v>
      </c>
      <c r="H239" s="24" t="s">
        <v>361</v>
      </c>
      <c r="I239" s="25">
        <v>444.1</v>
      </c>
      <c r="J239" s="23">
        <v>117617.00000000001</v>
      </c>
      <c r="K239" s="23">
        <v>137280.52999999959</v>
      </c>
    </row>
    <row r="240" spans="1:11" x14ac:dyDescent="0.25">
      <c r="A240" s="22" t="s">
        <v>820</v>
      </c>
      <c r="B240" s="43">
        <f t="shared" si="3"/>
        <v>118.06110000000002</v>
      </c>
      <c r="C240" s="24" t="s">
        <v>429</v>
      </c>
      <c r="D240" s="24" t="s">
        <v>427</v>
      </c>
      <c r="E240" s="24" t="s">
        <v>826</v>
      </c>
      <c r="F240" s="17">
        <v>119.42750999999957</v>
      </c>
      <c r="G240" s="24" t="s">
        <v>361</v>
      </c>
      <c r="H240" s="24" t="s">
        <v>363</v>
      </c>
      <c r="I240" s="25">
        <v>527.85</v>
      </c>
      <c r="J240" s="23">
        <v>118061.10000000002</v>
      </c>
      <c r="K240" s="23">
        <v>136836.42999999959</v>
      </c>
    </row>
    <row r="241" spans="1:11" x14ac:dyDescent="0.25">
      <c r="A241" s="22" t="s">
        <v>820</v>
      </c>
      <c r="B241" s="43">
        <f t="shared" si="3"/>
        <v>118.58895000000003</v>
      </c>
      <c r="C241" s="24" t="s">
        <v>427</v>
      </c>
      <c r="D241" s="24" t="s">
        <v>425</v>
      </c>
      <c r="E241" s="24" t="s">
        <v>826</v>
      </c>
      <c r="F241" s="17">
        <v>119.93140999999957</v>
      </c>
      <c r="G241" s="24" t="s">
        <v>363</v>
      </c>
      <c r="H241" s="24" t="s">
        <v>365</v>
      </c>
      <c r="I241" s="25">
        <v>493.36</v>
      </c>
      <c r="J241" s="23">
        <v>118588.95000000003</v>
      </c>
      <c r="K241" s="23">
        <v>136308.57999999958</v>
      </c>
    </row>
    <row r="242" spans="1:11" x14ac:dyDescent="0.25">
      <c r="A242" s="22" t="s">
        <v>820</v>
      </c>
      <c r="B242" s="43">
        <f t="shared" si="3"/>
        <v>119.08231000000002</v>
      </c>
      <c r="C242" s="24" t="s">
        <v>425</v>
      </c>
      <c r="D242" s="24" t="s">
        <v>423</v>
      </c>
      <c r="E242" s="24" t="s">
        <v>826</v>
      </c>
      <c r="F242" s="17">
        <v>120.42775999999957</v>
      </c>
      <c r="G242" s="24" t="s">
        <v>365</v>
      </c>
      <c r="H242" s="24" t="s">
        <v>367</v>
      </c>
      <c r="I242" s="25">
        <v>431.2</v>
      </c>
      <c r="J242" s="23">
        <v>119082.31000000003</v>
      </c>
      <c r="K242" s="23">
        <v>135815.21999999959</v>
      </c>
    </row>
    <row r="243" spans="1:11" x14ac:dyDescent="0.25">
      <c r="A243" s="22" t="s">
        <v>820</v>
      </c>
      <c r="B243" s="43">
        <f t="shared" si="3"/>
        <v>119.51351000000003</v>
      </c>
      <c r="C243" s="24" t="s">
        <v>423</v>
      </c>
      <c r="D243" s="24" t="s">
        <v>421</v>
      </c>
      <c r="E243" s="24" t="s">
        <v>826</v>
      </c>
      <c r="F243" s="17">
        <v>120.98147999999958</v>
      </c>
      <c r="G243" s="24" t="s">
        <v>367</v>
      </c>
      <c r="H243" s="24" t="s">
        <v>369</v>
      </c>
      <c r="I243" s="25">
        <v>521</v>
      </c>
      <c r="J243" s="23">
        <v>119513.51000000002</v>
      </c>
      <c r="K243" s="23">
        <v>135384.01999999958</v>
      </c>
    </row>
    <row r="244" spans="1:11" x14ac:dyDescent="0.25">
      <c r="A244" s="22" t="s">
        <v>820</v>
      </c>
      <c r="B244" s="43">
        <f t="shared" si="3"/>
        <v>120.03451000000003</v>
      </c>
      <c r="C244" s="24" t="s">
        <v>421</v>
      </c>
      <c r="D244" s="24" t="s">
        <v>419</v>
      </c>
      <c r="E244" s="24" t="s">
        <v>826</v>
      </c>
      <c r="F244" s="17">
        <v>121.51707999999958</v>
      </c>
      <c r="G244" s="24" t="s">
        <v>369</v>
      </c>
      <c r="H244" s="24" t="s">
        <v>371</v>
      </c>
      <c r="I244" s="25">
        <v>492.35</v>
      </c>
      <c r="J244" s="23">
        <v>120034.51000000002</v>
      </c>
      <c r="K244" s="23">
        <v>134863.01999999958</v>
      </c>
    </row>
    <row r="245" spans="1:11" x14ac:dyDescent="0.25">
      <c r="A245" s="22" t="s">
        <v>820</v>
      </c>
      <c r="B245" s="43">
        <f t="shared" si="3"/>
        <v>120.52686000000003</v>
      </c>
      <c r="C245" s="24" t="s">
        <v>419</v>
      </c>
      <c r="D245" s="24" t="s">
        <v>417</v>
      </c>
      <c r="E245" s="24" t="s">
        <v>826</v>
      </c>
      <c r="F245" s="17">
        <v>122.06061999999957</v>
      </c>
      <c r="G245" s="24" t="s">
        <v>371</v>
      </c>
      <c r="H245" s="24" t="s">
        <v>373</v>
      </c>
      <c r="I245" s="25">
        <v>535.4</v>
      </c>
      <c r="J245" s="23">
        <v>120526.86000000003</v>
      </c>
      <c r="K245" s="23">
        <v>134370.66999999958</v>
      </c>
    </row>
    <row r="246" spans="1:11" x14ac:dyDescent="0.25">
      <c r="A246" s="22" t="s">
        <v>820</v>
      </c>
      <c r="B246" s="43">
        <f t="shared" si="3"/>
        <v>121.06226000000002</v>
      </c>
      <c r="C246" s="24" t="s">
        <v>417</v>
      </c>
      <c r="D246" s="24" t="s">
        <v>415</v>
      </c>
      <c r="E246" s="24" t="s">
        <v>826</v>
      </c>
      <c r="F246" s="17">
        <v>122.60720999999957</v>
      </c>
      <c r="G246" s="24" t="s">
        <v>373</v>
      </c>
      <c r="H246" s="24" t="s">
        <v>375</v>
      </c>
      <c r="I246" s="25">
        <v>462.35</v>
      </c>
      <c r="J246" s="23">
        <v>121062.26000000002</v>
      </c>
      <c r="K246" s="23">
        <v>133835.26999999958</v>
      </c>
    </row>
    <row r="247" spans="1:11" x14ac:dyDescent="0.25">
      <c r="A247" s="22" t="s">
        <v>820</v>
      </c>
      <c r="B247" s="43">
        <f t="shared" si="3"/>
        <v>121.52461000000002</v>
      </c>
      <c r="C247" s="24" t="s">
        <v>415</v>
      </c>
      <c r="D247" s="24" t="s">
        <v>413</v>
      </c>
      <c r="E247" s="24" t="s">
        <v>826</v>
      </c>
      <c r="F247" s="17">
        <v>123.06951999999957</v>
      </c>
      <c r="G247" s="24" t="s">
        <v>375</v>
      </c>
      <c r="H247" s="24" t="s">
        <v>377</v>
      </c>
      <c r="I247" s="25">
        <v>523.89</v>
      </c>
      <c r="J247" s="23">
        <v>121524.61000000003</v>
      </c>
      <c r="K247" s="23">
        <v>133372.91999999958</v>
      </c>
    </row>
    <row r="248" spans="1:11" x14ac:dyDescent="0.25">
      <c r="A248" s="22" t="s">
        <v>820</v>
      </c>
      <c r="B248" s="43">
        <f t="shared" si="3"/>
        <v>122.04850000000003</v>
      </c>
      <c r="C248" s="24" t="s">
        <v>413</v>
      </c>
      <c r="D248" s="24" t="s">
        <v>411</v>
      </c>
      <c r="E248" s="24" t="s">
        <v>826</v>
      </c>
      <c r="F248" s="17">
        <v>123.56154999999957</v>
      </c>
      <c r="G248" s="24" t="s">
        <v>377</v>
      </c>
      <c r="H248" s="24" t="s">
        <v>379</v>
      </c>
      <c r="I248" s="25">
        <v>546.91000000000349</v>
      </c>
      <c r="J248" s="23">
        <v>122048.50000000003</v>
      </c>
      <c r="K248" s="23">
        <v>132849.02999999956</v>
      </c>
    </row>
    <row r="249" spans="1:11" x14ac:dyDescent="0.25">
      <c r="A249" s="22" t="s">
        <v>820</v>
      </c>
      <c r="B249" s="43">
        <f t="shared" si="3"/>
        <v>122.59541000000003</v>
      </c>
      <c r="C249" s="24" t="s">
        <v>411</v>
      </c>
      <c r="D249" s="24" t="s">
        <v>409</v>
      </c>
      <c r="E249" s="24" t="s">
        <v>826</v>
      </c>
      <c r="F249" s="17">
        <v>124.11727999999957</v>
      </c>
      <c r="G249" s="24" t="s">
        <v>379</v>
      </c>
      <c r="H249" s="24" t="s">
        <v>381</v>
      </c>
      <c r="I249" s="25">
        <v>572.61999999999534</v>
      </c>
      <c r="J249" s="23">
        <v>122595.41000000003</v>
      </c>
      <c r="K249" s="23">
        <v>132302.11999999956</v>
      </c>
    </row>
    <row r="250" spans="1:11" x14ac:dyDescent="0.25">
      <c r="A250" s="22" t="s">
        <v>820</v>
      </c>
      <c r="B250" s="43">
        <f t="shared" si="3"/>
        <v>123.16803000000003</v>
      </c>
      <c r="C250" s="24" t="s">
        <v>409</v>
      </c>
      <c r="D250" s="24" t="s">
        <v>407</v>
      </c>
      <c r="E250" s="24" t="s">
        <v>826</v>
      </c>
      <c r="F250" s="17">
        <v>124.67047999999956</v>
      </c>
      <c r="G250" s="24" t="s">
        <v>381</v>
      </c>
      <c r="H250" s="24" t="s">
        <v>383</v>
      </c>
      <c r="I250" s="25">
        <v>546.07000000000005</v>
      </c>
      <c r="J250" s="23">
        <v>123168.03000000003</v>
      </c>
      <c r="K250" s="23">
        <v>131729.49999999956</v>
      </c>
    </row>
    <row r="251" spans="1:11" x14ac:dyDescent="0.25">
      <c r="A251" s="22" t="s">
        <v>820</v>
      </c>
      <c r="B251" s="43">
        <f t="shared" si="3"/>
        <v>123.71410000000003</v>
      </c>
      <c r="C251" s="24" t="s">
        <v>407</v>
      </c>
      <c r="D251" s="24" t="s">
        <v>405</v>
      </c>
      <c r="E251" s="24" t="s">
        <v>826</v>
      </c>
      <c r="F251" s="17">
        <v>125.12642999999956</v>
      </c>
      <c r="G251" s="24" t="s">
        <v>383</v>
      </c>
      <c r="H251" s="24" t="s">
        <v>385</v>
      </c>
      <c r="I251" s="25">
        <v>531.45999999999185</v>
      </c>
      <c r="J251" s="23">
        <v>123714.10000000003</v>
      </c>
      <c r="K251" s="23">
        <v>131183.42999999956</v>
      </c>
    </row>
    <row r="252" spans="1:11" x14ac:dyDescent="0.25">
      <c r="A252" s="22" t="s">
        <v>820</v>
      </c>
      <c r="B252" s="43">
        <f t="shared" si="3"/>
        <v>124.24556000000003</v>
      </c>
      <c r="C252" s="24" t="s">
        <v>405</v>
      </c>
      <c r="D252" s="24" t="s">
        <v>403</v>
      </c>
      <c r="E252" s="24" t="s">
        <v>826</v>
      </c>
      <c r="F252" s="17">
        <v>125.43647999999956</v>
      </c>
      <c r="G252" s="24" t="s">
        <v>385</v>
      </c>
      <c r="H252" s="24" t="s">
        <v>387</v>
      </c>
      <c r="I252" s="25">
        <v>520.38</v>
      </c>
      <c r="J252" s="23">
        <v>124245.56000000003</v>
      </c>
      <c r="K252" s="23">
        <v>130651.96999999956</v>
      </c>
    </row>
    <row r="253" spans="1:11" x14ac:dyDescent="0.25">
      <c r="A253" s="22" t="s">
        <v>820</v>
      </c>
      <c r="B253" s="43">
        <f t="shared" si="3"/>
        <v>124.76594000000003</v>
      </c>
      <c r="C253" s="24" t="s">
        <v>403</v>
      </c>
      <c r="D253" s="24" t="s">
        <v>401</v>
      </c>
      <c r="E253" s="24" t="s">
        <v>826</v>
      </c>
      <c r="F253" s="17">
        <v>126.02998999999956</v>
      </c>
      <c r="G253" s="24" t="s">
        <v>387</v>
      </c>
      <c r="H253" s="24" t="s">
        <v>389</v>
      </c>
      <c r="I253" s="25">
        <v>527.29</v>
      </c>
      <c r="J253" s="23">
        <v>124765.94000000003</v>
      </c>
      <c r="K253" s="23">
        <v>130131.58999999956</v>
      </c>
    </row>
    <row r="254" spans="1:11" x14ac:dyDescent="0.25">
      <c r="A254" s="22" t="s">
        <v>820</v>
      </c>
      <c r="B254" s="43">
        <f t="shared" si="3"/>
        <v>125.29323000000002</v>
      </c>
      <c r="C254" s="24" t="s">
        <v>401</v>
      </c>
      <c r="D254" s="24" t="s">
        <v>399</v>
      </c>
      <c r="E254" s="24" t="s">
        <v>826</v>
      </c>
      <c r="F254" s="17">
        <v>126.57208999999956</v>
      </c>
      <c r="G254" s="24" t="s">
        <v>389</v>
      </c>
      <c r="H254" s="24" t="s">
        <v>391</v>
      </c>
      <c r="I254" s="25">
        <v>533.52</v>
      </c>
      <c r="J254" s="23">
        <v>125293.23000000003</v>
      </c>
      <c r="K254" s="23">
        <v>129604.29999999957</v>
      </c>
    </row>
    <row r="255" spans="1:11" x14ac:dyDescent="0.25">
      <c r="A255" s="22" t="s">
        <v>820</v>
      </c>
      <c r="B255" s="43">
        <f t="shared" si="3"/>
        <v>125.82675000000003</v>
      </c>
      <c r="C255" s="24" t="s">
        <v>399</v>
      </c>
      <c r="D255" s="24" t="s">
        <v>397</v>
      </c>
      <c r="E255" s="24" t="s">
        <v>826</v>
      </c>
      <c r="F255" s="17">
        <v>127.08798999999955</v>
      </c>
      <c r="G255" s="24" t="s">
        <v>391</v>
      </c>
      <c r="H255" s="24" t="s">
        <v>393</v>
      </c>
      <c r="I255" s="25">
        <v>486.38</v>
      </c>
      <c r="J255" s="23">
        <v>125826.75000000003</v>
      </c>
      <c r="K255" s="23">
        <v>129070.77999999956</v>
      </c>
    </row>
    <row r="256" spans="1:11" x14ac:dyDescent="0.25">
      <c r="A256" s="22" t="s">
        <v>820</v>
      </c>
      <c r="B256" s="43">
        <f t="shared" si="3"/>
        <v>126.31313000000003</v>
      </c>
      <c r="C256" s="24" t="s">
        <v>397</v>
      </c>
      <c r="D256" s="24" t="s">
        <v>395</v>
      </c>
      <c r="E256" s="24" t="s">
        <v>826</v>
      </c>
      <c r="F256" s="17">
        <v>127.62738999999955</v>
      </c>
      <c r="G256" s="24" t="s">
        <v>393</v>
      </c>
      <c r="H256" s="24" t="s">
        <v>395</v>
      </c>
      <c r="I256" s="25">
        <v>461.55</v>
      </c>
      <c r="J256" s="23">
        <v>126313.13000000003</v>
      </c>
      <c r="K256" s="23">
        <v>128584.39999999956</v>
      </c>
    </row>
    <row r="257" spans="1:11" x14ac:dyDescent="0.25">
      <c r="A257" s="22" t="s">
        <v>820</v>
      </c>
      <c r="B257" s="43">
        <f t="shared" si="3"/>
        <v>126.77468000000003</v>
      </c>
      <c r="C257" s="24" t="s">
        <v>395</v>
      </c>
      <c r="D257" s="24" t="s">
        <v>393</v>
      </c>
      <c r="E257" s="24" t="s">
        <v>826</v>
      </c>
      <c r="F257" s="17">
        <v>128.12284999999954</v>
      </c>
      <c r="G257" s="24" t="s">
        <v>395</v>
      </c>
      <c r="H257" s="24" t="s">
        <v>397</v>
      </c>
      <c r="I257" s="25">
        <v>495.46</v>
      </c>
      <c r="J257" s="23">
        <v>126774.68000000004</v>
      </c>
      <c r="K257" s="23">
        <v>128122.84999999955</v>
      </c>
    </row>
    <row r="258" spans="1:11" x14ac:dyDescent="0.25">
      <c r="A258" s="22" t="s">
        <v>820</v>
      </c>
      <c r="B258" s="43">
        <f t="shared" si="3"/>
        <v>127.27014000000004</v>
      </c>
      <c r="C258" s="24" t="s">
        <v>393</v>
      </c>
      <c r="D258" s="24" t="s">
        <v>391</v>
      </c>
      <c r="E258" s="24" t="s">
        <v>826</v>
      </c>
      <c r="F258" s="17">
        <v>128.58439999999956</v>
      </c>
      <c r="G258" s="24" t="s">
        <v>397</v>
      </c>
      <c r="H258" s="24" t="s">
        <v>399</v>
      </c>
      <c r="I258" s="25">
        <v>539.4</v>
      </c>
      <c r="J258" s="23">
        <v>127270.14000000004</v>
      </c>
      <c r="K258" s="23">
        <v>127627.38999999955</v>
      </c>
    </row>
    <row r="259" spans="1:11" x14ac:dyDescent="0.25">
      <c r="A259" s="22" t="s">
        <v>820</v>
      </c>
      <c r="B259" s="43">
        <f t="shared" ref="B259:B322" si="4">J259/1000</f>
        <v>127.80954000000004</v>
      </c>
      <c r="C259" s="24" t="s">
        <v>391</v>
      </c>
      <c r="D259" s="24" t="s">
        <v>389</v>
      </c>
      <c r="E259" s="24" t="s">
        <v>826</v>
      </c>
      <c r="F259" s="17">
        <v>129.07077999999956</v>
      </c>
      <c r="G259" s="24" t="s">
        <v>399</v>
      </c>
      <c r="H259" s="24" t="s">
        <v>401</v>
      </c>
      <c r="I259" s="25">
        <v>515.9</v>
      </c>
      <c r="J259" s="23">
        <v>127809.54000000004</v>
      </c>
      <c r="K259" s="23">
        <v>127087.98999999955</v>
      </c>
    </row>
    <row r="260" spans="1:11" x14ac:dyDescent="0.25">
      <c r="A260" s="22" t="s">
        <v>820</v>
      </c>
      <c r="B260" s="43">
        <f t="shared" si="4"/>
        <v>128.32544000000004</v>
      </c>
      <c r="C260" s="24" t="s">
        <v>389</v>
      </c>
      <c r="D260" s="24" t="s">
        <v>387</v>
      </c>
      <c r="E260" s="24" t="s">
        <v>826</v>
      </c>
      <c r="F260" s="17">
        <v>129.60429999999957</v>
      </c>
      <c r="G260" s="24" t="s">
        <v>401</v>
      </c>
      <c r="H260" s="24" t="s">
        <v>403</v>
      </c>
      <c r="I260" s="25">
        <v>542.1</v>
      </c>
      <c r="J260" s="23">
        <v>128325.44000000003</v>
      </c>
      <c r="K260" s="23">
        <v>126572.08999999956</v>
      </c>
    </row>
    <row r="261" spans="1:11" x14ac:dyDescent="0.25">
      <c r="A261" s="22" t="s">
        <v>820</v>
      </c>
      <c r="B261" s="43">
        <f t="shared" si="4"/>
        <v>128.86754000000005</v>
      </c>
      <c r="C261" s="24" t="s">
        <v>387</v>
      </c>
      <c r="D261" s="24" t="s">
        <v>385</v>
      </c>
      <c r="E261" s="24" t="s">
        <v>826</v>
      </c>
      <c r="F261" s="17">
        <v>130.13158999999956</v>
      </c>
      <c r="G261" s="24" t="s">
        <v>403</v>
      </c>
      <c r="H261" s="24" t="s">
        <v>405</v>
      </c>
      <c r="I261" s="25">
        <v>593.51</v>
      </c>
      <c r="J261" s="23">
        <v>128867.54000000004</v>
      </c>
      <c r="K261" s="23">
        <v>126029.98999999955</v>
      </c>
    </row>
    <row r="262" spans="1:11" x14ac:dyDescent="0.25">
      <c r="A262" s="22" t="s">
        <v>820</v>
      </c>
      <c r="B262" s="43">
        <f t="shared" si="4"/>
        <v>129.46105000000003</v>
      </c>
      <c r="C262" s="24" t="s">
        <v>385</v>
      </c>
      <c r="D262" s="24" t="s">
        <v>383</v>
      </c>
      <c r="E262" s="24" t="s">
        <v>826</v>
      </c>
      <c r="F262" s="17">
        <v>130.65196999999955</v>
      </c>
      <c r="G262" s="24" t="s">
        <v>405</v>
      </c>
      <c r="H262" s="24" t="s">
        <v>407</v>
      </c>
      <c r="I262" s="25">
        <v>310.05</v>
      </c>
      <c r="J262" s="23">
        <v>129461.05000000003</v>
      </c>
      <c r="K262" s="23">
        <v>125436.47999999956</v>
      </c>
    </row>
    <row r="263" spans="1:11" x14ac:dyDescent="0.25">
      <c r="A263" s="22" t="s">
        <v>820</v>
      </c>
      <c r="B263" s="43">
        <f t="shared" si="4"/>
        <v>129.77110000000005</v>
      </c>
      <c r="C263" s="24" t="s">
        <v>383</v>
      </c>
      <c r="D263" s="24" t="s">
        <v>381</v>
      </c>
      <c r="E263" s="24" t="s">
        <v>826</v>
      </c>
      <c r="F263" s="17">
        <v>131.18342999999956</v>
      </c>
      <c r="G263" s="24" t="s">
        <v>407</v>
      </c>
      <c r="H263" s="24" t="s">
        <v>409</v>
      </c>
      <c r="I263" s="25">
        <v>455.95</v>
      </c>
      <c r="J263" s="23">
        <v>129771.10000000003</v>
      </c>
      <c r="K263" s="23">
        <v>125126.42999999956</v>
      </c>
    </row>
    <row r="264" spans="1:11" x14ac:dyDescent="0.25">
      <c r="A264" s="22" t="s">
        <v>820</v>
      </c>
      <c r="B264" s="43">
        <f t="shared" si="4"/>
        <v>130.22705000000002</v>
      </c>
      <c r="C264" s="24" t="s">
        <v>381</v>
      </c>
      <c r="D264" s="24" t="s">
        <v>379</v>
      </c>
      <c r="E264" s="24" t="s">
        <v>826</v>
      </c>
      <c r="F264" s="17">
        <v>131.72949999999958</v>
      </c>
      <c r="G264" s="24" t="s">
        <v>409</v>
      </c>
      <c r="H264" s="24" t="s">
        <v>411</v>
      </c>
      <c r="I264" s="25">
        <v>553.20000000000005</v>
      </c>
      <c r="J264" s="23">
        <v>130227.05000000003</v>
      </c>
      <c r="K264" s="23">
        <v>124670.47999999956</v>
      </c>
    </row>
    <row r="265" spans="1:11" x14ac:dyDescent="0.25">
      <c r="A265" s="22" t="s">
        <v>820</v>
      </c>
      <c r="B265" s="43">
        <f t="shared" si="4"/>
        <v>130.78025000000002</v>
      </c>
      <c r="C265" s="24" t="s">
        <v>379</v>
      </c>
      <c r="D265" s="24" t="s">
        <v>377</v>
      </c>
      <c r="E265" s="24" t="s">
        <v>826</v>
      </c>
      <c r="F265" s="17">
        <v>132.30211999999955</v>
      </c>
      <c r="G265" s="24" t="s">
        <v>411</v>
      </c>
      <c r="H265" s="24" t="s">
        <v>413</v>
      </c>
      <c r="I265" s="25">
        <v>555.73</v>
      </c>
      <c r="J265" s="23">
        <v>130780.25000000003</v>
      </c>
      <c r="K265" s="23">
        <v>124117.27999999956</v>
      </c>
    </row>
    <row r="266" spans="1:11" x14ac:dyDescent="0.25">
      <c r="A266" s="22" t="s">
        <v>820</v>
      </c>
      <c r="B266" s="43">
        <f t="shared" si="4"/>
        <v>131.33598000000003</v>
      </c>
      <c r="C266" s="24" t="s">
        <v>377</v>
      </c>
      <c r="D266" s="24" t="s">
        <v>375</v>
      </c>
      <c r="E266" s="24" t="s">
        <v>826</v>
      </c>
      <c r="F266" s="17">
        <v>132.84902999999957</v>
      </c>
      <c r="G266" s="24" t="s">
        <v>413</v>
      </c>
      <c r="H266" s="24" t="s">
        <v>415</v>
      </c>
      <c r="I266" s="25">
        <v>492.03</v>
      </c>
      <c r="J266" s="23">
        <v>131335.98000000004</v>
      </c>
      <c r="K266" s="23">
        <v>123561.54999999957</v>
      </c>
    </row>
    <row r="267" spans="1:11" x14ac:dyDescent="0.25">
      <c r="A267" s="22" t="s">
        <v>820</v>
      </c>
      <c r="B267" s="43">
        <f t="shared" si="4"/>
        <v>131.82801000000003</v>
      </c>
      <c r="C267" s="24" t="s">
        <v>375</v>
      </c>
      <c r="D267" s="24" t="s">
        <v>373</v>
      </c>
      <c r="E267" s="24" t="s">
        <v>826</v>
      </c>
      <c r="F267" s="17">
        <v>133.37291999999957</v>
      </c>
      <c r="G267" s="24" t="s">
        <v>415</v>
      </c>
      <c r="H267" s="24" t="s">
        <v>417</v>
      </c>
      <c r="I267" s="25">
        <v>462.31</v>
      </c>
      <c r="J267" s="23">
        <v>131828.01000000004</v>
      </c>
      <c r="K267" s="23">
        <v>123069.51999999957</v>
      </c>
    </row>
    <row r="268" spans="1:11" x14ac:dyDescent="0.25">
      <c r="A268" s="22" t="s">
        <v>820</v>
      </c>
      <c r="B268" s="43">
        <f t="shared" si="4"/>
        <v>132.29032000000004</v>
      </c>
      <c r="C268" s="24" t="s">
        <v>373</v>
      </c>
      <c r="D268" s="24" t="s">
        <v>371</v>
      </c>
      <c r="E268" s="24" t="s">
        <v>826</v>
      </c>
      <c r="F268" s="17">
        <v>133.83526999999958</v>
      </c>
      <c r="G268" s="24" t="s">
        <v>417</v>
      </c>
      <c r="H268" s="24" t="s">
        <v>419</v>
      </c>
      <c r="I268" s="25">
        <v>546.59</v>
      </c>
      <c r="J268" s="23">
        <v>132290.32000000004</v>
      </c>
      <c r="K268" s="23">
        <v>122607.20999999957</v>
      </c>
    </row>
    <row r="269" spans="1:11" x14ac:dyDescent="0.25">
      <c r="A269" s="22" t="s">
        <v>820</v>
      </c>
      <c r="B269" s="43">
        <f t="shared" si="4"/>
        <v>132.83691000000005</v>
      </c>
      <c r="C269" s="24" t="s">
        <v>371</v>
      </c>
      <c r="D269" s="24" t="s">
        <v>369</v>
      </c>
      <c r="E269" s="24" t="s">
        <v>826</v>
      </c>
      <c r="F269" s="17">
        <v>134.37066999999956</v>
      </c>
      <c r="G269" s="24" t="s">
        <v>419</v>
      </c>
      <c r="H269" s="24" t="s">
        <v>421</v>
      </c>
      <c r="I269" s="25">
        <v>543.54</v>
      </c>
      <c r="J269" s="23">
        <v>132836.91000000003</v>
      </c>
      <c r="K269" s="23">
        <v>122060.61999999957</v>
      </c>
    </row>
    <row r="270" spans="1:11" x14ac:dyDescent="0.25">
      <c r="A270" s="22" t="s">
        <v>820</v>
      </c>
      <c r="B270" s="43">
        <f t="shared" si="4"/>
        <v>133.38045000000005</v>
      </c>
      <c r="C270" s="24" t="s">
        <v>369</v>
      </c>
      <c r="D270" s="24" t="s">
        <v>367</v>
      </c>
      <c r="E270" s="24" t="s">
        <v>826</v>
      </c>
      <c r="F270" s="17">
        <v>134.86301999999958</v>
      </c>
      <c r="G270" s="24" t="s">
        <v>421</v>
      </c>
      <c r="H270" s="24" t="s">
        <v>423</v>
      </c>
      <c r="I270" s="25">
        <v>535.6</v>
      </c>
      <c r="J270" s="23">
        <v>133380.45000000004</v>
      </c>
      <c r="K270" s="23">
        <v>121517.07999999958</v>
      </c>
    </row>
    <row r="271" spans="1:11" x14ac:dyDescent="0.25">
      <c r="A271" s="22" t="s">
        <v>820</v>
      </c>
      <c r="B271" s="43">
        <f t="shared" si="4"/>
        <v>133.91605000000004</v>
      </c>
      <c r="C271" s="24" t="s">
        <v>367</v>
      </c>
      <c r="D271" s="24" t="s">
        <v>365</v>
      </c>
      <c r="E271" s="24" t="s">
        <v>826</v>
      </c>
      <c r="F271" s="17">
        <v>135.38401999999959</v>
      </c>
      <c r="G271" s="24" t="s">
        <v>423</v>
      </c>
      <c r="H271" s="24" t="s">
        <v>425</v>
      </c>
      <c r="I271" s="25">
        <v>553.72</v>
      </c>
      <c r="J271" s="23">
        <v>133916.05000000005</v>
      </c>
      <c r="K271" s="23">
        <v>120981.47999999957</v>
      </c>
    </row>
    <row r="272" spans="1:11" x14ac:dyDescent="0.25">
      <c r="A272" s="22" t="s">
        <v>820</v>
      </c>
      <c r="B272" s="43">
        <f t="shared" si="4"/>
        <v>134.46977000000004</v>
      </c>
      <c r="C272" s="24" t="s">
        <v>365</v>
      </c>
      <c r="D272" s="24" t="s">
        <v>363</v>
      </c>
      <c r="E272" s="24" t="s">
        <v>826</v>
      </c>
      <c r="F272" s="17">
        <v>135.81521999999958</v>
      </c>
      <c r="G272" s="24" t="s">
        <v>425</v>
      </c>
      <c r="H272" s="24" t="s">
        <v>427</v>
      </c>
      <c r="I272" s="25">
        <v>496.35</v>
      </c>
      <c r="J272" s="23">
        <v>134469.77000000005</v>
      </c>
      <c r="K272" s="23">
        <v>120427.75999999957</v>
      </c>
    </row>
    <row r="273" spans="1:11" x14ac:dyDescent="0.25">
      <c r="A273" s="22" t="s">
        <v>820</v>
      </c>
      <c r="B273" s="43">
        <f t="shared" si="4"/>
        <v>134.96612000000005</v>
      </c>
      <c r="C273" s="24" t="s">
        <v>363</v>
      </c>
      <c r="D273" s="24" t="s">
        <v>361</v>
      </c>
      <c r="E273" s="24" t="s">
        <v>826</v>
      </c>
      <c r="F273" s="17">
        <v>136.30857999999958</v>
      </c>
      <c r="G273" s="24" t="s">
        <v>427</v>
      </c>
      <c r="H273" s="24" t="s">
        <v>429</v>
      </c>
      <c r="I273" s="25">
        <v>503.9</v>
      </c>
      <c r="J273" s="23">
        <v>134966.12000000005</v>
      </c>
      <c r="K273" s="23">
        <v>119931.40999999957</v>
      </c>
    </row>
    <row r="274" spans="1:11" x14ac:dyDescent="0.25">
      <c r="A274" s="22" t="s">
        <v>820</v>
      </c>
      <c r="B274" s="43">
        <f t="shared" si="4"/>
        <v>135.47002000000003</v>
      </c>
      <c r="C274" s="24" t="s">
        <v>361</v>
      </c>
      <c r="D274" s="24" t="s">
        <v>359</v>
      </c>
      <c r="E274" s="24" t="s">
        <v>826</v>
      </c>
      <c r="F274" s="17">
        <v>136.83642999999958</v>
      </c>
      <c r="G274" s="24" t="s">
        <v>429</v>
      </c>
      <c r="H274" s="24" t="s">
        <v>431</v>
      </c>
      <c r="I274" s="25">
        <v>500.1</v>
      </c>
      <c r="J274" s="23">
        <v>135470.02000000005</v>
      </c>
      <c r="K274" s="23">
        <v>119427.50999999957</v>
      </c>
    </row>
    <row r="275" spans="1:11" x14ac:dyDescent="0.25">
      <c r="A275" s="22" t="s">
        <v>820</v>
      </c>
      <c r="B275" s="43">
        <f t="shared" si="4"/>
        <v>135.97012000000007</v>
      </c>
      <c r="C275" s="24" t="s">
        <v>359</v>
      </c>
      <c r="D275" s="24" t="s">
        <v>357</v>
      </c>
      <c r="E275" s="24" t="s">
        <v>826</v>
      </c>
      <c r="F275" s="17">
        <v>137.2805299999996</v>
      </c>
      <c r="G275" s="24" t="s">
        <v>431</v>
      </c>
      <c r="H275" s="24" t="s">
        <v>433</v>
      </c>
      <c r="I275" s="25">
        <v>444</v>
      </c>
      <c r="J275" s="23">
        <v>135970.12000000005</v>
      </c>
      <c r="K275" s="23">
        <v>118927.40999999957</v>
      </c>
    </row>
    <row r="276" spans="1:11" x14ac:dyDescent="0.25">
      <c r="A276" s="22" t="s">
        <v>820</v>
      </c>
      <c r="B276" s="43">
        <f t="shared" si="4"/>
        <v>136.41412000000005</v>
      </c>
      <c r="C276" s="24" t="s">
        <v>357</v>
      </c>
      <c r="D276" s="24" t="s">
        <v>355</v>
      </c>
      <c r="E276" s="24" t="s">
        <v>826</v>
      </c>
      <c r="F276" s="17">
        <v>137.78314999999958</v>
      </c>
      <c r="G276" s="24" t="s">
        <v>433</v>
      </c>
      <c r="H276" s="24" t="s">
        <v>435</v>
      </c>
      <c r="I276" s="25">
        <v>538.83000000000004</v>
      </c>
      <c r="J276" s="23">
        <v>136414.12000000005</v>
      </c>
      <c r="K276" s="23">
        <v>118483.40999999957</v>
      </c>
    </row>
    <row r="277" spans="1:11" x14ac:dyDescent="0.25">
      <c r="A277" s="22" t="s">
        <v>820</v>
      </c>
      <c r="B277" s="43">
        <f t="shared" si="4"/>
        <v>136.95295000000004</v>
      </c>
      <c r="C277" s="24" t="s">
        <v>355</v>
      </c>
      <c r="D277" s="24" t="s">
        <v>353</v>
      </c>
      <c r="E277" s="24" t="s">
        <v>826</v>
      </c>
      <c r="F277" s="17">
        <v>138.30473999999958</v>
      </c>
      <c r="G277" s="24" t="s">
        <v>435</v>
      </c>
      <c r="H277" s="24" t="s">
        <v>437</v>
      </c>
      <c r="I277" s="25">
        <v>534.52</v>
      </c>
      <c r="J277" s="23">
        <v>136952.95000000004</v>
      </c>
      <c r="K277" s="23">
        <v>117944.57999999957</v>
      </c>
    </row>
    <row r="278" spans="1:11" x14ac:dyDescent="0.25">
      <c r="A278" s="22" t="s">
        <v>820</v>
      </c>
      <c r="B278" s="43">
        <f t="shared" si="4"/>
        <v>137.48747000000003</v>
      </c>
      <c r="C278" s="24" t="s">
        <v>353</v>
      </c>
      <c r="D278" s="24" t="s">
        <v>351</v>
      </c>
      <c r="E278" s="24" t="s">
        <v>826</v>
      </c>
      <c r="F278" s="17">
        <v>138.79874999999959</v>
      </c>
      <c r="G278" s="24" t="s">
        <v>437</v>
      </c>
      <c r="H278" s="24" t="s">
        <v>439</v>
      </c>
      <c r="I278" s="25">
        <v>485.98</v>
      </c>
      <c r="J278" s="23">
        <v>137487.47000000003</v>
      </c>
      <c r="K278" s="23">
        <v>117410.05999999956</v>
      </c>
    </row>
    <row r="279" spans="1:11" x14ac:dyDescent="0.25">
      <c r="A279" s="22" t="s">
        <v>820</v>
      </c>
      <c r="B279" s="43">
        <f t="shared" si="4"/>
        <v>137.97345000000004</v>
      </c>
      <c r="C279" s="24" t="s">
        <v>351</v>
      </c>
      <c r="D279" s="24" t="s">
        <v>349</v>
      </c>
      <c r="E279" s="24" t="s">
        <v>826</v>
      </c>
      <c r="F279" s="17">
        <v>139.24548999999959</v>
      </c>
      <c r="G279" s="24" t="s">
        <v>439</v>
      </c>
      <c r="H279" s="24" t="s">
        <v>441</v>
      </c>
      <c r="I279" s="25">
        <v>537.99</v>
      </c>
      <c r="J279" s="23">
        <v>137973.45000000004</v>
      </c>
      <c r="K279" s="23">
        <v>116924.07999999957</v>
      </c>
    </row>
    <row r="280" spans="1:11" x14ac:dyDescent="0.25">
      <c r="A280" s="22" t="s">
        <v>820</v>
      </c>
      <c r="B280" s="43">
        <f t="shared" si="4"/>
        <v>138.51144000000002</v>
      </c>
      <c r="C280" s="24" t="s">
        <v>349</v>
      </c>
      <c r="D280" s="24" t="s">
        <v>347</v>
      </c>
      <c r="E280" s="24" t="s">
        <v>826</v>
      </c>
      <c r="F280" s="17">
        <v>139.8131199999996</v>
      </c>
      <c r="G280" s="24" t="s">
        <v>441</v>
      </c>
      <c r="H280" s="24" t="s">
        <v>443</v>
      </c>
      <c r="I280" s="25">
        <v>532.42999999999995</v>
      </c>
      <c r="J280" s="23">
        <v>138511.44000000003</v>
      </c>
      <c r="K280" s="23">
        <v>116386.08999999956</v>
      </c>
    </row>
    <row r="281" spans="1:11" x14ac:dyDescent="0.25">
      <c r="A281" s="22" t="s">
        <v>820</v>
      </c>
      <c r="B281" s="43">
        <f t="shared" si="4"/>
        <v>139.04387000000003</v>
      </c>
      <c r="C281" s="24" t="s">
        <v>347</v>
      </c>
      <c r="D281" s="24" t="s">
        <v>345</v>
      </c>
      <c r="E281" s="24" t="s">
        <v>826</v>
      </c>
      <c r="F281" s="17">
        <v>140.3353199999996</v>
      </c>
      <c r="G281" s="24" t="s">
        <v>443</v>
      </c>
      <c r="H281" s="24" t="s">
        <v>445</v>
      </c>
      <c r="I281" s="25">
        <v>509.44</v>
      </c>
      <c r="J281" s="23">
        <v>139043.87000000002</v>
      </c>
      <c r="K281" s="23">
        <v>115853.65999999957</v>
      </c>
    </row>
    <row r="282" spans="1:11" x14ac:dyDescent="0.25">
      <c r="A282" s="22" t="s">
        <v>820</v>
      </c>
      <c r="B282" s="43">
        <f t="shared" si="4"/>
        <v>139.55331000000004</v>
      </c>
      <c r="C282" s="24" t="s">
        <v>345</v>
      </c>
      <c r="D282" s="24" t="s">
        <v>343</v>
      </c>
      <c r="E282" s="24" t="s">
        <v>826</v>
      </c>
      <c r="F282" s="17">
        <v>140.87888999999961</v>
      </c>
      <c r="G282" s="24" t="s">
        <v>445</v>
      </c>
      <c r="H282" s="24" t="s">
        <v>447</v>
      </c>
      <c r="I282" s="25">
        <v>575.53</v>
      </c>
      <c r="J282" s="23">
        <v>139553.31000000003</v>
      </c>
      <c r="K282" s="23">
        <v>115344.21999999956</v>
      </c>
    </row>
    <row r="283" spans="1:11" x14ac:dyDescent="0.25">
      <c r="A283" s="22" t="s">
        <v>820</v>
      </c>
      <c r="B283" s="43">
        <f t="shared" si="4"/>
        <v>140.12884000000003</v>
      </c>
      <c r="C283" s="24" t="s">
        <v>343</v>
      </c>
      <c r="D283" s="24" t="s">
        <v>341</v>
      </c>
      <c r="E283" s="24" t="s">
        <v>826</v>
      </c>
      <c r="F283" s="17">
        <v>141.41113999999962</v>
      </c>
      <c r="G283" s="24" t="s">
        <v>447</v>
      </c>
      <c r="H283" s="24" t="s">
        <v>449</v>
      </c>
      <c r="I283" s="25">
        <v>533.07000000000005</v>
      </c>
      <c r="J283" s="23">
        <v>140128.84000000003</v>
      </c>
      <c r="K283" s="23">
        <v>114768.68999999957</v>
      </c>
    </row>
    <row r="284" spans="1:11" x14ac:dyDescent="0.25">
      <c r="A284" s="22" t="s">
        <v>820</v>
      </c>
      <c r="B284" s="43">
        <f t="shared" si="4"/>
        <v>140.66191000000003</v>
      </c>
      <c r="C284" s="24" t="s">
        <v>341</v>
      </c>
      <c r="D284" s="24" t="s">
        <v>339</v>
      </c>
      <c r="E284" s="24" t="s">
        <v>826</v>
      </c>
      <c r="F284" s="17">
        <v>142.04149999999959</v>
      </c>
      <c r="G284" s="24" t="s">
        <v>449</v>
      </c>
      <c r="H284" s="24" t="s">
        <v>451</v>
      </c>
      <c r="I284" s="25">
        <v>462.46</v>
      </c>
      <c r="J284" s="23">
        <v>140661.91000000003</v>
      </c>
      <c r="K284" s="23">
        <v>114235.61999999956</v>
      </c>
    </row>
    <row r="285" spans="1:11" x14ac:dyDescent="0.25">
      <c r="A285" s="22" t="s">
        <v>820</v>
      </c>
      <c r="B285" s="43">
        <f t="shared" si="4"/>
        <v>141.12437000000003</v>
      </c>
      <c r="C285" s="24" t="s">
        <v>339</v>
      </c>
      <c r="D285" s="24" t="s">
        <v>337</v>
      </c>
      <c r="E285" s="24" t="s">
        <v>826</v>
      </c>
      <c r="F285" s="17">
        <v>142.5688499999996</v>
      </c>
      <c r="G285" s="24" t="s">
        <v>451</v>
      </c>
      <c r="H285" s="24" t="s">
        <v>453</v>
      </c>
      <c r="I285" s="25">
        <v>445.85</v>
      </c>
      <c r="J285" s="23">
        <v>141124.37000000002</v>
      </c>
      <c r="K285" s="23">
        <v>113773.15999999955</v>
      </c>
    </row>
    <row r="286" spans="1:11" x14ac:dyDescent="0.25">
      <c r="A286" s="22" t="s">
        <v>820</v>
      </c>
      <c r="B286" s="43">
        <f t="shared" si="4"/>
        <v>141.57022000000003</v>
      </c>
      <c r="C286" s="24" t="s">
        <v>337</v>
      </c>
      <c r="D286" s="24" t="s">
        <v>335</v>
      </c>
      <c r="E286" s="24" t="s">
        <v>826</v>
      </c>
      <c r="F286" s="17">
        <v>143.1275999999996</v>
      </c>
      <c r="G286" s="24" t="s">
        <v>453</v>
      </c>
      <c r="H286" s="24" t="s">
        <v>455</v>
      </c>
      <c r="I286" s="25">
        <v>432.6</v>
      </c>
      <c r="J286" s="23">
        <v>141570.22000000003</v>
      </c>
      <c r="K286" s="23">
        <v>113327.30999999955</v>
      </c>
    </row>
    <row r="287" spans="1:11" x14ac:dyDescent="0.25">
      <c r="A287" s="22" t="s">
        <v>820</v>
      </c>
      <c r="B287" s="43">
        <f t="shared" si="4"/>
        <v>142.00282000000004</v>
      </c>
      <c r="C287" s="24" t="s">
        <v>335</v>
      </c>
      <c r="D287" s="24" t="s">
        <v>333</v>
      </c>
      <c r="E287" s="24" t="s">
        <v>826</v>
      </c>
      <c r="F287" s="17">
        <v>143.7071999999996</v>
      </c>
      <c r="G287" s="24" t="s">
        <v>455</v>
      </c>
      <c r="H287" s="24" t="s">
        <v>457</v>
      </c>
      <c r="I287" s="25">
        <v>465.7</v>
      </c>
      <c r="J287" s="23">
        <v>142002.82000000004</v>
      </c>
      <c r="K287" s="23">
        <v>112894.70999999954</v>
      </c>
    </row>
    <row r="288" spans="1:11" x14ac:dyDescent="0.25">
      <c r="A288" s="22" t="s">
        <v>820</v>
      </c>
      <c r="B288" s="43">
        <f t="shared" si="4"/>
        <v>142.46852000000004</v>
      </c>
      <c r="C288" s="24" t="s">
        <v>333</v>
      </c>
      <c r="D288" s="24" t="s">
        <v>331</v>
      </c>
      <c r="E288" s="24" t="s">
        <v>826</v>
      </c>
      <c r="F288" s="17">
        <v>144.2067499999996</v>
      </c>
      <c r="G288" s="24" t="s">
        <v>457</v>
      </c>
      <c r="H288" s="24" t="s">
        <v>459</v>
      </c>
      <c r="I288" s="25">
        <v>373.9</v>
      </c>
      <c r="J288" s="23">
        <v>142468.52000000005</v>
      </c>
      <c r="K288" s="23">
        <v>112429.00999999954</v>
      </c>
    </row>
    <row r="289" spans="1:11" x14ac:dyDescent="0.25">
      <c r="A289" s="22" t="s">
        <v>820</v>
      </c>
      <c r="B289" s="43">
        <f t="shared" si="4"/>
        <v>142.84242000000003</v>
      </c>
      <c r="C289" s="24" t="s">
        <v>331</v>
      </c>
      <c r="D289" s="24" t="s">
        <v>329</v>
      </c>
      <c r="E289" s="24" t="s">
        <v>826</v>
      </c>
      <c r="F289" s="17">
        <v>144.65813999999961</v>
      </c>
      <c r="G289" s="24" t="s">
        <v>459</v>
      </c>
      <c r="H289" s="24" t="s">
        <v>461</v>
      </c>
      <c r="I289" s="25">
        <v>291</v>
      </c>
      <c r="J289" s="23">
        <v>142842.42000000004</v>
      </c>
      <c r="K289" s="23">
        <v>112055.10999999955</v>
      </c>
    </row>
    <row r="290" spans="1:11" x14ac:dyDescent="0.25">
      <c r="A290" s="22" t="s">
        <v>820</v>
      </c>
      <c r="B290" s="43">
        <f t="shared" si="4"/>
        <v>143.13342000000003</v>
      </c>
      <c r="C290" s="24" t="s">
        <v>329</v>
      </c>
      <c r="D290" s="24" t="s">
        <v>327</v>
      </c>
      <c r="E290" s="24" t="s">
        <v>826</v>
      </c>
      <c r="F290" s="17">
        <v>145.15852999999962</v>
      </c>
      <c r="G290" s="24" t="s">
        <v>461</v>
      </c>
      <c r="H290" s="24" t="s">
        <v>463</v>
      </c>
      <c r="I290" s="25">
        <v>524.9</v>
      </c>
      <c r="J290" s="23">
        <v>143133.42000000004</v>
      </c>
      <c r="K290" s="23">
        <v>111764.10999999955</v>
      </c>
    </row>
    <row r="291" spans="1:11" x14ac:dyDescent="0.25">
      <c r="A291" s="22" t="s">
        <v>820</v>
      </c>
      <c r="B291" s="43">
        <f t="shared" si="4"/>
        <v>143.65832000000003</v>
      </c>
      <c r="C291" s="24" t="s">
        <v>327</v>
      </c>
      <c r="D291" s="24" t="s">
        <v>325</v>
      </c>
      <c r="E291" s="24" t="s">
        <v>826</v>
      </c>
      <c r="F291" s="17">
        <v>145.67297999999963</v>
      </c>
      <c r="G291" s="24" t="s">
        <v>463</v>
      </c>
      <c r="H291" s="24" t="s">
        <v>465</v>
      </c>
      <c r="I291" s="25">
        <v>506.40999999997439</v>
      </c>
      <c r="J291" s="23">
        <v>143658.32000000004</v>
      </c>
      <c r="K291" s="23">
        <v>111239.20999999956</v>
      </c>
    </row>
    <row r="292" spans="1:11" x14ac:dyDescent="0.25">
      <c r="A292" s="22" t="s">
        <v>820</v>
      </c>
      <c r="B292" s="43">
        <f t="shared" si="4"/>
        <v>144.16473000000002</v>
      </c>
      <c r="C292" s="24" t="s">
        <v>325</v>
      </c>
      <c r="D292" s="24" t="s">
        <v>323</v>
      </c>
      <c r="E292" s="24" t="s">
        <v>826</v>
      </c>
      <c r="F292" s="17">
        <v>146.14812999999967</v>
      </c>
      <c r="G292" s="24" t="s">
        <v>465</v>
      </c>
      <c r="H292" s="24" t="s">
        <v>467</v>
      </c>
      <c r="I292" s="25">
        <v>504.55</v>
      </c>
      <c r="J292" s="23">
        <v>144164.73000000001</v>
      </c>
      <c r="K292" s="23">
        <v>110732.79999999958</v>
      </c>
    </row>
    <row r="293" spans="1:11" x14ac:dyDescent="0.25">
      <c r="A293" s="22" t="s">
        <v>820</v>
      </c>
      <c r="B293" s="43">
        <f t="shared" si="4"/>
        <v>144.66927999999999</v>
      </c>
      <c r="C293" s="24" t="s">
        <v>323</v>
      </c>
      <c r="D293" s="24" t="s">
        <v>321</v>
      </c>
      <c r="E293" s="24" t="s">
        <v>826</v>
      </c>
      <c r="F293" s="17">
        <v>146.67063999999965</v>
      </c>
      <c r="G293" s="24" t="s">
        <v>467</v>
      </c>
      <c r="H293" s="24" t="s">
        <v>469</v>
      </c>
      <c r="I293" s="25">
        <v>457.25</v>
      </c>
      <c r="J293" s="23">
        <v>144669.28</v>
      </c>
      <c r="K293" s="23">
        <v>110228.24999999958</v>
      </c>
    </row>
    <row r="294" spans="1:11" x14ac:dyDescent="0.25">
      <c r="A294" s="22" t="s">
        <v>820</v>
      </c>
      <c r="B294" s="43">
        <f t="shared" si="4"/>
        <v>145.12653</v>
      </c>
      <c r="C294" s="24" t="s">
        <v>321</v>
      </c>
      <c r="D294" s="24" t="s">
        <v>319</v>
      </c>
      <c r="E294" s="24" t="s">
        <v>826</v>
      </c>
      <c r="F294" s="17">
        <v>147.28978999999967</v>
      </c>
      <c r="G294" s="24" t="s">
        <v>469</v>
      </c>
      <c r="H294" s="24" t="s">
        <v>471</v>
      </c>
      <c r="I294" s="25">
        <v>424.1</v>
      </c>
      <c r="J294" s="23">
        <v>145126.53</v>
      </c>
      <c r="K294" s="23">
        <v>109770.99999999958</v>
      </c>
    </row>
    <row r="295" spans="1:11" x14ac:dyDescent="0.25">
      <c r="A295" s="22" t="s">
        <v>820</v>
      </c>
      <c r="B295" s="43">
        <f t="shared" si="4"/>
        <v>145.55063000000001</v>
      </c>
      <c r="C295" s="24" t="s">
        <v>319</v>
      </c>
      <c r="D295" s="24" t="s">
        <v>317</v>
      </c>
      <c r="E295" s="24" t="s">
        <v>826</v>
      </c>
      <c r="F295" s="17">
        <v>147.80846999999966</v>
      </c>
      <c r="G295" s="24" t="s">
        <v>471</v>
      </c>
      <c r="H295" s="24" t="s">
        <v>473</v>
      </c>
      <c r="I295" s="25">
        <v>597.71999999997206</v>
      </c>
      <c r="J295" s="23">
        <v>145550.63</v>
      </c>
      <c r="K295" s="23">
        <v>109346.89999999957</v>
      </c>
    </row>
    <row r="296" spans="1:11" x14ac:dyDescent="0.25">
      <c r="A296" s="22" t="s">
        <v>820</v>
      </c>
      <c r="B296" s="43">
        <f t="shared" si="4"/>
        <v>146.14834999999997</v>
      </c>
      <c r="C296" s="24" t="s">
        <v>317</v>
      </c>
      <c r="D296" s="24" t="s">
        <v>315</v>
      </c>
      <c r="E296" s="24" t="s">
        <v>826</v>
      </c>
      <c r="F296" s="17">
        <v>148.29336999999964</v>
      </c>
      <c r="G296" s="24" t="s">
        <v>473</v>
      </c>
      <c r="H296" s="24" t="s">
        <v>475</v>
      </c>
      <c r="I296" s="25">
        <v>420.04</v>
      </c>
      <c r="J296" s="23">
        <v>146148.34999999998</v>
      </c>
      <c r="K296" s="23">
        <v>108749.1799999996</v>
      </c>
    </row>
    <row r="297" spans="1:11" x14ac:dyDescent="0.25">
      <c r="A297" s="22" t="s">
        <v>820</v>
      </c>
      <c r="B297" s="43">
        <f t="shared" si="4"/>
        <v>146.56838999999999</v>
      </c>
      <c r="C297" s="24" t="s">
        <v>315</v>
      </c>
      <c r="D297" s="24" t="s">
        <v>313</v>
      </c>
      <c r="E297" s="24" t="s">
        <v>826</v>
      </c>
      <c r="F297" s="17">
        <v>148.77581999999967</v>
      </c>
      <c r="G297" s="24" t="s">
        <v>475</v>
      </c>
      <c r="H297" s="24" t="s">
        <v>477</v>
      </c>
      <c r="I297" s="25">
        <v>467.9</v>
      </c>
      <c r="J297" s="23">
        <v>146568.38999999998</v>
      </c>
      <c r="K297" s="23">
        <v>108329.13999999961</v>
      </c>
    </row>
    <row r="298" spans="1:11" x14ac:dyDescent="0.25">
      <c r="A298" s="22" t="s">
        <v>820</v>
      </c>
      <c r="B298" s="43">
        <f t="shared" si="4"/>
        <v>147.03628999999998</v>
      </c>
      <c r="C298" s="24" t="s">
        <v>313</v>
      </c>
      <c r="D298" s="24" t="s">
        <v>311</v>
      </c>
      <c r="E298" s="24" t="s">
        <v>826</v>
      </c>
      <c r="F298" s="17">
        <v>149.27661999999964</v>
      </c>
      <c r="G298" s="24" t="s">
        <v>477</v>
      </c>
      <c r="H298" s="24" t="s">
        <v>479</v>
      </c>
      <c r="I298" s="25">
        <v>649.59</v>
      </c>
      <c r="J298" s="23">
        <v>147036.28999999998</v>
      </c>
      <c r="K298" s="23">
        <v>107861.23999999961</v>
      </c>
    </row>
    <row r="299" spans="1:11" x14ac:dyDescent="0.25">
      <c r="A299" s="22" t="s">
        <v>820</v>
      </c>
      <c r="B299" s="43">
        <f t="shared" si="4"/>
        <v>147.68587999999997</v>
      </c>
      <c r="C299" s="24" t="s">
        <v>311</v>
      </c>
      <c r="D299" s="24" t="s">
        <v>309</v>
      </c>
      <c r="E299" s="24" t="s">
        <v>826</v>
      </c>
      <c r="F299" s="17">
        <v>149.65988999999965</v>
      </c>
      <c r="G299" s="24" t="s">
        <v>479</v>
      </c>
      <c r="H299" s="24" t="s">
        <v>481</v>
      </c>
      <c r="I299" s="25">
        <v>547.80999999999995</v>
      </c>
      <c r="J299" s="23">
        <v>147685.87999999998</v>
      </c>
      <c r="K299" s="23">
        <v>107211.64999999962</v>
      </c>
    </row>
    <row r="300" spans="1:11" x14ac:dyDescent="0.25">
      <c r="A300" s="22" t="s">
        <v>820</v>
      </c>
      <c r="B300" s="43">
        <f t="shared" si="4"/>
        <v>148.23368999999997</v>
      </c>
      <c r="C300" s="24" t="s">
        <v>309</v>
      </c>
      <c r="D300" s="24" t="s">
        <v>307</v>
      </c>
      <c r="E300" s="24" t="s">
        <v>826</v>
      </c>
      <c r="F300" s="17">
        <v>150.15286999999964</v>
      </c>
      <c r="G300" s="24" t="s">
        <v>481</v>
      </c>
      <c r="H300" s="24" t="s">
        <v>483</v>
      </c>
      <c r="I300" s="25">
        <v>532.58000000000004</v>
      </c>
      <c r="J300" s="23">
        <v>148233.68999999997</v>
      </c>
      <c r="K300" s="23">
        <v>106663.83999999962</v>
      </c>
    </row>
    <row r="301" spans="1:11" x14ac:dyDescent="0.25">
      <c r="A301" s="22" t="s">
        <v>820</v>
      </c>
      <c r="B301" s="43">
        <f t="shared" si="4"/>
        <v>148.76626999999996</v>
      </c>
      <c r="C301" s="24" t="s">
        <v>307</v>
      </c>
      <c r="D301" s="24" t="s">
        <v>305</v>
      </c>
      <c r="E301" s="24" t="s">
        <v>826</v>
      </c>
      <c r="F301" s="17">
        <v>150.76105999999965</v>
      </c>
      <c r="G301" s="24" t="s">
        <v>483</v>
      </c>
      <c r="H301" s="24" t="s">
        <v>485</v>
      </c>
      <c r="I301" s="25">
        <v>555.44000000000005</v>
      </c>
      <c r="J301" s="23">
        <v>148766.26999999996</v>
      </c>
      <c r="K301" s="23">
        <v>106131.25999999962</v>
      </c>
    </row>
    <row r="302" spans="1:11" x14ac:dyDescent="0.25">
      <c r="A302" s="22" t="s">
        <v>820</v>
      </c>
      <c r="B302" s="43">
        <f t="shared" si="4"/>
        <v>149.32170999999997</v>
      </c>
      <c r="C302" s="24" t="s">
        <v>305</v>
      </c>
      <c r="D302" s="24" t="s">
        <v>303</v>
      </c>
      <c r="E302" s="24" t="s">
        <v>826</v>
      </c>
      <c r="F302" s="17">
        <v>151.28590999999966</v>
      </c>
      <c r="G302" s="24" t="s">
        <v>485</v>
      </c>
      <c r="H302" s="24" t="s">
        <v>487</v>
      </c>
      <c r="I302" s="25">
        <v>598.65</v>
      </c>
      <c r="J302" s="23">
        <v>149321.70999999996</v>
      </c>
      <c r="K302" s="23">
        <v>105575.81999999961</v>
      </c>
    </row>
    <row r="303" spans="1:11" x14ac:dyDescent="0.25">
      <c r="A303" s="22" t="s">
        <v>820</v>
      </c>
      <c r="B303" s="43">
        <f t="shared" si="4"/>
        <v>149.92035999999996</v>
      </c>
      <c r="C303" s="24" t="s">
        <v>303</v>
      </c>
      <c r="D303" s="24" t="s">
        <v>301</v>
      </c>
      <c r="E303" s="24" t="s">
        <v>826</v>
      </c>
      <c r="F303" s="17">
        <v>151.75262999999967</v>
      </c>
      <c r="G303" s="24" t="s">
        <v>487</v>
      </c>
      <c r="H303" s="24" t="s">
        <v>489</v>
      </c>
      <c r="I303" s="25">
        <v>551.09</v>
      </c>
      <c r="J303" s="23">
        <v>149920.35999999996</v>
      </c>
      <c r="K303" s="23">
        <v>104977.16999999962</v>
      </c>
    </row>
    <row r="304" spans="1:11" x14ac:dyDescent="0.25">
      <c r="A304" s="22" t="s">
        <v>820</v>
      </c>
      <c r="B304" s="43">
        <f t="shared" si="4"/>
        <v>150.47144999999995</v>
      </c>
      <c r="C304" s="24" t="s">
        <v>301</v>
      </c>
      <c r="D304" s="24" t="s">
        <v>299</v>
      </c>
      <c r="E304" s="24" t="s">
        <v>826</v>
      </c>
      <c r="F304" s="17">
        <v>152.24331999999967</v>
      </c>
      <c r="G304" s="24" t="s">
        <v>489</v>
      </c>
      <c r="H304" s="24" t="s">
        <v>491</v>
      </c>
      <c r="I304" s="25">
        <v>445.58</v>
      </c>
      <c r="J304" s="23">
        <v>150471.44999999995</v>
      </c>
      <c r="K304" s="23">
        <v>104426.07999999962</v>
      </c>
    </row>
    <row r="305" spans="1:11" x14ac:dyDescent="0.25">
      <c r="A305" s="22" t="s">
        <v>820</v>
      </c>
      <c r="B305" s="43">
        <f t="shared" si="4"/>
        <v>150.91702999999995</v>
      </c>
      <c r="C305" s="24" t="s">
        <v>299</v>
      </c>
      <c r="D305" s="24" t="s">
        <v>297</v>
      </c>
      <c r="E305" s="24" t="s">
        <v>826</v>
      </c>
      <c r="F305" s="17">
        <v>152.80529999999968</v>
      </c>
      <c r="G305" s="24" t="s">
        <v>491</v>
      </c>
      <c r="H305" s="24" t="s">
        <v>493</v>
      </c>
      <c r="I305" s="25">
        <v>433.5</v>
      </c>
      <c r="J305" s="23">
        <v>150917.02999999994</v>
      </c>
      <c r="K305" s="23">
        <v>103980.49999999962</v>
      </c>
    </row>
    <row r="306" spans="1:11" x14ac:dyDescent="0.25">
      <c r="A306" s="22" t="s">
        <v>820</v>
      </c>
      <c r="B306" s="43">
        <f t="shared" si="4"/>
        <v>151.35052999999994</v>
      </c>
      <c r="C306" s="24" t="s">
        <v>297</v>
      </c>
      <c r="D306" s="24" t="s">
        <v>295</v>
      </c>
      <c r="E306" s="24" t="s">
        <v>826</v>
      </c>
      <c r="F306" s="17">
        <v>153.36285999999967</v>
      </c>
      <c r="G306" s="24" t="s">
        <v>493</v>
      </c>
      <c r="H306" s="24" t="s">
        <v>495</v>
      </c>
      <c r="I306" s="25">
        <v>537.29999999999995</v>
      </c>
      <c r="J306" s="23">
        <v>151350.52999999994</v>
      </c>
      <c r="K306" s="23">
        <v>103546.99999999962</v>
      </c>
    </row>
    <row r="307" spans="1:11" x14ac:dyDescent="0.25">
      <c r="A307" s="22" t="s">
        <v>820</v>
      </c>
      <c r="B307" s="43">
        <f t="shared" si="4"/>
        <v>151.88782999999992</v>
      </c>
      <c r="C307" s="24" t="s">
        <v>295</v>
      </c>
      <c r="D307" s="24" t="s">
        <v>293</v>
      </c>
      <c r="E307" s="24" t="s">
        <v>826</v>
      </c>
      <c r="F307" s="17">
        <v>153.84236999999968</v>
      </c>
      <c r="G307" s="24" t="s">
        <v>495</v>
      </c>
      <c r="H307" s="24" t="s">
        <v>497</v>
      </c>
      <c r="I307" s="25">
        <v>511.63999999998487</v>
      </c>
      <c r="J307" s="23">
        <v>151887.82999999993</v>
      </c>
      <c r="K307" s="23">
        <v>103009.69999999962</v>
      </c>
    </row>
    <row r="308" spans="1:11" x14ac:dyDescent="0.25">
      <c r="A308" s="22" t="s">
        <v>820</v>
      </c>
      <c r="B308" s="43">
        <f t="shared" si="4"/>
        <v>152.39946999999992</v>
      </c>
      <c r="C308" s="24" t="s">
        <v>293</v>
      </c>
      <c r="D308" s="24" t="s">
        <v>291</v>
      </c>
      <c r="E308" s="24" t="s">
        <v>826</v>
      </c>
      <c r="F308" s="17">
        <v>154.23013999999966</v>
      </c>
      <c r="G308" s="24" t="s">
        <v>497</v>
      </c>
      <c r="H308" s="24" t="s">
        <v>499</v>
      </c>
      <c r="I308" s="25">
        <v>519.77999999999884</v>
      </c>
      <c r="J308" s="23">
        <v>152399.46999999991</v>
      </c>
      <c r="K308" s="23">
        <v>102498.05999999963</v>
      </c>
    </row>
    <row r="309" spans="1:11" x14ac:dyDescent="0.25">
      <c r="A309" s="22" t="s">
        <v>820</v>
      </c>
      <c r="B309" s="43">
        <f t="shared" si="4"/>
        <v>152.91924999999992</v>
      </c>
      <c r="C309" s="24" t="s">
        <v>291</v>
      </c>
      <c r="D309" s="24" t="s">
        <v>289</v>
      </c>
      <c r="E309" s="24" t="s">
        <v>826</v>
      </c>
      <c r="F309" s="17">
        <v>154.63201999999967</v>
      </c>
      <c r="G309" s="24" t="s">
        <v>499</v>
      </c>
      <c r="H309" s="24" t="s">
        <v>501</v>
      </c>
      <c r="I309" s="25">
        <v>588.41</v>
      </c>
      <c r="J309" s="23">
        <v>152919.24999999991</v>
      </c>
      <c r="K309" s="23">
        <v>101978.27999999964</v>
      </c>
    </row>
    <row r="310" spans="1:11" x14ac:dyDescent="0.25">
      <c r="A310" s="22" t="s">
        <v>820</v>
      </c>
      <c r="B310" s="43">
        <f t="shared" si="4"/>
        <v>153.50765999999993</v>
      </c>
      <c r="C310" s="24" t="s">
        <v>289</v>
      </c>
      <c r="D310" s="24" t="s">
        <v>287</v>
      </c>
      <c r="E310" s="24" t="s">
        <v>826</v>
      </c>
      <c r="F310" s="17">
        <v>155.13688999999965</v>
      </c>
      <c r="G310" s="24" t="s">
        <v>501</v>
      </c>
      <c r="H310" s="24" t="s">
        <v>503</v>
      </c>
      <c r="I310" s="25">
        <v>553.78</v>
      </c>
      <c r="J310" s="23">
        <v>153507.65999999992</v>
      </c>
      <c r="K310" s="23">
        <v>101389.86999999963</v>
      </c>
    </row>
    <row r="311" spans="1:11" x14ac:dyDescent="0.25">
      <c r="A311" s="22" t="s">
        <v>820</v>
      </c>
      <c r="B311" s="43">
        <f t="shared" si="4"/>
        <v>154.06143999999992</v>
      </c>
      <c r="C311" s="24" t="s">
        <v>287</v>
      </c>
      <c r="D311" s="24" t="s">
        <v>285</v>
      </c>
      <c r="E311" s="24" t="s">
        <v>826</v>
      </c>
      <c r="F311" s="17">
        <v>155.69358999999969</v>
      </c>
      <c r="G311" s="24" t="s">
        <v>503</v>
      </c>
      <c r="H311" s="24" t="s">
        <v>502</v>
      </c>
      <c r="I311" s="25">
        <v>496.8</v>
      </c>
      <c r="J311" s="23">
        <v>154061.43999999992</v>
      </c>
      <c r="K311" s="23">
        <v>100836.08999999963</v>
      </c>
    </row>
    <row r="312" spans="1:11" x14ac:dyDescent="0.25">
      <c r="A312" s="22" t="s">
        <v>820</v>
      </c>
      <c r="B312" s="43">
        <f t="shared" si="4"/>
        <v>154.5582399999999</v>
      </c>
      <c r="C312" s="24" t="s">
        <v>285</v>
      </c>
      <c r="D312" s="24" t="s">
        <v>283</v>
      </c>
      <c r="E312" s="24" t="s">
        <v>826</v>
      </c>
      <c r="F312" s="17">
        <v>156.12193999999968</v>
      </c>
      <c r="G312" s="24" t="s">
        <v>502</v>
      </c>
      <c r="H312" s="24" t="s">
        <v>500</v>
      </c>
      <c r="I312" s="25">
        <v>385.4</v>
      </c>
      <c r="J312" s="23">
        <v>154558.2399999999</v>
      </c>
      <c r="K312" s="23">
        <v>100339.28999999963</v>
      </c>
    </row>
    <row r="313" spans="1:11" x14ac:dyDescent="0.25">
      <c r="A313" s="22" t="s">
        <v>820</v>
      </c>
      <c r="B313" s="43">
        <f t="shared" si="4"/>
        <v>154.9436399999999</v>
      </c>
      <c r="C313" s="24" t="s">
        <v>283</v>
      </c>
      <c r="D313" s="24" t="s">
        <v>281</v>
      </c>
      <c r="E313" s="24" t="s">
        <v>826</v>
      </c>
      <c r="F313" s="17">
        <v>156.60824999999969</v>
      </c>
      <c r="G313" s="24" t="s">
        <v>500</v>
      </c>
      <c r="H313" s="24" t="s">
        <v>498</v>
      </c>
      <c r="I313" s="25">
        <v>551.74</v>
      </c>
      <c r="J313" s="23">
        <v>154943.6399999999</v>
      </c>
      <c r="K313" s="23">
        <v>99953.889999999636</v>
      </c>
    </row>
    <row r="314" spans="1:11" x14ac:dyDescent="0.25">
      <c r="A314" s="22" t="s">
        <v>820</v>
      </c>
      <c r="B314" s="43">
        <f t="shared" si="4"/>
        <v>155.4953799999999</v>
      </c>
      <c r="C314" s="24" t="s">
        <v>281</v>
      </c>
      <c r="D314" s="24" t="s">
        <v>279</v>
      </c>
      <c r="E314" s="24" t="s">
        <v>826</v>
      </c>
      <c r="F314" s="17">
        <v>157.14014999999966</v>
      </c>
      <c r="G314" s="24" t="s">
        <v>498</v>
      </c>
      <c r="H314" s="24" t="s">
        <v>496</v>
      </c>
      <c r="I314" s="25">
        <v>553.1</v>
      </c>
      <c r="J314" s="23">
        <v>155495.37999999989</v>
      </c>
      <c r="K314" s="23">
        <v>99402.14999999963</v>
      </c>
    </row>
    <row r="315" spans="1:11" x14ac:dyDescent="0.25">
      <c r="A315" s="22" t="s">
        <v>820</v>
      </c>
      <c r="B315" s="43">
        <f t="shared" si="4"/>
        <v>156.0484799999999</v>
      </c>
      <c r="C315" s="24" t="s">
        <v>279</v>
      </c>
      <c r="D315" s="24" t="s">
        <v>277</v>
      </c>
      <c r="E315" s="24" t="s">
        <v>826</v>
      </c>
      <c r="F315" s="17">
        <v>157.68444999999966</v>
      </c>
      <c r="G315" s="24" t="s">
        <v>496</v>
      </c>
      <c r="H315" s="24" t="s">
        <v>494</v>
      </c>
      <c r="I315" s="25">
        <v>539.48999999999069</v>
      </c>
      <c r="J315" s="23">
        <v>156048.47999999989</v>
      </c>
      <c r="K315" s="23">
        <v>98849.049999999625</v>
      </c>
    </row>
    <row r="316" spans="1:11" x14ac:dyDescent="0.25">
      <c r="A316" s="22" t="s">
        <v>820</v>
      </c>
      <c r="B316" s="43">
        <f t="shared" si="4"/>
        <v>156.58796999999987</v>
      </c>
      <c r="C316" s="24" t="s">
        <v>277</v>
      </c>
      <c r="D316" s="24" t="s">
        <v>275</v>
      </c>
      <c r="E316" s="24" t="s">
        <v>826</v>
      </c>
      <c r="F316" s="17">
        <v>158.05851999999967</v>
      </c>
      <c r="G316" s="24" t="s">
        <v>494</v>
      </c>
      <c r="H316" s="24" t="s">
        <v>492</v>
      </c>
      <c r="I316" s="25">
        <v>413.61</v>
      </c>
      <c r="J316" s="23">
        <v>156587.96999999988</v>
      </c>
      <c r="K316" s="23">
        <v>98309.559999999634</v>
      </c>
    </row>
    <row r="317" spans="1:11" x14ac:dyDescent="0.25">
      <c r="A317" s="22" t="s">
        <v>820</v>
      </c>
      <c r="B317" s="43">
        <f t="shared" si="4"/>
        <v>157.00157999999988</v>
      </c>
      <c r="C317" s="24" t="s">
        <v>275</v>
      </c>
      <c r="D317" s="24" t="s">
        <v>273</v>
      </c>
      <c r="E317" s="24" t="s">
        <v>826</v>
      </c>
      <c r="F317" s="17">
        <v>158.62524999999968</v>
      </c>
      <c r="G317" s="24" t="s">
        <v>492</v>
      </c>
      <c r="H317" s="24" t="s">
        <v>490</v>
      </c>
      <c r="I317" s="25">
        <v>487.7</v>
      </c>
      <c r="J317" s="23">
        <v>157001.57999999987</v>
      </c>
      <c r="K317" s="23">
        <v>97895.949999999633</v>
      </c>
    </row>
    <row r="318" spans="1:11" x14ac:dyDescent="0.25">
      <c r="A318" s="22" t="s">
        <v>820</v>
      </c>
      <c r="B318" s="43">
        <f t="shared" si="4"/>
        <v>157.48927999999989</v>
      </c>
      <c r="C318" s="24" t="s">
        <v>273</v>
      </c>
      <c r="D318" s="24" t="s">
        <v>271</v>
      </c>
      <c r="E318" s="24" t="s">
        <v>826</v>
      </c>
      <c r="F318" s="17">
        <v>159.17220999999967</v>
      </c>
      <c r="G318" s="24" t="s">
        <v>490</v>
      </c>
      <c r="H318" s="24" t="s">
        <v>488</v>
      </c>
      <c r="I318" s="25">
        <v>523.9</v>
      </c>
      <c r="J318" s="23">
        <v>157489.27999999988</v>
      </c>
      <c r="K318" s="23">
        <v>97408.249999999636</v>
      </c>
    </row>
    <row r="319" spans="1:11" x14ac:dyDescent="0.25">
      <c r="A319" s="22" t="s">
        <v>820</v>
      </c>
      <c r="B319" s="43">
        <f t="shared" si="4"/>
        <v>158.01317999999986</v>
      </c>
      <c r="C319" s="24" t="s">
        <v>271</v>
      </c>
      <c r="D319" s="24" t="s">
        <v>270</v>
      </c>
      <c r="E319" s="24" t="s">
        <v>826</v>
      </c>
      <c r="F319" s="17">
        <v>159.59103999999965</v>
      </c>
      <c r="G319" s="24" t="s">
        <v>488</v>
      </c>
      <c r="H319" s="24" t="s">
        <v>486</v>
      </c>
      <c r="I319" s="25">
        <v>561.45000000000005</v>
      </c>
      <c r="J319" s="23">
        <v>158013.17999999988</v>
      </c>
      <c r="K319" s="23">
        <v>96884.349999999642</v>
      </c>
    </row>
    <row r="320" spans="1:11" x14ac:dyDescent="0.25">
      <c r="A320" s="22" t="s">
        <v>820</v>
      </c>
      <c r="B320" s="43">
        <f t="shared" si="4"/>
        <v>158.5746299999999</v>
      </c>
      <c r="C320" s="24" t="s">
        <v>270</v>
      </c>
      <c r="D320" s="24" t="s">
        <v>269</v>
      </c>
      <c r="E320" s="24" t="s">
        <v>826</v>
      </c>
      <c r="F320" s="17">
        <v>160.03286999999963</v>
      </c>
      <c r="G320" s="24" t="s">
        <v>486</v>
      </c>
      <c r="H320" s="24" t="s">
        <v>484</v>
      </c>
      <c r="I320" s="25">
        <v>554.85</v>
      </c>
      <c r="J320" s="23">
        <v>158574.62999999989</v>
      </c>
      <c r="K320" s="23">
        <v>96322.899999999645</v>
      </c>
    </row>
    <row r="321" spans="1:11" x14ac:dyDescent="0.25">
      <c r="A321" s="22" t="s">
        <v>820</v>
      </c>
      <c r="B321" s="43">
        <f t="shared" si="4"/>
        <v>159.12947999999989</v>
      </c>
      <c r="C321" s="24" t="s">
        <v>269</v>
      </c>
      <c r="D321" s="24" t="s">
        <v>268</v>
      </c>
      <c r="E321" s="24" t="s">
        <v>826</v>
      </c>
      <c r="F321" s="17">
        <v>160.50935999999965</v>
      </c>
      <c r="G321" s="24" t="s">
        <v>484</v>
      </c>
      <c r="H321" s="24" t="s">
        <v>482</v>
      </c>
      <c r="I321" s="25">
        <v>536.35</v>
      </c>
      <c r="J321" s="23">
        <v>159129.47999999989</v>
      </c>
      <c r="K321" s="23">
        <v>95768.049999999639</v>
      </c>
    </row>
    <row r="322" spans="1:11" x14ac:dyDescent="0.25">
      <c r="A322" s="22" t="s">
        <v>820</v>
      </c>
      <c r="B322" s="43">
        <f t="shared" si="4"/>
        <v>159.66582999999989</v>
      </c>
      <c r="C322" s="24" t="s">
        <v>268</v>
      </c>
      <c r="D322" s="24" t="s">
        <v>267</v>
      </c>
      <c r="E322" s="24" t="s">
        <v>826</v>
      </c>
      <c r="F322" s="17">
        <v>160.95424999999966</v>
      </c>
      <c r="G322" s="24" t="s">
        <v>482</v>
      </c>
      <c r="H322" s="24" t="s">
        <v>480</v>
      </c>
      <c r="I322" s="25">
        <v>577.25</v>
      </c>
      <c r="J322" s="23">
        <v>159665.8299999999</v>
      </c>
      <c r="K322" s="23">
        <v>95231.699999999633</v>
      </c>
    </row>
    <row r="323" spans="1:11" x14ac:dyDescent="0.25">
      <c r="A323" s="22" t="s">
        <v>820</v>
      </c>
      <c r="B323" s="43">
        <f t="shared" ref="B323:B386" si="5">J323/1000</f>
        <v>160.24307999999991</v>
      </c>
      <c r="C323" s="24" t="s">
        <v>267</v>
      </c>
      <c r="D323" s="24" t="s">
        <v>266</v>
      </c>
      <c r="E323" s="24" t="s">
        <v>826</v>
      </c>
      <c r="F323" s="17">
        <v>161.43512999999965</v>
      </c>
      <c r="G323" s="24" t="s">
        <v>480</v>
      </c>
      <c r="H323" s="24" t="s">
        <v>478</v>
      </c>
      <c r="I323" s="25">
        <v>556.6</v>
      </c>
      <c r="J323" s="23">
        <v>160243.0799999999</v>
      </c>
      <c r="K323" s="23">
        <v>94654.449999999633</v>
      </c>
    </row>
    <row r="324" spans="1:11" x14ac:dyDescent="0.25">
      <c r="A324" s="22" t="s">
        <v>820</v>
      </c>
      <c r="B324" s="43">
        <f t="shared" si="5"/>
        <v>160.79967999999991</v>
      </c>
      <c r="C324" s="24" t="s">
        <v>266</v>
      </c>
      <c r="D324" s="24" t="s">
        <v>265</v>
      </c>
      <c r="E324" s="24" t="s">
        <v>826</v>
      </c>
      <c r="F324" s="17">
        <v>161.94014999999965</v>
      </c>
      <c r="G324" s="24" t="s">
        <v>478</v>
      </c>
      <c r="H324" s="24" t="s">
        <v>476</v>
      </c>
      <c r="I324" s="25">
        <v>533.39</v>
      </c>
      <c r="J324" s="23">
        <v>160799.67999999991</v>
      </c>
      <c r="K324" s="23">
        <v>94097.849999999627</v>
      </c>
    </row>
    <row r="325" spans="1:11" x14ac:dyDescent="0.25">
      <c r="A325" s="22" t="s">
        <v>820</v>
      </c>
      <c r="B325" s="43">
        <f t="shared" si="5"/>
        <v>161.33306999999991</v>
      </c>
      <c r="C325" s="24" t="s">
        <v>265</v>
      </c>
      <c r="D325" s="24" t="s">
        <v>264</v>
      </c>
      <c r="E325" s="24" t="s">
        <v>826</v>
      </c>
      <c r="F325" s="17">
        <v>162.40174999999965</v>
      </c>
      <c r="G325" s="24" t="s">
        <v>476</v>
      </c>
      <c r="H325" s="24" t="s">
        <v>474</v>
      </c>
      <c r="I325" s="25">
        <v>384.36</v>
      </c>
      <c r="J325" s="23">
        <v>161333.06999999992</v>
      </c>
      <c r="K325" s="23">
        <v>93564.459999999628</v>
      </c>
    </row>
    <row r="326" spans="1:11" x14ac:dyDescent="0.25">
      <c r="A326" s="22" t="s">
        <v>820</v>
      </c>
      <c r="B326" s="43">
        <f t="shared" si="5"/>
        <v>161.71742999999989</v>
      </c>
      <c r="C326" s="24" t="s">
        <v>264</v>
      </c>
      <c r="D326" s="24" t="s">
        <v>263</v>
      </c>
      <c r="E326" s="24" t="s">
        <v>826</v>
      </c>
      <c r="F326" s="17">
        <v>162.86069999999967</v>
      </c>
      <c r="G326" s="24" t="s">
        <v>474</v>
      </c>
      <c r="H326" s="24" t="s">
        <v>472</v>
      </c>
      <c r="I326" s="25">
        <v>548.47</v>
      </c>
      <c r="J326" s="23">
        <v>161717.42999999991</v>
      </c>
      <c r="K326" s="23">
        <v>93180.099999999627</v>
      </c>
    </row>
    <row r="327" spans="1:11" x14ac:dyDescent="0.25">
      <c r="A327" s="22" t="s">
        <v>820</v>
      </c>
      <c r="B327" s="43">
        <f t="shared" si="5"/>
        <v>162.2658999999999</v>
      </c>
      <c r="C327" s="24" t="s">
        <v>263</v>
      </c>
      <c r="D327" s="24" t="s">
        <v>262</v>
      </c>
      <c r="E327" s="24" t="s">
        <v>826</v>
      </c>
      <c r="F327" s="17">
        <v>163.21827999999965</v>
      </c>
      <c r="G327" s="24" t="s">
        <v>472</v>
      </c>
      <c r="H327" s="24" t="s">
        <v>470</v>
      </c>
      <c r="I327" s="25">
        <v>557.83000000000004</v>
      </c>
      <c r="J327" s="23">
        <v>162265.89999999991</v>
      </c>
      <c r="K327" s="23">
        <v>92631.629999999626</v>
      </c>
    </row>
    <row r="328" spans="1:11" x14ac:dyDescent="0.25">
      <c r="A328" s="22" t="s">
        <v>820</v>
      </c>
      <c r="B328" s="43">
        <f t="shared" si="5"/>
        <v>162.8237299999999</v>
      </c>
      <c r="C328" s="24" t="s">
        <v>262</v>
      </c>
      <c r="D328" s="24" t="s">
        <v>261</v>
      </c>
      <c r="E328" s="24" t="s">
        <v>826</v>
      </c>
      <c r="F328" s="17">
        <v>163.66973999999965</v>
      </c>
      <c r="G328" s="24" t="s">
        <v>470</v>
      </c>
      <c r="H328" s="24" t="s">
        <v>468</v>
      </c>
      <c r="I328" s="25">
        <v>559.29999999999995</v>
      </c>
      <c r="J328" s="23">
        <v>162823.72999999989</v>
      </c>
      <c r="K328" s="23">
        <v>92073.799999999625</v>
      </c>
    </row>
    <row r="329" spans="1:11" x14ac:dyDescent="0.25">
      <c r="A329" s="22" t="s">
        <v>820</v>
      </c>
      <c r="B329" s="43">
        <f t="shared" si="5"/>
        <v>163.38302999999988</v>
      </c>
      <c r="C329" s="24" t="s">
        <v>261</v>
      </c>
      <c r="D329" s="24" t="s">
        <v>260</v>
      </c>
      <c r="E329" s="24" t="s">
        <v>826</v>
      </c>
      <c r="F329" s="17">
        <v>164.09326999999965</v>
      </c>
      <c r="G329" s="24" t="s">
        <v>468</v>
      </c>
      <c r="H329" s="24" t="s">
        <v>466</v>
      </c>
      <c r="I329" s="25">
        <v>463.53</v>
      </c>
      <c r="J329" s="23">
        <v>163383.02999999988</v>
      </c>
      <c r="K329" s="23">
        <v>91514.499999999622</v>
      </c>
    </row>
    <row r="330" spans="1:11" x14ac:dyDescent="0.25">
      <c r="A330" s="22" t="s">
        <v>820</v>
      </c>
      <c r="B330" s="43">
        <f t="shared" si="5"/>
        <v>163.84655999999987</v>
      </c>
      <c r="C330" s="24" t="s">
        <v>260</v>
      </c>
      <c r="D330" s="24" t="s">
        <v>259</v>
      </c>
      <c r="E330" s="24" t="s">
        <v>826</v>
      </c>
      <c r="F330" s="17">
        <v>164.46911999999963</v>
      </c>
      <c r="G330" s="24" t="s">
        <v>466</v>
      </c>
      <c r="H330" s="24" t="s">
        <v>464</v>
      </c>
      <c r="I330" s="25">
        <v>497.25</v>
      </c>
      <c r="J330" s="23">
        <v>163846.55999999988</v>
      </c>
      <c r="K330" s="23">
        <v>91050.969999999623</v>
      </c>
    </row>
    <row r="331" spans="1:11" x14ac:dyDescent="0.25">
      <c r="A331" s="22" t="s">
        <v>820</v>
      </c>
      <c r="B331" s="43">
        <f t="shared" si="5"/>
        <v>164.34380999999988</v>
      </c>
      <c r="C331" s="24" t="s">
        <v>259</v>
      </c>
      <c r="D331" s="24" t="s">
        <v>258</v>
      </c>
      <c r="E331" s="24" t="s">
        <v>826</v>
      </c>
      <c r="F331" s="17">
        <v>164.92871999999966</v>
      </c>
      <c r="G331" s="24" t="s">
        <v>464</v>
      </c>
      <c r="H331" s="24" t="s">
        <v>462</v>
      </c>
      <c r="I331" s="25">
        <v>349.41</v>
      </c>
      <c r="J331" s="23">
        <v>164343.80999999988</v>
      </c>
      <c r="K331" s="23">
        <v>90553.719999999623</v>
      </c>
    </row>
    <row r="332" spans="1:11" x14ac:dyDescent="0.25">
      <c r="A332" s="22" t="s">
        <v>820</v>
      </c>
      <c r="B332" s="43">
        <f t="shared" si="5"/>
        <v>164.69321999999988</v>
      </c>
      <c r="C332" s="24" t="s">
        <v>258</v>
      </c>
      <c r="D332" s="24" t="s">
        <v>257</v>
      </c>
      <c r="E332" s="24" t="s">
        <v>826</v>
      </c>
      <c r="F332" s="17">
        <v>165.52324999999965</v>
      </c>
      <c r="G332" s="24" t="s">
        <v>462</v>
      </c>
      <c r="H332" s="24" t="s">
        <v>460</v>
      </c>
      <c r="I332" s="25">
        <v>557.28</v>
      </c>
      <c r="J332" s="23">
        <v>164693.21999999988</v>
      </c>
      <c r="K332" s="23">
        <v>90204.309999999619</v>
      </c>
    </row>
    <row r="333" spans="1:11" x14ac:dyDescent="0.25">
      <c r="A333" s="22" t="s">
        <v>820</v>
      </c>
      <c r="B333" s="43">
        <f t="shared" si="5"/>
        <v>165.25049999999987</v>
      </c>
      <c r="C333" s="24" t="s">
        <v>257</v>
      </c>
      <c r="D333" s="24" t="s">
        <v>256</v>
      </c>
      <c r="E333" s="24" t="s">
        <v>826</v>
      </c>
      <c r="F333" s="17">
        <v>166.01394999999965</v>
      </c>
      <c r="G333" s="24" t="s">
        <v>460</v>
      </c>
      <c r="H333" s="24" t="s">
        <v>458</v>
      </c>
      <c r="I333" s="25">
        <v>349.8</v>
      </c>
      <c r="J333" s="23">
        <v>165250.49999999988</v>
      </c>
      <c r="K333" s="23">
        <v>89647.02999999962</v>
      </c>
    </row>
    <row r="334" spans="1:11" x14ac:dyDescent="0.25">
      <c r="A334" s="22" t="s">
        <v>820</v>
      </c>
      <c r="B334" s="43">
        <f t="shared" si="5"/>
        <v>165.60029999999986</v>
      </c>
      <c r="C334" s="24" t="s">
        <v>256</v>
      </c>
      <c r="D334" s="24" t="s">
        <v>255</v>
      </c>
      <c r="E334" s="24" t="s">
        <v>826</v>
      </c>
      <c r="F334" s="17">
        <v>166.44286999999969</v>
      </c>
      <c r="G334" s="24" t="s">
        <v>458</v>
      </c>
      <c r="H334" s="24" t="s">
        <v>456</v>
      </c>
      <c r="I334" s="25">
        <v>628.4</v>
      </c>
      <c r="J334" s="23">
        <v>165600.29999999987</v>
      </c>
      <c r="K334" s="23">
        <v>89297.229999999618</v>
      </c>
    </row>
    <row r="335" spans="1:11" x14ac:dyDescent="0.25">
      <c r="A335" s="22" t="s">
        <v>820</v>
      </c>
      <c r="B335" s="43">
        <f t="shared" si="5"/>
        <v>166.22869999999986</v>
      </c>
      <c r="C335" s="24" t="s">
        <v>255</v>
      </c>
      <c r="D335" s="24" t="s">
        <v>254</v>
      </c>
      <c r="E335" s="24" t="s">
        <v>826</v>
      </c>
      <c r="F335" s="17">
        <v>166.97620999999967</v>
      </c>
      <c r="G335" s="24" t="s">
        <v>456</v>
      </c>
      <c r="H335" s="24" t="s">
        <v>454</v>
      </c>
      <c r="I335" s="25">
        <v>604.51</v>
      </c>
      <c r="J335" s="23">
        <v>166228.69999999987</v>
      </c>
      <c r="K335" s="23">
        <v>88668.829999999623</v>
      </c>
    </row>
    <row r="336" spans="1:11" x14ac:dyDescent="0.25">
      <c r="A336" s="22" t="s">
        <v>820</v>
      </c>
      <c r="B336" s="43">
        <f t="shared" si="5"/>
        <v>166.83320999999987</v>
      </c>
      <c r="C336" s="24" t="s">
        <v>254</v>
      </c>
      <c r="D336" s="24" t="s">
        <v>253</v>
      </c>
      <c r="E336" s="24" t="s">
        <v>826</v>
      </c>
      <c r="F336" s="17">
        <v>167.37321999999969</v>
      </c>
      <c r="G336" s="24" t="s">
        <v>454</v>
      </c>
      <c r="H336" s="24" t="s">
        <v>452</v>
      </c>
      <c r="I336" s="25">
        <v>578.4</v>
      </c>
      <c r="J336" s="23">
        <v>166833.20999999988</v>
      </c>
      <c r="K336" s="23">
        <v>88064.319999999629</v>
      </c>
    </row>
    <row r="337" spans="1:11" x14ac:dyDescent="0.25">
      <c r="A337" s="22" t="s">
        <v>820</v>
      </c>
      <c r="B337" s="43">
        <f t="shared" si="5"/>
        <v>167.41160999999988</v>
      </c>
      <c r="C337" s="24" t="s">
        <v>253</v>
      </c>
      <c r="D337" s="24" t="s">
        <v>252</v>
      </c>
      <c r="E337" s="24" t="s">
        <v>826</v>
      </c>
      <c r="F337" s="17">
        <v>167.99151999999967</v>
      </c>
      <c r="G337" s="24" t="s">
        <v>452</v>
      </c>
      <c r="H337" s="24" t="s">
        <v>450</v>
      </c>
      <c r="I337" s="25">
        <v>560.70000000001164</v>
      </c>
      <c r="J337" s="23">
        <v>167411.60999999987</v>
      </c>
      <c r="K337" s="23">
        <v>87485.919999999634</v>
      </c>
    </row>
    <row r="338" spans="1:11" x14ac:dyDescent="0.25">
      <c r="A338" s="22" t="s">
        <v>820</v>
      </c>
      <c r="B338" s="43">
        <f t="shared" si="5"/>
        <v>167.97230999999988</v>
      </c>
      <c r="C338" s="24" t="s">
        <v>252</v>
      </c>
      <c r="D338" s="24" t="s">
        <v>251</v>
      </c>
      <c r="E338" s="24" t="s">
        <v>826</v>
      </c>
      <c r="F338" s="17">
        <v>168.51260999999965</v>
      </c>
      <c r="G338" s="24" t="s">
        <v>450</v>
      </c>
      <c r="H338" s="24" t="s">
        <v>448</v>
      </c>
      <c r="I338" s="25">
        <v>569.70000000000005</v>
      </c>
      <c r="J338" s="23">
        <v>167972.30999999988</v>
      </c>
      <c r="K338" s="23">
        <v>86925.219999999623</v>
      </c>
    </row>
    <row r="339" spans="1:11" x14ac:dyDescent="0.25">
      <c r="A339" s="22" t="s">
        <v>820</v>
      </c>
      <c r="B339" s="43">
        <f t="shared" si="5"/>
        <v>168.54200999999989</v>
      </c>
      <c r="C339" s="24" t="s">
        <v>251</v>
      </c>
      <c r="D339" s="24" t="s">
        <v>250</v>
      </c>
      <c r="E339" s="24" t="s">
        <v>826</v>
      </c>
      <c r="F339" s="17">
        <v>168.92548999999968</v>
      </c>
      <c r="G339" s="24" t="s">
        <v>448</v>
      </c>
      <c r="H339" s="24" t="s">
        <v>446</v>
      </c>
      <c r="I339" s="25">
        <v>394.35</v>
      </c>
      <c r="J339" s="23">
        <v>168542.00999999989</v>
      </c>
      <c r="K339" s="23">
        <v>86355.519999999626</v>
      </c>
    </row>
    <row r="340" spans="1:11" x14ac:dyDescent="0.25">
      <c r="A340" s="22" t="s">
        <v>820</v>
      </c>
      <c r="B340" s="43">
        <f t="shared" si="5"/>
        <v>168.93635999999989</v>
      </c>
      <c r="C340" s="24" t="s">
        <v>250</v>
      </c>
      <c r="D340" s="24" t="s">
        <v>249</v>
      </c>
      <c r="E340" s="24" t="s">
        <v>826</v>
      </c>
      <c r="F340" s="17">
        <v>169.27877999999967</v>
      </c>
      <c r="G340" s="24" t="s">
        <v>446</v>
      </c>
      <c r="H340" s="24" t="s">
        <v>444</v>
      </c>
      <c r="I340" s="25">
        <v>534.52</v>
      </c>
      <c r="J340" s="23">
        <v>168936.3599999999</v>
      </c>
      <c r="K340" s="23">
        <v>85961.16999999962</v>
      </c>
    </row>
    <row r="341" spans="1:11" x14ac:dyDescent="0.25">
      <c r="A341" s="22" t="s">
        <v>820</v>
      </c>
      <c r="B341" s="43">
        <f t="shared" si="5"/>
        <v>169.47087999999988</v>
      </c>
      <c r="C341" s="24" t="s">
        <v>249</v>
      </c>
      <c r="D341" s="24" t="s">
        <v>248</v>
      </c>
      <c r="E341" s="24" t="s">
        <v>826</v>
      </c>
      <c r="F341" s="17">
        <v>169.6235099999997</v>
      </c>
      <c r="G341" s="24" t="s">
        <v>444</v>
      </c>
      <c r="H341" s="24" t="s">
        <v>442</v>
      </c>
      <c r="I341" s="25">
        <v>533.11</v>
      </c>
      <c r="J341" s="23">
        <v>169470.87999999989</v>
      </c>
      <c r="K341" s="23">
        <v>85426.649999999616</v>
      </c>
    </row>
    <row r="342" spans="1:11" x14ac:dyDescent="0.25">
      <c r="A342" s="22" t="s">
        <v>820</v>
      </c>
      <c r="B342" s="43">
        <f t="shared" si="5"/>
        <v>170.00398999999987</v>
      </c>
      <c r="C342" s="24" t="s">
        <v>248</v>
      </c>
      <c r="D342" s="24" t="s">
        <v>247</v>
      </c>
      <c r="E342" s="24" t="s">
        <v>826</v>
      </c>
      <c r="F342" s="17">
        <v>169.96574999999967</v>
      </c>
      <c r="G342" s="24" t="s">
        <v>442</v>
      </c>
      <c r="H342" s="24" t="s">
        <v>440</v>
      </c>
      <c r="I342" s="25">
        <v>556.79</v>
      </c>
      <c r="J342" s="23">
        <v>170003.98999999987</v>
      </c>
      <c r="K342" s="23">
        <v>84893.539999999615</v>
      </c>
    </row>
    <row r="343" spans="1:11" x14ac:dyDescent="0.25">
      <c r="A343" s="22" t="s">
        <v>820</v>
      </c>
      <c r="B343" s="43">
        <f t="shared" si="5"/>
        <v>170.56077999999988</v>
      </c>
      <c r="C343" s="24" t="s">
        <v>247</v>
      </c>
      <c r="D343" s="24" t="s">
        <v>246</v>
      </c>
      <c r="E343" s="24" t="s">
        <v>826</v>
      </c>
      <c r="F343" s="17">
        <v>170.43299999999968</v>
      </c>
      <c r="G343" s="24" t="s">
        <v>440</v>
      </c>
      <c r="H343" s="24" t="s">
        <v>438</v>
      </c>
      <c r="I343" s="25">
        <v>537.1</v>
      </c>
      <c r="J343" s="23">
        <v>170560.77999999988</v>
      </c>
      <c r="K343" s="23">
        <v>84336.749999999622</v>
      </c>
    </row>
    <row r="344" spans="1:11" x14ac:dyDescent="0.25">
      <c r="A344" s="22" t="s">
        <v>820</v>
      </c>
      <c r="B344" s="43">
        <f t="shared" si="5"/>
        <v>171.09787999999989</v>
      </c>
      <c r="C344" s="24" t="s">
        <v>246</v>
      </c>
      <c r="D344" s="24" t="s">
        <v>245</v>
      </c>
      <c r="E344" s="24" t="s">
        <v>826</v>
      </c>
      <c r="F344" s="17">
        <v>170.78878999999969</v>
      </c>
      <c r="G344" s="24" t="s">
        <v>438</v>
      </c>
      <c r="H344" s="24" t="s">
        <v>436</v>
      </c>
      <c r="I344" s="25">
        <v>589.30999999999995</v>
      </c>
      <c r="J344" s="23">
        <v>171097.87999999989</v>
      </c>
      <c r="K344" s="23">
        <v>83799.649999999616</v>
      </c>
    </row>
    <row r="345" spans="1:11" x14ac:dyDescent="0.25">
      <c r="A345" s="22" t="s">
        <v>820</v>
      </c>
      <c r="B345" s="43">
        <f t="shared" si="5"/>
        <v>171.68718999999987</v>
      </c>
      <c r="C345" s="24" t="s">
        <v>245</v>
      </c>
      <c r="D345" s="24" t="s">
        <v>244</v>
      </c>
      <c r="E345" s="24" t="s">
        <v>826</v>
      </c>
      <c r="F345" s="17">
        <v>171.37758999999969</v>
      </c>
      <c r="G345" s="24" t="s">
        <v>436</v>
      </c>
      <c r="H345" s="24" t="s">
        <v>434</v>
      </c>
      <c r="I345" s="25">
        <v>539.29999999999995</v>
      </c>
      <c r="J345" s="23">
        <v>171687.18999999989</v>
      </c>
      <c r="K345" s="23">
        <v>83210.339999999618</v>
      </c>
    </row>
    <row r="346" spans="1:11" x14ac:dyDescent="0.25">
      <c r="A346" s="22" t="s">
        <v>820</v>
      </c>
      <c r="B346" s="43">
        <f t="shared" si="5"/>
        <v>172.22648999999987</v>
      </c>
      <c r="C346" s="24" t="s">
        <v>244</v>
      </c>
      <c r="D346" s="24" t="s">
        <v>243</v>
      </c>
      <c r="E346" s="24" t="s">
        <v>826</v>
      </c>
      <c r="F346" s="17">
        <v>171.72601999999966</v>
      </c>
      <c r="G346" s="24" t="s">
        <v>434</v>
      </c>
      <c r="H346" s="24" t="s">
        <v>432</v>
      </c>
      <c r="I346" s="25">
        <v>552.40000000002328</v>
      </c>
      <c r="J346" s="23">
        <v>172226.48999999987</v>
      </c>
      <c r="K346" s="23">
        <v>82671.039999999615</v>
      </c>
    </row>
    <row r="347" spans="1:11" x14ac:dyDescent="0.25">
      <c r="A347" s="22" t="s">
        <v>820</v>
      </c>
      <c r="B347" s="43">
        <f t="shared" si="5"/>
        <v>172.7788899999999</v>
      </c>
      <c r="C347" s="24" t="s">
        <v>243</v>
      </c>
      <c r="D347" s="24" t="s">
        <v>242</v>
      </c>
      <c r="E347" s="24" t="s">
        <v>826</v>
      </c>
      <c r="F347" s="17">
        <v>172.14778999999965</v>
      </c>
      <c r="G347" s="24" t="s">
        <v>432</v>
      </c>
      <c r="H347" s="24" t="s">
        <v>430</v>
      </c>
      <c r="I347" s="25">
        <v>544.53</v>
      </c>
      <c r="J347" s="23">
        <v>172778.8899999999</v>
      </c>
      <c r="K347" s="23">
        <v>82118.639999999592</v>
      </c>
    </row>
    <row r="348" spans="1:11" x14ac:dyDescent="0.25">
      <c r="A348" s="22" t="s">
        <v>820</v>
      </c>
      <c r="B348" s="43">
        <f t="shared" si="5"/>
        <v>173.32341999999989</v>
      </c>
      <c r="C348" s="24" t="s">
        <v>242</v>
      </c>
      <c r="D348" s="24" t="s">
        <v>241</v>
      </c>
      <c r="E348" s="24" t="s">
        <v>826</v>
      </c>
      <c r="F348" s="17">
        <v>172.80006999999966</v>
      </c>
      <c r="G348" s="24" t="s">
        <v>430</v>
      </c>
      <c r="H348" s="24" t="s">
        <v>428</v>
      </c>
      <c r="I348" s="25">
        <v>539.82999999998719</v>
      </c>
      <c r="J348" s="23">
        <v>173323.4199999999</v>
      </c>
      <c r="K348" s="23">
        <v>81574.109999999593</v>
      </c>
    </row>
    <row r="349" spans="1:11" x14ac:dyDescent="0.25">
      <c r="A349" s="22" t="s">
        <v>820</v>
      </c>
      <c r="B349" s="43">
        <f t="shared" si="5"/>
        <v>173.86324999999988</v>
      </c>
      <c r="C349" s="24" t="s">
        <v>241</v>
      </c>
      <c r="D349" s="24" t="s">
        <v>240</v>
      </c>
      <c r="E349" s="24" t="s">
        <v>826</v>
      </c>
      <c r="F349" s="17">
        <v>173.28017999999966</v>
      </c>
      <c r="G349" s="24" t="s">
        <v>428</v>
      </c>
      <c r="H349" s="24" t="s">
        <v>426</v>
      </c>
      <c r="I349" s="25">
        <v>533.63</v>
      </c>
      <c r="J349" s="23">
        <v>173863.24999999988</v>
      </c>
      <c r="K349" s="23">
        <v>81034.279999999606</v>
      </c>
    </row>
    <row r="350" spans="1:11" x14ac:dyDescent="0.25">
      <c r="A350" s="22" t="s">
        <v>820</v>
      </c>
      <c r="B350" s="43">
        <f t="shared" si="5"/>
        <v>174.3968799999999</v>
      </c>
      <c r="C350" s="24" t="s">
        <v>240</v>
      </c>
      <c r="D350" s="24" t="s">
        <v>239</v>
      </c>
      <c r="E350" s="24" t="s">
        <v>826</v>
      </c>
      <c r="F350" s="17">
        <v>173.75491999999966</v>
      </c>
      <c r="G350" s="24" t="s">
        <v>426</v>
      </c>
      <c r="H350" s="24" t="s">
        <v>424</v>
      </c>
      <c r="I350" s="25">
        <v>526</v>
      </c>
      <c r="J350" s="23">
        <v>174396.87999999989</v>
      </c>
      <c r="K350" s="23">
        <v>80500.649999999601</v>
      </c>
    </row>
    <row r="351" spans="1:11" x14ac:dyDescent="0.25">
      <c r="A351" s="22" t="s">
        <v>820</v>
      </c>
      <c r="B351" s="43">
        <f t="shared" si="5"/>
        <v>174.92287999999988</v>
      </c>
      <c r="C351" s="24" t="s">
        <v>239</v>
      </c>
      <c r="D351" s="24" t="s">
        <v>238</v>
      </c>
      <c r="E351" s="24" t="s">
        <v>826</v>
      </c>
      <c r="F351" s="17">
        <v>174.12009999999967</v>
      </c>
      <c r="G351" s="24" t="s">
        <v>424</v>
      </c>
      <c r="H351" s="24" t="s">
        <v>422</v>
      </c>
      <c r="I351" s="25">
        <v>544.4</v>
      </c>
      <c r="J351" s="23">
        <v>174922.87999999989</v>
      </c>
      <c r="K351" s="23">
        <v>79974.649999999601</v>
      </c>
    </row>
    <row r="352" spans="1:11" x14ac:dyDescent="0.25">
      <c r="A352" s="22" t="s">
        <v>820</v>
      </c>
      <c r="B352" s="43">
        <f t="shared" si="5"/>
        <v>175.46727999999987</v>
      </c>
      <c r="C352" s="24" t="s">
        <v>238</v>
      </c>
      <c r="D352" s="24" t="s">
        <v>237</v>
      </c>
      <c r="E352" s="24" t="s">
        <v>826</v>
      </c>
      <c r="F352" s="17">
        <v>174.64598999999967</v>
      </c>
      <c r="G352" s="24" t="s">
        <v>422</v>
      </c>
      <c r="H352" s="24" t="s">
        <v>420</v>
      </c>
      <c r="I352" s="25">
        <v>364.3</v>
      </c>
      <c r="J352" s="23">
        <v>175467.27999999988</v>
      </c>
      <c r="K352" s="23">
        <v>79430.249999999607</v>
      </c>
    </row>
    <row r="353" spans="1:11" x14ac:dyDescent="0.25">
      <c r="A353" s="22" t="s">
        <v>820</v>
      </c>
      <c r="B353" s="43">
        <f t="shared" si="5"/>
        <v>175.83157999999986</v>
      </c>
      <c r="C353" s="24" t="s">
        <v>237</v>
      </c>
      <c r="D353" s="24" t="s">
        <v>236</v>
      </c>
      <c r="E353" s="24" t="s">
        <v>826</v>
      </c>
      <c r="F353" s="17">
        <v>174.96014999999969</v>
      </c>
      <c r="G353" s="24" t="s">
        <v>420</v>
      </c>
      <c r="H353" s="24" t="s">
        <v>418</v>
      </c>
      <c r="I353" s="25">
        <v>541.83000000000004</v>
      </c>
      <c r="J353" s="23">
        <v>175831.57999999987</v>
      </c>
      <c r="K353" s="23">
        <v>79065.949999999604</v>
      </c>
    </row>
    <row r="354" spans="1:11" x14ac:dyDescent="0.25">
      <c r="A354" s="22" t="s">
        <v>820</v>
      </c>
      <c r="B354" s="43">
        <f t="shared" si="5"/>
        <v>176.37340999999986</v>
      </c>
      <c r="C354" s="24" t="s">
        <v>236</v>
      </c>
      <c r="D354" s="24" t="s">
        <v>235</v>
      </c>
      <c r="E354" s="24" t="s">
        <v>826</v>
      </c>
      <c r="F354" s="17">
        <v>175.28534999999965</v>
      </c>
      <c r="G354" s="24" t="s">
        <v>418</v>
      </c>
      <c r="H354" s="24" t="s">
        <v>416</v>
      </c>
      <c r="I354" s="25">
        <v>518.11</v>
      </c>
      <c r="J354" s="23">
        <v>176373.40999999986</v>
      </c>
      <c r="K354" s="23">
        <v>78524.119999999602</v>
      </c>
    </row>
    <row r="355" spans="1:11" x14ac:dyDescent="0.25">
      <c r="A355" s="22" t="s">
        <v>820</v>
      </c>
      <c r="B355" s="43">
        <f t="shared" si="5"/>
        <v>176.89151999999984</v>
      </c>
      <c r="C355" s="24" t="s">
        <v>235</v>
      </c>
      <c r="D355" s="24" t="s">
        <v>234</v>
      </c>
      <c r="E355" s="24" t="s">
        <v>826</v>
      </c>
      <c r="F355" s="17">
        <v>175.64525999999967</v>
      </c>
      <c r="G355" s="24" t="s">
        <v>416</v>
      </c>
      <c r="H355" s="24" t="s">
        <v>414</v>
      </c>
      <c r="I355" s="25">
        <v>500.34</v>
      </c>
      <c r="J355" s="23">
        <v>176891.51999999984</v>
      </c>
      <c r="K355" s="23">
        <v>78006.009999999602</v>
      </c>
    </row>
    <row r="356" spans="1:11" x14ac:dyDescent="0.25">
      <c r="A356" s="22" t="s">
        <v>820</v>
      </c>
      <c r="B356" s="43">
        <f t="shared" si="5"/>
        <v>177.39185999999984</v>
      </c>
      <c r="C356" s="24" t="s">
        <v>234</v>
      </c>
      <c r="D356" s="24" t="s">
        <v>233</v>
      </c>
      <c r="E356" s="24" t="s">
        <v>826</v>
      </c>
      <c r="F356" s="17">
        <v>176.20364999999967</v>
      </c>
      <c r="G356" s="24" t="s">
        <v>414</v>
      </c>
      <c r="H356" s="24" t="s">
        <v>412</v>
      </c>
      <c r="I356" s="25">
        <v>542.72000000000116</v>
      </c>
      <c r="J356" s="23">
        <v>177391.85999999984</v>
      </c>
      <c r="K356" s="23">
        <v>77505.669999999605</v>
      </c>
    </row>
    <row r="357" spans="1:11" x14ac:dyDescent="0.25">
      <c r="A357" s="22" t="s">
        <v>820</v>
      </c>
      <c r="B357" s="43">
        <f t="shared" si="5"/>
        <v>177.93457999999984</v>
      </c>
      <c r="C357" s="24" t="s">
        <v>233</v>
      </c>
      <c r="D357" s="24" t="s">
        <v>232</v>
      </c>
      <c r="E357" s="24" t="s">
        <v>826</v>
      </c>
      <c r="F357" s="17">
        <v>176.71208999999968</v>
      </c>
      <c r="G357" s="24" t="s">
        <v>412</v>
      </c>
      <c r="H357" s="24" t="s">
        <v>410</v>
      </c>
      <c r="I357" s="25">
        <v>539.03</v>
      </c>
      <c r="J357" s="23">
        <v>177934.57999999984</v>
      </c>
      <c r="K357" s="23">
        <v>76962.949999999604</v>
      </c>
    </row>
    <row r="358" spans="1:11" x14ac:dyDescent="0.25">
      <c r="A358" s="22" t="s">
        <v>820</v>
      </c>
      <c r="B358" s="43">
        <f t="shared" si="5"/>
        <v>178.47360999999984</v>
      </c>
      <c r="C358" s="24" t="s">
        <v>232</v>
      </c>
      <c r="D358" s="24" t="s">
        <v>231</v>
      </c>
      <c r="E358" s="24" t="s">
        <v>826</v>
      </c>
      <c r="F358" s="17">
        <v>177.3586399999997</v>
      </c>
      <c r="G358" s="24" t="s">
        <v>410</v>
      </c>
      <c r="H358" s="24" t="s">
        <v>408</v>
      </c>
      <c r="I358" s="25">
        <v>461.35</v>
      </c>
      <c r="J358" s="23">
        <v>178473.60999999984</v>
      </c>
      <c r="K358" s="23">
        <v>76423.919999999605</v>
      </c>
    </row>
    <row r="359" spans="1:11" x14ac:dyDescent="0.25">
      <c r="A359" s="22" t="s">
        <v>820</v>
      </c>
      <c r="B359" s="43">
        <f t="shared" si="5"/>
        <v>178.93495999999985</v>
      </c>
      <c r="C359" s="24" t="s">
        <v>231</v>
      </c>
      <c r="D359" s="24" t="s">
        <v>230</v>
      </c>
      <c r="E359" s="24" t="s">
        <v>826</v>
      </c>
      <c r="F359" s="17">
        <v>177.67630999999972</v>
      </c>
      <c r="G359" s="24" t="s">
        <v>408</v>
      </c>
      <c r="H359" s="24" t="s">
        <v>406</v>
      </c>
      <c r="I359" s="25">
        <v>354.96</v>
      </c>
      <c r="J359" s="23">
        <v>178934.95999999985</v>
      </c>
      <c r="K359" s="23">
        <v>75962.5699999996</v>
      </c>
    </row>
    <row r="360" spans="1:11" x14ac:dyDescent="0.25">
      <c r="A360" s="22" t="s">
        <v>820</v>
      </c>
      <c r="B360" s="43">
        <f t="shared" si="5"/>
        <v>179.28991999999982</v>
      </c>
      <c r="C360" s="24" t="s">
        <v>230</v>
      </c>
      <c r="D360" s="24" t="s">
        <v>229</v>
      </c>
      <c r="E360" s="24" t="s">
        <v>826</v>
      </c>
      <c r="F360" s="17">
        <v>178.0354099999997</v>
      </c>
      <c r="G360" s="24" t="s">
        <v>406</v>
      </c>
      <c r="H360" s="24" t="s">
        <v>404</v>
      </c>
      <c r="I360" s="25">
        <v>375.51</v>
      </c>
      <c r="J360" s="23">
        <v>179289.91999999984</v>
      </c>
      <c r="K360" s="23">
        <v>75607.609999999593</v>
      </c>
    </row>
    <row r="361" spans="1:11" x14ac:dyDescent="0.25">
      <c r="A361" s="22" t="s">
        <v>820</v>
      </c>
      <c r="B361" s="43">
        <f t="shared" si="5"/>
        <v>179.66542999999984</v>
      </c>
      <c r="C361" s="24" t="s">
        <v>229</v>
      </c>
      <c r="D361" s="24" t="s">
        <v>228</v>
      </c>
      <c r="E361" s="24" t="s">
        <v>826</v>
      </c>
      <c r="F361" s="17">
        <v>178.53726999999969</v>
      </c>
      <c r="G361" s="24" t="s">
        <v>404</v>
      </c>
      <c r="H361" s="24" t="s">
        <v>402</v>
      </c>
      <c r="I361" s="25">
        <v>378.01</v>
      </c>
      <c r="J361" s="23">
        <v>179665.42999999985</v>
      </c>
      <c r="K361" s="23">
        <v>75232.099999999598</v>
      </c>
    </row>
    <row r="362" spans="1:11" x14ac:dyDescent="0.25">
      <c r="A362" s="22" t="s">
        <v>820</v>
      </c>
      <c r="B362" s="43">
        <f t="shared" si="5"/>
        <v>180.04343999999986</v>
      </c>
      <c r="C362" s="24" t="s">
        <v>228</v>
      </c>
      <c r="D362" s="24" t="s">
        <v>227</v>
      </c>
      <c r="E362" s="24" t="s">
        <v>826</v>
      </c>
      <c r="F362" s="17">
        <v>179.00904999999969</v>
      </c>
      <c r="G362" s="24" t="s">
        <v>402</v>
      </c>
      <c r="H362" s="24" t="s">
        <v>400</v>
      </c>
      <c r="I362" s="25">
        <v>470.21</v>
      </c>
      <c r="J362" s="23">
        <v>180043.43999999986</v>
      </c>
      <c r="K362" s="23">
        <v>74854.089999999604</v>
      </c>
    </row>
    <row r="363" spans="1:11" x14ac:dyDescent="0.25">
      <c r="A363" s="22" t="s">
        <v>820</v>
      </c>
      <c r="B363" s="43">
        <f t="shared" si="5"/>
        <v>180.51364999999984</v>
      </c>
      <c r="C363" s="24" t="s">
        <v>227</v>
      </c>
      <c r="D363" s="24" t="s">
        <v>226</v>
      </c>
      <c r="E363" s="24" t="s">
        <v>826</v>
      </c>
      <c r="F363" s="17">
        <v>179.4852599999997</v>
      </c>
      <c r="G363" s="24" t="s">
        <v>400</v>
      </c>
      <c r="H363" s="24" t="s">
        <v>398</v>
      </c>
      <c r="I363" s="25">
        <v>481.46</v>
      </c>
      <c r="J363" s="23">
        <v>180513.64999999985</v>
      </c>
      <c r="K363" s="23">
        <v>74383.879999999597</v>
      </c>
    </row>
    <row r="364" spans="1:11" x14ac:dyDescent="0.25">
      <c r="A364" s="22" t="s">
        <v>820</v>
      </c>
      <c r="B364" s="43">
        <f t="shared" si="5"/>
        <v>180.99510999999984</v>
      </c>
      <c r="C364" s="24" t="s">
        <v>226</v>
      </c>
      <c r="D364" s="24" t="s">
        <v>225</v>
      </c>
      <c r="E364" s="24" t="s">
        <v>826</v>
      </c>
      <c r="F364" s="17">
        <v>180.23253999999969</v>
      </c>
      <c r="G364" s="24" t="s">
        <v>398</v>
      </c>
      <c r="H364" s="24" t="s">
        <v>396</v>
      </c>
      <c r="I364" s="25">
        <v>505.67</v>
      </c>
      <c r="J364" s="23">
        <v>180995.10999999984</v>
      </c>
      <c r="K364" s="23">
        <v>73902.419999999591</v>
      </c>
    </row>
    <row r="365" spans="1:11" x14ac:dyDescent="0.25">
      <c r="A365" s="22" t="s">
        <v>820</v>
      </c>
      <c r="B365" s="43">
        <f t="shared" si="5"/>
        <v>181.50077999999985</v>
      </c>
      <c r="C365" s="24" t="s">
        <v>225</v>
      </c>
      <c r="D365" s="24" t="s">
        <v>224</v>
      </c>
      <c r="E365" s="24" t="s">
        <v>826</v>
      </c>
      <c r="F365" s="17">
        <v>180.54975999999968</v>
      </c>
      <c r="G365" s="24" t="s">
        <v>396</v>
      </c>
      <c r="H365" s="24" t="s">
        <v>394</v>
      </c>
      <c r="I365" s="25">
        <v>473.63</v>
      </c>
      <c r="J365" s="23">
        <v>181500.77999999985</v>
      </c>
      <c r="K365" s="23">
        <v>73396.749999999593</v>
      </c>
    </row>
    <row r="366" spans="1:11" x14ac:dyDescent="0.25">
      <c r="A366" s="22" t="s">
        <v>820</v>
      </c>
      <c r="B366" s="43">
        <f t="shared" si="5"/>
        <v>181.97440999999986</v>
      </c>
      <c r="C366" s="24" t="s">
        <v>224</v>
      </c>
      <c r="D366" s="24" t="s">
        <v>223</v>
      </c>
      <c r="E366" s="24" t="s">
        <v>826</v>
      </c>
      <c r="F366" s="17">
        <v>181.04012999999969</v>
      </c>
      <c r="G366" s="24" t="s">
        <v>394</v>
      </c>
      <c r="H366" s="24" t="s">
        <v>392</v>
      </c>
      <c r="I366" s="25">
        <v>543.15</v>
      </c>
      <c r="J366" s="23">
        <v>181974.40999999986</v>
      </c>
      <c r="K366" s="23">
        <v>72923.119999999588</v>
      </c>
    </row>
    <row r="367" spans="1:11" x14ac:dyDescent="0.25">
      <c r="A367" s="22" t="s">
        <v>820</v>
      </c>
      <c r="B367" s="43">
        <f t="shared" si="5"/>
        <v>182.51755999999986</v>
      </c>
      <c r="C367" s="24" t="s">
        <v>223</v>
      </c>
      <c r="D367" s="24" t="s">
        <v>222</v>
      </c>
      <c r="E367" s="24" t="s">
        <v>826</v>
      </c>
      <c r="F367" s="17">
        <v>181.53439999999966</v>
      </c>
      <c r="G367" s="24" t="s">
        <v>392</v>
      </c>
      <c r="H367" s="24" t="s">
        <v>390</v>
      </c>
      <c r="I367" s="25">
        <v>561.70000000000005</v>
      </c>
      <c r="J367" s="23">
        <v>182517.55999999985</v>
      </c>
      <c r="K367" s="23">
        <v>72379.969999999594</v>
      </c>
    </row>
    <row r="368" spans="1:11" x14ac:dyDescent="0.25">
      <c r="A368" s="22" t="s">
        <v>820</v>
      </c>
      <c r="B368" s="43">
        <f t="shared" si="5"/>
        <v>183.07925999999986</v>
      </c>
      <c r="C368" s="24" t="s">
        <v>222</v>
      </c>
      <c r="D368" s="24" t="s">
        <v>221</v>
      </c>
      <c r="E368" s="24" t="s">
        <v>826</v>
      </c>
      <c r="F368" s="17">
        <v>182.02039999999968</v>
      </c>
      <c r="G368" s="24" t="s">
        <v>390</v>
      </c>
      <c r="H368" s="24" t="s">
        <v>388</v>
      </c>
      <c r="I368" s="25">
        <v>530.70000000000005</v>
      </c>
      <c r="J368" s="23">
        <v>183079.25999999986</v>
      </c>
      <c r="K368" s="23">
        <v>71818.269999999597</v>
      </c>
    </row>
    <row r="369" spans="1:11" x14ac:dyDescent="0.25">
      <c r="A369" s="22" t="s">
        <v>820</v>
      </c>
      <c r="B369" s="43">
        <f t="shared" si="5"/>
        <v>183.60995999999989</v>
      </c>
      <c r="C369" s="24" t="s">
        <v>221</v>
      </c>
      <c r="D369" s="24" t="s">
        <v>220</v>
      </c>
      <c r="E369" s="24" t="s">
        <v>826</v>
      </c>
      <c r="F369" s="17">
        <v>182.55752999999967</v>
      </c>
      <c r="G369" s="24" t="s">
        <v>388</v>
      </c>
      <c r="H369" s="24" t="s">
        <v>386</v>
      </c>
      <c r="I369" s="25">
        <v>577.74</v>
      </c>
      <c r="J369" s="23">
        <v>183609.95999999988</v>
      </c>
      <c r="K369" s="23">
        <v>71287.5699999996</v>
      </c>
    </row>
    <row r="370" spans="1:11" x14ac:dyDescent="0.25">
      <c r="A370" s="22" t="s">
        <v>820</v>
      </c>
      <c r="B370" s="43">
        <f t="shared" si="5"/>
        <v>184.18769999999986</v>
      </c>
      <c r="C370" s="24" t="s">
        <v>220</v>
      </c>
      <c r="D370" s="24" t="s">
        <v>219</v>
      </c>
      <c r="E370" s="24" t="s">
        <v>826</v>
      </c>
      <c r="F370" s="17">
        <v>182.92792999999966</v>
      </c>
      <c r="G370" s="24" t="s">
        <v>386</v>
      </c>
      <c r="H370" s="24" t="s">
        <v>384</v>
      </c>
      <c r="I370" s="25">
        <v>559.67999999999995</v>
      </c>
      <c r="J370" s="23">
        <v>184187.69999999987</v>
      </c>
      <c r="K370" s="23">
        <v>70709.829999999594</v>
      </c>
    </row>
    <row r="371" spans="1:11" x14ac:dyDescent="0.25">
      <c r="A371" s="22" t="s">
        <v>820</v>
      </c>
      <c r="B371" s="43">
        <f t="shared" si="5"/>
        <v>184.74737999999985</v>
      </c>
      <c r="C371" s="24" t="s">
        <v>219</v>
      </c>
      <c r="D371" s="24" t="s">
        <v>218</v>
      </c>
      <c r="E371" s="24" t="s">
        <v>826</v>
      </c>
      <c r="F371" s="17">
        <v>183.43502999999967</v>
      </c>
      <c r="G371" s="24" t="s">
        <v>384</v>
      </c>
      <c r="H371" s="24" t="s">
        <v>382</v>
      </c>
      <c r="I371" s="25">
        <v>520.86</v>
      </c>
      <c r="J371" s="23">
        <v>184747.37999999986</v>
      </c>
      <c r="K371" s="23">
        <v>70150.149999999601</v>
      </c>
    </row>
    <row r="372" spans="1:11" x14ac:dyDescent="0.25">
      <c r="A372" s="22" t="s">
        <v>820</v>
      </c>
      <c r="B372" s="43">
        <f t="shared" si="5"/>
        <v>185.26823999999985</v>
      </c>
      <c r="C372" s="24" t="s">
        <v>218</v>
      </c>
      <c r="D372" s="24" t="s">
        <v>217</v>
      </c>
      <c r="E372" s="24" t="s">
        <v>826</v>
      </c>
      <c r="F372" s="17">
        <v>183.88351999999966</v>
      </c>
      <c r="G372" s="24" t="s">
        <v>382</v>
      </c>
      <c r="H372" s="24" t="s">
        <v>380</v>
      </c>
      <c r="I372" s="25">
        <v>495.48</v>
      </c>
      <c r="J372" s="23">
        <v>185268.23999999985</v>
      </c>
      <c r="K372" s="23">
        <v>69629.289999999601</v>
      </c>
    </row>
    <row r="373" spans="1:11" x14ac:dyDescent="0.25">
      <c r="A373" s="22" t="s">
        <v>820</v>
      </c>
      <c r="B373" s="43">
        <f t="shared" si="5"/>
        <v>185.76371999999986</v>
      </c>
      <c r="C373" s="24" t="s">
        <v>217</v>
      </c>
      <c r="D373" s="24" t="s">
        <v>216</v>
      </c>
      <c r="E373" s="24" t="s">
        <v>826</v>
      </c>
      <c r="F373" s="17">
        <v>184.43090999999964</v>
      </c>
      <c r="G373" s="24" t="s">
        <v>380</v>
      </c>
      <c r="H373" s="24" t="s">
        <v>378</v>
      </c>
      <c r="I373" s="25">
        <v>446.6</v>
      </c>
      <c r="J373" s="23">
        <v>185763.71999999986</v>
      </c>
      <c r="K373" s="23">
        <v>69133.809999999605</v>
      </c>
    </row>
    <row r="374" spans="1:11" x14ac:dyDescent="0.25">
      <c r="A374" s="22" t="s">
        <v>820</v>
      </c>
      <c r="B374" s="43">
        <f t="shared" si="5"/>
        <v>186.21031999999985</v>
      </c>
      <c r="C374" s="24" t="s">
        <v>216</v>
      </c>
      <c r="D374" s="24" t="s">
        <v>215</v>
      </c>
      <c r="E374" s="24" t="s">
        <v>826</v>
      </c>
      <c r="F374" s="17">
        <v>184.91668999999965</v>
      </c>
      <c r="G374" s="24" t="s">
        <v>378</v>
      </c>
      <c r="H374" s="24" t="s">
        <v>376</v>
      </c>
      <c r="I374" s="25">
        <v>456.79</v>
      </c>
      <c r="J374" s="23">
        <v>186210.31999999986</v>
      </c>
      <c r="K374" s="23">
        <v>68687.209999999599</v>
      </c>
    </row>
    <row r="375" spans="1:11" x14ac:dyDescent="0.25">
      <c r="A375" s="22" t="s">
        <v>820</v>
      </c>
      <c r="B375" s="43">
        <f t="shared" si="5"/>
        <v>186.66710999999987</v>
      </c>
      <c r="C375" s="24" t="s">
        <v>215</v>
      </c>
      <c r="D375" s="24" t="s">
        <v>214</v>
      </c>
      <c r="E375" s="24" t="s">
        <v>826</v>
      </c>
      <c r="F375" s="17">
        <v>185.85788999999966</v>
      </c>
      <c r="G375" s="24" t="s">
        <v>376</v>
      </c>
      <c r="H375" s="24" t="s">
        <v>374</v>
      </c>
      <c r="I375" s="25">
        <v>564.29999999999995</v>
      </c>
      <c r="J375" s="23">
        <v>186667.10999999987</v>
      </c>
      <c r="K375" s="23">
        <v>68230.419999999605</v>
      </c>
    </row>
    <row r="376" spans="1:11" x14ac:dyDescent="0.25">
      <c r="A376" s="22" t="s">
        <v>820</v>
      </c>
      <c r="B376" s="43">
        <f t="shared" si="5"/>
        <v>187.23140999999987</v>
      </c>
      <c r="C376" s="24" t="s">
        <v>214</v>
      </c>
      <c r="D376" s="24" t="s">
        <v>213</v>
      </c>
      <c r="E376" s="24" t="s">
        <v>826</v>
      </c>
      <c r="F376" s="17">
        <v>186.30138999999966</v>
      </c>
      <c r="G376" s="24" t="s">
        <v>374</v>
      </c>
      <c r="H376" s="24" t="s">
        <v>372</v>
      </c>
      <c r="I376" s="25">
        <v>592.9</v>
      </c>
      <c r="J376" s="23">
        <v>187231.40999999986</v>
      </c>
      <c r="K376" s="23">
        <v>67666.119999999602</v>
      </c>
    </row>
    <row r="377" spans="1:11" x14ac:dyDescent="0.25">
      <c r="A377" s="22" t="s">
        <v>820</v>
      </c>
      <c r="B377" s="43">
        <f t="shared" si="5"/>
        <v>187.82430999999985</v>
      </c>
      <c r="C377" s="24" t="s">
        <v>213</v>
      </c>
      <c r="D377" s="24" t="s">
        <v>212</v>
      </c>
      <c r="E377" s="24" t="s">
        <v>826</v>
      </c>
      <c r="F377" s="17">
        <v>186.77357999999964</v>
      </c>
      <c r="G377" s="24" t="s">
        <v>372</v>
      </c>
      <c r="H377" s="24" t="s">
        <v>370</v>
      </c>
      <c r="I377" s="25">
        <v>584.9</v>
      </c>
      <c r="J377" s="23">
        <v>187824.30999999985</v>
      </c>
      <c r="K377" s="23">
        <v>67073.219999999608</v>
      </c>
    </row>
    <row r="378" spans="1:11" x14ac:dyDescent="0.25">
      <c r="A378" s="22" t="s">
        <v>820</v>
      </c>
      <c r="B378" s="43">
        <f t="shared" si="5"/>
        <v>188.40920999999986</v>
      </c>
      <c r="C378" s="24" t="s">
        <v>212</v>
      </c>
      <c r="D378" s="24" t="s">
        <v>211</v>
      </c>
      <c r="E378" s="24" t="s">
        <v>826</v>
      </c>
      <c r="F378" s="17">
        <v>187.18971999999965</v>
      </c>
      <c r="G378" s="24" t="s">
        <v>370</v>
      </c>
      <c r="H378" s="24" t="s">
        <v>368</v>
      </c>
      <c r="I378" s="25">
        <v>566.36</v>
      </c>
      <c r="J378" s="23">
        <v>188409.20999999985</v>
      </c>
      <c r="K378" s="23">
        <v>66488.319999999614</v>
      </c>
    </row>
    <row r="379" spans="1:11" x14ac:dyDescent="0.25">
      <c r="A379" s="22" t="s">
        <v>820</v>
      </c>
      <c r="B379" s="43">
        <f t="shared" si="5"/>
        <v>188.97556999999983</v>
      </c>
      <c r="C379" s="24" t="s">
        <v>211</v>
      </c>
      <c r="D379" s="24" t="s">
        <v>210</v>
      </c>
      <c r="E379" s="24" t="s">
        <v>826</v>
      </c>
      <c r="F379" s="17">
        <v>187.88331999999966</v>
      </c>
      <c r="G379" s="24" t="s">
        <v>368</v>
      </c>
      <c r="H379" s="24" t="s">
        <v>366</v>
      </c>
      <c r="I379" s="25">
        <v>514.29999999999995</v>
      </c>
      <c r="J379" s="23">
        <v>188975.56999999983</v>
      </c>
      <c r="K379" s="23">
        <v>65921.959999999614</v>
      </c>
    </row>
    <row r="380" spans="1:11" x14ac:dyDescent="0.25">
      <c r="A380" s="22" t="s">
        <v>820</v>
      </c>
      <c r="B380" s="43">
        <f t="shared" si="5"/>
        <v>189.48986999999983</v>
      </c>
      <c r="C380" s="24" t="s">
        <v>210</v>
      </c>
      <c r="D380" s="24" t="s">
        <v>209</v>
      </c>
      <c r="E380" s="24" t="s">
        <v>826</v>
      </c>
      <c r="F380" s="17">
        <v>188.47331999999966</v>
      </c>
      <c r="G380" s="24" t="s">
        <v>366</v>
      </c>
      <c r="H380" s="24" t="s">
        <v>364</v>
      </c>
      <c r="I380" s="25">
        <v>551.15</v>
      </c>
      <c r="J380" s="23">
        <v>189489.86999999982</v>
      </c>
      <c r="K380" s="23">
        <v>65407.659999999611</v>
      </c>
    </row>
    <row r="381" spans="1:11" x14ac:dyDescent="0.25">
      <c r="A381" s="22" t="s">
        <v>820</v>
      </c>
      <c r="B381" s="43">
        <f t="shared" si="5"/>
        <v>190.0410199999998</v>
      </c>
      <c r="C381" s="24" t="s">
        <v>209</v>
      </c>
      <c r="D381" s="24" t="s">
        <v>208</v>
      </c>
      <c r="E381" s="24" t="s">
        <v>826</v>
      </c>
      <c r="F381" s="17">
        <v>188.92016999999967</v>
      </c>
      <c r="G381" s="24" t="s">
        <v>364</v>
      </c>
      <c r="H381" s="24" t="s">
        <v>362</v>
      </c>
      <c r="I381" s="25">
        <v>446.7</v>
      </c>
      <c r="J381" s="23">
        <v>190041.01999999981</v>
      </c>
      <c r="K381" s="23">
        <v>64856.509999999609</v>
      </c>
    </row>
    <row r="382" spans="1:11" x14ac:dyDescent="0.25">
      <c r="A382" s="22" t="s">
        <v>820</v>
      </c>
      <c r="B382" s="43">
        <f t="shared" si="5"/>
        <v>190.48771999999983</v>
      </c>
      <c r="C382" s="24" t="s">
        <v>208</v>
      </c>
      <c r="D382" s="24" t="s">
        <v>207</v>
      </c>
      <c r="E382" s="24" t="s">
        <v>826</v>
      </c>
      <c r="F382" s="17">
        <v>189.51007999999968</v>
      </c>
      <c r="G382" s="24" t="s">
        <v>362</v>
      </c>
      <c r="H382" s="24" t="s">
        <v>360</v>
      </c>
      <c r="I382" s="25">
        <v>503.05</v>
      </c>
      <c r="J382" s="23">
        <v>190487.71999999983</v>
      </c>
      <c r="K382" s="23">
        <v>64409.809999999612</v>
      </c>
    </row>
    <row r="383" spans="1:11" x14ac:dyDescent="0.25">
      <c r="A383" s="22" t="s">
        <v>820</v>
      </c>
      <c r="B383" s="43">
        <f t="shared" si="5"/>
        <v>190.99076999999983</v>
      </c>
      <c r="C383" s="24" t="s">
        <v>207</v>
      </c>
      <c r="D383" s="24" t="s">
        <v>206</v>
      </c>
      <c r="E383" s="24" t="s">
        <v>826</v>
      </c>
      <c r="F383" s="17">
        <v>190.12689999999967</v>
      </c>
      <c r="G383" s="24" t="s">
        <v>360</v>
      </c>
      <c r="H383" s="24" t="s">
        <v>358</v>
      </c>
      <c r="I383" s="25">
        <v>529.39</v>
      </c>
      <c r="J383" s="23">
        <v>190990.76999999981</v>
      </c>
      <c r="K383" s="23">
        <v>63906.759999999609</v>
      </c>
    </row>
    <row r="384" spans="1:11" x14ac:dyDescent="0.25">
      <c r="A384" s="22" t="s">
        <v>820</v>
      </c>
      <c r="B384" s="43">
        <f t="shared" si="5"/>
        <v>191.52015999999983</v>
      </c>
      <c r="C384" s="24" t="s">
        <v>206</v>
      </c>
      <c r="D384" s="24" t="s">
        <v>205</v>
      </c>
      <c r="E384" s="24" t="s">
        <v>826</v>
      </c>
      <c r="F384" s="17">
        <v>190.39726999999968</v>
      </c>
      <c r="G384" s="24" t="s">
        <v>358</v>
      </c>
      <c r="H384" s="24" t="s">
        <v>356</v>
      </c>
      <c r="I384" s="25">
        <v>509.76</v>
      </c>
      <c r="J384" s="23">
        <v>191520.15999999983</v>
      </c>
      <c r="K384" s="23">
        <v>63377.36999999961</v>
      </c>
    </row>
    <row r="385" spans="1:11" x14ac:dyDescent="0.25">
      <c r="A385" s="22" t="s">
        <v>820</v>
      </c>
      <c r="B385" s="43">
        <f t="shared" si="5"/>
        <v>192.02991999999983</v>
      </c>
      <c r="C385" s="24" t="s">
        <v>205</v>
      </c>
      <c r="D385" s="24" t="s">
        <v>204</v>
      </c>
      <c r="E385" s="24" t="s">
        <v>826</v>
      </c>
      <c r="F385" s="17">
        <v>190.75078999999965</v>
      </c>
      <c r="G385" s="24" t="s">
        <v>356</v>
      </c>
      <c r="H385" s="24" t="s">
        <v>354</v>
      </c>
      <c r="I385" s="25">
        <v>498.77</v>
      </c>
      <c r="J385" s="23">
        <v>192029.91999999984</v>
      </c>
      <c r="K385" s="23">
        <v>62867.609999999608</v>
      </c>
    </row>
    <row r="386" spans="1:11" x14ac:dyDescent="0.25">
      <c r="A386" s="22" t="s">
        <v>820</v>
      </c>
      <c r="B386" s="43">
        <f t="shared" si="5"/>
        <v>192.52868999999984</v>
      </c>
      <c r="C386" s="24" t="s">
        <v>204</v>
      </c>
      <c r="D386" s="24" t="s">
        <v>203</v>
      </c>
      <c r="E386" s="24" t="s">
        <v>826</v>
      </c>
      <c r="F386" s="17">
        <v>191.45177999999964</v>
      </c>
      <c r="G386" s="24" t="s">
        <v>354</v>
      </c>
      <c r="H386" s="24" t="s">
        <v>352</v>
      </c>
      <c r="I386" s="25">
        <v>483.88</v>
      </c>
      <c r="J386" s="23">
        <v>192528.68999999983</v>
      </c>
      <c r="K386" s="23">
        <v>62368.839999999611</v>
      </c>
    </row>
    <row r="387" spans="1:11" x14ac:dyDescent="0.25">
      <c r="A387" s="22" t="s">
        <v>820</v>
      </c>
      <c r="B387" s="43">
        <f t="shared" ref="B387:B450" si="6">J387/1000</f>
        <v>193.01256999999984</v>
      </c>
      <c r="C387" s="24" t="s">
        <v>203</v>
      </c>
      <c r="D387" s="24" t="s">
        <v>202</v>
      </c>
      <c r="E387" s="24" t="s">
        <v>826</v>
      </c>
      <c r="F387" s="17">
        <v>191.89328999999967</v>
      </c>
      <c r="G387" s="24" t="s">
        <v>352</v>
      </c>
      <c r="H387" s="24" t="s">
        <v>350</v>
      </c>
      <c r="I387" s="25">
        <v>541.79</v>
      </c>
      <c r="J387" s="23">
        <v>193012.56999999983</v>
      </c>
      <c r="K387" s="23">
        <v>61884.959999999614</v>
      </c>
    </row>
    <row r="388" spans="1:11" x14ac:dyDescent="0.25">
      <c r="A388" s="22" t="s">
        <v>820</v>
      </c>
      <c r="B388" s="43">
        <f t="shared" si="6"/>
        <v>193.55435999999983</v>
      </c>
      <c r="C388" s="24" t="s">
        <v>202</v>
      </c>
      <c r="D388" s="24" t="s">
        <v>201</v>
      </c>
      <c r="E388" s="24" t="s">
        <v>826</v>
      </c>
      <c r="F388" s="17">
        <v>192.46021999999965</v>
      </c>
      <c r="G388" s="24" t="s">
        <v>350</v>
      </c>
      <c r="H388" s="24" t="s">
        <v>348</v>
      </c>
      <c r="I388" s="25">
        <v>494.11</v>
      </c>
      <c r="J388" s="23">
        <v>193554.35999999984</v>
      </c>
      <c r="K388" s="23">
        <v>61343.169999999613</v>
      </c>
    </row>
    <row r="389" spans="1:11" x14ac:dyDescent="0.25">
      <c r="A389" s="22" t="s">
        <v>820</v>
      </c>
      <c r="B389" s="43">
        <f t="shared" si="6"/>
        <v>194.04846999999984</v>
      </c>
      <c r="C389" s="24" t="s">
        <v>201</v>
      </c>
      <c r="D389" s="24" t="s">
        <v>200</v>
      </c>
      <c r="E389" s="24" t="s">
        <v>826</v>
      </c>
      <c r="F389" s="17">
        <v>193.00892999999965</v>
      </c>
      <c r="G389" s="24" t="s">
        <v>348</v>
      </c>
      <c r="H389" s="24" t="s">
        <v>346</v>
      </c>
      <c r="I389" s="25">
        <v>485.76999999998952</v>
      </c>
      <c r="J389" s="23">
        <v>194048.46999999983</v>
      </c>
      <c r="K389" s="23">
        <v>60849.059999999612</v>
      </c>
    </row>
    <row r="390" spans="1:11" x14ac:dyDescent="0.25">
      <c r="A390" s="22" t="s">
        <v>820</v>
      </c>
      <c r="B390" s="43">
        <f t="shared" si="6"/>
        <v>194.53423999999981</v>
      </c>
      <c r="C390" s="24" t="s">
        <v>200</v>
      </c>
      <c r="D390" s="24" t="s">
        <v>199</v>
      </c>
      <c r="E390" s="24" t="s">
        <v>826</v>
      </c>
      <c r="F390" s="17">
        <v>193.62612999999965</v>
      </c>
      <c r="G390" s="24" t="s">
        <v>346</v>
      </c>
      <c r="H390" s="24" t="s">
        <v>344</v>
      </c>
      <c r="I390" s="25">
        <v>429.22</v>
      </c>
      <c r="J390" s="23">
        <v>194534.23999999982</v>
      </c>
      <c r="K390" s="23">
        <v>60363.289999999623</v>
      </c>
    </row>
    <row r="391" spans="1:11" x14ac:dyDescent="0.25">
      <c r="A391" s="22" t="s">
        <v>820</v>
      </c>
      <c r="B391" s="43">
        <f t="shared" si="6"/>
        <v>194.96345999999983</v>
      </c>
      <c r="C391" s="24" t="s">
        <v>199</v>
      </c>
      <c r="D391" s="24" t="s">
        <v>198</v>
      </c>
      <c r="E391" s="24" t="s">
        <v>826</v>
      </c>
      <c r="F391" s="17">
        <v>194.19210999999967</v>
      </c>
      <c r="G391" s="24" t="s">
        <v>344</v>
      </c>
      <c r="H391" s="24" t="s">
        <v>342</v>
      </c>
      <c r="I391" s="25">
        <v>491.69</v>
      </c>
      <c r="J391" s="23">
        <v>194963.45999999982</v>
      </c>
      <c r="K391" s="23">
        <v>59934.069999999621</v>
      </c>
    </row>
    <row r="392" spans="1:11" x14ac:dyDescent="0.25">
      <c r="A392" s="22" t="s">
        <v>820</v>
      </c>
      <c r="B392" s="43">
        <f t="shared" si="6"/>
        <v>195.45514999999983</v>
      </c>
      <c r="C392" s="24" t="s">
        <v>198</v>
      </c>
      <c r="D392" s="24" t="s">
        <v>197</v>
      </c>
      <c r="E392" s="24" t="s">
        <v>826</v>
      </c>
      <c r="F392" s="17">
        <v>194.66500999999965</v>
      </c>
      <c r="G392" s="24" t="s">
        <v>342</v>
      </c>
      <c r="H392" s="24" t="s">
        <v>340</v>
      </c>
      <c r="I392" s="25">
        <v>519.64000000001397</v>
      </c>
      <c r="J392" s="23">
        <v>195455.14999999982</v>
      </c>
      <c r="K392" s="23">
        <v>59442.379999999619</v>
      </c>
    </row>
    <row r="393" spans="1:11" x14ac:dyDescent="0.25">
      <c r="A393" s="22" t="s">
        <v>820</v>
      </c>
      <c r="B393" s="43">
        <f t="shared" si="6"/>
        <v>195.97478999999984</v>
      </c>
      <c r="C393" s="24" t="s">
        <v>197</v>
      </c>
      <c r="D393" s="24" t="s">
        <v>196</v>
      </c>
      <c r="E393" s="24" t="s">
        <v>826</v>
      </c>
      <c r="F393" s="17">
        <v>195.12923999999967</v>
      </c>
      <c r="G393" s="24" t="s">
        <v>340</v>
      </c>
      <c r="H393" s="24" t="s">
        <v>338</v>
      </c>
      <c r="I393" s="25">
        <v>522.01</v>
      </c>
      <c r="J393" s="23">
        <v>195974.78999999983</v>
      </c>
      <c r="K393" s="23">
        <v>58922.739999999605</v>
      </c>
    </row>
    <row r="394" spans="1:11" x14ac:dyDescent="0.25">
      <c r="A394" s="22" t="s">
        <v>820</v>
      </c>
      <c r="B394" s="43">
        <f t="shared" si="6"/>
        <v>196.49679999999984</v>
      </c>
      <c r="C394" s="24" t="s">
        <v>196</v>
      </c>
      <c r="D394" s="24" t="s">
        <v>195</v>
      </c>
      <c r="E394" s="24" t="s">
        <v>826</v>
      </c>
      <c r="F394" s="17">
        <v>195.55343999999968</v>
      </c>
      <c r="G394" s="24" t="s">
        <v>338</v>
      </c>
      <c r="H394" s="24" t="s">
        <v>336</v>
      </c>
      <c r="I394" s="25">
        <v>516.79999999998836</v>
      </c>
      <c r="J394" s="23">
        <v>196496.79999999984</v>
      </c>
      <c r="K394" s="23">
        <v>58400.729999999603</v>
      </c>
    </row>
    <row r="395" spans="1:11" x14ac:dyDescent="0.25">
      <c r="A395" s="22" t="s">
        <v>820</v>
      </c>
      <c r="B395" s="43">
        <f t="shared" si="6"/>
        <v>197.01359999999983</v>
      </c>
      <c r="C395" s="24" t="s">
        <v>195</v>
      </c>
      <c r="D395" s="24" t="s">
        <v>194</v>
      </c>
      <c r="E395" s="24" t="s">
        <v>826</v>
      </c>
      <c r="F395" s="17">
        <v>196.06645999999967</v>
      </c>
      <c r="G395" s="24" t="s">
        <v>336</v>
      </c>
      <c r="H395" s="24" t="s">
        <v>334</v>
      </c>
      <c r="I395" s="25">
        <v>379.03</v>
      </c>
      <c r="J395" s="23">
        <v>197013.59999999983</v>
      </c>
      <c r="K395" s="23">
        <v>57883.929999999615</v>
      </c>
    </row>
    <row r="396" spans="1:11" x14ac:dyDescent="0.25">
      <c r="A396" s="22" t="s">
        <v>820</v>
      </c>
      <c r="B396" s="43">
        <f t="shared" si="6"/>
        <v>197.39262999999983</v>
      </c>
      <c r="C396" s="24" t="s">
        <v>194</v>
      </c>
      <c r="D396" s="24" t="s">
        <v>193</v>
      </c>
      <c r="E396" s="24" t="s">
        <v>826</v>
      </c>
      <c r="F396" s="17">
        <v>196.55070999999967</v>
      </c>
      <c r="G396" s="24" t="s">
        <v>334</v>
      </c>
      <c r="H396" s="24" t="s">
        <v>332</v>
      </c>
      <c r="I396" s="25">
        <v>451</v>
      </c>
      <c r="J396" s="23">
        <v>197392.62999999983</v>
      </c>
      <c r="K396" s="23">
        <v>57504.899999999616</v>
      </c>
    </row>
    <row r="397" spans="1:11" x14ac:dyDescent="0.25">
      <c r="A397" s="22" t="s">
        <v>820</v>
      </c>
      <c r="B397" s="43">
        <f t="shared" si="6"/>
        <v>197.84362999999982</v>
      </c>
      <c r="C397" s="24" t="s">
        <v>193</v>
      </c>
      <c r="D397" s="24" t="s">
        <v>192</v>
      </c>
      <c r="E397" s="24" t="s">
        <v>826</v>
      </c>
      <c r="F397" s="17">
        <v>197.14485999999965</v>
      </c>
      <c r="G397" s="24" t="s">
        <v>332</v>
      </c>
      <c r="H397" s="24" t="s">
        <v>330</v>
      </c>
      <c r="I397" s="25">
        <v>542.19000000000005</v>
      </c>
      <c r="J397" s="23">
        <v>197843.62999999983</v>
      </c>
      <c r="K397" s="23">
        <v>57053.899999999616</v>
      </c>
    </row>
    <row r="398" spans="1:11" x14ac:dyDescent="0.25">
      <c r="A398" s="22" t="s">
        <v>820</v>
      </c>
      <c r="B398" s="43">
        <f t="shared" si="6"/>
        <v>198.38581999999982</v>
      </c>
      <c r="C398" s="24" t="s">
        <v>192</v>
      </c>
      <c r="D398" s="24" t="s">
        <v>191</v>
      </c>
      <c r="E398" s="24" t="s">
        <v>826</v>
      </c>
      <c r="F398" s="17">
        <v>197.74851999999967</v>
      </c>
      <c r="G398" s="24" t="s">
        <v>330</v>
      </c>
      <c r="H398" s="24" t="s">
        <v>328</v>
      </c>
      <c r="I398" s="25">
        <v>526.4</v>
      </c>
      <c r="J398" s="23">
        <v>198385.81999999983</v>
      </c>
      <c r="K398" s="23">
        <v>56511.709999999614</v>
      </c>
    </row>
    <row r="399" spans="1:11" x14ac:dyDescent="0.25">
      <c r="A399" s="22" t="s">
        <v>820</v>
      </c>
      <c r="B399" s="43">
        <f t="shared" si="6"/>
        <v>198.91221999999982</v>
      </c>
      <c r="C399" s="24" t="s">
        <v>191</v>
      </c>
      <c r="D399" s="24" t="s">
        <v>190</v>
      </c>
      <c r="E399" s="24" t="s">
        <v>826</v>
      </c>
      <c r="F399" s="17">
        <v>198.40410999999966</v>
      </c>
      <c r="G399" s="24" t="s">
        <v>328</v>
      </c>
      <c r="H399" s="24" t="s">
        <v>326</v>
      </c>
      <c r="I399" s="25">
        <v>467.08</v>
      </c>
      <c r="J399" s="23">
        <v>198912.21999999983</v>
      </c>
      <c r="K399" s="23">
        <v>55985.309999999612</v>
      </c>
    </row>
    <row r="400" spans="1:11" x14ac:dyDescent="0.25">
      <c r="A400" s="22" t="s">
        <v>820</v>
      </c>
      <c r="B400" s="43">
        <f t="shared" si="6"/>
        <v>199.3792999999998</v>
      </c>
      <c r="C400" s="24" t="s">
        <v>190</v>
      </c>
      <c r="D400" s="24" t="s">
        <v>189</v>
      </c>
      <c r="E400" s="24" t="s">
        <v>826</v>
      </c>
      <c r="F400" s="17">
        <v>198.94877999999969</v>
      </c>
      <c r="G400" s="24" t="s">
        <v>326</v>
      </c>
      <c r="H400" s="24" t="s">
        <v>324</v>
      </c>
      <c r="I400" s="25">
        <v>541.26</v>
      </c>
      <c r="J400" s="23">
        <v>199379.29999999981</v>
      </c>
      <c r="K400" s="23">
        <v>55518.22999999961</v>
      </c>
    </row>
    <row r="401" spans="1:11" x14ac:dyDescent="0.25">
      <c r="A401" s="22" t="s">
        <v>820</v>
      </c>
      <c r="B401" s="43">
        <f t="shared" si="6"/>
        <v>199.92055999999982</v>
      </c>
      <c r="C401" s="24" t="s">
        <v>189</v>
      </c>
      <c r="D401" s="24" t="s">
        <v>188</v>
      </c>
      <c r="E401" s="24" t="s">
        <v>826</v>
      </c>
      <c r="F401" s="17">
        <v>199.45352999999969</v>
      </c>
      <c r="G401" s="24" t="s">
        <v>324</v>
      </c>
      <c r="H401" s="24" t="s">
        <v>322</v>
      </c>
      <c r="I401" s="25">
        <v>505.09</v>
      </c>
      <c r="J401" s="23">
        <v>199920.55999999982</v>
      </c>
      <c r="K401" s="23">
        <v>54976.969999999608</v>
      </c>
    </row>
    <row r="402" spans="1:11" x14ac:dyDescent="0.25">
      <c r="A402" s="22" t="s">
        <v>820</v>
      </c>
      <c r="B402" s="43">
        <f t="shared" si="6"/>
        <v>200.42564999999982</v>
      </c>
      <c r="C402" s="24" t="s">
        <v>188</v>
      </c>
      <c r="D402" s="24" t="s">
        <v>696</v>
      </c>
      <c r="E402" s="24" t="s">
        <v>826</v>
      </c>
      <c r="F402" s="17">
        <v>199.95116999999971</v>
      </c>
      <c r="G402" s="24" t="s">
        <v>322</v>
      </c>
      <c r="H402" s="24" t="s">
        <v>320</v>
      </c>
      <c r="I402" s="25">
        <v>502</v>
      </c>
      <c r="J402" s="23">
        <v>200425.64999999982</v>
      </c>
      <c r="K402" s="23">
        <v>54471.879999999612</v>
      </c>
    </row>
    <row r="403" spans="1:11" x14ac:dyDescent="0.25">
      <c r="A403" s="22" t="s">
        <v>820</v>
      </c>
      <c r="B403" s="43">
        <f t="shared" si="6"/>
        <v>200.92764999999983</v>
      </c>
      <c r="C403" s="24" t="s">
        <v>696</v>
      </c>
      <c r="D403" s="24" t="s">
        <v>695</v>
      </c>
      <c r="E403" s="24" t="s">
        <v>826</v>
      </c>
      <c r="F403" s="17">
        <v>200.51706999999968</v>
      </c>
      <c r="G403" s="24" t="s">
        <v>320</v>
      </c>
      <c r="H403" s="24" t="s">
        <v>318</v>
      </c>
      <c r="I403" s="25">
        <v>551.14</v>
      </c>
      <c r="J403" s="23">
        <v>200927.64999999982</v>
      </c>
      <c r="K403" s="23">
        <v>53969.879999999612</v>
      </c>
    </row>
    <row r="404" spans="1:11" x14ac:dyDescent="0.25">
      <c r="A404" s="22" t="s">
        <v>820</v>
      </c>
      <c r="B404" s="43">
        <f t="shared" si="6"/>
        <v>201.47878999999983</v>
      </c>
      <c r="C404" s="24" t="s">
        <v>695</v>
      </c>
      <c r="D404" s="24" t="s">
        <v>694</v>
      </c>
      <c r="E404" s="24" t="s">
        <v>826</v>
      </c>
      <c r="F404" s="17">
        <v>201.09756999999968</v>
      </c>
      <c r="G404" s="24" t="s">
        <v>318</v>
      </c>
      <c r="H404" s="24" t="s">
        <v>316</v>
      </c>
      <c r="I404" s="25">
        <v>605.02999999999884</v>
      </c>
      <c r="J404" s="23">
        <v>201478.78999999983</v>
      </c>
      <c r="K404" s="23">
        <v>53418.739999999612</v>
      </c>
    </row>
    <row r="405" spans="1:11" x14ac:dyDescent="0.25">
      <c r="A405" s="22" t="s">
        <v>820</v>
      </c>
      <c r="B405" s="43">
        <f t="shared" si="6"/>
        <v>202.08381999999983</v>
      </c>
      <c r="C405" s="24" t="s">
        <v>694</v>
      </c>
      <c r="D405" s="24" t="s">
        <v>693</v>
      </c>
      <c r="E405" s="24" t="s">
        <v>826</v>
      </c>
      <c r="F405" s="17">
        <v>201.6346999999997</v>
      </c>
      <c r="G405" s="24" t="s">
        <v>316</v>
      </c>
      <c r="H405" s="24" t="s">
        <v>314</v>
      </c>
      <c r="I405" s="25">
        <v>588.61</v>
      </c>
      <c r="J405" s="23">
        <v>202083.81999999983</v>
      </c>
      <c r="K405" s="23">
        <v>52813.709999999614</v>
      </c>
    </row>
    <row r="406" spans="1:11" x14ac:dyDescent="0.25">
      <c r="A406" s="22" t="s">
        <v>820</v>
      </c>
      <c r="B406" s="43">
        <f t="shared" si="6"/>
        <v>202.67242999999982</v>
      </c>
      <c r="C406" s="24" t="s">
        <v>693</v>
      </c>
      <c r="D406" s="24" t="s">
        <v>692</v>
      </c>
      <c r="E406" s="24" t="s">
        <v>826</v>
      </c>
      <c r="F406" s="17">
        <v>202.15249999999969</v>
      </c>
      <c r="G406" s="24" t="s">
        <v>314</v>
      </c>
      <c r="H406" s="24" t="s">
        <v>312</v>
      </c>
      <c r="I406" s="25">
        <v>518.65</v>
      </c>
      <c r="J406" s="23">
        <v>202672.42999999982</v>
      </c>
      <c r="K406" s="23">
        <v>52225.099999999613</v>
      </c>
    </row>
    <row r="407" spans="1:11" x14ac:dyDescent="0.25">
      <c r="A407" s="22" t="s">
        <v>820</v>
      </c>
      <c r="B407" s="43">
        <f t="shared" si="6"/>
        <v>203.1910799999998</v>
      </c>
      <c r="C407" s="24" t="s">
        <v>692</v>
      </c>
      <c r="D407" s="24" t="s">
        <v>691</v>
      </c>
      <c r="E407" s="24" t="s">
        <v>826</v>
      </c>
      <c r="F407" s="17">
        <v>202.64341999999968</v>
      </c>
      <c r="G407" s="24" t="s">
        <v>312</v>
      </c>
      <c r="H407" s="24" t="s">
        <v>310</v>
      </c>
      <c r="I407" s="25">
        <v>562.16</v>
      </c>
      <c r="J407" s="23">
        <v>203191.07999999981</v>
      </c>
      <c r="K407" s="23">
        <v>51706.449999999611</v>
      </c>
    </row>
    <row r="408" spans="1:11" x14ac:dyDescent="0.25">
      <c r="A408" s="22" t="s">
        <v>820</v>
      </c>
      <c r="B408" s="43">
        <f t="shared" si="6"/>
        <v>203.75323999999981</v>
      </c>
      <c r="C408" s="24" t="s">
        <v>691</v>
      </c>
      <c r="D408" s="24" t="s">
        <v>690</v>
      </c>
      <c r="E408" s="24" t="s">
        <v>826</v>
      </c>
      <c r="F408" s="17">
        <v>203.18168999999972</v>
      </c>
      <c r="G408" s="24" t="s">
        <v>310</v>
      </c>
      <c r="H408" s="24" t="s">
        <v>308</v>
      </c>
      <c r="I408" s="25">
        <v>507.93</v>
      </c>
      <c r="J408" s="23">
        <v>203753.23999999982</v>
      </c>
      <c r="K408" s="23">
        <v>51144.289999999608</v>
      </c>
    </row>
    <row r="409" spans="1:11" x14ac:dyDescent="0.25">
      <c r="A409" s="22" t="s">
        <v>820</v>
      </c>
      <c r="B409" s="43">
        <f t="shared" si="6"/>
        <v>204.26116999999982</v>
      </c>
      <c r="C409" s="24" t="s">
        <v>690</v>
      </c>
      <c r="D409" s="24" t="s">
        <v>689</v>
      </c>
      <c r="E409" s="24" t="s">
        <v>826</v>
      </c>
      <c r="F409" s="17">
        <v>203.6248699999997</v>
      </c>
      <c r="G409" s="24" t="s">
        <v>308</v>
      </c>
      <c r="H409" s="24" t="s">
        <v>306</v>
      </c>
      <c r="I409" s="25">
        <v>563.27</v>
      </c>
      <c r="J409" s="23">
        <v>204261.16999999981</v>
      </c>
      <c r="K409" s="23">
        <v>50636.359999999608</v>
      </c>
    </row>
    <row r="410" spans="1:11" x14ac:dyDescent="0.25">
      <c r="A410" s="22" t="s">
        <v>820</v>
      </c>
      <c r="B410" s="43">
        <f t="shared" si="6"/>
        <v>204.82443999999981</v>
      </c>
      <c r="C410" s="24" t="s">
        <v>689</v>
      </c>
      <c r="D410" s="24" t="s">
        <v>688</v>
      </c>
      <c r="E410" s="24" t="s">
        <v>826</v>
      </c>
      <c r="F410" s="17">
        <v>204.03426999999971</v>
      </c>
      <c r="G410" s="24" t="s">
        <v>306</v>
      </c>
      <c r="H410" s="24" t="s">
        <v>304</v>
      </c>
      <c r="I410" s="25">
        <v>536.45000000000005</v>
      </c>
      <c r="J410" s="23">
        <v>204824.4399999998</v>
      </c>
      <c r="K410" s="23">
        <v>50073.089999999611</v>
      </c>
    </row>
    <row r="411" spans="1:11" x14ac:dyDescent="0.25">
      <c r="A411" s="22" t="s">
        <v>820</v>
      </c>
      <c r="B411" s="43">
        <f t="shared" si="6"/>
        <v>205.36088999999981</v>
      </c>
      <c r="C411" s="24" t="s">
        <v>688</v>
      </c>
      <c r="D411" s="24" t="s">
        <v>687</v>
      </c>
      <c r="E411" s="24" t="s">
        <v>826</v>
      </c>
      <c r="F411" s="17">
        <v>204.48146999999972</v>
      </c>
      <c r="G411" s="24" t="s">
        <v>304</v>
      </c>
      <c r="H411" s="24" t="s">
        <v>302</v>
      </c>
      <c r="I411" s="25">
        <v>473.69</v>
      </c>
      <c r="J411" s="23">
        <v>205360.88999999981</v>
      </c>
      <c r="K411" s="23">
        <v>49536.639999999614</v>
      </c>
    </row>
    <row r="412" spans="1:11" x14ac:dyDescent="0.25">
      <c r="A412" s="22" t="s">
        <v>820</v>
      </c>
      <c r="B412" s="43">
        <f t="shared" si="6"/>
        <v>205.83457999999982</v>
      </c>
      <c r="C412" s="24" t="s">
        <v>687</v>
      </c>
      <c r="D412" s="24" t="s">
        <v>686</v>
      </c>
      <c r="E412" s="24" t="s">
        <v>826</v>
      </c>
      <c r="F412" s="17">
        <v>205.0790299999997</v>
      </c>
      <c r="G412" s="24" t="s">
        <v>302</v>
      </c>
      <c r="H412" s="24" t="s">
        <v>300</v>
      </c>
      <c r="I412" s="25">
        <v>534.25</v>
      </c>
      <c r="J412" s="23">
        <v>205834.57999999981</v>
      </c>
      <c r="K412" s="23">
        <v>49062.949999999611</v>
      </c>
    </row>
    <row r="413" spans="1:11" x14ac:dyDescent="0.25">
      <c r="A413" s="22" t="s">
        <v>820</v>
      </c>
      <c r="B413" s="43">
        <f t="shared" si="6"/>
        <v>206.3688299999998</v>
      </c>
      <c r="C413" s="24" t="s">
        <v>686</v>
      </c>
      <c r="D413" s="24" t="s">
        <v>685</v>
      </c>
      <c r="E413" s="24" t="s">
        <v>826</v>
      </c>
      <c r="F413" s="17">
        <v>205.63902999999971</v>
      </c>
      <c r="G413" s="24" t="s">
        <v>300</v>
      </c>
      <c r="H413" s="24" t="s">
        <v>298</v>
      </c>
      <c r="I413" s="25">
        <v>506.35</v>
      </c>
      <c r="J413" s="23">
        <v>206368.82999999981</v>
      </c>
      <c r="K413" s="23">
        <v>48528.699999999611</v>
      </c>
    </row>
    <row r="414" spans="1:11" x14ac:dyDescent="0.25">
      <c r="A414" s="22" t="s">
        <v>820</v>
      </c>
      <c r="B414" s="43">
        <f t="shared" si="6"/>
        <v>206.87517999999983</v>
      </c>
      <c r="C414" s="24" t="s">
        <v>685</v>
      </c>
      <c r="D414" s="24" t="s">
        <v>684</v>
      </c>
      <c r="E414" s="24" t="s">
        <v>826</v>
      </c>
      <c r="F414" s="17">
        <v>206.18703999999971</v>
      </c>
      <c r="G414" s="24" t="s">
        <v>298</v>
      </c>
      <c r="H414" s="24" t="s">
        <v>296</v>
      </c>
      <c r="I414" s="25">
        <v>422.62</v>
      </c>
      <c r="J414" s="23">
        <v>206875.17999999982</v>
      </c>
      <c r="K414" s="23">
        <v>48022.349999999613</v>
      </c>
    </row>
    <row r="415" spans="1:11" x14ac:dyDescent="0.25">
      <c r="A415" s="22" t="s">
        <v>820</v>
      </c>
      <c r="B415" s="43">
        <f t="shared" si="6"/>
        <v>207.29779999999982</v>
      </c>
      <c r="C415" s="24" t="s">
        <v>684</v>
      </c>
      <c r="D415" s="24" t="s">
        <v>683</v>
      </c>
      <c r="E415" s="24" t="s">
        <v>826</v>
      </c>
      <c r="F415" s="17">
        <v>206.7900599999997</v>
      </c>
      <c r="G415" s="24" t="s">
        <v>296</v>
      </c>
      <c r="H415" s="24" t="s">
        <v>294</v>
      </c>
      <c r="I415" s="25">
        <v>498.35</v>
      </c>
      <c r="J415" s="23">
        <v>207297.79999999981</v>
      </c>
      <c r="K415" s="23">
        <v>47599.72999999961</v>
      </c>
    </row>
    <row r="416" spans="1:11" x14ac:dyDescent="0.25">
      <c r="A416" s="22" t="s">
        <v>820</v>
      </c>
      <c r="B416" s="43">
        <f t="shared" si="6"/>
        <v>207.79614999999981</v>
      </c>
      <c r="C416" s="24" t="s">
        <v>683</v>
      </c>
      <c r="D416" s="24" t="s">
        <v>682</v>
      </c>
      <c r="E416" s="24" t="s">
        <v>826</v>
      </c>
      <c r="F416" s="17">
        <v>207.3274999999997</v>
      </c>
      <c r="G416" s="24" t="s">
        <v>294</v>
      </c>
      <c r="H416" s="24" t="s">
        <v>292</v>
      </c>
      <c r="I416" s="25">
        <v>495.79</v>
      </c>
      <c r="J416" s="23">
        <v>207796.14999999982</v>
      </c>
      <c r="K416" s="23">
        <v>47101.379999999612</v>
      </c>
    </row>
    <row r="417" spans="1:11" x14ac:dyDescent="0.25">
      <c r="A417" s="22" t="s">
        <v>820</v>
      </c>
      <c r="B417" s="43">
        <f t="shared" si="6"/>
        <v>208.29193999999984</v>
      </c>
      <c r="C417" s="24" t="s">
        <v>682</v>
      </c>
      <c r="D417" s="24" t="s">
        <v>681</v>
      </c>
      <c r="E417" s="24" t="s">
        <v>826</v>
      </c>
      <c r="F417" s="17">
        <v>207.83884999999972</v>
      </c>
      <c r="G417" s="24" t="s">
        <v>292</v>
      </c>
      <c r="H417" s="24" t="s">
        <v>290</v>
      </c>
      <c r="I417" s="25">
        <v>481.08</v>
      </c>
      <c r="J417" s="23">
        <v>208291.93999999983</v>
      </c>
      <c r="K417" s="23">
        <v>46605.589999999611</v>
      </c>
    </row>
    <row r="418" spans="1:11" x14ac:dyDescent="0.25">
      <c r="A418" s="22" t="s">
        <v>820</v>
      </c>
      <c r="B418" s="43">
        <f t="shared" si="6"/>
        <v>208.7730199999998</v>
      </c>
      <c r="C418" s="24" t="s">
        <v>681</v>
      </c>
      <c r="D418" s="24" t="s">
        <v>680</v>
      </c>
      <c r="E418" s="24" t="s">
        <v>826</v>
      </c>
      <c r="F418" s="17">
        <v>208.41419999999971</v>
      </c>
      <c r="G418" s="24" t="s">
        <v>290</v>
      </c>
      <c r="H418" s="24" t="s">
        <v>288</v>
      </c>
      <c r="I418" s="25">
        <v>499.54</v>
      </c>
      <c r="J418" s="23">
        <v>208773.01999999981</v>
      </c>
      <c r="K418" s="23">
        <v>46124.509999999609</v>
      </c>
    </row>
    <row r="419" spans="1:11" x14ac:dyDescent="0.25">
      <c r="A419" s="22" t="s">
        <v>820</v>
      </c>
      <c r="B419" s="43">
        <f t="shared" si="6"/>
        <v>209.27255999999983</v>
      </c>
      <c r="C419" s="24" t="s">
        <v>680</v>
      </c>
      <c r="D419" s="24" t="s">
        <v>679</v>
      </c>
      <c r="E419" s="24" t="s">
        <v>826</v>
      </c>
      <c r="F419" s="17">
        <v>208.97219999999973</v>
      </c>
      <c r="G419" s="24" t="s">
        <v>288</v>
      </c>
      <c r="H419" s="24" t="s">
        <v>286</v>
      </c>
      <c r="I419" s="25">
        <v>559.24</v>
      </c>
      <c r="J419" s="23">
        <v>209272.55999999982</v>
      </c>
      <c r="K419" s="23">
        <v>45624.969999999608</v>
      </c>
    </row>
    <row r="420" spans="1:11" x14ac:dyDescent="0.25">
      <c r="A420" s="22" t="s">
        <v>820</v>
      </c>
      <c r="B420" s="43">
        <f t="shared" si="6"/>
        <v>209.83179999999982</v>
      </c>
      <c r="C420" s="24" t="s">
        <v>679</v>
      </c>
      <c r="D420" s="24" t="s">
        <v>678</v>
      </c>
      <c r="E420" s="24" t="s">
        <v>826</v>
      </c>
      <c r="F420" s="17">
        <v>209.53427999999971</v>
      </c>
      <c r="G420" s="24" t="s">
        <v>286</v>
      </c>
      <c r="H420" s="24" t="s">
        <v>284</v>
      </c>
      <c r="I420" s="25">
        <v>521.62</v>
      </c>
      <c r="J420" s="23">
        <v>209831.79999999981</v>
      </c>
      <c r="K420" s="23">
        <v>45065.72999999961</v>
      </c>
    </row>
    <row r="421" spans="1:11" x14ac:dyDescent="0.25">
      <c r="A421" s="22" t="s">
        <v>820</v>
      </c>
      <c r="B421" s="43">
        <f t="shared" si="6"/>
        <v>210.3534199999998</v>
      </c>
      <c r="C421" s="24" t="s">
        <v>678</v>
      </c>
      <c r="D421" s="24" t="s">
        <v>677</v>
      </c>
      <c r="E421" s="24" t="s">
        <v>826</v>
      </c>
      <c r="F421" s="17">
        <v>209.9499099999997</v>
      </c>
      <c r="G421" s="24" t="s">
        <v>284</v>
      </c>
      <c r="H421" s="24" t="s">
        <v>282</v>
      </c>
      <c r="I421" s="25">
        <v>401.11</v>
      </c>
      <c r="J421" s="23">
        <v>210353.41999999981</v>
      </c>
      <c r="K421" s="23">
        <v>44544.109999999608</v>
      </c>
    </row>
    <row r="422" spans="1:11" x14ac:dyDescent="0.25">
      <c r="A422" s="22" t="s">
        <v>820</v>
      </c>
      <c r="B422" s="43">
        <f t="shared" si="6"/>
        <v>210.75452999999979</v>
      </c>
      <c r="C422" s="24" t="s">
        <v>677</v>
      </c>
      <c r="D422" s="24" t="s">
        <v>676</v>
      </c>
      <c r="E422" s="24" t="s">
        <v>826</v>
      </c>
      <c r="F422" s="17">
        <v>210.40800999999971</v>
      </c>
      <c r="G422" s="24" t="s">
        <v>282</v>
      </c>
      <c r="H422" s="24" t="s">
        <v>280</v>
      </c>
      <c r="I422" s="25">
        <v>405.96</v>
      </c>
      <c r="J422" s="23">
        <v>210754.5299999998</v>
      </c>
      <c r="K422" s="23">
        <v>44142.999999999607</v>
      </c>
    </row>
    <row r="423" spans="1:11" x14ac:dyDescent="0.25">
      <c r="A423" s="22" t="s">
        <v>820</v>
      </c>
      <c r="B423" s="43">
        <f t="shared" si="6"/>
        <v>211.16048999999978</v>
      </c>
      <c r="C423" s="24" t="s">
        <v>676</v>
      </c>
      <c r="D423" s="24" t="s">
        <v>675</v>
      </c>
      <c r="E423" s="24" t="s">
        <v>826</v>
      </c>
      <c r="F423" s="17">
        <v>210.92000999999971</v>
      </c>
      <c r="G423" s="24" t="s">
        <v>280</v>
      </c>
      <c r="H423" s="24" t="s">
        <v>278</v>
      </c>
      <c r="I423" s="25">
        <v>404.84</v>
      </c>
      <c r="J423" s="23">
        <v>211160.48999999979</v>
      </c>
      <c r="K423" s="23">
        <v>43737.039999999608</v>
      </c>
    </row>
    <row r="424" spans="1:11" x14ac:dyDescent="0.25">
      <c r="A424" s="22" t="s">
        <v>820</v>
      </c>
      <c r="B424" s="43">
        <f t="shared" si="6"/>
        <v>211.56532999999979</v>
      </c>
      <c r="C424" s="24" t="s">
        <v>675</v>
      </c>
      <c r="D424" s="24" t="s">
        <v>674</v>
      </c>
      <c r="E424" s="24" t="s">
        <v>826</v>
      </c>
      <c r="F424" s="17">
        <v>211.38215999999971</v>
      </c>
      <c r="G424" s="24" t="s">
        <v>278</v>
      </c>
      <c r="H424" s="24" t="s">
        <v>276</v>
      </c>
      <c r="I424" s="25">
        <v>428.29</v>
      </c>
      <c r="J424" s="23">
        <v>211565.32999999978</v>
      </c>
      <c r="K424" s="23">
        <v>43332.199999999611</v>
      </c>
    </row>
    <row r="425" spans="1:11" x14ac:dyDescent="0.25">
      <c r="A425" s="22" t="s">
        <v>820</v>
      </c>
      <c r="B425" s="43">
        <f t="shared" si="6"/>
        <v>211.99361999999979</v>
      </c>
      <c r="C425" s="24" t="s">
        <v>674</v>
      </c>
      <c r="D425" s="24" t="s">
        <v>673</v>
      </c>
      <c r="E425" s="24" t="s">
        <v>826</v>
      </c>
      <c r="F425" s="17">
        <v>211.9437199999997</v>
      </c>
      <c r="G425" s="24" t="s">
        <v>276</v>
      </c>
      <c r="H425" s="24" t="s">
        <v>274</v>
      </c>
      <c r="I425" s="25">
        <v>389.31</v>
      </c>
      <c r="J425" s="23">
        <v>211993.61999999979</v>
      </c>
      <c r="K425" s="23">
        <v>42903.909999999611</v>
      </c>
    </row>
    <row r="426" spans="1:11" x14ac:dyDescent="0.25">
      <c r="A426" s="22" t="s">
        <v>820</v>
      </c>
      <c r="B426" s="43">
        <f t="shared" si="6"/>
        <v>212.38292999999979</v>
      </c>
      <c r="C426" s="24" t="s">
        <v>673</v>
      </c>
      <c r="D426" s="24" t="s">
        <v>672</v>
      </c>
      <c r="E426" s="24" t="s">
        <v>826</v>
      </c>
      <c r="F426" s="17">
        <v>212.46755999999971</v>
      </c>
      <c r="G426" s="24" t="s">
        <v>274</v>
      </c>
      <c r="H426" s="24" t="s">
        <v>272</v>
      </c>
      <c r="I426" s="25">
        <v>454.6</v>
      </c>
      <c r="J426" s="23">
        <v>212382.92999999979</v>
      </c>
      <c r="K426" s="23">
        <v>42514.599999999613</v>
      </c>
    </row>
    <row r="427" spans="1:11" x14ac:dyDescent="0.25">
      <c r="A427" s="22" t="s">
        <v>820</v>
      </c>
      <c r="B427" s="43">
        <f t="shared" si="6"/>
        <v>212.83752999999979</v>
      </c>
      <c r="C427" s="24" t="s">
        <v>672</v>
      </c>
      <c r="D427" s="24" t="s">
        <v>671</v>
      </c>
      <c r="E427" s="24" t="s">
        <v>826</v>
      </c>
      <c r="F427" s="17">
        <v>213.0425599999997</v>
      </c>
      <c r="G427" s="24" t="s">
        <v>272</v>
      </c>
      <c r="H427" s="24" t="s">
        <v>183</v>
      </c>
      <c r="I427" s="25">
        <v>557.57000000000005</v>
      </c>
      <c r="J427" s="23">
        <v>212837.5299999998</v>
      </c>
      <c r="K427" s="23">
        <v>42059.999999999614</v>
      </c>
    </row>
    <row r="428" spans="1:11" x14ac:dyDescent="0.25">
      <c r="A428" s="22" t="s">
        <v>820</v>
      </c>
      <c r="B428" s="43">
        <f t="shared" si="6"/>
        <v>213.39509999999981</v>
      </c>
      <c r="C428" s="24" t="s">
        <v>671</v>
      </c>
      <c r="D428" s="24" t="s">
        <v>670</v>
      </c>
      <c r="E428" s="24" t="s">
        <v>826</v>
      </c>
      <c r="F428" s="17">
        <v>213.58325999999971</v>
      </c>
      <c r="G428" s="24" t="s">
        <v>183</v>
      </c>
      <c r="H428" s="24" t="s">
        <v>181</v>
      </c>
      <c r="I428" s="25">
        <v>510.18</v>
      </c>
      <c r="J428" s="23">
        <v>213395.0999999998</v>
      </c>
      <c r="K428" s="23">
        <v>41502.429999999615</v>
      </c>
    </row>
    <row r="429" spans="1:11" x14ac:dyDescent="0.25">
      <c r="A429" s="22" t="s">
        <v>820</v>
      </c>
      <c r="B429" s="43">
        <f t="shared" si="6"/>
        <v>213.90527999999981</v>
      </c>
      <c r="C429" s="24" t="s">
        <v>670</v>
      </c>
      <c r="D429" s="24" t="s">
        <v>669</v>
      </c>
      <c r="E429" s="24" t="s">
        <v>826</v>
      </c>
      <c r="F429" s="17">
        <v>214.10451999999972</v>
      </c>
      <c r="G429" s="24" t="s">
        <v>181</v>
      </c>
      <c r="H429" s="24" t="s">
        <v>179</v>
      </c>
      <c r="I429" s="25">
        <v>371.63</v>
      </c>
      <c r="J429" s="23">
        <v>213905.2799999998</v>
      </c>
      <c r="K429" s="23">
        <v>40992.249999999614</v>
      </c>
    </row>
    <row r="430" spans="1:11" x14ac:dyDescent="0.25">
      <c r="A430" s="22" t="s">
        <v>820</v>
      </c>
      <c r="B430" s="43">
        <f t="shared" si="6"/>
        <v>214.27690999999979</v>
      </c>
      <c r="C430" s="24" t="s">
        <v>669</v>
      </c>
      <c r="D430" s="24" t="s">
        <v>668</v>
      </c>
      <c r="E430" s="24" t="s">
        <v>826</v>
      </c>
      <c r="F430" s="17">
        <v>214.61209999999971</v>
      </c>
      <c r="G430" s="24" t="s">
        <v>179</v>
      </c>
      <c r="H430" s="24" t="s">
        <v>177</v>
      </c>
      <c r="I430" s="25">
        <v>429.88</v>
      </c>
      <c r="J430" s="23">
        <v>214276.9099999998</v>
      </c>
      <c r="K430" s="23">
        <v>40620.619999999617</v>
      </c>
    </row>
    <row r="431" spans="1:11" x14ac:dyDescent="0.25">
      <c r="A431" s="22" t="s">
        <v>820</v>
      </c>
      <c r="B431" s="43">
        <f t="shared" si="6"/>
        <v>214.70678999999981</v>
      </c>
      <c r="C431" s="24" t="s">
        <v>668</v>
      </c>
      <c r="D431" s="24" t="s">
        <v>667</v>
      </c>
      <c r="E431" s="24" t="s">
        <v>826</v>
      </c>
      <c r="F431" s="17">
        <v>215.20919999999973</v>
      </c>
      <c r="G431" s="24" t="s">
        <v>177</v>
      </c>
      <c r="H431" s="24" t="s">
        <v>175</v>
      </c>
      <c r="I431" s="25">
        <v>542.57000000000005</v>
      </c>
      <c r="J431" s="23">
        <v>214706.7899999998</v>
      </c>
      <c r="K431" s="23">
        <v>40190.73999999962</v>
      </c>
    </row>
    <row r="432" spans="1:11" x14ac:dyDescent="0.25">
      <c r="A432" s="22" t="s">
        <v>820</v>
      </c>
      <c r="B432" s="43">
        <f t="shared" si="6"/>
        <v>215.24935999999983</v>
      </c>
      <c r="C432" s="24" t="s">
        <v>667</v>
      </c>
      <c r="D432" s="24" t="s">
        <v>666</v>
      </c>
      <c r="E432" s="24" t="s">
        <v>826</v>
      </c>
      <c r="F432" s="17">
        <v>215.71621999999971</v>
      </c>
      <c r="G432" s="24" t="s">
        <v>175</v>
      </c>
      <c r="H432" s="24" t="s">
        <v>173</v>
      </c>
      <c r="I432" s="25">
        <v>516.04</v>
      </c>
      <c r="J432" s="23">
        <v>215249.35999999981</v>
      </c>
      <c r="K432" s="23">
        <v>39648.16999999962</v>
      </c>
    </row>
    <row r="433" spans="1:11" x14ac:dyDescent="0.25">
      <c r="A433" s="22" t="s">
        <v>820</v>
      </c>
      <c r="B433" s="43">
        <f t="shared" si="6"/>
        <v>215.76539999999983</v>
      </c>
      <c r="C433" s="24" t="s">
        <v>666</v>
      </c>
      <c r="D433" s="24" t="s">
        <v>665</v>
      </c>
      <c r="E433" s="24" t="s">
        <v>826</v>
      </c>
      <c r="F433" s="17">
        <v>216.16556999999972</v>
      </c>
      <c r="G433" s="24" t="s">
        <v>173</v>
      </c>
      <c r="H433" s="24" t="s">
        <v>171</v>
      </c>
      <c r="I433" s="25">
        <v>486.57</v>
      </c>
      <c r="J433" s="23">
        <v>215765.39999999982</v>
      </c>
      <c r="K433" s="23">
        <v>39132.129999999619</v>
      </c>
    </row>
    <row r="434" spans="1:11" x14ac:dyDescent="0.25">
      <c r="A434" s="22" t="s">
        <v>820</v>
      </c>
      <c r="B434" s="43">
        <f t="shared" si="6"/>
        <v>216.25196999999983</v>
      </c>
      <c r="C434" s="24" t="s">
        <v>665</v>
      </c>
      <c r="D434" s="24" t="s">
        <v>664</v>
      </c>
      <c r="E434" s="24" t="s">
        <v>826</v>
      </c>
      <c r="F434" s="17">
        <v>216.69101999999972</v>
      </c>
      <c r="G434" s="24" t="s">
        <v>171</v>
      </c>
      <c r="H434" s="24" t="s">
        <v>169</v>
      </c>
      <c r="I434" s="25">
        <v>564.99</v>
      </c>
      <c r="J434" s="23">
        <v>216251.96999999983</v>
      </c>
      <c r="K434" s="23">
        <v>38645.559999999619</v>
      </c>
    </row>
    <row r="435" spans="1:11" x14ac:dyDescent="0.25">
      <c r="A435" s="22" t="s">
        <v>820</v>
      </c>
      <c r="B435" s="43">
        <f t="shared" si="6"/>
        <v>216.81695999999982</v>
      </c>
      <c r="C435" s="24" t="s">
        <v>664</v>
      </c>
      <c r="D435" s="24" t="s">
        <v>663</v>
      </c>
      <c r="E435" s="24" t="s">
        <v>826</v>
      </c>
      <c r="F435" s="17">
        <v>217.12576999999973</v>
      </c>
      <c r="G435" s="24" t="s">
        <v>169</v>
      </c>
      <c r="H435" s="24" t="s">
        <v>167</v>
      </c>
      <c r="I435" s="25">
        <v>574.27</v>
      </c>
      <c r="J435" s="23">
        <v>216816.95999999982</v>
      </c>
      <c r="K435" s="23">
        <v>38080.569999999621</v>
      </c>
    </row>
    <row r="436" spans="1:11" x14ac:dyDescent="0.25">
      <c r="A436" s="22" t="s">
        <v>820</v>
      </c>
      <c r="B436" s="43">
        <f t="shared" si="6"/>
        <v>217.39122999999981</v>
      </c>
      <c r="C436" s="24" t="s">
        <v>663</v>
      </c>
      <c r="D436" s="24" t="s">
        <v>662</v>
      </c>
      <c r="E436" s="24" t="s">
        <v>826</v>
      </c>
      <c r="F436" s="17">
        <v>217.71046999999973</v>
      </c>
      <c r="G436" s="24" t="s">
        <v>167</v>
      </c>
      <c r="H436" s="24" t="s">
        <v>165</v>
      </c>
      <c r="I436" s="25">
        <v>490.31</v>
      </c>
      <c r="J436" s="23">
        <v>217391.22999999981</v>
      </c>
      <c r="K436" s="23">
        <v>37506.299999999625</v>
      </c>
    </row>
    <row r="437" spans="1:11" x14ac:dyDescent="0.25">
      <c r="A437" s="22" t="s">
        <v>820</v>
      </c>
      <c r="B437" s="43">
        <f t="shared" si="6"/>
        <v>217.8815399999998</v>
      </c>
      <c r="C437" s="24" t="s">
        <v>662</v>
      </c>
      <c r="D437" s="24" t="s">
        <v>661</v>
      </c>
      <c r="E437" s="24" t="s">
        <v>826</v>
      </c>
      <c r="F437" s="17">
        <v>218.28959999999975</v>
      </c>
      <c r="G437" s="24" t="s">
        <v>165</v>
      </c>
      <c r="H437" s="24" t="s">
        <v>163</v>
      </c>
      <c r="I437" s="25">
        <v>527.88</v>
      </c>
      <c r="J437" s="23">
        <v>217881.5399999998</v>
      </c>
      <c r="K437" s="23">
        <v>37015.989999999627</v>
      </c>
    </row>
    <row r="438" spans="1:11" x14ac:dyDescent="0.25">
      <c r="A438" s="22" t="s">
        <v>820</v>
      </c>
      <c r="B438" s="43">
        <f t="shared" si="6"/>
        <v>218.40941999999981</v>
      </c>
      <c r="C438" s="24" t="s">
        <v>661</v>
      </c>
      <c r="D438" s="24" t="s">
        <v>660</v>
      </c>
      <c r="E438" s="24" t="s">
        <v>826</v>
      </c>
      <c r="F438" s="17">
        <v>218.80041999999975</v>
      </c>
      <c r="G438" s="24" t="s">
        <v>163</v>
      </c>
      <c r="H438" s="24" t="s">
        <v>161</v>
      </c>
      <c r="I438" s="25">
        <v>636</v>
      </c>
      <c r="J438" s="23">
        <v>218409.41999999981</v>
      </c>
      <c r="K438" s="23">
        <v>36488.10999999963</v>
      </c>
    </row>
    <row r="439" spans="1:11" x14ac:dyDescent="0.25">
      <c r="A439" s="22" t="s">
        <v>820</v>
      </c>
      <c r="B439" s="43">
        <f t="shared" si="6"/>
        <v>219.04541999999981</v>
      </c>
      <c r="C439" s="24" t="s">
        <v>660</v>
      </c>
      <c r="D439" s="24" t="s">
        <v>659</v>
      </c>
      <c r="E439" s="24" t="s">
        <v>826</v>
      </c>
      <c r="F439" s="17">
        <v>219.21561999999977</v>
      </c>
      <c r="G439" s="24" t="s">
        <v>161</v>
      </c>
      <c r="H439" s="24" t="s">
        <v>159</v>
      </c>
      <c r="I439" s="25">
        <v>541.59999999997672</v>
      </c>
      <c r="J439" s="23">
        <v>219045.41999999981</v>
      </c>
      <c r="K439" s="23">
        <v>35852.10999999963</v>
      </c>
    </row>
    <row r="440" spans="1:11" x14ac:dyDescent="0.25">
      <c r="A440" s="22" t="s">
        <v>820</v>
      </c>
      <c r="B440" s="43">
        <f t="shared" si="6"/>
        <v>219.5870199999998</v>
      </c>
      <c r="C440" s="24" t="s">
        <v>659</v>
      </c>
      <c r="D440" s="24" t="s">
        <v>658</v>
      </c>
      <c r="E440" s="24" t="s">
        <v>826</v>
      </c>
      <c r="F440" s="17">
        <v>219.55561999999975</v>
      </c>
      <c r="G440" s="24" t="s">
        <v>159</v>
      </c>
      <c r="H440" s="24" t="s">
        <v>157</v>
      </c>
      <c r="I440" s="25">
        <v>469.51000000000931</v>
      </c>
      <c r="J440" s="23">
        <v>219587.01999999979</v>
      </c>
      <c r="K440" s="23">
        <v>35310.509999999653</v>
      </c>
    </row>
    <row r="441" spans="1:11" x14ac:dyDescent="0.25">
      <c r="A441" s="22" t="s">
        <v>820</v>
      </c>
      <c r="B441" s="43">
        <f t="shared" si="6"/>
        <v>220.05652999999978</v>
      </c>
      <c r="C441" s="24" t="s">
        <v>658</v>
      </c>
      <c r="D441" s="24" t="s">
        <v>657</v>
      </c>
      <c r="E441" s="24" t="s">
        <v>826</v>
      </c>
      <c r="F441" s="17">
        <v>219.92453999999978</v>
      </c>
      <c r="G441" s="24" t="s">
        <v>157</v>
      </c>
      <c r="H441" s="24" t="s">
        <v>155</v>
      </c>
      <c r="I441" s="25">
        <v>460.52999999999884</v>
      </c>
      <c r="J441" s="23">
        <v>220056.5299999998</v>
      </c>
      <c r="K441" s="23">
        <v>34840.999999999643</v>
      </c>
    </row>
    <row r="442" spans="1:11" x14ac:dyDescent="0.25">
      <c r="A442" s="22" t="s">
        <v>820</v>
      </c>
      <c r="B442" s="43">
        <f t="shared" si="6"/>
        <v>220.51705999999979</v>
      </c>
      <c r="C442" s="24" t="s">
        <v>657</v>
      </c>
      <c r="D442" s="24" t="s">
        <v>656</v>
      </c>
      <c r="E442" s="24" t="s">
        <v>826</v>
      </c>
      <c r="F442" s="17">
        <v>220.44133999999977</v>
      </c>
      <c r="G442" s="24" t="s">
        <v>155</v>
      </c>
      <c r="H442" s="24" t="s">
        <v>153</v>
      </c>
      <c r="I442" s="25">
        <v>558.35</v>
      </c>
      <c r="J442" s="23">
        <v>220517.05999999979</v>
      </c>
      <c r="K442" s="23">
        <v>34380.469999999645</v>
      </c>
    </row>
    <row r="443" spans="1:11" x14ac:dyDescent="0.25">
      <c r="A443" s="22" t="s">
        <v>820</v>
      </c>
      <c r="B443" s="43">
        <f t="shared" si="6"/>
        <v>221.07540999999981</v>
      </c>
      <c r="C443" s="24" t="s">
        <v>656</v>
      </c>
      <c r="D443" s="24" t="s">
        <v>655</v>
      </c>
      <c r="E443" s="24" t="s">
        <v>826</v>
      </c>
      <c r="F443" s="17">
        <v>221.10849999999976</v>
      </c>
      <c r="G443" s="24" t="s">
        <v>153</v>
      </c>
      <c r="H443" s="24" t="s">
        <v>151</v>
      </c>
      <c r="I443" s="25">
        <v>458.18</v>
      </c>
      <c r="J443" s="23">
        <v>221075.4099999998</v>
      </c>
      <c r="K443" s="23">
        <v>33822.119999999646</v>
      </c>
    </row>
    <row r="444" spans="1:11" x14ac:dyDescent="0.25">
      <c r="A444" s="22" t="s">
        <v>820</v>
      </c>
      <c r="B444" s="43">
        <f t="shared" si="6"/>
        <v>221.5335899999998</v>
      </c>
      <c r="C444" s="24" t="s">
        <v>655</v>
      </c>
      <c r="D444" s="24" t="s">
        <v>654</v>
      </c>
      <c r="E444" s="24" t="s">
        <v>826</v>
      </c>
      <c r="F444" s="17">
        <v>221.49859999999978</v>
      </c>
      <c r="G444" s="24" t="s">
        <v>151</v>
      </c>
      <c r="H444" s="24" t="s">
        <v>149</v>
      </c>
      <c r="I444" s="25">
        <v>453.89</v>
      </c>
      <c r="J444" s="23">
        <v>221533.58999999979</v>
      </c>
      <c r="K444" s="23">
        <v>33363.939999999646</v>
      </c>
    </row>
    <row r="445" spans="1:11" x14ac:dyDescent="0.25">
      <c r="A445" s="22" t="s">
        <v>820</v>
      </c>
      <c r="B445" s="43">
        <f t="shared" si="6"/>
        <v>221.98747999999981</v>
      </c>
      <c r="C445" s="24" t="s">
        <v>654</v>
      </c>
      <c r="D445" s="24" t="s">
        <v>653</v>
      </c>
      <c r="E445" s="24" t="s">
        <v>826</v>
      </c>
      <c r="F445" s="17">
        <v>222.00249999999977</v>
      </c>
      <c r="G445" s="24" t="s">
        <v>149</v>
      </c>
      <c r="H445" s="24" t="s">
        <v>147</v>
      </c>
      <c r="I445" s="25">
        <v>487.21</v>
      </c>
      <c r="J445" s="23">
        <v>221987.47999999981</v>
      </c>
      <c r="K445" s="23">
        <v>32910.049999999646</v>
      </c>
    </row>
    <row r="446" spans="1:11" x14ac:dyDescent="0.25">
      <c r="A446" s="22" t="s">
        <v>820</v>
      </c>
      <c r="B446" s="43">
        <f t="shared" si="6"/>
        <v>222.47468999999981</v>
      </c>
      <c r="C446" s="24" t="s">
        <v>653</v>
      </c>
      <c r="D446" s="24" t="s">
        <v>652</v>
      </c>
      <c r="E446" s="24" t="s">
        <v>826</v>
      </c>
      <c r="F446" s="17">
        <v>222.40789999999976</v>
      </c>
      <c r="G446" s="24" t="s">
        <v>147</v>
      </c>
      <c r="H446" s="24" t="s">
        <v>145</v>
      </c>
      <c r="I446" s="25">
        <v>530.12</v>
      </c>
      <c r="J446" s="23">
        <v>222474.6899999998</v>
      </c>
      <c r="K446" s="23">
        <v>32422.839999999647</v>
      </c>
    </row>
    <row r="447" spans="1:11" x14ac:dyDescent="0.25">
      <c r="A447" s="22" t="s">
        <v>820</v>
      </c>
      <c r="B447" s="43">
        <f t="shared" si="6"/>
        <v>223.00480999999979</v>
      </c>
      <c r="C447" s="24" t="s">
        <v>652</v>
      </c>
      <c r="D447" s="24" t="s">
        <v>651</v>
      </c>
      <c r="E447" s="24" t="s">
        <v>826</v>
      </c>
      <c r="F447" s="17">
        <v>222.83893999999978</v>
      </c>
      <c r="G447" s="24" t="s">
        <v>145</v>
      </c>
      <c r="H447" s="24" t="s">
        <v>143</v>
      </c>
      <c r="I447" s="25">
        <v>451.69000000000233</v>
      </c>
      <c r="J447" s="23">
        <v>223004.80999999979</v>
      </c>
      <c r="K447" s="23">
        <v>31892.719999999648</v>
      </c>
    </row>
    <row r="448" spans="1:11" x14ac:dyDescent="0.25">
      <c r="A448" s="22" t="s">
        <v>820</v>
      </c>
      <c r="B448" s="43">
        <f t="shared" si="6"/>
        <v>223.45649999999981</v>
      </c>
      <c r="C448" s="24" t="s">
        <v>651</v>
      </c>
      <c r="D448" s="24" t="s">
        <v>650</v>
      </c>
      <c r="E448" s="24" t="s">
        <v>826</v>
      </c>
      <c r="F448" s="17">
        <v>223.27763999999979</v>
      </c>
      <c r="G448" s="24" t="s">
        <v>143</v>
      </c>
      <c r="H448" s="24" t="s">
        <v>141</v>
      </c>
      <c r="I448" s="25">
        <v>422.18</v>
      </c>
      <c r="J448" s="23">
        <v>223456.4999999998</v>
      </c>
      <c r="K448" s="23">
        <v>31441.029999999646</v>
      </c>
    </row>
    <row r="449" spans="1:11" x14ac:dyDescent="0.25">
      <c r="A449" s="22" t="s">
        <v>820</v>
      </c>
      <c r="B449" s="43">
        <f t="shared" si="6"/>
        <v>223.87867999999978</v>
      </c>
      <c r="C449" s="24" t="s">
        <v>650</v>
      </c>
      <c r="D449" s="24" t="s">
        <v>649</v>
      </c>
      <c r="E449" s="24" t="s">
        <v>826</v>
      </c>
      <c r="F449" s="17">
        <v>223.79102999999981</v>
      </c>
      <c r="G449" s="24" t="s">
        <v>141</v>
      </c>
      <c r="H449" s="24" t="s">
        <v>139</v>
      </c>
      <c r="I449" s="25">
        <v>657.25</v>
      </c>
      <c r="J449" s="23">
        <v>223878.67999999979</v>
      </c>
      <c r="K449" s="23">
        <v>31018.849999999646</v>
      </c>
    </row>
    <row r="450" spans="1:11" x14ac:dyDescent="0.25">
      <c r="A450" s="22" t="s">
        <v>820</v>
      </c>
      <c r="B450" s="43">
        <f t="shared" si="6"/>
        <v>224.53592999999978</v>
      </c>
      <c r="C450" s="24" t="s">
        <v>649</v>
      </c>
      <c r="D450" s="24" t="s">
        <v>648</v>
      </c>
      <c r="E450" s="24" t="s">
        <v>826</v>
      </c>
      <c r="F450" s="17">
        <v>224.19346999999979</v>
      </c>
      <c r="G450" s="24" t="s">
        <v>139</v>
      </c>
      <c r="H450" s="24" t="s">
        <v>137</v>
      </c>
      <c r="I450" s="25">
        <v>418.6</v>
      </c>
      <c r="J450" s="23">
        <v>224535.92999999979</v>
      </c>
      <c r="K450" s="23">
        <v>30361.599999999646</v>
      </c>
    </row>
    <row r="451" spans="1:11" x14ac:dyDescent="0.25">
      <c r="A451" s="22" t="s">
        <v>820</v>
      </c>
      <c r="B451" s="43">
        <f t="shared" ref="B451:B513" si="7">J451/1000</f>
        <v>224.95452999999981</v>
      </c>
      <c r="C451" s="24" t="s">
        <v>648</v>
      </c>
      <c r="D451" s="24" t="s">
        <v>647</v>
      </c>
      <c r="E451" s="24" t="s">
        <v>826</v>
      </c>
      <c r="F451" s="17">
        <v>224.8315699999998</v>
      </c>
      <c r="G451" s="24" t="s">
        <v>137</v>
      </c>
      <c r="H451" s="24" t="s">
        <v>135</v>
      </c>
      <c r="I451" s="25">
        <v>448.97000000000116</v>
      </c>
      <c r="J451" s="23">
        <v>224954.5299999998</v>
      </c>
      <c r="K451" s="23">
        <v>29942.999999999647</v>
      </c>
    </row>
    <row r="452" spans="1:11" x14ac:dyDescent="0.25">
      <c r="A452" s="22" t="s">
        <v>820</v>
      </c>
      <c r="B452" s="43">
        <f t="shared" si="7"/>
        <v>225.40349999999981</v>
      </c>
      <c r="C452" s="24" t="s">
        <v>647</v>
      </c>
      <c r="D452" s="24" t="s">
        <v>646</v>
      </c>
      <c r="E452" s="24" t="s">
        <v>826</v>
      </c>
      <c r="F452" s="17">
        <v>225.30946999999981</v>
      </c>
      <c r="G452" s="24" t="s">
        <v>135</v>
      </c>
      <c r="H452" s="24" t="s">
        <v>133</v>
      </c>
      <c r="I452" s="25">
        <v>553.09999999997672</v>
      </c>
      <c r="J452" s="23">
        <v>225403.4999999998</v>
      </c>
      <c r="K452" s="23">
        <v>29494.029999999646</v>
      </c>
    </row>
    <row r="453" spans="1:11" x14ac:dyDescent="0.25">
      <c r="A453" s="22" t="s">
        <v>820</v>
      </c>
      <c r="B453" s="43">
        <f t="shared" si="7"/>
        <v>225.95659999999978</v>
      </c>
      <c r="C453" s="24" t="s">
        <v>646</v>
      </c>
      <c r="D453" s="24" t="s">
        <v>645</v>
      </c>
      <c r="E453" s="24" t="s">
        <v>826</v>
      </c>
      <c r="F453" s="17">
        <v>225.9890699999998</v>
      </c>
      <c r="G453" s="24" t="s">
        <v>133</v>
      </c>
      <c r="H453" s="24" t="s">
        <v>131</v>
      </c>
      <c r="I453" s="25">
        <v>538.82000000000698</v>
      </c>
      <c r="J453" s="23">
        <v>225956.59999999977</v>
      </c>
      <c r="K453" s="23">
        <v>28940.929999999669</v>
      </c>
    </row>
    <row r="454" spans="1:11" x14ac:dyDescent="0.25">
      <c r="A454" s="22" t="s">
        <v>820</v>
      </c>
      <c r="B454" s="43">
        <f t="shared" si="7"/>
        <v>226.49541999999977</v>
      </c>
      <c r="C454" s="24" t="s">
        <v>645</v>
      </c>
      <c r="D454" s="24" t="s">
        <v>644</v>
      </c>
      <c r="E454" s="24" t="s">
        <v>826</v>
      </c>
      <c r="F454" s="17">
        <v>226.4258499999998</v>
      </c>
      <c r="G454" s="24" t="s">
        <v>131</v>
      </c>
      <c r="H454" s="24" t="s">
        <v>129</v>
      </c>
      <c r="I454" s="25">
        <v>602.01</v>
      </c>
      <c r="J454" s="23">
        <v>226495.41999999978</v>
      </c>
      <c r="K454" s="23">
        <v>28402.109999999662</v>
      </c>
    </row>
    <row r="455" spans="1:11" x14ac:dyDescent="0.25">
      <c r="A455" s="22" t="s">
        <v>820</v>
      </c>
      <c r="B455" s="43">
        <f t="shared" si="7"/>
        <v>227.09742999999978</v>
      </c>
      <c r="C455" s="24" t="s">
        <v>644</v>
      </c>
      <c r="D455" s="24" t="s">
        <v>643</v>
      </c>
      <c r="E455" s="24" t="s">
        <v>826</v>
      </c>
      <c r="F455" s="17">
        <v>226.96334999999979</v>
      </c>
      <c r="G455" s="24" t="s">
        <v>129</v>
      </c>
      <c r="H455" s="24" t="s">
        <v>127</v>
      </c>
      <c r="I455" s="25">
        <v>547.09</v>
      </c>
      <c r="J455" s="23">
        <v>227097.42999999979</v>
      </c>
      <c r="K455" s="23">
        <v>27800.099999999664</v>
      </c>
    </row>
    <row r="456" spans="1:11" x14ac:dyDescent="0.25">
      <c r="A456" s="22" t="s">
        <v>820</v>
      </c>
      <c r="B456" s="43">
        <f t="shared" si="7"/>
        <v>227.64451999999977</v>
      </c>
      <c r="C456" s="24" t="s">
        <v>643</v>
      </c>
      <c r="D456" s="24" t="s">
        <v>642</v>
      </c>
      <c r="E456" s="24" t="s">
        <v>826</v>
      </c>
      <c r="F456" s="17">
        <v>227.5388499999998</v>
      </c>
      <c r="G456" s="24" t="s">
        <v>127</v>
      </c>
      <c r="H456" s="24" t="s">
        <v>125</v>
      </c>
      <c r="I456" s="25">
        <v>483.6</v>
      </c>
      <c r="J456" s="23">
        <v>227644.51999999979</v>
      </c>
      <c r="K456" s="23">
        <v>27253.009999999664</v>
      </c>
    </row>
    <row r="457" spans="1:11" x14ac:dyDescent="0.25">
      <c r="A457" s="22" t="s">
        <v>820</v>
      </c>
      <c r="B457" s="43">
        <f t="shared" si="7"/>
        <v>228.1281199999998</v>
      </c>
      <c r="C457" s="24" t="s">
        <v>642</v>
      </c>
      <c r="D457" s="24" t="s">
        <v>641</v>
      </c>
      <c r="E457" s="24" t="s">
        <v>826</v>
      </c>
      <c r="F457" s="17">
        <v>228.08519999999982</v>
      </c>
      <c r="G457" s="24" t="s">
        <v>125</v>
      </c>
      <c r="H457" s="24" t="s">
        <v>123</v>
      </c>
      <c r="I457" s="25">
        <v>521.41</v>
      </c>
      <c r="J457" s="23">
        <v>228128.11999999979</v>
      </c>
      <c r="K457" s="23">
        <v>26769.409999999665</v>
      </c>
    </row>
    <row r="458" spans="1:11" x14ac:dyDescent="0.25">
      <c r="A458" s="22" t="s">
        <v>820</v>
      </c>
      <c r="B458" s="43">
        <f t="shared" si="7"/>
        <v>228.6495299999998</v>
      </c>
      <c r="C458" s="24" t="s">
        <v>641</v>
      </c>
      <c r="D458" s="24" t="s">
        <v>640</v>
      </c>
      <c r="E458" s="24" t="s">
        <v>826</v>
      </c>
      <c r="F458" s="17">
        <v>228.5146699999998</v>
      </c>
      <c r="G458" s="24" t="s">
        <v>123</v>
      </c>
      <c r="H458" s="24" t="s">
        <v>121</v>
      </c>
      <c r="I458" s="25">
        <v>399.27999999999884</v>
      </c>
      <c r="J458" s="23">
        <v>228649.5299999998</v>
      </c>
      <c r="K458" s="23">
        <v>26247.999999999665</v>
      </c>
    </row>
    <row r="459" spans="1:11" x14ac:dyDescent="0.25">
      <c r="A459" s="22" t="s">
        <v>820</v>
      </c>
      <c r="B459" s="43">
        <f t="shared" si="7"/>
        <v>229.0488099999998</v>
      </c>
      <c r="C459" s="24" t="s">
        <v>640</v>
      </c>
      <c r="D459" s="24" t="s">
        <v>639</v>
      </c>
      <c r="E459" s="24" t="s">
        <v>826</v>
      </c>
      <c r="F459" s="17">
        <v>229.0696699999998</v>
      </c>
      <c r="G459" s="24" t="s">
        <v>121</v>
      </c>
      <c r="H459" s="24" t="s">
        <v>119</v>
      </c>
      <c r="I459" s="25">
        <v>573.77999999999884</v>
      </c>
      <c r="J459" s="23">
        <v>229048.80999999979</v>
      </c>
      <c r="K459" s="23">
        <v>25848.719999999666</v>
      </c>
    </row>
    <row r="460" spans="1:11" x14ac:dyDescent="0.25">
      <c r="A460" s="22" t="s">
        <v>820</v>
      </c>
      <c r="B460" s="43">
        <f t="shared" si="7"/>
        <v>229.6225899999998</v>
      </c>
      <c r="C460" s="24" t="s">
        <v>639</v>
      </c>
      <c r="D460" s="24" t="s">
        <v>638</v>
      </c>
      <c r="E460" s="24" t="s">
        <v>826</v>
      </c>
      <c r="F460" s="17">
        <v>229.60246999999978</v>
      </c>
      <c r="G460" s="24" t="s">
        <v>119</v>
      </c>
      <c r="H460" s="24" t="s">
        <v>19</v>
      </c>
      <c r="I460" s="25">
        <v>396.26999999998952</v>
      </c>
      <c r="J460" s="23">
        <v>229622.58999999979</v>
      </c>
      <c r="K460" s="23">
        <v>25274.939999999668</v>
      </c>
    </row>
    <row r="461" spans="1:11" x14ac:dyDescent="0.25">
      <c r="A461" s="22" t="s">
        <v>820</v>
      </c>
      <c r="B461" s="43">
        <f t="shared" si="7"/>
        <v>230.01885999999979</v>
      </c>
      <c r="C461" s="24" t="s">
        <v>638</v>
      </c>
      <c r="D461" s="24" t="s">
        <v>637</v>
      </c>
      <c r="E461" s="24" t="s">
        <v>826</v>
      </c>
      <c r="F461" s="17">
        <v>230.08126999999979</v>
      </c>
      <c r="G461" s="24" t="s">
        <v>19</v>
      </c>
      <c r="H461" s="24" t="s">
        <v>18</v>
      </c>
      <c r="I461" s="25">
        <v>501.09</v>
      </c>
      <c r="J461" s="23">
        <v>230018.85999999978</v>
      </c>
      <c r="K461" s="23">
        <v>24878.669999999678</v>
      </c>
    </row>
    <row r="462" spans="1:11" x14ac:dyDescent="0.25">
      <c r="A462" s="22" t="s">
        <v>820</v>
      </c>
      <c r="B462" s="43">
        <f t="shared" si="7"/>
        <v>230.51994999999977</v>
      </c>
      <c r="C462" s="24" t="s">
        <v>637</v>
      </c>
      <c r="D462" s="24" t="s">
        <v>636</v>
      </c>
      <c r="E462" s="24" t="s">
        <v>826</v>
      </c>
      <c r="F462" s="17">
        <v>230.6052199999998</v>
      </c>
      <c r="G462" s="24" t="s">
        <v>18</v>
      </c>
      <c r="H462" s="24" t="s">
        <v>115</v>
      </c>
      <c r="I462" s="25">
        <v>503.4</v>
      </c>
      <c r="J462" s="23">
        <v>230519.94999999978</v>
      </c>
      <c r="K462" s="23">
        <v>24377.579999999678</v>
      </c>
    </row>
    <row r="463" spans="1:11" x14ac:dyDescent="0.25">
      <c r="A463" s="22" t="s">
        <v>820</v>
      </c>
      <c r="B463" s="43">
        <f t="shared" si="7"/>
        <v>231.02334999999977</v>
      </c>
      <c r="C463" s="24" t="s">
        <v>636</v>
      </c>
      <c r="D463" s="24" t="s">
        <v>635</v>
      </c>
      <c r="E463" s="24" t="s">
        <v>826</v>
      </c>
      <c r="F463" s="17">
        <v>231.14605999999981</v>
      </c>
      <c r="G463" s="24" t="s">
        <v>115</v>
      </c>
      <c r="H463" s="24" t="s">
        <v>113</v>
      </c>
      <c r="I463" s="25">
        <v>495.5</v>
      </c>
      <c r="J463" s="23">
        <v>231023.34999999977</v>
      </c>
      <c r="K463" s="23">
        <v>23874.179999999677</v>
      </c>
    </row>
    <row r="464" spans="1:11" x14ac:dyDescent="0.25">
      <c r="A464" s="22" t="s">
        <v>820</v>
      </c>
      <c r="B464" s="43">
        <f t="shared" si="7"/>
        <v>231.51884999999976</v>
      </c>
      <c r="C464" s="24" t="s">
        <v>635</v>
      </c>
      <c r="D464" s="24" t="s">
        <v>634</v>
      </c>
      <c r="E464" s="24" t="s">
        <v>826</v>
      </c>
      <c r="F464" s="17">
        <v>231.60591999999977</v>
      </c>
      <c r="G464" s="24" t="s">
        <v>113</v>
      </c>
      <c r="H464" s="24" t="s">
        <v>111</v>
      </c>
      <c r="I464" s="25">
        <v>561.87000000002445</v>
      </c>
      <c r="J464" s="23">
        <v>231518.84999999977</v>
      </c>
      <c r="K464" s="23">
        <v>23378.679999999677</v>
      </c>
    </row>
    <row r="465" spans="1:11" x14ac:dyDescent="0.25">
      <c r="A465" s="22" t="s">
        <v>820</v>
      </c>
      <c r="B465" s="43">
        <f t="shared" si="7"/>
        <v>232.08071999999979</v>
      </c>
      <c r="C465" s="24" t="s">
        <v>634</v>
      </c>
      <c r="D465" s="24" t="s">
        <v>633</v>
      </c>
      <c r="E465" s="24" t="s">
        <v>826</v>
      </c>
      <c r="F465" s="17">
        <v>232.08351999999979</v>
      </c>
      <c r="G465" s="24" t="s">
        <v>111</v>
      </c>
      <c r="H465" s="24" t="s">
        <v>109</v>
      </c>
      <c r="I465" s="25">
        <v>551.79999999999995</v>
      </c>
      <c r="J465" s="23">
        <v>232080.7199999998</v>
      </c>
      <c r="K465" s="23">
        <v>22816.809999999652</v>
      </c>
    </row>
    <row r="466" spans="1:11" x14ac:dyDescent="0.25">
      <c r="A466" s="22" t="s">
        <v>820</v>
      </c>
      <c r="B466" s="43">
        <f t="shared" si="7"/>
        <v>232.63251999999977</v>
      </c>
      <c r="C466" s="24" t="s">
        <v>633</v>
      </c>
      <c r="D466" s="24" t="s">
        <v>632</v>
      </c>
      <c r="E466" s="24" t="s">
        <v>826</v>
      </c>
      <c r="F466" s="17">
        <v>232.48902999999979</v>
      </c>
      <c r="G466" s="24" t="s">
        <v>109</v>
      </c>
      <c r="H466" s="24" t="s">
        <v>107</v>
      </c>
      <c r="I466" s="25">
        <v>481</v>
      </c>
      <c r="J466" s="23">
        <v>232632.51999999979</v>
      </c>
      <c r="K466" s="23">
        <v>22265.009999999653</v>
      </c>
    </row>
    <row r="467" spans="1:11" x14ac:dyDescent="0.25">
      <c r="A467" s="22" t="s">
        <v>820</v>
      </c>
      <c r="B467" s="43">
        <f t="shared" si="7"/>
        <v>233.1135199999998</v>
      </c>
      <c r="C467" s="24" t="s">
        <v>632</v>
      </c>
      <c r="D467" s="24" t="s">
        <v>631</v>
      </c>
      <c r="E467" s="24" t="s">
        <v>826</v>
      </c>
      <c r="F467" s="17">
        <v>232.90673999999979</v>
      </c>
      <c r="G467" s="24" t="s">
        <v>107</v>
      </c>
      <c r="H467" s="24" t="s">
        <v>105</v>
      </c>
      <c r="I467" s="25">
        <v>559.99</v>
      </c>
      <c r="J467" s="23">
        <v>233113.51999999979</v>
      </c>
      <c r="K467" s="23">
        <v>21784.009999999653</v>
      </c>
    </row>
    <row r="468" spans="1:11" x14ac:dyDescent="0.25">
      <c r="A468" s="22" t="s">
        <v>820</v>
      </c>
      <c r="B468" s="43">
        <f t="shared" si="7"/>
        <v>233.67350999999977</v>
      </c>
      <c r="C468" s="24" t="s">
        <v>631</v>
      </c>
      <c r="D468" s="24" t="s">
        <v>630</v>
      </c>
      <c r="E468" s="24" t="s">
        <v>826</v>
      </c>
      <c r="F468" s="17">
        <v>233.45523999999978</v>
      </c>
      <c r="G468" s="24" t="s">
        <v>105</v>
      </c>
      <c r="H468" s="24" t="s">
        <v>103</v>
      </c>
      <c r="I468" s="25">
        <v>545.28</v>
      </c>
      <c r="J468" s="23">
        <v>233673.50999999978</v>
      </c>
      <c r="K468" s="23">
        <v>21224.019999999651</v>
      </c>
    </row>
    <row r="469" spans="1:11" x14ac:dyDescent="0.25">
      <c r="A469" s="22" t="s">
        <v>820</v>
      </c>
      <c r="B469" s="43">
        <f t="shared" si="7"/>
        <v>234.21878999999979</v>
      </c>
      <c r="C469" s="24" t="s">
        <v>630</v>
      </c>
      <c r="D469" s="24" t="s">
        <v>629</v>
      </c>
      <c r="E469" s="24" t="s">
        <v>826</v>
      </c>
      <c r="F469" s="17">
        <v>233.97467999999978</v>
      </c>
      <c r="G469" s="24" t="s">
        <v>103</v>
      </c>
      <c r="H469" s="24" t="s">
        <v>101</v>
      </c>
      <c r="I469" s="25">
        <v>566.29999999999995</v>
      </c>
      <c r="J469" s="23">
        <v>234218.78999999978</v>
      </c>
      <c r="K469" s="23">
        <v>20678.739999999652</v>
      </c>
    </row>
    <row r="470" spans="1:11" x14ac:dyDescent="0.25">
      <c r="A470" s="22" t="s">
        <v>820</v>
      </c>
      <c r="B470" s="43">
        <f t="shared" si="7"/>
        <v>234.78508999999977</v>
      </c>
      <c r="C470" s="24" t="s">
        <v>629</v>
      </c>
      <c r="D470" s="24" t="s">
        <v>628</v>
      </c>
      <c r="E470" s="24" t="s">
        <v>826</v>
      </c>
      <c r="F470" s="17">
        <v>234.56838999999979</v>
      </c>
      <c r="G470" s="24" t="s">
        <v>101</v>
      </c>
      <c r="H470" s="24" t="s">
        <v>99</v>
      </c>
      <c r="I470" s="25">
        <v>556.39999999999418</v>
      </c>
      <c r="J470" s="23">
        <v>234785.08999999976</v>
      </c>
      <c r="K470" s="23">
        <v>20112.439999999653</v>
      </c>
    </row>
    <row r="471" spans="1:11" x14ac:dyDescent="0.25">
      <c r="A471" s="22" t="s">
        <v>820</v>
      </c>
      <c r="B471" s="43">
        <f t="shared" si="7"/>
        <v>235.34148999999977</v>
      </c>
      <c r="C471" s="24" t="s">
        <v>628</v>
      </c>
      <c r="D471" s="24" t="s">
        <v>627</v>
      </c>
      <c r="E471" s="24" t="s">
        <v>826</v>
      </c>
      <c r="F471" s="17">
        <v>235.08890999999977</v>
      </c>
      <c r="G471" s="24" t="s">
        <v>99</v>
      </c>
      <c r="H471" s="24" t="s">
        <v>97</v>
      </c>
      <c r="I471" s="25">
        <v>528.89</v>
      </c>
      <c r="J471" s="23">
        <v>235341.48999999976</v>
      </c>
      <c r="K471" s="23">
        <v>19556.039999999659</v>
      </c>
    </row>
    <row r="472" spans="1:11" x14ac:dyDescent="0.25">
      <c r="A472" s="22" t="s">
        <v>820</v>
      </c>
      <c r="B472" s="43">
        <f t="shared" si="7"/>
        <v>235.87037999999978</v>
      </c>
      <c r="C472" s="24" t="s">
        <v>627</v>
      </c>
      <c r="D472" s="24" t="s">
        <v>626</v>
      </c>
      <c r="E472" s="24" t="s">
        <v>826</v>
      </c>
      <c r="F472" s="17">
        <v>235.65077999999977</v>
      </c>
      <c r="G472" s="24" t="s">
        <v>97</v>
      </c>
      <c r="H472" s="24" t="s">
        <v>95</v>
      </c>
      <c r="I472" s="25">
        <v>546</v>
      </c>
      <c r="J472" s="23">
        <v>235870.37999999977</v>
      </c>
      <c r="K472" s="23">
        <v>19027.149999999659</v>
      </c>
    </row>
    <row r="473" spans="1:11" x14ac:dyDescent="0.25">
      <c r="A473" s="22" t="s">
        <v>820</v>
      </c>
      <c r="B473" s="43">
        <f t="shared" si="7"/>
        <v>236.41637999999978</v>
      </c>
      <c r="C473" s="24" t="s">
        <v>626</v>
      </c>
      <c r="D473" s="24" t="s">
        <v>625</v>
      </c>
      <c r="E473" s="24" t="s">
        <v>826</v>
      </c>
      <c r="F473" s="17">
        <v>236.23959999999977</v>
      </c>
      <c r="G473" s="24" t="s">
        <v>95</v>
      </c>
      <c r="H473" s="24" t="s">
        <v>93</v>
      </c>
      <c r="I473" s="25">
        <v>572.51999999998952</v>
      </c>
      <c r="J473" s="23">
        <v>236416.37999999977</v>
      </c>
      <c r="K473" s="23">
        <v>18481.149999999659</v>
      </c>
    </row>
    <row r="474" spans="1:11" x14ac:dyDescent="0.25">
      <c r="A474" s="22" t="s">
        <v>820</v>
      </c>
      <c r="B474" s="43">
        <f t="shared" si="7"/>
        <v>236.98889999999977</v>
      </c>
      <c r="C474" s="24" t="s">
        <v>625</v>
      </c>
      <c r="D474" s="24" t="s">
        <v>624</v>
      </c>
      <c r="E474" s="24" t="s">
        <v>826</v>
      </c>
      <c r="F474" s="17">
        <v>236.76138999999978</v>
      </c>
      <c r="G474" s="24" t="s">
        <v>93</v>
      </c>
      <c r="H474" s="24" t="s">
        <v>91</v>
      </c>
      <c r="I474" s="25">
        <v>504.3</v>
      </c>
      <c r="J474" s="23">
        <v>236988.89999999976</v>
      </c>
      <c r="K474" s="23">
        <v>17908.62999999967</v>
      </c>
    </row>
    <row r="475" spans="1:11" x14ac:dyDescent="0.25">
      <c r="A475" s="22" t="s">
        <v>820</v>
      </c>
      <c r="B475" s="43">
        <f t="shared" si="7"/>
        <v>237.49319999999975</v>
      </c>
      <c r="C475" s="24" t="s">
        <v>624</v>
      </c>
      <c r="D475" s="24" t="s">
        <v>623</v>
      </c>
      <c r="E475" s="24" t="s">
        <v>826</v>
      </c>
      <c r="F475" s="17">
        <v>237.3835899999998</v>
      </c>
      <c r="G475" s="24" t="s">
        <v>91</v>
      </c>
      <c r="H475" s="24" t="s">
        <v>89</v>
      </c>
      <c r="I475" s="25">
        <v>503.59</v>
      </c>
      <c r="J475" s="23">
        <v>237493.19999999975</v>
      </c>
      <c r="K475" s="23">
        <v>17404.329999999671</v>
      </c>
    </row>
    <row r="476" spans="1:11" x14ac:dyDescent="0.25">
      <c r="A476" s="22" t="s">
        <v>820</v>
      </c>
      <c r="B476" s="43">
        <f t="shared" si="7"/>
        <v>237.99678999999975</v>
      </c>
      <c r="C476" s="24" t="s">
        <v>623</v>
      </c>
      <c r="D476" s="24" t="s">
        <v>622</v>
      </c>
      <c r="E476" s="24" t="s">
        <v>826</v>
      </c>
      <c r="F476" s="17">
        <v>237.83690999999979</v>
      </c>
      <c r="G476" s="24" t="s">
        <v>89</v>
      </c>
      <c r="H476" s="24" t="s">
        <v>87</v>
      </c>
      <c r="I476" s="25">
        <v>524.11000000001513</v>
      </c>
      <c r="J476" s="23">
        <v>237996.78999999975</v>
      </c>
      <c r="K476" s="23">
        <v>16900.739999999671</v>
      </c>
    </row>
    <row r="477" spans="1:11" x14ac:dyDescent="0.25">
      <c r="A477" s="22" t="s">
        <v>820</v>
      </c>
      <c r="B477" s="43">
        <f t="shared" si="7"/>
        <v>238.52089999999976</v>
      </c>
      <c r="C477" s="24" t="s">
        <v>622</v>
      </c>
      <c r="D477" s="24" t="s">
        <v>621</v>
      </c>
      <c r="E477" s="24" t="s">
        <v>826</v>
      </c>
      <c r="F477" s="17">
        <v>238.45130999999981</v>
      </c>
      <c r="G477" s="24" t="s">
        <v>87</v>
      </c>
      <c r="H477" s="24" t="s">
        <v>85</v>
      </c>
      <c r="I477" s="25">
        <v>585.04999999998836</v>
      </c>
      <c r="J477" s="23">
        <v>238520.89999999976</v>
      </c>
      <c r="K477" s="23">
        <v>16376.629999999655</v>
      </c>
    </row>
    <row r="478" spans="1:11" x14ac:dyDescent="0.25">
      <c r="A478" s="22" t="s">
        <v>820</v>
      </c>
      <c r="B478" s="43">
        <f t="shared" si="7"/>
        <v>239.10594999999975</v>
      </c>
      <c r="C478" s="24" t="s">
        <v>621</v>
      </c>
      <c r="D478" s="24" t="s">
        <v>620</v>
      </c>
      <c r="E478" s="24" t="s">
        <v>826</v>
      </c>
      <c r="F478" s="17">
        <v>238.92176999999978</v>
      </c>
      <c r="G478" s="24" t="s">
        <v>85</v>
      </c>
      <c r="H478" s="24" t="s">
        <v>83</v>
      </c>
      <c r="I478" s="25">
        <v>473.5</v>
      </c>
      <c r="J478" s="23">
        <v>239105.94999999975</v>
      </c>
      <c r="K478" s="23">
        <v>15791.579999999667</v>
      </c>
    </row>
    <row r="479" spans="1:11" x14ac:dyDescent="0.25">
      <c r="A479" s="22" t="s">
        <v>820</v>
      </c>
      <c r="B479" s="43">
        <f t="shared" si="7"/>
        <v>239.57944999999975</v>
      </c>
      <c r="C479" s="24" t="s">
        <v>620</v>
      </c>
      <c r="D479" s="24" t="s">
        <v>619</v>
      </c>
      <c r="E479" s="24" t="s">
        <v>826</v>
      </c>
      <c r="F479" s="17">
        <v>239.39456999999976</v>
      </c>
      <c r="G479" s="24" t="s">
        <v>83</v>
      </c>
      <c r="H479" s="24" t="s">
        <v>81</v>
      </c>
      <c r="I479" s="25">
        <v>477.5</v>
      </c>
      <c r="J479" s="23">
        <v>239579.44999999975</v>
      </c>
      <c r="K479" s="23">
        <v>15318.079999999667</v>
      </c>
    </row>
    <row r="480" spans="1:11" x14ac:dyDescent="0.25">
      <c r="A480" s="22" t="s">
        <v>820</v>
      </c>
      <c r="B480" s="43">
        <f t="shared" si="7"/>
        <v>240.05694999999974</v>
      </c>
      <c r="C480" s="24" t="s">
        <v>619</v>
      </c>
      <c r="D480" s="24" t="s">
        <v>618</v>
      </c>
      <c r="E480" s="24" t="s">
        <v>826</v>
      </c>
      <c r="F480" s="17">
        <v>239.97259999999977</v>
      </c>
      <c r="G480" s="24" t="s">
        <v>81</v>
      </c>
      <c r="H480" s="24" t="s">
        <v>79</v>
      </c>
      <c r="I480" s="25">
        <v>581.08000000000004</v>
      </c>
      <c r="J480" s="23">
        <v>240056.94999999975</v>
      </c>
      <c r="K480" s="23">
        <v>14840.579999999667</v>
      </c>
    </row>
    <row r="481" spans="1:11" x14ac:dyDescent="0.25">
      <c r="A481" s="22" t="s">
        <v>820</v>
      </c>
      <c r="B481" s="43">
        <f t="shared" si="7"/>
        <v>240.63802999999973</v>
      </c>
      <c r="C481" s="24" t="s">
        <v>618</v>
      </c>
      <c r="D481" s="24" t="s">
        <v>617</v>
      </c>
      <c r="E481" s="24" t="s">
        <v>826</v>
      </c>
      <c r="F481" s="17">
        <v>240.50789999999975</v>
      </c>
      <c r="G481" s="24" t="s">
        <v>79</v>
      </c>
      <c r="H481" s="24" t="s">
        <v>77</v>
      </c>
      <c r="I481" s="25">
        <v>479.73</v>
      </c>
      <c r="J481" s="23">
        <v>240638.02999999974</v>
      </c>
      <c r="K481" s="23">
        <v>14259.499999999667</v>
      </c>
    </row>
    <row r="482" spans="1:11" x14ac:dyDescent="0.25">
      <c r="A482" s="22" t="s">
        <v>820</v>
      </c>
      <c r="B482" s="43">
        <f t="shared" si="7"/>
        <v>241.11775999999975</v>
      </c>
      <c r="C482" s="24" t="s">
        <v>617</v>
      </c>
      <c r="D482" s="24" t="s">
        <v>616</v>
      </c>
      <c r="E482" s="24" t="s">
        <v>826</v>
      </c>
      <c r="F482" s="17">
        <v>240.95969999999974</v>
      </c>
      <c r="G482" s="24" t="s">
        <v>77</v>
      </c>
      <c r="H482" s="24" t="s">
        <v>75</v>
      </c>
      <c r="I482" s="25">
        <v>496.2</v>
      </c>
      <c r="J482" s="23">
        <v>241117.75999999975</v>
      </c>
      <c r="K482" s="23">
        <v>13779.769999999668</v>
      </c>
    </row>
    <row r="483" spans="1:11" x14ac:dyDescent="0.25">
      <c r="A483" s="22" t="s">
        <v>820</v>
      </c>
      <c r="B483" s="43">
        <f t="shared" si="7"/>
        <v>241.61395999999976</v>
      </c>
      <c r="C483" s="24" t="s">
        <v>616</v>
      </c>
      <c r="D483" s="24" t="s">
        <v>615</v>
      </c>
      <c r="E483" s="24" t="s">
        <v>826</v>
      </c>
      <c r="F483" s="17">
        <v>241.40282999999977</v>
      </c>
      <c r="G483" s="24" t="s">
        <v>75</v>
      </c>
      <c r="H483" s="24" t="s">
        <v>73</v>
      </c>
      <c r="I483" s="25">
        <v>565.39</v>
      </c>
      <c r="J483" s="23">
        <v>241613.95999999976</v>
      </c>
      <c r="K483" s="23">
        <v>13283.569999999667</v>
      </c>
    </row>
    <row r="484" spans="1:11" x14ac:dyDescent="0.25">
      <c r="A484" s="22" t="s">
        <v>820</v>
      </c>
      <c r="B484" s="43">
        <f t="shared" si="7"/>
        <v>242.17934999999977</v>
      </c>
      <c r="C484" s="24" t="s">
        <v>615</v>
      </c>
      <c r="D484" s="24" t="s">
        <v>614</v>
      </c>
      <c r="E484" s="24" t="s">
        <v>826</v>
      </c>
      <c r="F484" s="17">
        <v>241.94862999999975</v>
      </c>
      <c r="G484" s="24" t="s">
        <v>73</v>
      </c>
      <c r="H484" s="24" t="s">
        <v>71</v>
      </c>
      <c r="I484" s="25">
        <v>530.82999999998719</v>
      </c>
      <c r="J484" s="23">
        <v>242179.34999999977</v>
      </c>
      <c r="K484" s="23">
        <v>12718.179999999667</v>
      </c>
    </row>
    <row r="485" spans="1:11" x14ac:dyDescent="0.25">
      <c r="A485" s="22" t="s">
        <v>820</v>
      </c>
      <c r="B485" s="43">
        <f t="shared" si="7"/>
        <v>242.71017999999975</v>
      </c>
      <c r="C485" s="24" t="s">
        <v>614</v>
      </c>
      <c r="D485" s="24" t="s">
        <v>613</v>
      </c>
      <c r="E485" s="24" t="s">
        <v>826</v>
      </c>
      <c r="F485" s="17">
        <v>242.52372999999974</v>
      </c>
      <c r="G485" s="24" t="s">
        <v>71</v>
      </c>
      <c r="H485" s="24" t="s">
        <v>69</v>
      </c>
      <c r="I485" s="25">
        <v>458.91</v>
      </c>
      <c r="J485" s="23">
        <v>242710.17999999976</v>
      </c>
      <c r="K485" s="23">
        <v>12187.34999999968</v>
      </c>
    </row>
    <row r="486" spans="1:11" x14ac:dyDescent="0.25">
      <c r="A486" s="22" t="s">
        <v>820</v>
      </c>
      <c r="B486" s="43">
        <f t="shared" si="7"/>
        <v>243.16908999999976</v>
      </c>
      <c r="C486" s="24" t="s">
        <v>613</v>
      </c>
      <c r="D486" s="24" t="s">
        <v>612</v>
      </c>
      <c r="E486" s="24" t="s">
        <v>826</v>
      </c>
      <c r="F486" s="17">
        <v>243.13188999999974</v>
      </c>
      <c r="G486" s="24" t="s">
        <v>69</v>
      </c>
      <c r="H486" s="24" t="s">
        <v>67</v>
      </c>
      <c r="I486" s="25">
        <v>534.39999999999418</v>
      </c>
      <c r="J486" s="23">
        <v>243169.08999999976</v>
      </c>
      <c r="K486" s="23">
        <v>11728.43999999968</v>
      </c>
    </row>
    <row r="487" spans="1:11" x14ac:dyDescent="0.25">
      <c r="A487" s="22" t="s">
        <v>820</v>
      </c>
      <c r="B487" s="43">
        <f t="shared" si="7"/>
        <v>243.70348999999976</v>
      </c>
      <c r="C487" s="24" t="s">
        <v>612</v>
      </c>
      <c r="D487" s="24" t="s">
        <v>611</v>
      </c>
      <c r="E487" s="24" t="s">
        <v>826</v>
      </c>
      <c r="F487" s="17">
        <v>243.63564999999977</v>
      </c>
      <c r="G487" s="24" t="s">
        <v>67</v>
      </c>
      <c r="H487" s="24" t="s">
        <v>65</v>
      </c>
      <c r="I487" s="25">
        <v>517.20000000000005</v>
      </c>
      <c r="J487" s="23">
        <v>243703.48999999976</v>
      </c>
      <c r="K487" s="23">
        <v>11194.039999999686</v>
      </c>
    </row>
    <row r="488" spans="1:11" x14ac:dyDescent="0.25">
      <c r="A488" s="22" t="s">
        <v>820</v>
      </c>
      <c r="B488" s="43">
        <f t="shared" si="7"/>
        <v>244.22068999999976</v>
      </c>
      <c r="C488" s="24" t="s">
        <v>611</v>
      </c>
      <c r="D488" s="24" t="s">
        <v>610</v>
      </c>
      <c r="E488" s="24" t="s">
        <v>826</v>
      </c>
      <c r="F488" s="17">
        <v>244.15008999999975</v>
      </c>
      <c r="G488" s="24" t="s">
        <v>65</v>
      </c>
      <c r="H488" s="24" t="s">
        <v>63</v>
      </c>
      <c r="I488" s="25">
        <v>478.60000000000582</v>
      </c>
      <c r="J488" s="23">
        <v>244220.68999999977</v>
      </c>
      <c r="K488" s="23">
        <v>10676.839999999685</v>
      </c>
    </row>
    <row r="489" spans="1:11" x14ac:dyDescent="0.25">
      <c r="A489" s="22" t="s">
        <v>820</v>
      </c>
      <c r="B489" s="43">
        <f t="shared" si="7"/>
        <v>244.69928999999976</v>
      </c>
      <c r="C489" s="24" t="s">
        <v>610</v>
      </c>
      <c r="D489" s="24" t="s">
        <v>609</v>
      </c>
      <c r="E489" s="24" t="s">
        <v>826</v>
      </c>
      <c r="F489" s="17">
        <v>244.53986999999975</v>
      </c>
      <c r="G489" s="24" t="s">
        <v>63</v>
      </c>
      <c r="H489" s="24" t="s">
        <v>61</v>
      </c>
      <c r="I489" s="25">
        <v>432.7</v>
      </c>
      <c r="J489" s="23">
        <v>244699.28999999978</v>
      </c>
      <c r="K489" s="23">
        <v>10198.23999999968</v>
      </c>
    </row>
    <row r="490" spans="1:11" x14ac:dyDescent="0.25">
      <c r="A490" s="22" t="s">
        <v>820</v>
      </c>
      <c r="B490" s="43">
        <f t="shared" si="7"/>
        <v>245.13198999999977</v>
      </c>
      <c r="C490" s="24" t="s">
        <v>609</v>
      </c>
      <c r="D490" s="24" t="s">
        <v>608</v>
      </c>
      <c r="E490" s="24" t="s">
        <v>826</v>
      </c>
      <c r="F490" s="17">
        <v>244.91658999999976</v>
      </c>
      <c r="G490" s="24" t="s">
        <v>61</v>
      </c>
      <c r="H490" s="24" t="s">
        <v>59</v>
      </c>
      <c r="I490" s="25">
        <v>522.99</v>
      </c>
      <c r="J490" s="23">
        <v>245131.98999999979</v>
      </c>
      <c r="K490" s="23">
        <v>9765.5399999996789</v>
      </c>
    </row>
    <row r="491" spans="1:11" x14ac:dyDescent="0.25">
      <c r="A491" s="22" t="s">
        <v>820</v>
      </c>
      <c r="B491" s="43">
        <f t="shared" si="7"/>
        <v>245.65497999999977</v>
      </c>
      <c r="C491" s="24" t="s">
        <v>608</v>
      </c>
      <c r="D491" s="24" t="s">
        <v>607</v>
      </c>
      <c r="E491" s="24" t="s">
        <v>826</v>
      </c>
      <c r="F491" s="17">
        <v>245.38465999999977</v>
      </c>
      <c r="G491" s="24" t="s">
        <v>59</v>
      </c>
      <c r="H491" s="24" t="s">
        <v>57</v>
      </c>
      <c r="I491" s="25">
        <v>453.3</v>
      </c>
      <c r="J491" s="23">
        <v>245654.97999999978</v>
      </c>
      <c r="K491" s="23">
        <v>9242.5499999996791</v>
      </c>
    </row>
    <row r="492" spans="1:11" x14ac:dyDescent="0.25">
      <c r="A492" s="22" t="s">
        <v>820</v>
      </c>
      <c r="B492" s="43">
        <f t="shared" si="7"/>
        <v>246.10827999999975</v>
      </c>
      <c r="C492" s="24" t="s">
        <v>607</v>
      </c>
      <c r="D492" s="24" t="s">
        <v>606</v>
      </c>
      <c r="E492" s="24" t="s">
        <v>826</v>
      </c>
      <c r="F492" s="17">
        <v>245.87641999999977</v>
      </c>
      <c r="G492" s="24" t="s">
        <v>57</v>
      </c>
      <c r="H492" s="24" t="s">
        <v>55</v>
      </c>
      <c r="I492" s="25">
        <v>619.1699999999837</v>
      </c>
      <c r="J492" s="23">
        <v>246108.27999999977</v>
      </c>
      <c r="K492" s="23">
        <v>8789.2499999996799</v>
      </c>
    </row>
    <row r="493" spans="1:11" x14ac:dyDescent="0.25">
      <c r="A493" s="22" t="s">
        <v>820</v>
      </c>
      <c r="B493" s="43">
        <f t="shared" si="7"/>
        <v>246.72744999999975</v>
      </c>
      <c r="C493" s="24" t="s">
        <v>606</v>
      </c>
      <c r="D493" s="24" t="s">
        <v>605</v>
      </c>
      <c r="E493" s="24" t="s">
        <v>826</v>
      </c>
      <c r="F493" s="17">
        <v>246.32411999999979</v>
      </c>
      <c r="G493" s="24" t="s">
        <v>55</v>
      </c>
      <c r="H493" s="24" t="s">
        <v>53</v>
      </c>
      <c r="I493" s="25">
        <v>520.79000000000815</v>
      </c>
      <c r="J493" s="23">
        <v>246727.44999999975</v>
      </c>
      <c r="K493" s="23">
        <v>8170.0799999996962</v>
      </c>
    </row>
    <row r="494" spans="1:11" x14ac:dyDescent="0.25">
      <c r="A494" s="22" t="s">
        <v>820</v>
      </c>
      <c r="B494" s="43">
        <f t="shared" si="7"/>
        <v>247.24823999999975</v>
      </c>
      <c r="C494" s="24" t="s">
        <v>605</v>
      </c>
      <c r="D494" s="24" t="s">
        <v>604</v>
      </c>
      <c r="E494" s="24" t="s">
        <v>826</v>
      </c>
      <c r="F494" s="17">
        <v>246.8096199999998</v>
      </c>
      <c r="G494" s="24" t="s">
        <v>53</v>
      </c>
      <c r="H494" s="24" t="s">
        <v>51</v>
      </c>
      <c r="I494" s="25">
        <v>455.70999999999185</v>
      </c>
      <c r="J494" s="23">
        <v>247248.23999999976</v>
      </c>
      <c r="K494" s="23">
        <v>7649.289999999688</v>
      </c>
    </row>
    <row r="495" spans="1:11" x14ac:dyDescent="0.25">
      <c r="A495" s="22" t="s">
        <v>820</v>
      </c>
      <c r="B495" s="43">
        <f t="shared" si="7"/>
        <v>247.70394999999974</v>
      </c>
      <c r="C495" s="24" t="s">
        <v>604</v>
      </c>
      <c r="D495" s="24" t="s">
        <v>603</v>
      </c>
      <c r="E495" s="24" t="s">
        <v>826</v>
      </c>
      <c r="F495" s="17">
        <v>247.30861999999979</v>
      </c>
      <c r="G495" s="24" t="s">
        <v>51</v>
      </c>
      <c r="H495" s="24" t="s">
        <v>49</v>
      </c>
      <c r="I495" s="25">
        <v>367.99</v>
      </c>
      <c r="J495" s="23">
        <v>247703.94999999975</v>
      </c>
      <c r="K495" s="23">
        <v>7193.5799999996962</v>
      </c>
    </row>
    <row r="496" spans="1:11" x14ac:dyDescent="0.25">
      <c r="A496" s="22" t="s">
        <v>820</v>
      </c>
      <c r="B496" s="43">
        <f t="shared" si="7"/>
        <v>248.07193999999973</v>
      </c>
      <c r="C496" s="24" t="s">
        <v>603</v>
      </c>
      <c r="D496" s="24" t="s">
        <v>602</v>
      </c>
      <c r="E496" s="24" t="s">
        <v>826</v>
      </c>
      <c r="F496" s="17">
        <v>247.67851999999979</v>
      </c>
      <c r="G496" s="24" t="s">
        <v>49</v>
      </c>
      <c r="H496" s="24" t="s">
        <v>47</v>
      </c>
      <c r="I496" s="25">
        <v>434.02</v>
      </c>
      <c r="J496" s="23">
        <v>248071.93999999974</v>
      </c>
      <c r="K496" s="23">
        <v>6825.5899999996964</v>
      </c>
    </row>
    <row r="497" spans="1:11" x14ac:dyDescent="0.25">
      <c r="A497" s="22" t="s">
        <v>820</v>
      </c>
      <c r="B497" s="43">
        <f t="shared" si="7"/>
        <v>248.50595999999973</v>
      </c>
      <c r="C497" s="24" t="s">
        <v>602</v>
      </c>
      <c r="D497" s="24" t="s">
        <v>601</v>
      </c>
      <c r="E497" s="24" t="s">
        <v>826</v>
      </c>
      <c r="F497" s="17">
        <v>248.23473999999979</v>
      </c>
      <c r="G497" s="24" t="s">
        <v>47</v>
      </c>
      <c r="H497" s="24" t="s">
        <v>45</v>
      </c>
      <c r="I497" s="25">
        <v>463</v>
      </c>
      <c r="J497" s="23">
        <v>248505.95999999973</v>
      </c>
      <c r="K497" s="23">
        <v>6391.5699999996959</v>
      </c>
    </row>
    <row r="498" spans="1:11" x14ac:dyDescent="0.25">
      <c r="A498" s="22" t="s">
        <v>820</v>
      </c>
      <c r="B498" s="43">
        <f t="shared" si="7"/>
        <v>248.96895999999973</v>
      </c>
      <c r="C498" s="24" t="s">
        <v>601</v>
      </c>
      <c r="D498" s="24" t="s">
        <v>600</v>
      </c>
      <c r="E498" s="24" t="s">
        <v>826</v>
      </c>
      <c r="F498" s="17">
        <v>248.7289399999998</v>
      </c>
      <c r="G498" s="24" t="s">
        <v>45</v>
      </c>
      <c r="H498" s="24" t="s">
        <v>43</v>
      </c>
      <c r="I498" s="25">
        <v>411.8</v>
      </c>
      <c r="J498" s="23">
        <v>248968.95999999973</v>
      </c>
      <c r="K498" s="23">
        <v>5928.5699999996959</v>
      </c>
    </row>
    <row r="499" spans="1:11" x14ac:dyDescent="0.25">
      <c r="A499" s="22" t="s">
        <v>820</v>
      </c>
      <c r="B499" s="43">
        <f t="shared" si="7"/>
        <v>249.38075999999973</v>
      </c>
      <c r="C499" s="24" t="s">
        <v>600</v>
      </c>
      <c r="D499" s="24" t="s">
        <v>599</v>
      </c>
      <c r="E499" s="24" t="s">
        <v>826</v>
      </c>
      <c r="F499" s="17">
        <v>249.37273999999979</v>
      </c>
      <c r="G499" s="24" t="s">
        <v>43</v>
      </c>
      <c r="H499" s="24" t="s">
        <v>41</v>
      </c>
      <c r="I499" s="25">
        <v>352.42</v>
      </c>
      <c r="J499" s="23">
        <v>249380.75999999972</v>
      </c>
      <c r="K499" s="23">
        <v>5516.7699999996958</v>
      </c>
    </row>
    <row r="500" spans="1:11" x14ac:dyDescent="0.25">
      <c r="A500" s="22" t="s">
        <v>820</v>
      </c>
      <c r="B500" s="43">
        <f t="shared" si="7"/>
        <v>249.73317999999972</v>
      </c>
      <c r="C500" s="24" t="s">
        <v>599</v>
      </c>
      <c r="D500" s="24" t="s">
        <v>598</v>
      </c>
      <c r="E500" s="24" t="s">
        <v>826</v>
      </c>
      <c r="F500" s="17">
        <v>249.80983999999978</v>
      </c>
      <c r="G500" s="24" t="s">
        <v>41</v>
      </c>
      <c r="H500" s="24" t="s">
        <v>39</v>
      </c>
      <c r="I500" s="25">
        <v>527.20000000001164</v>
      </c>
      <c r="J500" s="23">
        <v>249733.17999999973</v>
      </c>
      <c r="K500" s="23">
        <v>5164.3499999996957</v>
      </c>
    </row>
    <row r="501" spans="1:11" x14ac:dyDescent="0.25">
      <c r="A501" s="22" t="s">
        <v>820</v>
      </c>
      <c r="B501" s="43">
        <f t="shared" si="7"/>
        <v>250.26037999999974</v>
      </c>
      <c r="C501" s="24" t="s">
        <v>598</v>
      </c>
      <c r="D501" s="24" t="s">
        <v>597</v>
      </c>
      <c r="E501" s="24" t="s">
        <v>826</v>
      </c>
      <c r="F501" s="17">
        <v>250.16010999999978</v>
      </c>
      <c r="G501" s="24" t="s">
        <v>39</v>
      </c>
      <c r="H501" s="24" t="s">
        <v>37</v>
      </c>
      <c r="I501" s="25">
        <v>557.01</v>
      </c>
      <c r="J501" s="23">
        <v>250260.37999999974</v>
      </c>
      <c r="K501" s="23">
        <v>4637.149999999684</v>
      </c>
    </row>
    <row r="502" spans="1:11" x14ac:dyDescent="0.25">
      <c r="A502" s="22" t="s">
        <v>820</v>
      </c>
      <c r="B502" s="43">
        <f t="shared" si="7"/>
        <v>250.81738999999976</v>
      </c>
      <c r="C502" s="24" t="s">
        <v>597</v>
      </c>
      <c r="D502" s="24" t="s">
        <v>596</v>
      </c>
      <c r="E502" s="24" t="s">
        <v>826</v>
      </c>
      <c r="F502" s="17">
        <v>250.67043999999976</v>
      </c>
      <c r="G502" s="24" t="s">
        <v>37</v>
      </c>
      <c r="H502" s="24" t="s">
        <v>35</v>
      </c>
      <c r="I502" s="25">
        <v>525.6</v>
      </c>
      <c r="J502" s="23">
        <v>250817.38999999975</v>
      </c>
      <c r="K502" s="23">
        <v>4080.1399999996838</v>
      </c>
    </row>
    <row r="503" spans="1:11" x14ac:dyDescent="0.25">
      <c r="A503" s="22" t="s">
        <v>820</v>
      </c>
      <c r="B503" s="43">
        <f t="shared" si="7"/>
        <v>251.34298999999976</v>
      </c>
      <c r="C503" s="24" t="s">
        <v>596</v>
      </c>
      <c r="D503" s="24" t="s">
        <v>595</v>
      </c>
      <c r="E503" s="24" t="s">
        <v>826</v>
      </c>
      <c r="F503" s="17">
        <v>251.22303999999977</v>
      </c>
      <c r="G503" s="24" t="s">
        <v>35</v>
      </c>
      <c r="H503" s="24" t="s">
        <v>33</v>
      </c>
      <c r="I503" s="25">
        <v>511.1</v>
      </c>
      <c r="J503" s="23">
        <v>251342.98999999976</v>
      </c>
      <c r="K503" s="23">
        <v>3554.5399999996839</v>
      </c>
    </row>
    <row r="504" spans="1:11" x14ac:dyDescent="0.25">
      <c r="A504" s="22" t="s">
        <v>820</v>
      </c>
      <c r="B504" s="43">
        <f t="shared" si="7"/>
        <v>251.85408999999976</v>
      </c>
      <c r="C504" s="24" t="s">
        <v>595</v>
      </c>
      <c r="D504" s="24" t="s">
        <v>594</v>
      </c>
      <c r="E504" s="24" t="s">
        <v>826</v>
      </c>
      <c r="F504" s="17">
        <v>251.74534999999977</v>
      </c>
      <c r="G504" s="24" t="s">
        <v>33</v>
      </c>
      <c r="H504" s="24" t="s">
        <v>31</v>
      </c>
      <c r="I504" s="25">
        <v>539.99</v>
      </c>
      <c r="J504" s="23">
        <v>251854.08999999976</v>
      </c>
      <c r="K504" s="23">
        <v>3043.439999999684</v>
      </c>
    </row>
    <row r="505" spans="1:11" x14ac:dyDescent="0.25">
      <c r="A505" s="22" t="s">
        <v>820</v>
      </c>
      <c r="B505" s="43">
        <f t="shared" si="7"/>
        <v>252.39407999999975</v>
      </c>
      <c r="C505" s="24" t="s">
        <v>594</v>
      </c>
      <c r="D505" s="24" t="s">
        <v>593</v>
      </c>
      <c r="E505" s="24" t="s">
        <v>826</v>
      </c>
      <c r="F505" s="17">
        <v>252.15744999999978</v>
      </c>
      <c r="G505" s="24" t="s">
        <v>31</v>
      </c>
      <c r="H505" s="24" t="s">
        <v>29</v>
      </c>
      <c r="I505" s="25">
        <v>550.23</v>
      </c>
      <c r="J505" s="23">
        <v>252394.07999999975</v>
      </c>
      <c r="K505" s="23">
        <v>2503.4499999996842</v>
      </c>
    </row>
    <row r="506" spans="1:11" x14ac:dyDescent="0.25">
      <c r="A506" s="22" t="s">
        <v>820</v>
      </c>
      <c r="B506" s="43">
        <f t="shared" si="7"/>
        <v>252.94430999999977</v>
      </c>
      <c r="C506" s="24" t="s">
        <v>593</v>
      </c>
      <c r="D506" s="24" t="s">
        <v>592</v>
      </c>
      <c r="E506" s="24" t="s">
        <v>826</v>
      </c>
      <c r="F506" s="17">
        <v>252.66004999999979</v>
      </c>
      <c r="G506" s="24" t="s">
        <v>29</v>
      </c>
      <c r="H506" s="24" t="s">
        <v>27</v>
      </c>
      <c r="I506" s="25">
        <v>530.21</v>
      </c>
      <c r="J506" s="23">
        <v>252944.30999999976</v>
      </c>
      <c r="K506" s="23">
        <v>1953.2199999996842</v>
      </c>
    </row>
    <row r="507" spans="1:11" x14ac:dyDescent="0.25">
      <c r="A507" s="22" t="s">
        <v>820</v>
      </c>
      <c r="B507" s="43">
        <f t="shared" si="7"/>
        <v>253.47451999999976</v>
      </c>
      <c r="C507" s="24" t="s">
        <v>592</v>
      </c>
      <c r="D507" s="24" t="s">
        <v>591</v>
      </c>
      <c r="E507" s="24" t="s">
        <v>826</v>
      </c>
      <c r="F507" s="17">
        <v>253.23644999999979</v>
      </c>
      <c r="G507" s="24" t="s">
        <v>27</v>
      </c>
      <c r="H507" s="24" t="s">
        <v>25</v>
      </c>
      <c r="I507" s="25">
        <v>423.04</v>
      </c>
      <c r="J507" s="23">
        <v>253474.51999999976</v>
      </c>
      <c r="K507" s="23">
        <v>1423.0099999996842</v>
      </c>
    </row>
    <row r="508" spans="1:11" x14ac:dyDescent="0.25">
      <c r="A508" s="22" t="s">
        <v>820</v>
      </c>
      <c r="B508" s="43">
        <f t="shared" si="7"/>
        <v>253.89755999999977</v>
      </c>
      <c r="C508" s="24" t="s">
        <v>591</v>
      </c>
      <c r="D508" s="24" t="s">
        <v>590</v>
      </c>
      <c r="E508" s="24" t="s">
        <v>826</v>
      </c>
      <c r="F508" s="17">
        <v>253.59844999999979</v>
      </c>
      <c r="G508" s="24" t="s">
        <v>25</v>
      </c>
      <c r="H508" s="24" t="s">
        <v>23</v>
      </c>
      <c r="I508" s="25">
        <v>422.34</v>
      </c>
      <c r="J508" s="23">
        <v>253897.55999999976</v>
      </c>
      <c r="K508" s="23">
        <v>999.96999999968421</v>
      </c>
    </row>
    <row r="509" spans="1:11" x14ac:dyDescent="0.25">
      <c r="A509" s="22" t="s">
        <v>820</v>
      </c>
      <c r="B509" s="43">
        <f t="shared" si="7"/>
        <v>254.31989999999976</v>
      </c>
      <c r="C509" s="24" t="s">
        <v>590</v>
      </c>
      <c r="D509" s="24" t="s">
        <v>589</v>
      </c>
      <c r="E509" s="24" t="s">
        <v>826</v>
      </c>
      <c r="F509" s="17">
        <v>254.03998999999979</v>
      </c>
      <c r="G509" s="24" t="s">
        <v>23</v>
      </c>
      <c r="H509" s="24" t="s">
        <v>20</v>
      </c>
      <c r="I509" s="25">
        <v>387.7</v>
      </c>
      <c r="J509" s="23">
        <v>254319.89999999976</v>
      </c>
      <c r="K509" s="23">
        <v>577.62999999968429</v>
      </c>
    </row>
    <row r="510" spans="1:11" x14ac:dyDescent="0.25">
      <c r="A510" s="22" t="s">
        <v>820</v>
      </c>
      <c r="B510" s="43">
        <f t="shared" si="7"/>
        <v>254.70759999999979</v>
      </c>
      <c r="C510" s="24" t="s">
        <v>589</v>
      </c>
      <c r="D510" s="24" t="s">
        <v>588</v>
      </c>
      <c r="E510" s="24" t="s">
        <v>826</v>
      </c>
      <c r="F510" s="17">
        <v>254.50918999999979</v>
      </c>
      <c r="G510" s="24" t="s">
        <v>20</v>
      </c>
      <c r="H510" s="24" t="s">
        <v>15</v>
      </c>
      <c r="I510" s="25">
        <v>117.7</v>
      </c>
      <c r="J510" s="23">
        <v>254707.59999999977</v>
      </c>
      <c r="K510" s="23">
        <v>189.9299999996843</v>
      </c>
    </row>
    <row r="511" spans="1:11" x14ac:dyDescent="0.25">
      <c r="A511" s="22" t="s">
        <v>820</v>
      </c>
      <c r="B511" s="43">
        <f t="shared" si="7"/>
        <v>254.82529999999977</v>
      </c>
      <c r="C511" s="24" t="s">
        <v>588</v>
      </c>
      <c r="D511" s="24" t="s">
        <v>821</v>
      </c>
      <c r="E511" s="24" t="s">
        <v>826</v>
      </c>
      <c r="F511" s="17">
        <v>254.7035299999998</v>
      </c>
      <c r="G511" s="24" t="s">
        <v>15</v>
      </c>
      <c r="H511" s="24" t="s">
        <v>819</v>
      </c>
      <c r="I511" s="25">
        <v>72.23</v>
      </c>
      <c r="J511" s="23">
        <v>254825.29999999978</v>
      </c>
      <c r="K511" s="23">
        <v>72.229999999684296</v>
      </c>
    </row>
    <row r="512" spans="1:11" x14ac:dyDescent="0.25">
      <c r="A512" s="22" t="s">
        <v>820</v>
      </c>
      <c r="B512" s="43">
        <f t="shared" si="7"/>
        <v>254.89752999999999</v>
      </c>
      <c r="C512" s="24" t="s">
        <v>834</v>
      </c>
      <c r="D512" s="24" t="s">
        <v>22</v>
      </c>
      <c r="E512" s="24" t="s">
        <v>826</v>
      </c>
      <c r="F512" s="17">
        <v>254.89752999999999</v>
      </c>
      <c r="G512" s="24" t="s">
        <v>819</v>
      </c>
      <c r="H512" s="24" t="s">
        <v>22</v>
      </c>
      <c r="J512" s="23">
        <v>254897.53</v>
      </c>
      <c r="K512" s="23">
        <v>0</v>
      </c>
    </row>
    <row r="513" spans="2:10" x14ac:dyDescent="0.25">
      <c r="B513" s="22">
        <f t="shared" si="7"/>
        <v>0.50900000000000001</v>
      </c>
      <c r="I513" s="26">
        <f>SUM(I2:I511)/1000</f>
        <v>254.89752999999979</v>
      </c>
      <c r="J513" s="22">
        <v>509</v>
      </c>
    </row>
  </sheetData>
  <dataValidations count="3"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B00-000000000000}">
      <formula1>0</formula1>
      <formula2>50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B00-000001000000}">
      <formula1>0</formula1>
      <formula2>60</formula2>
    </dataValidation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B00-000002000000}">
      <formula1>0</formula1>
      <formula2>30</formula2>
    </dataValidation>
  </dataValidation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2"/>
  <dimension ref="A1:O518"/>
  <sheetViews>
    <sheetView zoomScale="85" zoomScaleNormal="85" workbookViewId="0">
      <selection activeCell="C12" sqref="C12"/>
    </sheetView>
  </sheetViews>
  <sheetFormatPr defaultRowHeight="15" x14ac:dyDescent="0.25"/>
  <cols>
    <col min="1" max="1" width="27.5703125" style="5" bestFit="1" customWidth="1"/>
    <col min="2" max="2" width="15.28515625" style="5" customWidth="1"/>
    <col min="3" max="3" width="25.85546875" style="7" bestFit="1" customWidth="1"/>
    <col min="4" max="4" width="25.85546875" style="7" customWidth="1"/>
    <col min="5" max="5" width="7.140625" style="7" bestFit="1" customWidth="1"/>
    <col min="6" max="6" width="13.140625" style="7" hidden="1" customWidth="1"/>
    <col min="7" max="7" width="25.85546875" style="7" hidden="1" customWidth="1"/>
    <col min="8" max="8" width="21.85546875" style="7" hidden="1" customWidth="1"/>
    <col min="9" max="9" width="30.28515625" style="5" hidden="1" customWidth="1"/>
    <col min="10" max="10" width="26.28515625" style="5" hidden="1" customWidth="1"/>
    <col min="11" max="11" width="24.5703125" style="5" hidden="1" customWidth="1"/>
    <col min="12" max="12" width="5" bestFit="1" customWidth="1"/>
    <col min="13" max="13" width="16.140625" bestFit="1" customWidth="1"/>
    <col min="14" max="14" width="17.7109375" bestFit="1" customWidth="1"/>
    <col min="257" max="257" width="27.28515625" bestFit="1" customWidth="1"/>
    <col min="258" max="258" width="6.5703125" bestFit="1" customWidth="1"/>
    <col min="259" max="260" width="28.140625" bestFit="1" customWidth="1"/>
    <col min="261" max="261" width="6.5703125" bestFit="1" customWidth="1"/>
    <col min="262" max="263" width="28.140625" bestFit="1" customWidth="1"/>
    <col min="264" max="264" width="38.42578125" bestFit="1" customWidth="1"/>
    <col min="265" max="265" width="33.7109375" bestFit="1" customWidth="1"/>
    <col min="266" max="266" width="32" bestFit="1" customWidth="1"/>
    <col min="268" max="268" width="16.85546875" bestFit="1" customWidth="1"/>
    <col min="269" max="269" width="25.85546875" bestFit="1" customWidth="1"/>
    <col min="513" max="513" width="27.28515625" bestFit="1" customWidth="1"/>
    <col min="514" max="514" width="6.5703125" bestFit="1" customWidth="1"/>
    <col min="515" max="516" width="28.140625" bestFit="1" customWidth="1"/>
    <col min="517" max="517" width="6.5703125" bestFit="1" customWidth="1"/>
    <col min="518" max="519" width="28.140625" bestFit="1" customWidth="1"/>
    <col min="520" max="520" width="38.42578125" bestFit="1" customWidth="1"/>
    <col min="521" max="521" width="33.7109375" bestFit="1" customWidth="1"/>
    <col min="522" max="522" width="32" bestFit="1" customWidth="1"/>
    <col min="524" max="524" width="16.85546875" bestFit="1" customWidth="1"/>
    <col min="525" max="525" width="25.85546875" bestFit="1" customWidth="1"/>
    <col min="769" max="769" width="27.28515625" bestFit="1" customWidth="1"/>
    <col min="770" max="770" width="6.5703125" bestFit="1" customWidth="1"/>
    <col min="771" max="772" width="28.140625" bestFit="1" customWidth="1"/>
    <col min="773" max="773" width="6.5703125" bestFit="1" customWidth="1"/>
    <col min="774" max="775" width="28.140625" bestFit="1" customWidth="1"/>
    <col min="776" max="776" width="38.42578125" bestFit="1" customWidth="1"/>
    <col min="777" max="777" width="33.7109375" bestFit="1" customWidth="1"/>
    <col min="778" max="778" width="32" bestFit="1" customWidth="1"/>
    <col min="780" max="780" width="16.85546875" bestFit="1" customWidth="1"/>
    <col min="781" max="781" width="25.85546875" bestFit="1" customWidth="1"/>
    <col min="1025" max="1025" width="27.28515625" bestFit="1" customWidth="1"/>
    <col min="1026" max="1026" width="6.5703125" bestFit="1" customWidth="1"/>
    <col min="1027" max="1028" width="28.140625" bestFit="1" customWidth="1"/>
    <col min="1029" max="1029" width="6.5703125" bestFit="1" customWidth="1"/>
    <col min="1030" max="1031" width="28.140625" bestFit="1" customWidth="1"/>
    <col min="1032" max="1032" width="38.42578125" bestFit="1" customWidth="1"/>
    <col min="1033" max="1033" width="33.7109375" bestFit="1" customWidth="1"/>
    <col min="1034" max="1034" width="32" bestFit="1" customWidth="1"/>
    <col min="1036" max="1036" width="16.85546875" bestFit="1" customWidth="1"/>
    <col min="1037" max="1037" width="25.85546875" bestFit="1" customWidth="1"/>
    <col min="1281" max="1281" width="27.28515625" bestFit="1" customWidth="1"/>
    <col min="1282" max="1282" width="6.5703125" bestFit="1" customWidth="1"/>
    <col min="1283" max="1284" width="28.140625" bestFit="1" customWidth="1"/>
    <col min="1285" max="1285" width="6.5703125" bestFit="1" customWidth="1"/>
    <col min="1286" max="1287" width="28.140625" bestFit="1" customWidth="1"/>
    <col min="1288" max="1288" width="38.42578125" bestFit="1" customWidth="1"/>
    <col min="1289" max="1289" width="33.7109375" bestFit="1" customWidth="1"/>
    <col min="1290" max="1290" width="32" bestFit="1" customWidth="1"/>
    <col min="1292" max="1292" width="16.85546875" bestFit="1" customWidth="1"/>
    <col min="1293" max="1293" width="25.85546875" bestFit="1" customWidth="1"/>
    <col min="1537" max="1537" width="27.28515625" bestFit="1" customWidth="1"/>
    <col min="1538" max="1538" width="6.5703125" bestFit="1" customWidth="1"/>
    <col min="1539" max="1540" width="28.140625" bestFit="1" customWidth="1"/>
    <col min="1541" max="1541" width="6.5703125" bestFit="1" customWidth="1"/>
    <col min="1542" max="1543" width="28.140625" bestFit="1" customWidth="1"/>
    <col min="1544" max="1544" width="38.42578125" bestFit="1" customWidth="1"/>
    <col min="1545" max="1545" width="33.7109375" bestFit="1" customWidth="1"/>
    <col min="1546" max="1546" width="32" bestFit="1" customWidth="1"/>
    <col min="1548" max="1548" width="16.85546875" bestFit="1" customWidth="1"/>
    <col min="1549" max="1549" width="25.85546875" bestFit="1" customWidth="1"/>
    <col min="1793" max="1793" width="27.28515625" bestFit="1" customWidth="1"/>
    <col min="1794" max="1794" width="6.5703125" bestFit="1" customWidth="1"/>
    <col min="1795" max="1796" width="28.140625" bestFit="1" customWidth="1"/>
    <col min="1797" max="1797" width="6.5703125" bestFit="1" customWidth="1"/>
    <col min="1798" max="1799" width="28.140625" bestFit="1" customWidth="1"/>
    <col min="1800" max="1800" width="38.42578125" bestFit="1" customWidth="1"/>
    <col min="1801" max="1801" width="33.7109375" bestFit="1" customWidth="1"/>
    <col min="1802" max="1802" width="32" bestFit="1" customWidth="1"/>
    <col min="1804" max="1804" width="16.85546875" bestFit="1" customWidth="1"/>
    <col min="1805" max="1805" width="25.85546875" bestFit="1" customWidth="1"/>
    <col min="2049" max="2049" width="27.28515625" bestFit="1" customWidth="1"/>
    <col min="2050" max="2050" width="6.5703125" bestFit="1" customWidth="1"/>
    <col min="2051" max="2052" width="28.140625" bestFit="1" customWidth="1"/>
    <col min="2053" max="2053" width="6.5703125" bestFit="1" customWidth="1"/>
    <col min="2054" max="2055" width="28.140625" bestFit="1" customWidth="1"/>
    <col min="2056" max="2056" width="38.42578125" bestFit="1" customWidth="1"/>
    <col min="2057" max="2057" width="33.7109375" bestFit="1" customWidth="1"/>
    <col min="2058" max="2058" width="32" bestFit="1" customWidth="1"/>
    <col min="2060" max="2060" width="16.85546875" bestFit="1" customWidth="1"/>
    <col min="2061" max="2061" width="25.85546875" bestFit="1" customWidth="1"/>
    <col min="2305" max="2305" width="27.28515625" bestFit="1" customWidth="1"/>
    <col min="2306" max="2306" width="6.5703125" bestFit="1" customWidth="1"/>
    <col min="2307" max="2308" width="28.140625" bestFit="1" customWidth="1"/>
    <col min="2309" max="2309" width="6.5703125" bestFit="1" customWidth="1"/>
    <col min="2310" max="2311" width="28.140625" bestFit="1" customWidth="1"/>
    <col min="2312" max="2312" width="38.42578125" bestFit="1" customWidth="1"/>
    <col min="2313" max="2313" width="33.7109375" bestFit="1" customWidth="1"/>
    <col min="2314" max="2314" width="32" bestFit="1" customWidth="1"/>
    <col min="2316" max="2316" width="16.85546875" bestFit="1" customWidth="1"/>
    <col min="2317" max="2317" width="25.85546875" bestFit="1" customWidth="1"/>
    <col min="2561" max="2561" width="27.28515625" bestFit="1" customWidth="1"/>
    <col min="2562" max="2562" width="6.5703125" bestFit="1" customWidth="1"/>
    <col min="2563" max="2564" width="28.140625" bestFit="1" customWidth="1"/>
    <col min="2565" max="2565" width="6.5703125" bestFit="1" customWidth="1"/>
    <col min="2566" max="2567" width="28.140625" bestFit="1" customWidth="1"/>
    <col min="2568" max="2568" width="38.42578125" bestFit="1" customWidth="1"/>
    <col min="2569" max="2569" width="33.7109375" bestFit="1" customWidth="1"/>
    <col min="2570" max="2570" width="32" bestFit="1" customWidth="1"/>
    <col min="2572" max="2572" width="16.85546875" bestFit="1" customWidth="1"/>
    <col min="2573" max="2573" width="25.85546875" bestFit="1" customWidth="1"/>
    <col min="2817" max="2817" width="27.28515625" bestFit="1" customWidth="1"/>
    <col min="2818" max="2818" width="6.5703125" bestFit="1" customWidth="1"/>
    <col min="2819" max="2820" width="28.140625" bestFit="1" customWidth="1"/>
    <col min="2821" max="2821" width="6.5703125" bestFit="1" customWidth="1"/>
    <col min="2822" max="2823" width="28.140625" bestFit="1" customWidth="1"/>
    <col min="2824" max="2824" width="38.42578125" bestFit="1" customWidth="1"/>
    <col min="2825" max="2825" width="33.7109375" bestFit="1" customWidth="1"/>
    <col min="2826" max="2826" width="32" bestFit="1" customWidth="1"/>
    <col min="2828" max="2828" width="16.85546875" bestFit="1" customWidth="1"/>
    <col min="2829" max="2829" width="25.85546875" bestFit="1" customWidth="1"/>
    <col min="3073" max="3073" width="27.28515625" bestFit="1" customWidth="1"/>
    <col min="3074" max="3074" width="6.5703125" bestFit="1" customWidth="1"/>
    <col min="3075" max="3076" width="28.140625" bestFit="1" customWidth="1"/>
    <col min="3077" max="3077" width="6.5703125" bestFit="1" customWidth="1"/>
    <col min="3078" max="3079" width="28.140625" bestFit="1" customWidth="1"/>
    <col min="3080" max="3080" width="38.42578125" bestFit="1" customWidth="1"/>
    <col min="3081" max="3081" width="33.7109375" bestFit="1" customWidth="1"/>
    <col min="3082" max="3082" width="32" bestFit="1" customWidth="1"/>
    <col min="3084" max="3084" width="16.85546875" bestFit="1" customWidth="1"/>
    <col min="3085" max="3085" width="25.85546875" bestFit="1" customWidth="1"/>
    <col min="3329" max="3329" width="27.28515625" bestFit="1" customWidth="1"/>
    <col min="3330" max="3330" width="6.5703125" bestFit="1" customWidth="1"/>
    <col min="3331" max="3332" width="28.140625" bestFit="1" customWidth="1"/>
    <col min="3333" max="3333" width="6.5703125" bestFit="1" customWidth="1"/>
    <col min="3334" max="3335" width="28.140625" bestFit="1" customWidth="1"/>
    <col min="3336" max="3336" width="38.42578125" bestFit="1" customWidth="1"/>
    <col min="3337" max="3337" width="33.7109375" bestFit="1" customWidth="1"/>
    <col min="3338" max="3338" width="32" bestFit="1" customWidth="1"/>
    <col min="3340" max="3340" width="16.85546875" bestFit="1" customWidth="1"/>
    <col min="3341" max="3341" width="25.85546875" bestFit="1" customWidth="1"/>
    <col min="3585" max="3585" width="27.28515625" bestFit="1" customWidth="1"/>
    <col min="3586" max="3586" width="6.5703125" bestFit="1" customWidth="1"/>
    <col min="3587" max="3588" width="28.140625" bestFit="1" customWidth="1"/>
    <col min="3589" max="3589" width="6.5703125" bestFit="1" customWidth="1"/>
    <col min="3590" max="3591" width="28.140625" bestFit="1" customWidth="1"/>
    <col min="3592" max="3592" width="38.42578125" bestFit="1" customWidth="1"/>
    <col min="3593" max="3593" width="33.7109375" bestFit="1" customWidth="1"/>
    <col min="3594" max="3594" width="32" bestFit="1" customWidth="1"/>
    <col min="3596" max="3596" width="16.85546875" bestFit="1" customWidth="1"/>
    <col min="3597" max="3597" width="25.85546875" bestFit="1" customWidth="1"/>
    <col min="3841" max="3841" width="27.28515625" bestFit="1" customWidth="1"/>
    <col min="3842" max="3842" width="6.5703125" bestFit="1" customWidth="1"/>
    <col min="3843" max="3844" width="28.140625" bestFit="1" customWidth="1"/>
    <col min="3845" max="3845" width="6.5703125" bestFit="1" customWidth="1"/>
    <col min="3846" max="3847" width="28.140625" bestFit="1" customWidth="1"/>
    <col min="3848" max="3848" width="38.42578125" bestFit="1" customWidth="1"/>
    <col min="3849" max="3849" width="33.7109375" bestFit="1" customWidth="1"/>
    <col min="3850" max="3850" width="32" bestFit="1" customWidth="1"/>
    <col min="3852" max="3852" width="16.85546875" bestFit="1" customWidth="1"/>
    <col min="3853" max="3853" width="25.85546875" bestFit="1" customWidth="1"/>
    <col min="4097" max="4097" width="27.28515625" bestFit="1" customWidth="1"/>
    <col min="4098" max="4098" width="6.5703125" bestFit="1" customWidth="1"/>
    <col min="4099" max="4100" width="28.140625" bestFit="1" customWidth="1"/>
    <col min="4101" max="4101" width="6.5703125" bestFit="1" customWidth="1"/>
    <col min="4102" max="4103" width="28.140625" bestFit="1" customWidth="1"/>
    <col min="4104" max="4104" width="38.42578125" bestFit="1" customWidth="1"/>
    <col min="4105" max="4105" width="33.7109375" bestFit="1" customWidth="1"/>
    <col min="4106" max="4106" width="32" bestFit="1" customWidth="1"/>
    <col min="4108" max="4108" width="16.85546875" bestFit="1" customWidth="1"/>
    <col min="4109" max="4109" width="25.85546875" bestFit="1" customWidth="1"/>
    <col min="4353" max="4353" width="27.28515625" bestFit="1" customWidth="1"/>
    <col min="4354" max="4354" width="6.5703125" bestFit="1" customWidth="1"/>
    <col min="4355" max="4356" width="28.140625" bestFit="1" customWidth="1"/>
    <col min="4357" max="4357" width="6.5703125" bestFit="1" customWidth="1"/>
    <col min="4358" max="4359" width="28.140625" bestFit="1" customWidth="1"/>
    <col min="4360" max="4360" width="38.42578125" bestFit="1" customWidth="1"/>
    <col min="4361" max="4361" width="33.7109375" bestFit="1" customWidth="1"/>
    <col min="4362" max="4362" width="32" bestFit="1" customWidth="1"/>
    <col min="4364" max="4364" width="16.85546875" bestFit="1" customWidth="1"/>
    <col min="4365" max="4365" width="25.85546875" bestFit="1" customWidth="1"/>
    <col min="4609" max="4609" width="27.28515625" bestFit="1" customWidth="1"/>
    <col min="4610" max="4610" width="6.5703125" bestFit="1" customWidth="1"/>
    <col min="4611" max="4612" width="28.140625" bestFit="1" customWidth="1"/>
    <col min="4613" max="4613" width="6.5703125" bestFit="1" customWidth="1"/>
    <col min="4614" max="4615" width="28.140625" bestFit="1" customWidth="1"/>
    <col min="4616" max="4616" width="38.42578125" bestFit="1" customWidth="1"/>
    <col min="4617" max="4617" width="33.7109375" bestFit="1" customWidth="1"/>
    <col min="4618" max="4618" width="32" bestFit="1" customWidth="1"/>
    <col min="4620" max="4620" width="16.85546875" bestFit="1" customWidth="1"/>
    <col min="4621" max="4621" width="25.85546875" bestFit="1" customWidth="1"/>
    <col min="4865" max="4865" width="27.28515625" bestFit="1" customWidth="1"/>
    <col min="4866" max="4866" width="6.5703125" bestFit="1" customWidth="1"/>
    <col min="4867" max="4868" width="28.140625" bestFit="1" customWidth="1"/>
    <col min="4869" max="4869" width="6.5703125" bestFit="1" customWidth="1"/>
    <col min="4870" max="4871" width="28.140625" bestFit="1" customWidth="1"/>
    <col min="4872" max="4872" width="38.42578125" bestFit="1" customWidth="1"/>
    <col min="4873" max="4873" width="33.7109375" bestFit="1" customWidth="1"/>
    <col min="4874" max="4874" width="32" bestFit="1" customWidth="1"/>
    <col min="4876" max="4876" width="16.85546875" bestFit="1" customWidth="1"/>
    <col min="4877" max="4877" width="25.85546875" bestFit="1" customWidth="1"/>
    <col min="5121" max="5121" width="27.28515625" bestFit="1" customWidth="1"/>
    <col min="5122" max="5122" width="6.5703125" bestFit="1" customWidth="1"/>
    <col min="5123" max="5124" width="28.140625" bestFit="1" customWidth="1"/>
    <col min="5125" max="5125" width="6.5703125" bestFit="1" customWidth="1"/>
    <col min="5126" max="5127" width="28.140625" bestFit="1" customWidth="1"/>
    <col min="5128" max="5128" width="38.42578125" bestFit="1" customWidth="1"/>
    <col min="5129" max="5129" width="33.7109375" bestFit="1" customWidth="1"/>
    <col min="5130" max="5130" width="32" bestFit="1" customWidth="1"/>
    <col min="5132" max="5132" width="16.85546875" bestFit="1" customWidth="1"/>
    <col min="5133" max="5133" width="25.85546875" bestFit="1" customWidth="1"/>
    <col min="5377" max="5377" width="27.28515625" bestFit="1" customWidth="1"/>
    <col min="5378" max="5378" width="6.5703125" bestFit="1" customWidth="1"/>
    <col min="5379" max="5380" width="28.140625" bestFit="1" customWidth="1"/>
    <col min="5381" max="5381" width="6.5703125" bestFit="1" customWidth="1"/>
    <col min="5382" max="5383" width="28.140625" bestFit="1" customWidth="1"/>
    <col min="5384" max="5384" width="38.42578125" bestFit="1" customWidth="1"/>
    <col min="5385" max="5385" width="33.7109375" bestFit="1" customWidth="1"/>
    <col min="5386" max="5386" width="32" bestFit="1" customWidth="1"/>
    <col min="5388" max="5388" width="16.85546875" bestFit="1" customWidth="1"/>
    <col min="5389" max="5389" width="25.85546875" bestFit="1" customWidth="1"/>
    <col min="5633" max="5633" width="27.28515625" bestFit="1" customWidth="1"/>
    <col min="5634" max="5634" width="6.5703125" bestFit="1" customWidth="1"/>
    <col min="5635" max="5636" width="28.140625" bestFit="1" customWidth="1"/>
    <col min="5637" max="5637" width="6.5703125" bestFit="1" customWidth="1"/>
    <col min="5638" max="5639" width="28.140625" bestFit="1" customWidth="1"/>
    <col min="5640" max="5640" width="38.42578125" bestFit="1" customWidth="1"/>
    <col min="5641" max="5641" width="33.7109375" bestFit="1" customWidth="1"/>
    <col min="5642" max="5642" width="32" bestFit="1" customWidth="1"/>
    <col min="5644" max="5644" width="16.85546875" bestFit="1" customWidth="1"/>
    <col min="5645" max="5645" width="25.85546875" bestFit="1" customWidth="1"/>
    <col min="5889" max="5889" width="27.28515625" bestFit="1" customWidth="1"/>
    <col min="5890" max="5890" width="6.5703125" bestFit="1" customWidth="1"/>
    <col min="5891" max="5892" width="28.140625" bestFit="1" customWidth="1"/>
    <col min="5893" max="5893" width="6.5703125" bestFit="1" customWidth="1"/>
    <col min="5894" max="5895" width="28.140625" bestFit="1" customWidth="1"/>
    <col min="5896" max="5896" width="38.42578125" bestFit="1" customWidth="1"/>
    <col min="5897" max="5897" width="33.7109375" bestFit="1" customWidth="1"/>
    <col min="5898" max="5898" width="32" bestFit="1" customWidth="1"/>
    <col min="5900" max="5900" width="16.85546875" bestFit="1" customWidth="1"/>
    <col min="5901" max="5901" width="25.85546875" bestFit="1" customWidth="1"/>
    <col min="6145" max="6145" width="27.28515625" bestFit="1" customWidth="1"/>
    <col min="6146" max="6146" width="6.5703125" bestFit="1" customWidth="1"/>
    <col min="6147" max="6148" width="28.140625" bestFit="1" customWidth="1"/>
    <col min="6149" max="6149" width="6.5703125" bestFit="1" customWidth="1"/>
    <col min="6150" max="6151" width="28.140625" bestFit="1" customWidth="1"/>
    <col min="6152" max="6152" width="38.42578125" bestFit="1" customWidth="1"/>
    <col min="6153" max="6153" width="33.7109375" bestFit="1" customWidth="1"/>
    <col min="6154" max="6154" width="32" bestFit="1" customWidth="1"/>
    <col min="6156" max="6156" width="16.85546875" bestFit="1" customWidth="1"/>
    <col min="6157" max="6157" width="25.85546875" bestFit="1" customWidth="1"/>
    <col min="6401" max="6401" width="27.28515625" bestFit="1" customWidth="1"/>
    <col min="6402" max="6402" width="6.5703125" bestFit="1" customWidth="1"/>
    <col min="6403" max="6404" width="28.140625" bestFit="1" customWidth="1"/>
    <col min="6405" max="6405" width="6.5703125" bestFit="1" customWidth="1"/>
    <col min="6406" max="6407" width="28.140625" bestFit="1" customWidth="1"/>
    <col min="6408" max="6408" width="38.42578125" bestFit="1" customWidth="1"/>
    <col min="6409" max="6409" width="33.7109375" bestFit="1" customWidth="1"/>
    <col min="6410" max="6410" width="32" bestFit="1" customWidth="1"/>
    <col min="6412" max="6412" width="16.85546875" bestFit="1" customWidth="1"/>
    <col min="6413" max="6413" width="25.85546875" bestFit="1" customWidth="1"/>
    <col min="6657" max="6657" width="27.28515625" bestFit="1" customWidth="1"/>
    <col min="6658" max="6658" width="6.5703125" bestFit="1" customWidth="1"/>
    <col min="6659" max="6660" width="28.140625" bestFit="1" customWidth="1"/>
    <col min="6661" max="6661" width="6.5703125" bestFit="1" customWidth="1"/>
    <col min="6662" max="6663" width="28.140625" bestFit="1" customWidth="1"/>
    <col min="6664" max="6664" width="38.42578125" bestFit="1" customWidth="1"/>
    <col min="6665" max="6665" width="33.7109375" bestFit="1" customWidth="1"/>
    <col min="6666" max="6666" width="32" bestFit="1" customWidth="1"/>
    <col min="6668" max="6668" width="16.85546875" bestFit="1" customWidth="1"/>
    <col min="6669" max="6669" width="25.85546875" bestFit="1" customWidth="1"/>
    <col min="6913" max="6913" width="27.28515625" bestFit="1" customWidth="1"/>
    <col min="6914" max="6914" width="6.5703125" bestFit="1" customWidth="1"/>
    <col min="6915" max="6916" width="28.140625" bestFit="1" customWidth="1"/>
    <col min="6917" max="6917" width="6.5703125" bestFit="1" customWidth="1"/>
    <col min="6918" max="6919" width="28.140625" bestFit="1" customWidth="1"/>
    <col min="6920" max="6920" width="38.42578125" bestFit="1" customWidth="1"/>
    <col min="6921" max="6921" width="33.7109375" bestFit="1" customWidth="1"/>
    <col min="6922" max="6922" width="32" bestFit="1" customWidth="1"/>
    <col min="6924" max="6924" width="16.85546875" bestFit="1" customWidth="1"/>
    <col min="6925" max="6925" width="25.85546875" bestFit="1" customWidth="1"/>
    <col min="7169" max="7169" width="27.28515625" bestFit="1" customWidth="1"/>
    <col min="7170" max="7170" width="6.5703125" bestFit="1" customWidth="1"/>
    <col min="7171" max="7172" width="28.140625" bestFit="1" customWidth="1"/>
    <col min="7173" max="7173" width="6.5703125" bestFit="1" customWidth="1"/>
    <col min="7174" max="7175" width="28.140625" bestFit="1" customWidth="1"/>
    <col min="7176" max="7176" width="38.42578125" bestFit="1" customWidth="1"/>
    <col min="7177" max="7177" width="33.7109375" bestFit="1" customWidth="1"/>
    <col min="7178" max="7178" width="32" bestFit="1" customWidth="1"/>
    <col min="7180" max="7180" width="16.85546875" bestFit="1" customWidth="1"/>
    <col min="7181" max="7181" width="25.85546875" bestFit="1" customWidth="1"/>
    <col min="7425" max="7425" width="27.28515625" bestFit="1" customWidth="1"/>
    <col min="7426" max="7426" width="6.5703125" bestFit="1" customWidth="1"/>
    <col min="7427" max="7428" width="28.140625" bestFit="1" customWidth="1"/>
    <col min="7429" max="7429" width="6.5703125" bestFit="1" customWidth="1"/>
    <col min="7430" max="7431" width="28.140625" bestFit="1" customWidth="1"/>
    <col min="7432" max="7432" width="38.42578125" bestFit="1" customWidth="1"/>
    <col min="7433" max="7433" width="33.7109375" bestFit="1" customWidth="1"/>
    <col min="7434" max="7434" width="32" bestFit="1" customWidth="1"/>
    <col min="7436" max="7436" width="16.85546875" bestFit="1" customWidth="1"/>
    <col min="7437" max="7437" width="25.85546875" bestFit="1" customWidth="1"/>
    <col min="7681" max="7681" width="27.28515625" bestFit="1" customWidth="1"/>
    <col min="7682" max="7682" width="6.5703125" bestFit="1" customWidth="1"/>
    <col min="7683" max="7684" width="28.140625" bestFit="1" customWidth="1"/>
    <col min="7685" max="7685" width="6.5703125" bestFit="1" customWidth="1"/>
    <col min="7686" max="7687" width="28.140625" bestFit="1" customWidth="1"/>
    <col min="7688" max="7688" width="38.42578125" bestFit="1" customWidth="1"/>
    <col min="7689" max="7689" width="33.7109375" bestFit="1" customWidth="1"/>
    <col min="7690" max="7690" width="32" bestFit="1" customWidth="1"/>
    <col min="7692" max="7692" width="16.85546875" bestFit="1" customWidth="1"/>
    <col min="7693" max="7693" width="25.85546875" bestFit="1" customWidth="1"/>
    <col min="7937" max="7937" width="27.28515625" bestFit="1" customWidth="1"/>
    <col min="7938" max="7938" width="6.5703125" bestFit="1" customWidth="1"/>
    <col min="7939" max="7940" width="28.140625" bestFit="1" customWidth="1"/>
    <col min="7941" max="7941" width="6.5703125" bestFit="1" customWidth="1"/>
    <col min="7942" max="7943" width="28.140625" bestFit="1" customWidth="1"/>
    <col min="7944" max="7944" width="38.42578125" bestFit="1" customWidth="1"/>
    <col min="7945" max="7945" width="33.7109375" bestFit="1" customWidth="1"/>
    <col min="7946" max="7946" width="32" bestFit="1" customWidth="1"/>
    <col min="7948" max="7948" width="16.85546875" bestFit="1" customWidth="1"/>
    <col min="7949" max="7949" width="25.85546875" bestFit="1" customWidth="1"/>
    <col min="8193" max="8193" width="27.28515625" bestFit="1" customWidth="1"/>
    <col min="8194" max="8194" width="6.5703125" bestFit="1" customWidth="1"/>
    <col min="8195" max="8196" width="28.140625" bestFit="1" customWidth="1"/>
    <col min="8197" max="8197" width="6.5703125" bestFit="1" customWidth="1"/>
    <col min="8198" max="8199" width="28.140625" bestFit="1" customWidth="1"/>
    <col min="8200" max="8200" width="38.42578125" bestFit="1" customWidth="1"/>
    <col min="8201" max="8201" width="33.7109375" bestFit="1" customWidth="1"/>
    <col min="8202" max="8202" width="32" bestFit="1" customWidth="1"/>
    <col min="8204" max="8204" width="16.85546875" bestFit="1" customWidth="1"/>
    <col min="8205" max="8205" width="25.85546875" bestFit="1" customWidth="1"/>
    <col min="8449" max="8449" width="27.28515625" bestFit="1" customWidth="1"/>
    <col min="8450" max="8450" width="6.5703125" bestFit="1" customWidth="1"/>
    <col min="8451" max="8452" width="28.140625" bestFit="1" customWidth="1"/>
    <col min="8453" max="8453" width="6.5703125" bestFit="1" customWidth="1"/>
    <col min="8454" max="8455" width="28.140625" bestFit="1" customWidth="1"/>
    <col min="8456" max="8456" width="38.42578125" bestFit="1" customWidth="1"/>
    <col min="8457" max="8457" width="33.7109375" bestFit="1" customWidth="1"/>
    <col min="8458" max="8458" width="32" bestFit="1" customWidth="1"/>
    <col min="8460" max="8460" width="16.85546875" bestFit="1" customWidth="1"/>
    <col min="8461" max="8461" width="25.85546875" bestFit="1" customWidth="1"/>
    <col min="8705" max="8705" width="27.28515625" bestFit="1" customWidth="1"/>
    <col min="8706" max="8706" width="6.5703125" bestFit="1" customWidth="1"/>
    <col min="8707" max="8708" width="28.140625" bestFit="1" customWidth="1"/>
    <col min="8709" max="8709" width="6.5703125" bestFit="1" customWidth="1"/>
    <col min="8710" max="8711" width="28.140625" bestFit="1" customWidth="1"/>
    <col min="8712" max="8712" width="38.42578125" bestFit="1" customWidth="1"/>
    <col min="8713" max="8713" width="33.7109375" bestFit="1" customWidth="1"/>
    <col min="8714" max="8714" width="32" bestFit="1" customWidth="1"/>
    <col min="8716" max="8716" width="16.85546875" bestFit="1" customWidth="1"/>
    <col min="8717" max="8717" width="25.85546875" bestFit="1" customWidth="1"/>
    <col min="8961" max="8961" width="27.28515625" bestFit="1" customWidth="1"/>
    <col min="8962" max="8962" width="6.5703125" bestFit="1" customWidth="1"/>
    <col min="8963" max="8964" width="28.140625" bestFit="1" customWidth="1"/>
    <col min="8965" max="8965" width="6.5703125" bestFit="1" customWidth="1"/>
    <col min="8966" max="8967" width="28.140625" bestFit="1" customWidth="1"/>
    <col min="8968" max="8968" width="38.42578125" bestFit="1" customWidth="1"/>
    <col min="8969" max="8969" width="33.7109375" bestFit="1" customWidth="1"/>
    <col min="8970" max="8970" width="32" bestFit="1" customWidth="1"/>
    <col min="8972" max="8972" width="16.85546875" bestFit="1" customWidth="1"/>
    <col min="8973" max="8973" width="25.85546875" bestFit="1" customWidth="1"/>
    <col min="9217" max="9217" width="27.28515625" bestFit="1" customWidth="1"/>
    <col min="9218" max="9218" width="6.5703125" bestFit="1" customWidth="1"/>
    <col min="9219" max="9220" width="28.140625" bestFit="1" customWidth="1"/>
    <col min="9221" max="9221" width="6.5703125" bestFit="1" customWidth="1"/>
    <col min="9222" max="9223" width="28.140625" bestFit="1" customWidth="1"/>
    <col min="9224" max="9224" width="38.42578125" bestFit="1" customWidth="1"/>
    <col min="9225" max="9225" width="33.7109375" bestFit="1" customWidth="1"/>
    <col min="9226" max="9226" width="32" bestFit="1" customWidth="1"/>
    <col min="9228" max="9228" width="16.85546875" bestFit="1" customWidth="1"/>
    <col min="9229" max="9229" width="25.85546875" bestFit="1" customWidth="1"/>
    <col min="9473" max="9473" width="27.28515625" bestFit="1" customWidth="1"/>
    <col min="9474" max="9474" width="6.5703125" bestFit="1" customWidth="1"/>
    <col min="9475" max="9476" width="28.140625" bestFit="1" customWidth="1"/>
    <col min="9477" max="9477" width="6.5703125" bestFit="1" customWidth="1"/>
    <col min="9478" max="9479" width="28.140625" bestFit="1" customWidth="1"/>
    <col min="9480" max="9480" width="38.42578125" bestFit="1" customWidth="1"/>
    <col min="9481" max="9481" width="33.7109375" bestFit="1" customWidth="1"/>
    <col min="9482" max="9482" width="32" bestFit="1" customWidth="1"/>
    <col min="9484" max="9484" width="16.85546875" bestFit="1" customWidth="1"/>
    <col min="9485" max="9485" width="25.85546875" bestFit="1" customWidth="1"/>
    <col min="9729" max="9729" width="27.28515625" bestFit="1" customWidth="1"/>
    <col min="9730" max="9730" width="6.5703125" bestFit="1" customWidth="1"/>
    <col min="9731" max="9732" width="28.140625" bestFit="1" customWidth="1"/>
    <col min="9733" max="9733" width="6.5703125" bestFit="1" customWidth="1"/>
    <col min="9734" max="9735" width="28.140625" bestFit="1" customWidth="1"/>
    <col min="9736" max="9736" width="38.42578125" bestFit="1" customWidth="1"/>
    <col min="9737" max="9737" width="33.7109375" bestFit="1" customWidth="1"/>
    <col min="9738" max="9738" width="32" bestFit="1" customWidth="1"/>
    <col min="9740" max="9740" width="16.85546875" bestFit="1" customWidth="1"/>
    <col min="9741" max="9741" width="25.85546875" bestFit="1" customWidth="1"/>
    <col min="9985" max="9985" width="27.28515625" bestFit="1" customWidth="1"/>
    <col min="9986" max="9986" width="6.5703125" bestFit="1" customWidth="1"/>
    <col min="9987" max="9988" width="28.140625" bestFit="1" customWidth="1"/>
    <col min="9989" max="9989" width="6.5703125" bestFit="1" customWidth="1"/>
    <col min="9990" max="9991" width="28.140625" bestFit="1" customWidth="1"/>
    <col min="9992" max="9992" width="38.42578125" bestFit="1" customWidth="1"/>
    <col min="9993" max="9993" width="33.7109375" bestFit="1" customWidth="1"/>
    <col min="9994" max="9994" width="32" bestFit="1" customWidth="1"/>
    <col min="9996" max="9996" width="16.85546875" bestFit="1" customWidth="1"/>
    <col min="9997" max="9997" width="25.85546875" bestFit="1" customWidth="1"/>
    <col min="10241" max="10241" width="27.28515625" bestFit="1" customWidth="1"/>
    <col min="10242" max="10242" width="6.5703125" bestFit="1" customWidth="1"/>
    <col min="10243" max="10244" width="28.140625" bestFit="1" customWidth="1"/>
    <col min="10245" max="10245" width="6.5703125" bestFit="1" customWidth="1"/>
    <col min="10246" max="10247" width="28.140625" bestFit="1" customWidth="1"/>
    <col min="10248" max="10248" width="38.42578125" bestFit="1" customWidth="1"/>
    <col min="10249" max="10249" width="33.7109375" bestFit="1" customWidth="1"/>
    <col min="10250" max="10250" width="32" bestFit="1" customWidth="1"/>
    <col min="10252" max="10252" width="16.85546875" bestFit="1" customWidth="1"/>
    <col min="10253" max="10253" width="25.85546875" bestFit="1" customWidth="1"/>
    <col min="10497" max="10497" width="27.28515625" bestFit="1" customWidth="1"/>
    <col min="10498" max="10498" width="6.5703125" bestFit="1" customWidth="1"/>
    <col min="10499" max="10500" width="28.140625" bestFit="1" customWidth="1"/>
    <col min="10501" max="10501" width="6.5703125" bestFit="1" customWidth="1"/>
    <col min="10502" max="10503" width="28.140625" bestFit="1" customWidth="1"/>
    <col min="10504" max="10504" width="38.42578125" bestFit="1" customWidth="1"/>
    <col min="10505" max="10505" width="33.7109375" bestFit="1" customWidth="1"/>
    <col min="10506" max="10506" width="32" bestFit="1" customWidth="1"/>
    <col min="10508" max="10508" width="16.85546875" bestFit="1" customWidth="1"/>
    <col min="10509" max="10509" width="25.85546875" bestFit="1" customWidth="1"/>
    <col min="10753" max="10753" width="27.28515625" bestFit="1" customWidth="1"/>
    <col min="10754" max="10754" width="6.5703125" bestFit="1" customWidth="1"/>
    <col min="10755" max="10756" width="28.140625" bestFit="1" customWidth="1"/>
    <col min="10757" max="10757" width="6.5703125" bestFit="1" customWidth="1"/>
    <col min="10758" max="10759" width="28.140625" bestFit="1" customWidth="1"/>
    <col min="10760" max="10760" width="38.42578125" bestFit="1" customWidth="1"/>
    <col min="10761" max="10761" width="33.7109375" bestFit="1" customWidth="1"/>
    <col min="10762" max="10762" width="32" bestFit="1" customWidth="1"/>
    <col min="10764" max="10764" width="16.85546875" bestFit="1" customWidth="1"/>
    <col min="10765" max="10765" width="25.85546875" bestFit="1" customWidth="1"/>
    <col min="11009" max="11009" width="27.28515625" bestFit="1" customWidth="1"/>
    <col min="11010" max="11010" width="6.5703125" bestFit="1" customWidth="1"/>
    <col min="11011" max="11012" width="28.140625" bestFit="1" customWidth="1"/>
    <col min="11013" max="11013" width="6.5703125" bestFit="1" customWidth="1"/>
    <col min="11014" max="11015" width="28.140625" bestFit="1" customWidth="1"/>
    <col min="11016" max="11016" width="38.42578125" bestFit="1" customWidth="1"/>
    <col min="11017" max="11017" width="33.7109375" bestFit="1" customWidth="1"/>
    <col min="11018" max="11018" width="32" bestFit="1" customWidth="1"/>
    <col min="11020" max="11020" width="16.85546875" bestFit="1" customWidth="1"/>
    <col min="11021" max="11021" width="25.85546875" bestFit="1" customWidth="1"/>
    <col min="11265" max="11265" width="27.28515625" bestFit="1" customWidth="1"/>
    <col min="11266" max="11266" width="6.5703125" bestFit="1" customWidth="1"/>
    <col min="11267" max="11268" width="28.140625" bestFit="1" customWidth="1"/>
    <col min="11269" max="11269" width="6.5703125" bestFit="1" customWidth="1"/>
    <col min="11270" max="11271" width="28.140625" bestFit="1" customWidth="1"/>
    <col min="11272" max="11272" width="38.42578125" bestFit="1" customWidth="1"/>
    <col min="11273" max="11273" width="33.7109375" bestFit="1" customWidth="1"/>
    <col min="11274" max="11274" width="32" bestFit="1" customWidth="1"/>
    <col min="11276" max="11276" width="16.85546875" bestFit="1" customWidth="1"/>
    <col min="11277" max="11277" width="25.85546875" bestFit="1" customWidth="1"/>
    <col min="11521" max="11521" width="27.28515625" bestFit="1" customWidth="1"/>
    <col min="11522" max="11522" width="6.5703125" bestFit="1" customWidth="1"/>
    <col min="11523" max="11524" width="28.140625" bestFit="1" customWidth="1"/>
    <col min="11525" max="11525" width="6.5703125" bestFit="1" customWidth="1"/>
    <col min="11526" max="11527" width="28.140625" bestFit="1" customWidth="1"/>
    <col min="11528" max="11528" width="38.42578125" bestFit="1" customWidth="1"/>
    <col min="11529" max="11529" width="33.7109375" bestFit="1" customWidth="1"/>
    <col min="11530" max="11530" width="32" bestFit="1" customWidth="1"/>
    <col min="11532" max="11532" width="16.85546875" bestFit="1" customWidth="1"/>
    <col min="11533" max="11533" width="25.85546875" bestFit="1" customWidth="1"/>
    <col min="11777" max="11777" width="27.28515625" bestFit="1" customWidth="1"/>
    <col min="11778" max="11778" width="6.5703125" bestFit="1" customWidth="1"/>
    <col min="11779" max="11780" width="28.140625" bestFit="1" customWidth="1"/>
    <col min="11781" max="11781" width="6.5703125" bestFit="1" customWidth="1"/>
    <col min="11782" max="11783" width="28.140625" bestFit="1" customWidth="1"/>
    <col min="11784" max="11784" width="38.42578125" bestFit="1" customWidth="1"/>
    <col min="11785" max="11785" width="33.7109375" bestFit="1" customWidth="1"/>
    <col min="11786" max="11786" width="32" bestFit="1" customWidth="1"/>
    <col min="11788" max="11788" width="16.85546875" bestFit="1" customWidth="1"/>
    <col min="11789" max="11789" width="25.85546875" bestFit="1" customWidth="1"/>
    <col min="12033" max="12033" width="27.28515625" bestFit="1" customWidth="1"/>
    <col min="12034" max="12034" width="6.5703125" bestFit="1" customWidth="1"/>
    <col min="12035" max="12036" width="28.140625" bestFit="1" customWidth="1"/>
    <col min="12037" max="12037" width="6.5703125" bestFit="1" customWidth="1"/>
    <col min="12038" max="12039" width="28.140625" bestFit="1" customWidth="1"/>
    <col min="12040" max="12040" width="38.42578125" bestFit="1" customWidth="1"/>
    <col min="12041" max="12041" width="33.7109375" bestFit="1" customWidth="1"/>
    <col min="12042" max="12042" width="32" bestFit="1" customWidth="1"/>
    <col min="12044" max="12044" width="16.85546875" bestFit="1" customWidth="1"/>
    <col min="12045" max="12045" width="25.85546875" bestFit="1" customWidth="1"/>
    <col min="12289" max="12289" width="27.28515625" bestFit="1" customWidth="1"/>
    <col min="12290" max="12290" width="6.5703125" bestFit="1" customWidth="1"/>
    <col min="12291" max="12292" width="28.140625" bestFit="1" customWidth="1"/>
    <col min="12293" max="12293" width="6.5703125" bestFit="1" customWidth="1"/>
    <col min="12294" max="12295" width="28.140625" bestFit="1" customWidth="1"/>
    <col min="12296" max="12296" width="38.42578125" bestFit="1" customWidth="1"/>
    <col min="12297" max="12297" width="33.7109375" bestFit="1" customWidth="1"/>
    <col min="12298" max="12298" width="32" bestFit="1" customWidth="1"/>
    <col min="12300" max="12300" width="16.85546875" bestFit="1" customWidth="1"/>
    <col min="12301" max="12301" width="25.85546875" bestFit="1" customWidth="1"/>
    <col min="12545" max="12545" width="27.28515625" bestFit="1" customWidth="1"/>
    <col min="12546" max="12546" width="6.5703125" bestFit="1" customWidth="1"/>
    <col min="12547" max="12548" width="28.140625" bestFit="1" customWidth="1"/>
    <col min="12549" max="12549" width="6.5703125" bestFit="1" customWidth="1"/>
    <col min="12550" max="12551" width="28.140625" bestFit="1" customWidth="1"/>
    <col min="12552" max="12552" width="38.42578125" bestFit="1" customWidth="1"/>
    <col min="12553" max="12553" width="33.7109375" bestFit="1" customWidth="1"/>
    <col min="12554" max="12554" width="32" bestFit="1" customWidth="1"/>
    <col min="12556" max="12556" width="16.85546875" bestFit="1" customWidth="1"/>
    <col min="12557" max="12557" width="25.85546875" bestFit="1" customWidth="1"/>
    <col min="12801" max="12801" width="27.28515625" bestFit="1" customWidth="1"/>
    <col min="12802" max="12802" width="6.5703125" bestFit="1" customWidth="1"/>
    <col min="12803" max="12804" width="28.140625" bestFit="1" customWidth="1"/>
    <col min="12805" max="12805" width="6.5703125" bestFit="1" customWidth="1"/>
    <col min="12806" max="12807" width="28.140625" bestFit="1" customWidth="1"/>
    <col min="12808" max="12808" width="38.42578125" bestFit="1" customWidth="1"/>
    <col min="12809" max="12809" width="33.7109375" bestFit="1" customWidth="1"/>
    <col min="12810" max="12810" width="32" bestFit="1" customWidth="1"/>
    <col min="12812" max="12812" width="16.85546875" bestFit="1" customWidth="1"/>
    <col min="12813" max="12813" width="25.85546875" bestFit="1" customWidth="1"/>
    <col min="13057" max="13057" width="27.28515625" bestFit="1" customWidth="1"/>
    <col min="13058" max="13058" width="6.5703125" bestFit="1" customWidth="1"/>
    <col min="13059" max="13060" width="28.140625" bestFit="1" customWidth="1"/>
    <col min="13061" max="13061" width="6.5703125" bestFit="1" customWidth="1"/>
    <col min="13062" max="13063" width="28.140625" bestFit="1" customWidth="1"/>
    <col min="13064" max="13064" width="38.42578125" bestFit="1" customWidth="1"/>
    <col min="13065" max="13065" width="33.7109375" bestFit="1" customWidth="1"/>
    <col min="13066" max="13066" width="32" bestFit="1" customWidth="1"/>
    <col min="13068" max="13068" width="16.85546875" bestFit="1" customWidth="1"/>
    <col min="13069" max="13069" width="25.85546875" bestFit="1" customWidth="1"/>
    <col min="13313" max="13313" width="27.28515625" bestFit="1" customWidth="1"/>
    <col min="13314" max="13314" width="6.5703125" bestFit="1" customWidth="1"/>
    <col min="13315" max="13316" width="28.140625" bestFit="1" customWidth="1"/>
    <col min="13317" max="13317" width="6.5703125" bestFit="1" customWidth="1"/>
    <col min="13318" max="13319" width="28.140625" bestFit="1" customWidth="1"/>
    <col min="13320" max="13320" width="38.42578125" bestFit="1" customWidth="1"/>
    <col min="13321" max="13321" width="33.7109375" bestFit="1" customWidth="1"/>
    <col min="13322" max="13322" width="32" bestFit="1" customWidth="1"/>
    <col min="13324" max="13324" width="16.85546875" bestFit="1" customWidth="1"/>
    <col min="13325" max="13325" width="25.85546875" bestFit="1" customWidth="1"/>
    <col min="13569" max="13569" width="27.28515625" bestFit="1" customWidth="1"/>
    <col min="13570" max="13570" width="6.5703125" bestFit="1" customWidth="1"/>
    <col min="13571" max="13572" width="28.140625" bestFit="1" customWidth="1"/>
    <col min="13573" max="13573" width="6.5703125" bestFit="1" customWidth="1"/>
    <col min="13574" max="13575" width="28.140625" bestFit="1" customWidth="1"/>
    <col min="13576" max="13576" width="38.42578125" bestFit="1" customWidth="1"/>
    <col min="13577" max="13577" width="33.7109375" bestFit="1" customWidth="1"/>
    <col min="13578" max="13578" width="32" bestFit="1" customWidth="1"/>
    <col min="13580" max="13580" width="16.85546875" bestFit="1" customWidth="1"/>
    <col min="13581" max="13581" width="25.85546875" bestFit="1" customWidth="1"/>
    <col min="13825" max="13825" width="27.28515625" bestFit="1" customWidth="1"/>
    <col min="13826" max="13826" width="6.5703125" bestFit="1" customWidth="1"/>
    <col min="13827" max="13828" width="28.140625" bestFit="1" customWidth="1"/>
    <col min="13829" max="13829" width="6.5703125" bestFit="1" customWidth="1"/>
    <col min="13830" max="13831" width="28.140625" bestFit="1" customWidth="1"/>
    <col min="13832" max="13832" width="38.42578125" bestFit="1" customWidth="1"/>
    <col min="13833" max="13833" width="33.7109375" bestFit="1" customWidth="1"/>
    <col min="13834" max="13834" width="32" bestFit="1" customWidth="1"/>
    <col min="13836" max="13836" width="16.85546875" bestFit="1" customWidth="1"/>
    <col min="13837" max="13837" width="25.85546875" bestFit="1" customWidth="1"/>
    <col min="14081" max="14081" width="27.28515625" bestFit="1" customWidth="1"/>
    <col min="14082" max="14082" width="6.5703125" bestFit="1" customWidth="1"/>
    <col min="14083" max="14084" width="28.140625" bestFit="1" customWidth="1"/>
    <col min="14085" max="14085" width="6.5703125" bestFit="1" customWidth="1"/>
    <col min="14086" max="14087" width="28.140625" bestFit="1" customWidth="1"/>
    <col min="14088" max="14088" width="38.42578125" bestFit="1" customWidth="1"/>
    <col min="14089" max="14089" width="33.7109375" bestFit="1" customWidth="1"/>
    <col min="14090" max="14090" width="32" bestFit="1" customWidth="1"/>
    <col min="14092" max="14092" width="16.85546875" bestFit="1" customWidth="1"/>
    <col min="14093" max="14093" width="25.85546875" bestFit="1" customWidth="1"/>
    <col min="14337" max="14337" width="27.28515625" bestFit="1" customWidth="1"/>
    <col min="14338" max="14338" width="6.5703125" bestFit="1" customWidth="1"/>
    <col min="14339" max="14340" width="28.140625" bestFit="1" customWidth="1"/>
    <col min="14341" max="14341" width="6.5703125" bestFit="1" customWidth="1"/>
    <col min="14342" max="14343" width="28.140625" bestFit="1" customWidth="1"/>
    <col min="14344" max="14344" width="38.42578125" bestFit="1" customWidth="1"/>
    <col min="14345" max="14345" width="33.7109375" bestFit="1" customWidth="1"/>
    <col min="14346" max="14346" width="32" bestFit="1" customWidth="1"/>
    <col min="14348" max="14348" width="16.85546875" bestFit="1" customWidth="1"/>
    <col min="14349" max="14349" width="25.85546875" bestFit="1" customWidth="1"/>
    <col min="14593" max="14593" width="27.28515625" bestFit="1" customWidth="1"/>
    <col min="14594" max="14594" width="6.5703125" bestFit="1" customWidth="1"/>
    <col min="14595" max="14596" width="28.140625" bestFit="1" customWidth="1"/>
    <col min="14597" max="14597" width="6.5703125" bestFit="1" customWidth="1"/>
    <col min="14598" max="14599" width="28.140625" bestFit="1" customWidth="1"/>
    <col min="14600" max="14600" width="38.42578125" bestFit="1" customWidth="1"/>
    <col min="14601" max="14601" width="33.7109375" bestFit="1" customWidth="1"/>
    <col min="14602" max="14602" width="32" bestFit="1" customWidth="1"/>
    <col min="14604" max="14604" width="16.85546875" bestFit="1" customWidth="1"/>
    <col min="14605" max="14605" width="25.85546875" bestFit="1" customWidth="1"/>
    <col min="14849" max="14849" width="27.28515625" bestFit="1" customWidth="1"/>
    <col min="14850" max="14850" width="6.5703125" bestFit="1" customWidth="1"/>
    <col min="14851" max="14852" width="28.140625" bestFit="1" customWidth="1"/>
    <col min="14853" max="14853" width="6.5703125" bestFit="1" customWidth="1"/>
    <col min="14854" max="14855" width="28.140625" bestFit="1" customWidth="1"/>
    <col min="14856" max="14856" width="38.42578125" bestFit="1" customWidth="1"/>
    <col min="14857" max="14857" width="33.7109375" bestFit="1" customWidth="1"/>
    <col min="14858" max="14858" width="32" bestFit="1" customWidth="1"/>
    <col min="14860" max="14860" width="16.85546875" bestFit="1" customWidth="1"/>
    <col min="14861" max="14861" width="25.85546875" bestFit="1" customWidth="1"/>
    <col min="15105" max="15105" width="27.28515625" bestFit="1" customWidth="1"/>
    <col min="15106" max="15106" width="6.5703125" bestFit="1" customWidth="1"/>
    <col min="15107" max="15108" width="28.140625" bestFit="1" customWidth="1"/>
    <col min="15109" max="15109" width="6.5703125" bestFit="1" customWidth="1"/>
    <col min="15110" max="15111" width="28.140625" bestFit="1" customWidth="1"/>
    <col min="15112" max="15112" width="38.42578125" bestFit="1" customWidth="1"/>
    <col min="15113" max="15113" width="33.7109375" bestFit="1" customWidth="1"/>
    <col min="15114" max="15114" width="32" bestFit="1" customWidth="1"/>
    <col min="15116" max="15116" width="16.85546875" bestFit="1" customWidth="1"/>
    <col min="15117" max="15117" width="25.85546875" bestFit="1" customWidth="1"/>
    <col min="15361" max="15361" width="27.28515625" bestFit="1" customWidth="1"/>
    <col min="15362" max="15362" width="6.5703125" bestFit="1" customWidth="1"/>
    <col min="15363" max="15364" width="28.140625" bestFit="1" customWidth="1"/>
    <col min="15365" max="15365" width="6.5703125" bestFit="1" customWidth="1"/>
    <col min="15366" max="15367" width="28.140625" bestFit="1" customWidth="1"/>
    <col min="15368" max="15368" width="38.42578125" bestFit="1" customWidth="1"/>
    <col min="15369" max="15369" width="33.7109375" bestFit="1" customWidth="1"/>
    <col min="15370" max="15370" width="32" bestFit="1" customWidth="1"/>
    <col min="15372" max="15372" width="16.85546875" bestFit="1" customWidth="1"/>
    <col min="15373" max="15373" width="25.85546875" bestFit="1" customWidth="1"/>
    <col min="15617" max="15617" width="27.28515625" bestFit="1" customWidth="1"/>
    <col min="15618" max="15618" width="6.5703125" bestFit="1" customWidth="1"/>
    <col min="15619" max="15620" width="28.140625" bestFit="1" customWidth="1"/>
    <col min="15621" max="15621" width="6.5703125" bestFit="1" customWidth="1"/>
    <col min="15622" max="15623" width="28.140625" bestFit="1" customWidth="1"/>
    <col min="15624" max="15624" width="38.42578125" bestFit="1" customWidth="1"/>
    <col min="15625" max="15625" width="33.7109375" bestFit="1" customWidth="1"/>
    <col min="15626" max="15626" width="32" bestFit="1" customWidth="1"/>
    <col min="15628" max="15628" width="16.85546875" bestFit="1" customWidth="1"/>
    <col min="15629" max="15629" width="25.85546875" bestFit="1" customWidth="1"/>
    <col min="15873" max="15873" width="27.28515625" bestFit="1" customWidth="1"/>
    <col min="15874" max="15874" width="6.5703125" bestFit="1" customWidth="1"/>
    <col min="15875" max="15876" width="28.140625" bestFit="1" customWidth="1"/>
    <col min="15877" max="15877" width="6.5703125" bestFit="1" customWidth="1"/>
    <col min="15878" max="15879" width="28.140625" bestFit="1" customWidth="1"/>
    <col min="15880" max="15880" width="38.42578125" bestFit="1" customWidth="1"/>
    <col min="15881" max="15881" width="33.7109375" bestFit="1" customWidth="1"/>
    <col min="15882" max="15882" width="32" bestFit="1" customWidth="1"/>
    <col min="15884" max="15884" width="16.85546875" bestFit="1" customWidth="1"/>
    <col min="15885" max="15885" width="25.85546875" bestFit="1" customWidth="1"/>
    <col min="16129" max="16129" width="27.28515625" bestFit="1" customWidth="1"/>
    <col min="16130" max="16130" width="6.5703125" bestFit="1" customWidth="1"/>
    <col min="16131" max="16132" width="28.140625" bestFit="1" customWidth="1"/>
    <col min="16133" max="16133" width="6.5703125" bestFit="1" customWidth="1"/>
    <col min="16134" max="16135" width="28.140625" bestFit="1" customWidth="1"/>
    <col min="16136" max="16136" width="38.42578125" bestFit="1" customWidth="1"/>
    <col min="16137" max="16137" width="33.7109375" bestFit="1" customWidth="1"/>
    <col min="16138" max="16138" width="32" bestFit="1" customWidth="1"/>
    <col min="16140" max="16140" width="16.85546875" bestFit="1" customWidth="1"/>
    <col min="16141" max="16141" width="25.85546875" bestFit="1" customWidth="1"/>
  </cols>
  <sheetData>
    <row r="1" spans="1:15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230</v>
      </c>
      <c r="N1" s="3"/>
      <c r="O1" s="41" t="s">
        <v>185</v>
      </c>
    </row>
    <row r="2" spans="1:15" x14ac:dyDescent="0.25">
      <c r="A2" s="5" t="s">
        <v>822</v>
      </c>
      <c r="B2" s="42">
        <f>J2/1000</f>
        <v>0</v>
      </c>
      <c r="C2" s="7" t="s">
        <v>834</v>
      </c>
      <c r="D2" s="7" t="s">
        <v>15</v>
      </c>
      <c r="E2" s="7" t="s">
        <v>826</v>
      </c>
      <c r="F2" s="17">
        <v>0</v>
      </c>
      <c r="G2" s="7" t="s">
        <v>14</v>
      </c>
      <c r="H2" s="7" t="s">
        <v>583</v>
      </c>
      <c r="I2" s="6">
        <v>64.06</v>
      </c>
      <c r="J2" s="6">
        <v>0</v>
      </c>
      <c r="K2" s="35">
        <v>257307.94</v>
      </c>
      <c r="L2" s="38"/>
      <c r="M2" s="37" t="str">
        <f>VLOOKUP($M1,B2:D517,2)</f>
        <v>TORRE 457</v>
      </c>
      <c r="N2" s="37" t="str">
        <f>VLOOKUP($M1,B2:D517,3)</f>
        <v>TORRE 458</v>
      </c>
      <c r="O2" s="37" t="str">
        <f>VLOOKUP($M1,$B2:$E517,4)</f>
        <v>CBA</v>
      </c>
    </row>
    <row r="3" spans="1:15" x14ac:dyDescent="0.25">
      <c r="A3" s="5" t="s">
        <v>822</v>
      </c>
      <c r="B3" s="42">
        <f t="shared" ref="B3:B66" si="0">J3/1000</f>
        <v>6.4060000000000006E-2</v>
      </c>
      <c r="C3" s="7" t="s">
        <v>15</v>
      </c>
      <c r="D3" s="7" t="s">
        <v>20</v>
      </c>
      <c r="E3" s="7" t="s">
        <v>826</v>
      </c>
      <c r="F3" s="17">
        <v>4.3999999999740608E-2</v>
      </c>
      <c r="G3" s="7" t="s">
        <v>583</v>
      </c>
      <c r="H3" s="7" t="s">
        <v>584</v>
      </c>
      <c r="I3" s="6">
        <v>169.12</v>
      </c>
      <c r="J3" s="6">
        <v>64.06</v>
      </c>
      <c r="K3" s="6">
        <v>257243.88</v>
      </c>
      <c r="L3" s="37"/>
      <c r="M3" s="11" t="s">
        <v>868</v>
      </c>
      <c r="N3" s="11" t="s">
        <v>858</v>
      </c>
    </row>
    <row r="4" spans="1:15" x14ac:dyDescent="0.25">
      <c r="A4" s="5" t="s">
        <v>822</v>
      </c>
      <c r="B4" s="42">
        <f t="shared" si="0"/>
        <v>0.23318</v>
      </c>
      <c r="C4" s="7" t="s">
        <v>20</v>
      </c>
      <c r="D4" s="7" t="s">
        <v>23</v>
      </c>
      <c r="E4" s="7" t="s">
        <v>826</v>
      </c>
      <c r="F4" s="17">
        <v>0.10708999999974061</v>
      </c>
      <c r="G4" s="7" t="s">
        <v>584</v>
      </c>
      <c r="H4" s="7" t="s">
        <v>585</v>
      </c>
      <c r="I4" s="6">
        <v>450.39</v>
      </c>
      <c r="J4" s="6">
        <v>233.18</v>
      </c>
      <c r="K4" s="6">
        <v>257074.76</v>
      </c>
      <c r="M4" s="37" t="s">
        <v>868</v>
      </c>
    </row>
    <row r="5" spans="1:15" x14ac:dyDescent="0.25">
      <c r="A5" s="5" t="s">
        <v>822</v>
      </c>
      <c r="B5" s="42">
        <f t="shared" si="0"/>
        <v>0.6835699999999999</v>
      </c>
      <c r="C5" s="7" t="s">
        <v>23</v>
      </c>
      <c r="D5" s="7" t="s">
        <v>25</v>
      </c>
      <c r="E5" s="7" t="s">
        <v>826</v>
      </c>
      <c r="F5" s="17">
        <v>0.19731999999974062</v>
      </c>
      <c r="G5" s="7" t="s">
        <v>585</v>
      </c>
      <c r="H5" s="7" t="s">
        <v>586</v>
      </c>
      <c r="I5" s="6">
        <v>530.92999999999995</v>
      </c>
      <c r="J5" s="6">
        <v>683.56999999999994</v>
      </c>
      <c r="K5" s="6">
        <v>256624.37</v>
      </c>
    </row>
    <row r="6" spans="1:15" x14ac:dyDescent="0.25">
      <c r="A6" s="5" t="s">
        <v>822</v>
      </c>
      <c r="B6" s="42">
        <f t="shared" si="0"/>
        <v>1.2144999999999999</v>
      </c>
      <c r="C6" s="7" t="s">
        <v>25</v>
      </c>
      <c r="D6" s="7" t="s">
        <v>27</v>
      </c>
      <c r="E6" s="7" t="s">
        <v>826</v>
      </c>
      <c r="F6" s="17">
        <v>0.3234399999997406</v>
      </c>
      <c r="G6" s="7" t="s">
        <v>586</v>
      </c>
      <c r="H6" s="7" t="s">
        <v>587</v>
      </c>
      <c r="I6" s="6">
        <v>630.15</v>
      </c>
      <c r="J6" s="6">
        <v>1214.5</v>
      </c>
      <c r="K6" s="6">
        <v>256093.44</v>
      </c>
    </row>
    <row r="7" spans="1:15" x14ac:dyDescent="0.25">
      <c r="A7" s="5" t="s">
        <v>822</v>
      </c>
      <c r="B7" s="42">
        <f t="shared" si="0"/>
        <v>1.8446500000000001</v>
      </c>
      <c r="C7" s="7" t="s">
        <v>27</v>
      </c>
      <c r="D7" s="7" t="s">
        <v>29</v>
      </c>
      <c r="E7" s="7" t="s">
        <v>826</v>
      </c>
      <c r="F7" s="17">
        <v>0.48239999999974059</v>
      </c>
      <c r="G7" s="7" t="s">
        <v>587</v>
      </c>
      <c r="H7" s="7" t="s">
        <v>588</v>
      </c>
      <c r="I7" s="6">
        <v>449.36</v>
      </c>
      <c r="J7" s="6">
        <v>1844.65</v>
      </c>
      <c r="K7" s="6">
        <v>255463.29</v>
      </c>
    </row>
    <row r="8" spans="1:15" x14ac:dyDescent="0.25">
      <c r="A8" s="5" t="s">
        <v>822</v>
      </c>
      <c r="B8" s="42">
        <f t="shared" si="0"/>
        <v>2.2940100000000001</v>
      </c>
      <c r="C8" s="7" t="s">
        <v>29</v>
      </c>
      <c r="D8" s="7" t="s">
        <v>31</v>
      </c>
      <c r="E8" s="7" t="s">
        <v>826</v>
      </c>
      <c r="F8" s="17">
        <v>0.93832999999974065</v>
      </c>
      <c r="G8" s="7" t="s">
        <v>588</v>
      </c>
      <c r="H8" s="7" t="s">
        <v>589</v>
      </c>
      <c r="I8" s="6">
        <v>502</v>
      </c>
      <c r="J8" s="6">
        <v>2294.0100000000002</v>
      </c>
      <c r="K8" s="6">
        <v>255013.93000000002</v>
      </c>
    </row>
    <row r="9" spans="1:15" x14ac:dyDescent="0.25">
      <c r="A9" s="5" t="s">
        <v>822</v>
      </c>
      <c r="B9" s="42">
        <f t="shared" si="0"/>
        <v>2.7960100000000003</v>
      </c>
      <c r="C9" s="7" t="s">
        <v>31</v>
      </c>
      <c r="D9" s="7" t="s">
        <v>33</v>
      </c>
      <c r="E9" s="7" t="s">
        <v>826</v>
      </c>
      <c r="F9" s="17">
        <v>1.5569399999997406</v>
      </c>
      <c r="G9" s="7" t="s">
        <v>589</v>
      </c>
      <c r="H9" s="7" t="s">
        <v>590</v>
      </c>
      <c r="I9" s="6">
        <v>541.47</v>
      </c>
      <c r="J9" s="6">
        <v>2796.01</v>
      </c>
      <c r="K9" s="6">
        <v>254511.93000000002</v>
      </c>
    </row>
    <row r="10" spans="1:15" x14ac:dyDescent="0.25">
      <c r="A10" s="5" t="s">
        <v>822</v>
      </c>
      <c r="B10" s="42">
        <f t="shared" si="0"/>
        <v>3.3374800000000007</v>
      </c>
      <c r="C10" s="7" t="s">
        <v>33</v>
      </c>
      <c r="D10" s="7" t="s">
        <v>35</v>
      </c>
      <c r="E10" s="7" t="s">
        <v>826</v>
      </c>
      <c r="F10" s="17">
        <v>2.2219899999997406</v>
      </c>
      <c r="G10" s="7" t="s">
        <v>590</v>
      </c>
      <c r="H10" s="7" t="s">
        <v>591</v>
      </c>
      <c r="I10" s="6">
        <v>472.35</v>
      </c>
      <c r="J10" s="6">
        <v>3337.4800000000005</v>
      </c>
      <c r="K10" s="6">
        <v>253970.46000000002</v>
      </c>
    </row>
    <row r="11" spans="1:15" x14ac:dyDescent="0.25">
      <c r="A11" s="5" t="s">
        <v>822</v>
      </c>
      <c r="B11" s="42">
        <f t="shared" si="0"/>
        <v>3.8098300000000003</v>
      </c>
      <c r="C11" s="7" t="s">
        <v>35</v>
      </c>
      <c r="D11" s="7" t="s">
        <v>37</v>
      </c>
      <c r="E11" s="7" t="s">
        <v>826</v>
      </c>
      <c r="F11" s="17">
        <v>2.8509599999997408</v>
      </c>
      <c r="G11" s="7" t="s">
        <v>591</v>
      </c>
      <c r="H11" s="7" t="s">
        <v>592</v>
      </c>
      <c r="I11" s="6">
        <v>519.29</v>
      </c>
      <c r="J11" s="6">
        <v>3809.8300000000004</v>
      </c>
      <c r="K11" s="6">
        <v>253498.11000000002</v>
      </c>
    </row>
    <row r="12" spans="1:15" x14ac:dyDescent="0.25">
      <c r="A12" s="5" t="s">
        <v>822</v>
      </c>
      <c r="B12" s="42">
        <f t="shared" si="0"/>
        <v>4.3291200000000005</v>
      </c>
      <c r="C12" s="7" t="s">
        <v>37</v>
      </c>
      <c r="D12" s="7" t="s">
        <v>39</v>
      </c>
      <c r="E12" s="7" t="s">
        <v>826</v>
      </c>
      <c r="F12" s="17">
        <v>3.2398499999997408</v>
      </c>
      <c r="G12" s="7" t="s">
        <v>592</v>
      </c>
      <c r="H12" s="7" t="s">
        <v>593</v>
      </c>
      <c r="I12" s="6">
        <v>528.61</v>
      </c>
      <c r="J12" s="6">
        <v>4329.1200000000008</v>
      </c>
      <c r="K12" s="6">
        <v>252978.82</v>
      </c>
    </row>
    <row r="13" spans="1:15" x14ac:dyDescent="0.25">
      <c r="A13" s="5" t="s">
        <v>822</v>
      </c>
      <c r="B13" s="42">
        <f t="shared" si="0"/>
        <v>4.8577300000000001</v>
      </c>
      <c r="C13" s="7" t="s">
        <v>39</v>
      </c>
      <c r="D13" s="7" t="s">
        <v>41</v>
      </c>
      <c r="E13" s="7" t="s">
        <v>826</v>
      </c>
      <c r="F13" s="17">
        <v>3.4647399999997406</v>
      </c>
      <c r="G13" s="7" t="s">
        <v>593</v>
      </c>
      <c r="H13" s="7" t="s">
        <v>594</v>
      </c>
      <c r="I13" s="6">
        <v>513.40000000000055</v>
      </c>
      <c r="J13" s="6">
        <v>4857.7300000000005</v>
      </c>
      <c r="K13" s="6">
        <v>252450.21000000002</v>
      </c>
    </row>
    <row r="14" spans="1:15" x14ac:dyDescent="0.25">
      <c r="A14" s="5" t="s">
        <v>822</v>
      </c>
      <c r="B14" s="42">
        <f t="shared" si="0"/>
        <v>5.3711300000000008</v>
      </c>
      <c r="C14" s="7" t="s">
        <v>41</v>
      </c>
      <c r="D14" s="7" t="s">
        <v>43</v>
      </c>
      <c r="E14" s="7" t="s">
        <v>826</v>
      </c>
      <c r="F14" s="17">
        <v>3.9964099999997407</v>
      </c>
      <c r="G14" s="7" t="s">
        <v>594</v>
      </c>
      <c r="H14" s="7" t="s">
        <v>595</v>
      </c>
      <c r="I14" s="6">
        <v>602.55999999999949</v>
      </c>
      <c r="J14" s="6">
        <v>5371.130000000001</v>
      </c>
      <c r="K14" s="6">
        <v>251936.81000000003</v>
      </c>
    </row>
    <row r="15" spans="1:15" x14ac:dyDescent="0.25">
      <c r="A15" s="5" t="s">
        <v>822</v>
      </c>
      <c r="B15" s="42">
        <f t="shared" si="0"/>
        <v>5.9736900000000004</v>
      </c>
      <c r="C15" s="7" t="s">
        <v>43</v>
      </c>
      <c r="D15" s="7" t="s">
        <v>45</v>
      </c>
      <c r="E15" s="7" t="s">
        <v>826</v>
      </c>
      <c r="F15" s="17">
        <v>4.546489999999741</v>
      </c>
      <c r="G15" s="7" t="s">
        <v>595</v>
      </c>
      <c r="H15" s="7" t="s">
        <v>596</v>
      </c>
      <c r="I15" s="6">
        <v>547.30999999999995</v>
      </c>
      <c r="J15" s="6">
        <v>5973.6900000000005</v>
      </c>
      <c r="K15" s="6">
        <v>251334.25000000003</v>
      </c>
    </row>
    <row r="16" spans="1:15" x14ac:dyDescent="0.25">
      <c r="A16" s="5" t="s">
        <v>822</v>
      </c>
      <c r="B16" s="42">
        <f t="shared" si="0"/>
        <v>6.5209999999999999</v>
      </c>
      <c r="C16" s="7" t="s">
        <v>45</v>
      </c>
      <c r="D16" s="7" t="s">
        <v>47</v>
      </c>
      <c r="E16" s="7" t="s">
        <v>826</v>
      </c>
      <c r="F16" s="17">
        <v>5.257029999999741</v>
      </c>
      <c r="G16" s="7" t="s">
        <v>596</v>
      </c>
      <c r="H16" s="7" t="s">
        <v>597</v>
      </c>
      <c r="I16" s="6">
        <v>541.84</v>
      </c>
      <c r="J16" s="6">
        <v>6521</v>
      </c>
      <c r="K16" s="6">
        <v>250786.94000000003</v>
      </c>
    </row>
    <row r="17" spans="1:11" x14ac:dyDescent="0.25">
      <c r="A17" s="5" t="s">
        <v>822</v>
      </c>
      <c r="B17" s="42">
        <f t="shared" si="0"/>
        <v>7.0628400000000005</v>
      </c>
      <c r="C17" s="7" t="s">
        <v>47</v>
      </c>
      <c r="D17" s="7" t="s">
        <v>49</v>
      </c>
      <c r="E17" s="7" t="s">
        <v>826</v>
      </c>
      <c r="F17" s="17">
        <v>5.6959299999997404</v>
      </c>
      <c r="G17" s="7" t="s">
        <v>597</v>
      </c>
      <c r="H17" s="7" t="s">
        <v>598</v>
      </c>
      <c r="I17" s="6">
        <v>479.17</v>
      </c>
      <c r="J17" s="6">
        <v>7062.84</v>
      </c>
      <c r="K17" s="6">
        <v>250245.10000000003</v>
      </c>
    </row>
    <row r="18" spans="1:11" x14ac:dyDescent="0.25">
      <c r="A18" s="5" t="s">
        <v>822</v>
      </c>
      <c r="B18" s="42">
        <f t="shared" si="0"/>
        <v>7.5420100000000003</v>
      </c>
      <c r="C18" s="7" t="s">
        <v>49</v>
      </c>
      <c r="D18" s="7" t="s">
        <v>51</v>
      </c>
      <c r="E18" s="7" t="s">
        <v>826</v>
      </c>
      <c r="F18" s="17">
        <v>6.11736999999974</v>
      </c>
      <c r="G18" s="7" t="s">
        <v>598</v>
      </c>
      <c r="H18" s="7" t="s">
        <v>599</v>
      </c>
      <c r="I18" s="6">
        <v>514.28</v>
      </c>
      <c r="J18" s="6">
        <v>7542.01</v>
      </c>
      <c r="K18" s="6">
        <v>249765.93000000002</v>
      </c>
    </row>
    <row r="19" spans="1:11" x14ac:dyDescent="0.25">
      <c r="A19" s="5" t="s">
        <v>822</v>
      </c>
      <c r="B19" s="42">
        <f t="shared" si="0"/>
        <v>8.0562900000000006</v>
      </c>
      <c r="C19" s="7" t="s">
        <v>51</v>
      </c>
      <c r="D19" s="7" t="s">
        <v>53</v>
      </c>
      <c r="E19" s="7" t="s">
        <v>826</v>
      </c>
      <c r="F19" s="17">
        <v>6.5486299999997399</v>
      </c>
      <c r="G19" s="7" t="s">
        <v>599</v>
      </c>
      <c r="H19" s="7" t="s">
        <v>600</v>
      </c>
      <c r="I19" s="6">
        <v>564.91999999999916</v>
      </c>
      <c r="J19" s="6">
        <v>8056.29</v>
      </c>
      <c r="K19" s="6">
        <v>249251.65000000002</v>
      </c>
    </row>
    <row r="20" spans="1:11" x14ac:dyDescent="0.25">
      <c r="A20" s="5" t="s">
        <v>822</v>
      </c>
      <c r="B20" s="42">
        <f t="shared" si="0"/>
        <v>8.6212099999999996</v>
      </c>
      <c r="C20" s="7" t="s">
        <v>53</v>
      </c>
      <c r="D20" s="7" t="s">
        <v>55</v>
      </c>
      <c r="E20" s="7" t="s">
        <v>826</v>
      </c>
      <c r="F20" s="17">
        <v>6.9539599999997401</v>
      </c>
      <c r="G20" s="7" t="s">
        <v>600</v>
      </c>
      <c r="H20" s="7" t="s">
        <v>601</v>
      </c>
      <c r="I20" s="6">
        <v>547.35</v>
      </c>
      <c r="J20" s="6">
        <v>8621.2099999999991</v>
      </c>
      <c r="K20" s="6">
        <v>248686.73</v>
      </c>
    </row>
    <row r="21" spans="1:11" x14ac:dyDescent="0.25">
      <c r="A21" s="5" t="s">
        <v>822</v>
      </c>
      <c r="B21" s="42">
        <f t="shared" si="0"/>
        <v>9.1685599999999994</v>
      </c>
      <c r="C21" s="7" t="s">
        <v>55</v>
      </c>
      <c r="D21" s="7" t="s">
        <v>57</v>
      </c>
      <c r="E21" s="7" t="s">
        <v>826</v>
      </c>
      <c r="F21" s="17">
        <v>7.30331999999974</v>
      </c>
      <c r="G21" s="7" t="s">
        <v>601</v>
      </c>
      <c r="H21" s="7" t="s">
        <v>602</v>
      </c>
      <c r="I21" s="6">
        <v>528.09</v>
      </c>
      <c r="J21" s="6">
        <v>9168.56</v>
      </c>
      <c r="K21" s="6">
        <v>248139.38</v>
      </c>
    </row>
    <row r="22" spans="1:11" x14ac:dyDescent="0.25">
      <c r="A22" s="5" t="s">
        <v>822</v>
      </c>
      <c r="B22" s="42">
        <f t="shared" si="0"/>
        <v>9.69665</v>
      </c>
      <c r="C22" s="7" t="s">
        <v>57</v>
      </c>
      <c r="D22" s="7" t="s">
        <v>59</v>
      </c>
      <c r="E22" s="7" t="s">
        <v>826</v>
      </c>
      <c r="F22" s="17">
        <v>7.6702099999997397</v>
      </c>
      <c r="G22" s="7" t="s">
        <v>602</v>
      </c>
      <c r="H22" s="7" t="s">
        <v>603</v>
      </c>
      <c r="I22" s="6">
        <v>481.22</v>
      </c>
      <c r="J22" s="6">
        <v>9696.65</v>
      </c>
      <c r="K22" s="6">
        <v>247611.29</v>
      </c>
    </row>
    <row r="23" spans="1:11" x14ac:dyDescent="0.25">
      <c r="A23" s="5" t="s">
        <v>822</v>
      </c>
      <c r="B23" s="42">
        <f t="shared" si="0"/>
        <v>10.177869999999999</v>
      </c>
      <c r="C23" s="7" t="s">
        <v>59</v>
      </c>
      <c r="D23" s="7" t="s">
        <v>61</v>
      </c>
      <c r="E23" s="7" t="s">
        <v>826</v>
      </c>
      <c r="F23" s="17">
        <v>8.2498199999997404</v>
      </c>
      <c r="G23" s="7" t="s">
        <v>603</v>
      </c>
      <c r="H23" s="7" t="s">
        <v>604</v>
      </c>
      <c r="I23" s="6">
        <v>515.36999999999898</v>
      </c>
      <c r="J23" s="6">
        <v>10177.869999999999</v>
      </c>
      <c r="K23" s="6">
        <v>247130.07</v>
      </c>
    </row>
    <row r="24" spans="1:11" x14ac:dyDescent="0.25">
      <c r="A24" s="5" t="s">
        <v>822</v>
      </c>
      <c r="B24" s="42">
        <f t="shared" si="0"/>
        <v>10.693239999999998</v>
      </c>
      <c r="C24" s="7" t="s">
        <v>61</v>
      </c>
      <c r="D24" s="7" t="s">
        <v>63</v>
      </c>
      <c r="E24" s="7" t="s">
        <v>826</v>
      </c>
      <c r="F24" s="17">
        <v>9.0031899999997407</v>
      </c>
      <c r="G24" s="7" t="s">
        <v>604</v>
      </c>
      <c r="H24" s="7" t="s">
        <v>605</v>
      </c>
      <c r="I24" s="6">
        <v>476.33</v>
      </c>
      <c r="J24" s="6">
        <v>10693.239999999998</v>
      </c>
      <c r="K24" s="6">
        <v>246614.7</v>
      </c>
    </row>
    <row r="25" spans="1:11" x14ac:dyDescent="0.25">
      <c r="A25" s="5" t="s">
        <v>822</v>
      </c>
      <c r="B25" s="42">
        <f t="shared" si="0"/>
        <v>11.169569999999998</v>
      </c>
      <c r="C25" s="7" t="s">
        <v>63</v>
      </c>
      <c r="D25" s="7" t="s">
        <v>65</v>
      </c>
      <c r="E25" s="7" t="s">
        <v>826</v>
      </c>
      <c r="F25" s="17">
        <v>9.6399099999997393</v>
      </c>
      <c r="G25" s="7" t="s">
        <v>605</v>
      </c>
      <c r="H25" s="7" t="s">
        <v>606</v>
      </c>
      <c r="I25" s="6">
        <v>548.9</v>
      </c>
      <c r="J25" s="6">
        <v>11169.569999999998</v>
      </c>
      <c r="K25" s="6">
        <v>246138.37000000002</v>
      </c>
    </row>
    <row r="26" spans="1:11" x14ac:dyDescent="0.25">
      <c r="A26" s="5" t="s">
        <v>822</v>
      </c>
      <c r="B26" s="42">
        <f t="shared" si="0"/>
        <v>11.718469999999998</v>
      </c>
      <c r="C26" s="7" t="s">
        <v>65</v>
      </c>
      <c r="D26" s="7" t="s">
        <v>67</v>
      </c>
      <c r="E26" s="7" t="s">
        <v>826</v>
      </c>
      <c r="F26" s="17">
        <v>9.9913299999997403</v>
      </c>
      <c r="G26" s="7" t="s">
        <v>606</v>
      </c>
      <c r="H26" s="7" t="s">
        <v>607</v>
      </c>
      <c r="I26" s="6">
        <v>447.66</v>
      </c>
      <c r="J26" s="6">
        <v>11718.469999999998</v>
      </c>
      <c r="K26" s="6">
        <v>245589.47000000003</v>
      </c>
    </row>
    <row r="27" spans="1:11" x14ac:dyDescent="0.25">
      <c r="A27" s="5" t="s">
        <v>822</v>
      </c>
      <c r="B27" s="42">
        <f t="shared" si="0"/>
        <v>12.166129999999997</v>
      </c>
      <c r="C27" s="7" t="s">
        <v>67</v>
      </c>
      <c r="D27" s="7" t="s">
        <v>69</v>
      </c>
      <c r="E27" s="7" t="s">
        <v>826</v>
      </c>
      <c r="F27" s="17">
        <v>10.53426999999974</v>
      </c>
      <c r="G27" s="7" t="s">
        <v>607</v>
      </c>
      <c r="H27" s="7" t="s">
        <v>608</v>
      </c>
      <c r="I27" s="6">
        <v>511.94000000000051</v>
      </c>
      <c r="J27" s="6">
        <v>12166.129999999997</v>
      </c>
      <c r="K27" s="6">
        <v>245141.81000000003</v>
      </c>
    </row>
    <row r="28" spans="1:11" x14ac:dyDescent="0.25">
      <c r="A28" s="5" t="s">
        <v>822</v>
      </c>
      <c r="B28" s="42">
        <f t="shared" si="0"/>
        <v>12.678069999999998</v>
      </c>
      <c r="C28" s="7" t="s">
        <v>69</v>
      </c>
      <c r="D28" s="7" t="s">
        <v>71</v>
      </c>
      <c r="E28" s="7" t="s">
        <v>826</v>
      </c>
      <c r="F28" s="17">
        <v>11.034219999999742</v>
      </c>
      <c r="G28" s="7" t="s">
        <v>608</v>
      </c>
      <c r="H28" s="7" t="s">
        <v>609</v>
      </c>
      <c r="I28" s="6">
        <v>559.53000000000065</v>
      </c>
      <c r="J28" s="6">
        <v>12678.069999999998</v>
      </c>
      <c r="K28" s="6">
        <v>244629.87000000002</v>
      </c>
    </row>
    <row r="29" spans="1:11" x14ac:dyDescent="0.25">
      <c r="A29" s="5" t="s">
        <v>822</v>
      </c>
      <c r="B29" s="42">
        <f t="shared" si="0"/>
        <v>13.237599999999999</v>
      </c>
      <c r="C29" s="7" t="s">
        <v>71</v>
      </c>
      <c r="D29" s="7" t="s">
        <v>73</v>
      </c>
      <c r="E29" s="7" t="s">
        <v>826</v>
      </c>
      <c r="F29" s="17">
        <v>11.562469999999742</v>
      </c>
      <c r="G29" s="7" t="s">
        <v>609</v>
      </c>
      <c r="H29" s="7" t="s">
        <v>610</v>
      </c>
      <c r="I29" s="6">
        <v>507.73</v>
      </c>
      <c r="J29" s="6">
        <v>13237.599999999999</v>
      </c>
      <c r="K29" s="6">
        <v>244070.34000000003</v>
      </c>
    </row>
    <row r="30" spans="1:11" x14ac:dyDescent="0.25">
      <c r="A30" s="5" t="s">
        <v>822</v>
      </c>
      <c r="B30" s="42">
        <f t="shared" si="0"/>
        <v>13.745329999999997</v>
      </c>
      <c r="C30" s="7" t="s">
        <v>73</v>
      </c>
      <c r="D30" s="7" t="s">
        <v>75</v>
      </c>
      <c r="E30" s="7" t="s">
        <v>826</v>
      </c>
      <c r="F30" s="17">
        <v>12.06696999999974</v>
      </c>
      <c r="G30" s="7" t="s">
        <v>610</v>
      </c>
      <c r="H30" s="7" t="s">
        <v>611</v>
      </c>
      <c r="I30" s="6">
        <v>624.49</v>
      </c>
      <c r="J30" s="6">
        <v>13745.329999999998</v>
      </c>
      <c r="K30" s="6">
        <v>243562.61000000002</v>
      </c>
    </row>
    <row r="31" spans="1:11" x14ac:dyDescent="0.25">
      <c r="A31" s="5" t="s">
        <v>822</v>
      </c>
      <c r="B31" s="42">
        <f t="shared" si="0"/>
        <v>14.369819999999997</v>
      </c>
      <c r="C31" s="7" t="s">
        <v>75</v>
      </c>
      <c r="D31" s="7" t="s">
        <v>77</v>
      </c>
      <c r="E31" s="7" t="s">
        <v>826</v>
      </c>
      <c r="F31" s="17">
        <v>12.633469999999742</v>
      </c>
      <c r="G31" s="7" t="s">
        <v>611</v>
      </c>
      <c r="H31" s="7" t="s">
        <v>612</v>
      </c>
      <c r="I31" s="6">
        <v>502.38999999999942</v>
      </c>
      <c r="J31" s="6">
        <v>14369.819999999998</v>
      </c>
      <c r="K31" s="6">
        <v>242938.12000000002</v>
      </c>
    </row>
    <row r="32" spans="1:11" x14ac:dyDescent="0.25">
      <c r="A32" s="5" t="s">
        <v>822</v>
      </c>
      <c r="B32" s="42">
        <f t="shared" si="0"/>
        <v>14.872209999999997</v>
      </c>
      <c r="C32" s="7" t="s">
        <v>77</v>
      </c>
      <c r="D32" s="7" t="s">
        <v>79</v>
      </c>
      <c r="E32" s="7" t="s">
        <v>826</v>
      </c>
      <c r="F32" s="17">
        <v>13.25704999999974</v>
      </c>
      <c r="G32" s="7" t="s">
        <v>612</v>
      </c>
      <c r="H32" s="7" t="s">
        <v>613</v>
      </c>
      <c r="I32" s="6">
        <v>518.67999999999995</v>
      </c>
      <c r="J32" s="6">
        <v>14872.209999999997</v>
      </c>
      <c r="K32" s="6">
        <v>242435.73000000004</v>
      </c>
    </row>
    <row r="33" spans="1:11" x14ac:dyDescent="0.25">
      <c r="A33" s="5" t="s">
        <v>822</v>
      </c>
      <c r="B33" s="42">
        <f t="shared" si="0"/>
        <v>15.390889999999997</v>
      </c>
      <c r="C33" s="7" t="s">
        <v>79</v>
      </c>
      <c r="D33" s="7" t="s">
        <v>81</v>
      </c>
      <c r="E33" s="7" t="s">
        <v>826</v>
      </c>
      <c r="F33" s="17">
        <v>13.843049999999741</v>
      </c>
      <c r="G33" s="7" t="s">
        <v>613</v>
      </c>
      <c r="H33" s="7" t="s">
        <v>614</v>
      </c>
      <c r="I33" s="6">
        <v>546.83000000000004</v>
      </c>
      <c r="J33" s="6">
        <v>15390.889999999998</v>
      </c>
      <c r="K33" s="6">
        <v>241917.05000000005</v>
      </c>
    </row>
    <row r="34" spans="1:11" x14ac:dyDescent="0.25">
      <c r="A34" s="5" t="s">
        <v>822</v>
      </c>
      <c r="B34" s="42">
        <f t="shared" si="0"/>
        <v>15.937719999999997</v>
      </c>
      <c r="C34" s="7" t="s">
        <v>81</v>
      </c>
      <c r="D34" s="7" t="s">
        <v>83</v>
      </c>
      <c r="E34" s="7" t="s">
        <v>826</v>
      </c>
      <c r="F34" s="17">
        <v>14.34469999999974</v>
      </c>
      <c r="G34" s="7" t="s">
        <v>614</v>
      </c>
      <c r="H34" s="7" t="s">
        <v>615</v>
      </c>
      <c r="I34" s="6">
        <v>463.8</v>
      </c>
      <c r="J34" s="6">
        <v>15937.719999999998</v>
      </c>
      <c r="K34" s="6">
        <v>241370.22000000006</v>
      </c>
    </row>
    <row r="35" spans="1:11" x14ac:dyDescent="0.25">
      <c r="A35" s="5" t="s">
        <v>822</v>
      </c>
      <c r="B35" s="42">
        <f t="shared" si="0"/>
        <v>16.401519999999998</v>
      </c>
      <c r="C35" s="7" t="s">
        <v>83</v>
      </c>
      <c r="D35" s="7" t="s">
        <v>85</v>
      </c>
      <c r="E35" s="7" t="s">
        <v>826</v>
      </c>
      <c r="F35" s="17">
        <v>14.692799999999741</v>
      </c>
      <c r="G35" s="7" t="s">
        <v>615</v>
      </c>
      <c r="H35" s="7" t="s">
        <v>616</v>
      </c>
      <c r="I35" s="6">
        <v>520.6</v>
      </c>
      <c r="J35" s="6">
        <v>16401.519999999997</v>
      </c>
      <c r="K35" s="6">
        <v>240906.42000000007</v>
      </c>
    </row>
    <row r="36" spans="1:11" x14ac:dyDescent="0.25">
      <c r="A36" s="5" t="s">
        <v>822</v>
      </c>
      <c r="B36" s="42">
        <f t="shared" si="0"/>
        <v>16.922119999999996</v>
      </c>
      <c r="C36" s="7" t="s">
        <v>85</v>
      </c>
      <c r="D36" s="7" t="s">
        <v>87</v>
      </c>
      <c r="E36" s="7" t="s">
        <v>826</v>
      </c>
      <c r="F36" s="17">
        <v>15.126879999999741</v>
      </c>
      <c r="G36" s="7" t="s">
        <v>616</v>
      </c>
      <c r="H36" s="7" t="s">
        <v>617</v>
      </c>
      <c r="I36" s="6">
        <v>470.98999999999796</v>
      </c>
      <c r="J36" s="6">
        <v>16922.119999999995</v>
      </c>
      <c r="K36" s="6">
        <v>240385.82000000007</v>
      </c>
    </row>
    <row r="37" spans="1:11" x14ac:dyDescent="0.25">
      <c r="A37" s="5" t="s">
        <v>822</v>
      </c>
      <c r="B37" s="42">
        <f t="shared" si="0"/>
        <v>17.393109999999993</v>
      </c>
      <c r="C37" s="7" t="s">
        <v>87</v>
      </c>
      <c r="D37" s="7" t="s">
        <v>89</v>
      </c>
      <c r="E37" s="7" t="s">
        <v>826</v>
      </c>
      <c r="F37" s="17">
        <v>15.458519999999741</v>
      </c>
      <c r="G37" s="7" t="s">
        <v>617</v>
      </c>
      <c r="H37" s="7" t="s">
        <v>618</v>
      </c>
      <c r="I37" s="6">
        <v>526.92000000000189</v>
      </c>
      <c r="J37" s="6">
        <v>17393.109999999993</v>
      </c>
      <c r="K37" s="6">
        <v>239914.83000000007</v>
      </c>
    </row>
    <row r="38" spans="1:11" x14ac:dyDescent="0.25">
      <c r="A38" s="5" t="s">
        <v>822</v>
      </c>
      <c r="B38" s="42">
        <f t="shared" si="0"/>
        <v>17.920029999999993</v>
      </c>
      <c r="C38" s="7" t="s">
        <v>89</v>
      </c>
      <c r="D38" s="7" t="s">
        <v>91</v>
      </c>
      <c r="E38" s="7" t="s">
        <v>826</v>
      </c>
      <c r="F38" s="17">
        <v>15.842099999999741</v>
      </c>
      <c r="G38" s="7" t="s">
        <v>618</v>
      </c>
      <c r="H38" s="7" t="s">
        <v>619</v>
      </c>
      <c r="I38" s="6">
        <v>550.0099999999984</v>
      </c>
      <c r="J38" s="6">
        <v>17920.029999999995</v>
      </c>
      <c r="K38" s="6">
        <v>239387.91000000006</v>
      </c>
    </row>
    <row r="39" spans="1:11" x14ac:dyDescent="0.25">
      <c r="A39" s="5" t="s">
        <v>822</v>
      </c>
      <c r="B39" s="42">
        <f t="shared" si="0"/>
        <v>18.470039999999994</v>
      </c>
      <c r="C39" s="7" t="s">
        <v>91</v>
      </c>
      <c r="D39" s="7" t="s">
        <v>93</v>
      </c>
      <c r="E39" s="7" t="s">
        <v>826</v>
      </c>
      <c r="F39" s="17">
        <v>16.137739999999738</v>
      </c>
      <c r="G39" s="7" t="s">
        <v>619</v>
      </c>
      <c r="H39" s="7" t="s">
        <v>620</v>
      </c>
      <c r="I39" s="6">
        <v>558.58000000000175</v>
      </c>
      <c r="J39" s="6">
        <v>18470.039999999994</v>
      </c>
      <c r="K39" s="6">
        <v>238837.90000000005</v>
      </c>
    </row>
    <row r="40" spans="1:11" x14ac:dyDescent="0.25">
      <c r="A40" s="5" t="s">
        <v>822</v>
      </c>
      <c r="B40" s="42">
        <f t="shared" si="0"/>
        <v>19.028619999999997</v>
      </c>
      <c r="C40" s="7" t="s">
        <v>93</v>
      </c>
      <c r="D40" s="7" t="s">
        <v>95</v>
      </c>
      <c r="E40" s="7" t="s">
        <v>826</v>
      </c>
      <c r="F40" s="17">
        <v>16.76982999999974</v>
      </c>
      <c r="G40" s="7" t="s">
        <v>620</v>
      </c>
      <c r="H40" s="7" t="s">
        <v>621</v>
      </c>
      <c r="I40" s="6">
        <v>541.73999999999796</v>
      </c>
      <c r="J40" s="6">
        <v>19028.619999999995</v>
      </c>
      <c r="K40" s="6">
        <v>238279.32000000007</v>
      </c>
    </row>
    <row r="41" spans="1:11" x14ac:dyDescent="0.25">
      <c r="A41" s="5" t="s">
        <v>822</v>
      </c>
      <c r="B41" s="42">
        <f t="shared" si="0"/>
        <v>19.570359999999994</v>
      </c>
      <c r="C41" s="7" t="s">
        <v>95</v>
      </c>
      <c r="D41" s="7" t="s">
        <v>97</v>
      </c>
      <c r="E41" s="7" t="s">
        <v>826</v>
      </c>
      <c r="F41" s="17">
        <v>17.157339999999738</v>
      </c>
      <c r="G41" s="7" t="s">
        <v>621</v>
      </c>
      <c r="H41" s="7" t="s">
        <v>622</v>
      </c>
      <c r="I41" s="6">
        <v>509.5</v>
      </c>
      <c r="J41" s="6">
        <v>19570.359999999993</v>
      </c>
      <c r="K41" s="6">
        <v>237737.58000000007</v>
      </c>
    </row>
    <row r="42" spans="1:11" x14ac:dyDescent="0.25">
      <c r="A42" s="5" t="s">
        <v>822</v>
      </c>
      <c r="B42" s="42">
        <f t="shared" si="0"/>
        <v>20.079859999999993</v>
      </c>
      <c r="C42" s="7" t="s">
        <v>97</v>
      </c>
      <c r="D42" s="7" t="s">
        <v>99</v>
      </c>
      <c r="E42" s="7" t="s">
        <v>826</v>
      </c>
      <c r="F42" s="17">
        <v>18.005389999999739</v>
      </c>
      <c r="G42" s="7" t="s">
        <v>622</v>
      </c>
      <c r="H42" s="7" t="s">
        <v>623</v>
      </c>
      <c r="I42" s="6">
        <v>534.41</v>
      </c>
      <c r="J42" s="6">
        <v>20079.859999999993</v>
      </c>
      <c r="K42" s="6">
        <v>237228.08000000007</v>
      </c>
    </row>
    <row r="43" spans="1:11" x14ac:dyDescent="0.25">
      <c r="A43" s="5" t="s">
        <v>822</v>
      </c>
      <c r="B43" s="42">
        <f t="shared" si="0"/>
        <v>20.614269999999994</v>
      </c>
      <c r="C43" s="7" t="s">
        <v>99</v>
      </c>
      <c r="D43" s="7" t="s">
        <v>101</v>
      </c>
      <c r="E43" s="7" t="s">
        <v>826</v>
      </c>
      <c r="F43" s="17">
        <v>18.516359999999739</v>
      </c>
      <c r="G43" s="7" t="s">
        <v>623</v>
      </c>
      <c r="H43" s="7" t="s">
        <v>624</v>
      </c>
      <c r="I43" s="6">
        <v>459.72</v>
      </c>
      <c r="J43" s="6">
        <v>20614.269999999993</v>
      </c>
      <c r="K43" s="6">
        <v>236693.67000000007</v>
      </c>
    </row>
    <row r="44" spans="1:11" x14ac:dyDescent="0.25">
      <c r="A44" s="5" t="s">
        <v>822</v>
      </c>
      <c r="B44" s="42">
        <f t="shared" si="0"/>
        <v>21.073989999999995</v>
      </c>
      <c r="C44" s="7" t="s">
        <v>101</v>
      </c>
      <c r="D44" s="7" t="s">
        <v>103</v>
      </c>
      <c r="E44" s="7" t="s">
        <v>826</v>
      </c>
      <c r="F44" s="17">
        <v>19.120239999999715</v>
      </c>
      <c r="G44" s="7" t="s">
        <v>624</v>
      </c>
      <c r="H44" s="7" t="s">
        <v>625</v>
      </c>
      <c r="I44" s="6">
        <v>491.84</v>
      </c>
      <c r="J44" s="6">
        <v>21073.989999999994</v>
      </c>
      <c r="K44" s="6">
        <v>236233.95000000007</v>
      </c>
    </row>
    <row r="45" spans="1:11" x14ac:dyDescent="0.25">
      <c r="A45" s="5" t="s">
        <v>822</v>
      </c>
      <c r="B45" s="42">
        <f t="shared" si="0"/>
        <v>21.565829999999995</v>
      </c>
      <c r="C45" s="7" t="s">
        <v>103</v>
      </c>
      <c r="D45" s="7" t="s">
        <v>105</v>
      </c>
      <c r="E45" s="7" t="s">
        <v>826</v>
      </c>
      <c r="F45" s="17">
        <v>19.518369999999717</v>
      </c>
      <c r="G45" s="7" t="s">
        <v>625</v>
      </c>
      <c r="H45" s="7" t="s">
        <v>626</v>
      </c>
      <c r="I45" s="6">
        <v>580.22000000000116</v>
      </c>
      <c r="J45" s="6">
        <v>21565.829999999994</v>
      </c>
      <c r="K45" s="6">
        <v>235742.11000000007</v>
      </c>
    </row>
    <row r="46" spans="1:11" x14ac:dyDescent="0.25">
      <c r="A46" s="5" t="s">
        <v>822</v>
      </c>
      <c r="B46" s="42">
        <f t="shared" si="0"/>
        <v>22.146049999999995</v>
      </c>
      <c r="C46" s="7" t="s">
        <v>105</v>
      </c>
      <c r="D46" s="7" t="s">
        <v>107</v>
      </c>
      <c r="E46" s="7" t="s">
        <v>826</v>
      </c>
      <c r="F46" s="17">
        <v>20.188949999999718</v>
      </c>
      <c r="G46" s="7" t="s">
        <v>626</v>
      </c>
      <c r="H46" s="7" t="s">
        <v>627</v>
      </c>
      <c r="I46" s="6">
        <v>567.55999999999767</v>
      </c>
      <c r="J46" s="6">
        <v>22146.049999999996</v>
      </c>
      <c r="K46" s="6">
        <v>235161.89000000007</v>
      </c>
    </row>
    <row r="47" spans="1:11" x14ac:dyDescent="0.25">
      <c r="A47" s="5" t="s">
        <v>822</v>
      </c>
      <c r="B47" s="42">
        <f t="shared" si="0"/>
        <v>22.713609999999992</v>
      </c>
      <c r="C47" s="7" t="s">
        <v>107</v>
      </c>
      <c r="D47" s="7" t="s">
        <v>109</v>
      </c>
      <c r="E47" s="7" t="s">
        <v>826</v>
      </c>
      <c r="F47" s="17">
        <v>20.717049999999716</v>
      </c>
      <c r="G47" s="7" t="s">
        <v>627</v>
      </c>
      <c r="H47" s="7" t="s">
        <v>628</v>
      </c>
      <c r="I47" s="6">
        <v>544.72000000000116</v>
      </c>
      <c r="J47" s="6">
        <v>22713.609999999993</v>
      </c>
      <c r="K47" s="6">
        <v>234594.33000000007</v>
      </c>
    </row>
    <row r="48" spans="1:11" x14ac:dyDescent="0.25">
      <c r="A48" s="5" t="s">
        <v>822</v>
      </c>
      <c r="B48" s="42">
        <f t="shared" si="0"/>
        <v>23.258329999999994</v>
      </c>
      <c r="C48" s="7" t="s">
        <v>109</v>
      </c>
      <c r="D48" s="7" t="s">
        <v>111</v>
      </c>
      <c r="E48" s="7" t="s">
        <v>826</v>
      </c>
      <c r="F48" s="17">
        <v>21.302659999999715</v>
      </c>
      <c r="G48" s="7" t="s">
        <v>628</v>
      </c>
      <c r="H48" s="7" t="s">
        <v>629</v>
      </c>
      <c r="I48" s="6">
        <v>515.86000000000058</v>
      </c>
      <c r="J48" s="6">
        <v>23258.329999999994</v>
      </c>
      <c r="K48" s="6">
        <v>234049.61000000007</v>
      </c>
    </row>
    <row r="49" spans="1:11" x14ac:dyDescent="0.25">
      <c r="A49" s="5" t="s">
        <v>822</v>
      </c>
      <c r="B49" s="42">
        <f t="shared" si="0"/>
        <v>23.774189999999994</v>
      </c>
      <c r="C49" s="7" t="s">
        <v>111</v>
      </c>
      <c r="D49" s="7" t="s">
        <v>113</v>
      </c>
      <c r="E49" s="7" t="s">
        <v>826</v>
      </c>
      <c r="F49" s="17">
        <v>21.638859999999699</v>
      </c>
      <c r="G49" s="7" t="s">
        <v>629</v>
      </c>
      <c r="H49" s="7" t="s">
        <v>630</v>
      </c>
      <c r="I49" s="6">
        <v>539.48999999999796</v>
      </c>
      <c r="J49" s="6">
        <v>23774.189999999995</v>
      </c>
      <c r="K49" s="6">
        <v>233533.75000000006</v>
      </c>
    </row>
    <row r="50" spans="1:11" x14ac:dyDescent="0.25">
      <c r="A50" s="5" t="s">
        <v>822</v>
      </c>
      <c r="B50" s="42">
        <f t="shared" si="0"/>
        <v>24.313679999999994</v>
      </c>
      <c r="C50" s="7" t="s">
        <v>113</v>
      </c>
      <c r="D50" s="7" t="s">
        <v>115</v>
      </c>
      <c r="E50" s="7" t="s">
        <v>826</v>
      </c>
      <c r="F50" s="17">
        <v>22.500179999999698</v>
      </c>
      <c r="G50" s="7" t="s">
        <v>630</v>
      </c>
      <c r="H50" s="7" t="s">
        <v>631</v>
      </c>
      <c r="I50" s="6">
        <v>515.13000000000102</v>
      </c>
      <c r="J50" s="6">
        <v>24313.679999999993</v>
      </c>
      <c r="K50" s="6">
        <v>232994.26000000007</v>
      </c>
    </row>
    <row r="51" spans="1:11" x14ac:dyDescent="0.25">
      <c r="A51" s="5" t="s">
        <v>822</v>
      </c>
      <c r="B51" s="42">
        <f t="shared" si="0"/>
        <v>24.828809999999994</v>
      </c>
      <c r="C51" s="7" t="s">
        <v>115</v>
      </c>
      <c r="D51" s="7" t="s">
        <v>18</v>
      </c>
      <c r="E51" s="7" t="s">
        <v>826</v>
      </c>
      <c r="F51" s="17">
        <v>23.115909999999698</v>
      </c>
      <c r="G51" s="7" t="s">
        <v>631</v>
      </c>
      <c r="H51" s="7" t="s">
        <v>632</v>
      </c>
      <c r="I51" s="6">
        <v>481.61999999999898</v>
      </c>
      <c r="J51" s="6">
        <v>24828.809999999994</v>
      </c>
      <c r="K51" s="6">
        <v>232479.13000000006</v>
      </c>
    </row>
    <row r="52" spans="1:11" x14ac:dyDescent="0.25">
      <c r="A52" s="5" t="s">
        <v>822</v>
      </c>
      <c r="B52" s="42">
        <f t="shared" si="0"/>
        <v>25.310429999999993</v>
      </c>
      <c r="C52" s="7" t="s">
        <v>18</v>
      </c>
      <c r="D52" s="7" t="s">
        <v>19</v>
      </c>
      <c r="E52" s="7" t="s">
        <v>826</v>
      </c>
      <c r="F52" s="17">
        <v>23.696699999999698</v>
      </c>
      <c r="G52" s="7" t="s">
        <v>632</v>
      </c>
      <c r="H52" s="7" t="s">
        <v>633</v>
      </c>
      <c r="I52" s="6">
        <v>473.88999999999942</v>
      </c>
      <c r="J52" s="6">
        <v>25310.429999999993</v>
      </c>
      <c r="K52" s="6">
        <v>231997.51000000007</v>
      </c>
    </row>
    <row r="53" spans="1:11" x14ac:dyDescent="0.25">
      <c r="A53" s="5" t="s">
        <v>822</v>
      </c>
      <c r="B53" s="42">
        <f t="shared" si="0"/>
        <v>25.784319999999994</v>
      </c>
      <c r="C53" s="7" t="s">
        <v>19</v>
      </c>
      <c r="D53" s="7" t="s">
        <v>119</v>
      </c>
      <c r="E53" s="7" t="s">
        <v>826</v>
      </c>
      <c r="F53" s="17">
        <v>24.075569999999697</v>
      </c>
      <c r="G53" s="7" t="s">
        <v>633</v>
      </c>
      <c r="H53" s="7" t="s">
        <v>634</v>
      </c>
      <c r="I53" s="6">
        <v>414.9</v>
      </c>
      <c r="J53" s="6">
        <v>25784.319999999992</v>
      </c>
      <c r="K53" s="6">
        <v>231523.62000000005</v>
      </c>
    </row>
    <row r="54" spans="1:11" x14ac:dyDescent="0.25">
      <c r="A54" s="5" t="s">
        <v>822</v>
      </c>
      <c r="B54" s="42">
        <f t="shared" si="0"/>
        <v>26.199219999999993</v>
      </c>
      <c r="C54" s="7" t="s">
        <v>119</v>
      </c>
      <c r="D54" s="7" t="s">
        <v>121</v>
      </c>
      <c r="E54" s="7" t="s">
        <v>826</v>
      </c>
      <c r="F54" s="17">
        <v>24.505219999999699</v>
      </c>
      <c r="G54" s="7" t="s">
        <v>634</v>
      </c>
      <c r="H54" s="7" t="s">
        <v>635</v>
      </c>
      <c r="I54" s="6">
        <v>621.12</v>
      </c>
      <c r="J54" s="6">
        <v>26199.219999999994</v>
      </c>
      <c r="K54" s="6">
        <v>231108.72000000006</v>
      </c>
    </row>
    <row r="55" spans="1:11" x14ac:dyDescent="0.25">
      <c r="A55" s="5" t="s">
        <v>822</v>
      </c>
      <c r="B55" s="42">
        <f t="shared" si="0"/>
        <v>26.820339999999995</v>
      </c>
      <c r="C55" s="7" t="s">
        <v>121</v>
      </c>
      <c r="D55" s="7" t="s">
        <v>123</v>
      </c>
      <c r="E55" s="7" t="s">
        <v>826</v>
      </c>
      <c r="F55" s="17">
        <v>24.963519999999697</v>
      </c>
      <c r="G55" s="7" t="s">
        <v>635</v>
      </c>
      <c r="H55" s="7" t="s">
        <v>636</v>
      </c>
      <c r="I55" s="6">
        <v>507.48</v>
      </c>
      <c r="J55" s="6">
        <v>26820.339999999993</v>
      </c>
      <c r="K55" s="6">
        <v>230487.60000000006</v>
      </c>
    </row>
    <row r="56" spans="1:11" x14ac:dyDescent="0.25">
      <c r="A56" s="5" t="s">
        <v>822</v>
      </c>
      <c r="B56" s="42">
        <f t="shared" si="0"/>
        <v>27.327819999999992</v>
      </c>
      <c r="C56" s="7" t="s">
        <v>123</v>
      </c>
      <c r="D56" s="7" t="s">
        <v>125</v>
      </c>
      <c r="E56" s="7" t="s">
        <v>826</v>
      </c>
      <c r="F56" s="17">
        <v>25.5522199999997</v>
      </c>
      <c r="G56" s="7" t="s">
        <v>636</v>
      </c>
      <c r="H56" s="7" t="s">
        <v>637</v>
      </c>
      <c r="I56" s="6">
        <v>485.13999999999942</v>
      </c>
      <c r="J56" s="6">
        <v>27327.819999999992</v>
      </c>
      <c r="K56" s="6">
        <v>229980.12000000005</v>
      </c>
    </row>
    <row r="57" spans="1:11" x14ac:dyDescent="0.25">
      <c r="A57" s="5" t="s">
        <v>822</v>
      </c>
      <c r="B57" s="42">
        <f t="shared" si="0"/>
        <v>27.812959999999993</v>
      </c>
      <c r="C57" s="7" t="s">
        <v>125</v>
      </c>
      <c r="D57" s="7" t="s">
        <v>127</v>
      </c>
      <c r="E57" s="7" t="s">
        <v>826</v>
      </c>
      <c r="F57" s="17">
        <v>26.050209999999701</v>
      </c>
      <c r="G57" s="7" t="s">
        <v>637</v>
      </c>
      <c r="H57" s="7" t="s">
        <v>638</v>
      </c>
      <c r="I57" s="6">
        <v>513.38000000000102</v>
      </c>
      <c r="J57" s="6">
        <v>27812.959999999992</v>
      </c>
      <c r="K57" s="6">
        <v>229494.98000000004</v>
      </c>
    </row>
    <row r="58" spans="1:11" x14ac:dyDescent="0.25">
      <c r="A58" s="5" t="s">
        <v>822</v>
      </c>
      <c r="B58" s="42">
        <f t="shared" si="0"/>
        <v>28.326339999999991</v>
      </c>
      <c r="C58" s="7" t="s">
        <v>127</v>
      </c>
      <c r="D58" s="7" t="s">
        <v>129</v>
      </c>
      <c r="E58" s="7" t="s">
        <v>826</v>
      </c>
      <c r="F58" s="17">
        <v>26.415999999999702</v>
      </c>
      <c r="G58" s="7" t="s">
        <v>638</v>
      </c>
      <c r="H58" s="7" t="s">
        <v>639</v>
      </c>
      <c r="I58" s="6">
        <v>579.47000000000116</v>
      </c>
      <c r="J58" s="6">
        <v>28326.339999999993</v>
      </c>
      <c r="K58" s="6">
        <v>228981.60000000003</v>
      </c>
    </row>
    <row r="59" spans="1:11" x14ac:dyDescent="0.25">
      <c r="A59" s="5" t="s">
        <v>822</v>
      </c>
      <c r="B59" s="42">
        <f t="shared" si="0"/>
        <v>28.905809999999995</v>
      </c>
      <c r="C59" s="7" t="s">
        <v>129</v>
      </c>
      <c r="D59" s="7" t="s">
        <v>131</v>
      </c>
      <c r="E59" s="7" t="s">
        <v>826</v>
      </c>
      <c r="F59" s="17">
        <v>26.995789999999701</v>
      </c>
      <c r="G59" s="7" t="s">
        <v>639</v>
      </c>
      <c r="H59" s="7" t="s">
        <v>640</v>
      </c>
      <c r="I59" s="6">
        <v>550.5099999999984</v>
      </c>
      <c r="J59" s="6">
        <v>28905.809999999994</v>
      </c>
      <c r="K59" s="6">
        <v>228402.13000000003</v>
      </c>
    </row>
    <row r="60" spans="1:11" x14ac:dyDescent="0.25">
      <c r="A60" s="5" t="s">
        <v>822</v>
      </c>
      <c r="B60" s="42">
        <f t="shared" si="0"/>
        <v>29.456319999999991</v>
      </c>
      <c r="C60" s="7" t="s">
        <v>131</v>
      </c>
      <c r="D60" s="7" t="s">
        <v>133</v>
      </c>
      <c r="E60" s="7" t="s">
        <v>826</v>
      </c>
      <c r="F60" s="17">
        <v>27.441079999999705</v>
      </c>
      <c r="G60" s="7" t="s">
        <v>640</v>
      </c>
      <c r="H60" s="7" t="s">
        <v>641</v>
      </c>
      <c r="I60" s="6">
        <v>516.57000000000005</v>
      </c>
      <c r="J60" s="6">
        <v>29456.319999999992</v>
      </c>
      <c r="K60" s="6">
        <v>227851.62000000002</v>
      </c>
    </row>
    <row r="61" spans="1:11" x14ac:dyDescent="0.25">
      <c r="A61" s="5" t="s">
        <v>822</v>
      </c>
      <c r="B61" s="42">
        <f t="shared" si="0"/>
        <v>29.972889999999992</v>
      </c>
      <c r="C61" s="7" t="s">
        <v>133</v>
      </c>
      <c r="D61" s="7" t="s">
        <v>135</v>
      </c>
      <c r="E61" s="7" t="s">
        <v>826</v>
      </c>
      <c r="F61" s="17">
        <v>28.078589999999704</v>
      </c>
      <c r="G61" s="7" t="s">
        <v>641</v>
      </c>
      <c r="H61" s="7" t="s">
        <v>642</v>
      </c>
      <c r="I61" s="6">
        <v>479.45000000000073</v>
      </c>
      <c r="J61" s="6">
        <v>29972.889999999992</v>
      </c>
      <c r="K61" s="6">
        <v>227335.05000000002</v>
      </c>
    </row>
    <row r="62" spans="1:11" x14ac:dyDescent="0.25">
      <c r="A62" s="5" t="s">
        <v>822</v>
      </c>
      <c r="B62" s="42">
        <f t="shared" si="0"/>
        <v>30.452339999999992</v>
      </c>
      <c r="C62" s="7" t="s">
        <v>135</v>
      </c>
      <c r="D62" s="7" t="s">
        <v>137</v>
      </c>
      <c r="E62" s="7" t="s">
        <v>826</v>
      </c>
      <c r="F62" s="17">
        <v>28.517399999999704</v>
      </c>
      <c r="G62" s="7" t="s">
        <v>642</v>
      </c>
      <c r="H62" s="7" t="s">
        <v>643</v>
      </c>
      <c r="I62" s="6">
        <v>434.95000000000073</v>
      </c>
      <c r="J62" s="6">
        <v>30452.339999999993</v>
      </c>
      <c r="K62" s="6">
        <v>226855.6</v>
      </c>
    </row>
    <row r="63" spans="1:11" x14ac:dyDescent="0.25">
      <c r="A63" s="5" t="s">
        <v>822</v>
      </c>
      <c r="B63" s="42">
        <f t="shared" si="0"/>
        <v>30.887289999999993</v>
      </c>
      <c r="C63" s="7" t="s">
        <v>137</v>
      </c>
      <c r="D63" s="7" t="s">
        <v>139</v>
      </c>
      <c r="E63" s="7" t="s">
        <v>826</v>
      </c>
      <c r="F63" s="17">
        <v>29.151509999999703</v>
      </c>
      <c r="G63" s="7" t="s">
        <v>643</v>
      </c>
      <c r="H63" s="7" t="s">
        <v>644</v>
      </c>
      <c r="I63" s="6">
        <v>472.65</v>
      </c>
      <c r="J63" s="6">
        <v>30887.289999999994</v>
      </c>
      <c r="K63" s="6">
        <v>226420.65</v>
      </c>
    </row>
    <row r="64" spans="1:11" x14ac:dyDescent="0.25">
      <c r="A64" s="5" t="s">
        <v>822</v>
      </c>
      <c r="B64" s="42">
        <f t="shared" si="0"/>
        <v>31.359939999999995</v>
      </c>
      <c r="C64" s="7" t="s">
        <v>139</v>
      </c>
      <c r="D64" s="7" t="s">
        <v>141</v>
      </c>
      <c r="E64" s="7" t="s">
        <v>826</v>
      </c>
      <c r="F64" s="17">
        <v>29.704409999999704</v>
      </c>
      <c r="G64" s="7" t="s">
        <v>644</v>
      </c>
      <c r="H64" s="7" t="s">
        <v>645</v>
      </c>
      <c r="I64" s="6">
        <v>524.45000000000073</v>
      </c>
      <c r="J64" s="6">
        <v>31359.939999999995</v>
      </c>
      <c r="K64" s="6">
        <v>225948</v>
      </c>
    </row>
    <row r="65" spans="1:11" x14ac:dyDescent="0.25">
      <c r="A65" s="5" t="s">
        <v>822</v>
      </c>
      <c r="B65" s="42">
        <f t="shared" si="0"/>
        <v>31.884389999999996</v>
      </c>
      <c r="C65" s="7" t="s">
        <v>141</v>
      </c>
      <c r="D65" s="7" t="s">
        <v>143</v>
      </c>
      <c r="E65" s="7" t="s">
        <v>826</v>
      </c>
      <c r="F65" s="17">
        <v>30.239209999999705</v>
      </c>
      <c r="G65" s="7" t="s">
        <v>645</v>
      </c>
      <c r="H65" s="7" t="s">
        <v>646</v>
      </c>
      <c r="I65" s="6">
        <v>473.99</v>
      </c>
      <c r="J65" s="6">
        <v>31884.389999999996</v>
      </c>
      <c r="K65" s="6">
        <v>225423.55</v>
      </c>
    </row>
    <row r="66" spans="1:11" x14ac:dyDescent="0.25">
      <c r="A66" s="5" t="s">
        <v>822</v>
      </c>
      <c r="B66" s="42">
        <f t="shared" si="0"/>
        <v>32.358379999999997</v>
      </c>
      <c r="C66" s="7" t="s">
        <v>143</v>
      </c>
      <c r="D66" s="7" t="s">
        <v>145</v>
      </c>
      <c r="E66" s="7" t="s">
        <v>826</v>
      </c>
      <c r="F66" s="17">
        <v>30.767209999999704</v>
      </c>
      <c r="G66" s="7" t="s">
        <v>646</v>
      </c>
      <c r="H66" s="7" t="s">
        <v>647</v>
      </c>
      <c r="I66" s="6">
        <v>425.75</v>
      </c>
      <c r="J66" s="6">
        <v>32358.379999999997</v>
      </c>
      <c r="K66" s="6">
        <v>224949.56</v>
      </c>
    </row>
    <row r="67" spans="1:11" x14ac:dyDescent="0.25">
      <c r="A67" s="5" t="s">
        <v>822</v>
      </c>
      <c r="B67" s="42">
        <f t="shared" ref="B67:B130" si="1">J67/1000</f>
        <v>32.784129999999998</v>
      </c>
      <c r="C67" s="7" t="s">
        <v>145</v>
      </c>
      <c r="D67" s="7" t="s">
        <v>147</v>
      </c>
      <c r="E67" s="7" t="s">
        <v>826</v>
      </c>
      <c r="F67" s="17">
        <v>31.167249999999704</v>
      </c>
      <c r="G67" s="7" t="s">
        <v>647</v>
      </c>
      <c r="H67" s="7" t="s">
        <v>648</v>
      </c>
      <c r="I67" s="6">
        <v>480.35</v>
      </c>
      <c r="J67" s="6">
        <v>32784.129999999997</v>
      </c>
      <c r="K67" s="6">
        <v>224523.81</v>
      </c>
    </row>
    <row r="68" spans="1:11" x14ac:dyDescent="0.25">
      <c r="A68" s="5" t="s">
        <v>822</v>
      </c>
      <c r="B68" s="42">
        <f t="shared" si="1"/>
        <v>33.264479999999999</v>
      </c>
      <c r="C68" s="7" t="s">
        <v>147</v>
      </c>
      <c r="D68" s="7" t="s">
        <v>149</v>
      </c>
      <c r="E68" s="7" t="s">
        <v>826</v>
      </c>
      <c r="F68" s="17">
        <v>31.529949999999705</v>
      </c>
      <c r="G68" s="7" t="s">
        <v>648</v>
      </c>
      <c r="H68" s="7" t="s">
        <v>649</v>
      </c>
      <c r="I68" s="6">
        <v>641.5</v>
      </c>
      <c r="J68" s="6">
        <v>33264.479999999996</v>
      </c>
      <c r="K68" s="6">
        <v>224043.46</v>
      </c>
    </row>
    <row r="69" spans="1:11" x14ac:dyDescent="0.25">
      <c r="A69" s="5" t="s">
        <v>822</v>
      </c>
      <c r="B69" s="42">
        <f t="shared" si="1"/>
        <v>33.905979999999992</v>
      </c>
      <c r="C69" s="7" t="s">
        <v>149</v>
      </c>
      <c r="D69" s="7" t="s">
        <v>151</v>
      </c>
      <c r="E69" s="7" t="s">
        <v>826</v>
      </c>
      <c r="F69" s="17">
        <v>31.957949999999705</v>
      </c>
      <c r="G69" s="7" t="s">
        <v>649</v>
      </c>
      <c r="H69" s="7" t="s">
        <v>650</v>
      </c>
      <c r="I69" s="6">
        <v>557.4600000000064</v>
      </c>
      <c r="J69" s="6">
        <v>33905.979999999996</v>
      </c>
      <c r="K69" s="6">
        <v>223401.96</v>
      </c>
    </row>
    <row r="70" spans="1:11" x14ac:dyDescent="0.25">
      <c r="A70" s="5" t="s">
        <v>822</v>
      </c>
      <c r="B70" s="42">
        <f t="shared" si="1"/>
        <v>34.463440000000006</v>
      </c>
      <c r="C70" s="7" t="s">
        <v>151</v>
      </c>
      <c r="D70" s="7" t="s">
        <v>153</v>
      </c>
      <c r="E70" s="7" t="s">
        <v>826</v>
      </c>
      <c r="F70" s="17">
        <v>32.498549999999703</v>
      </c>
      <c r="G70" s="7" t="s">
        <v>650</v>
      </c>
      <c r="H70" s="7" t="s">
        <v>651</v>
      </c>
      <c r="I70" s="6">
        <v>406.21999999999389</v>
      </c>
      <c r="J70" s="6">
        <v>34463.440000000002</v>
      </c>
      <c r="K70" s="6">
        <v>222844.5</v>
      </c>
    </row>
    <row r="71" spans="1:11" x14ac:dyDescent="0.25">
      <c r="A71" s="5" t="s">
        <v>822</v>
      </c>
      <c r="B71" s="42">
        <f t="shared" si="1"/>
        <v>34.869659999999996</v>
      </c>
      <c r="C71" s="7" t="s">
        <v>153</v>
      </c>
      <c r="D71" s="7" t="s">
        <v>155</v>
      </c>
      <c r="E71" s="7" t="s">
        <v>826</v>
      </c>
      <c r="F71" s="17">
        <v>33.061449999999709</v>
      </c>
      <c r="G71" s="7" t="s">
        <v>651</v>
      </c>
      <c r="H71" s="7" t="s">
        <v>652</v>
      </c>
      <c r="I71" s="6">
        <v>457.15000000000146</v>
      </c>
      <c r="J71" s="6">
        <v>34869.659999999996</v>
      </c>
      <c r="K71" s="6">
        <v>222438.28</v>
      </c>
    </row>
    <row r="72" spans="1:11" x14ac:dyDescent="0.25">
      <c r="A72" s="5" t="s">
        <v>822</v>
      </c>
      <c r="B72" s="42">
        <f t="shared" si="1"/>
        <v>35.326809999999995</v>
      </c>
      <c r="C72" s="7" t="s">
        <v>155</v>
      </c>
      <c r="D72" s="7" t="s">
        <v>157</v>
      </c>
      <c r="E72" s="7" t="s">
        <v>826</v>
      </c>
      <c r="F72" s="17">
        <v>33.451649999999702</v>
      </c>
      <c r="G72" s="7" t="s">
        <v>652</v>
      </c>
      <c r="H72" s="7" t="s">
        <v>653</v>
      </c>
      <c r="I72" s="6">
        <v>492.02000000000407</v>
      </c>
      <c r="J72" s="6">
        <v>35326.81</v>
      </c>
      <c r="K72" s="6">
        <v>221981.13</v>
      </c>
    </row>
    <row r="73" spans="1:11" x14ac:dyDescent="0.25">
      <c r="A73" s="5" t="s">
        <v>822</v>
      </c>
      <c r="B73" s="42">
        <f t="shared" si="1"/>
        <v>35.818829999999998</v>
      </c>
      <c r="C73" s="7" t="s">
        <v>157</v>
      </c>
      <c r="D73" s="7" t="s">
        <v>159</v>
      </c>
      <c r="E73" s="7" t="s">
        <v>826</v>
      </c>
      <c r="F73" s="17">
        <v>34.073789999999704</v>
      </c>
      <c r="G73" s="7" t="s">
        <v>653</v>
      </c>
      <c r="H73" s="7" t="s">
        <v>654</v>
      </c>
      <c r="I73" s="6">
        <v>536.16999999999825</v>
      </c>
      <c r="J73" s="6">
        <v>35818.83</v>
      </c>
      <c r="K73" s="6">
        <v>221489.11</v>
      </c>
    </row>
    <row r="74" spans="1:11" x14ac:dyDescent="0.25">
      <c r="A74" s="5" t="s">
        <v>822</v>
      </c>
      <c r="B74" s="42">
        <f t="shared" si="1"/>
        <v>36.354999999999997</v>
      </c>
      <c r="C74" s="7" t="s">
        <v>159</v>
      </c>
      <c r="D74" s="7" t="s">
        <v>161</v>
      </c>
      <c r="E74" s="7" t="s">
        <v>826</v>
      </c>
      <c r="F74" s="17">
        <v>34.556659999999702</v>
      </c>
      <c r="G74" s="7" t="s">
        <v>654</v>
      </c>
      <c r="H74" s="7" t="s">
        <v>655</v>
      </c>
      <c r="I74" s="6">
        <v>520.59999999999854</v>
      </c>
      <c r="J74" s="6">
        <v>36355</v>
      </c>
      <c r="K74" s="6">
        <v>220952.94</v>
      </c>
    </row>
    <row r="75" spans="1:11" x14ac:dyDescent="0.25">
      <c r="A75" s="5" t="s">
        <v>822</v>
      </c>
      <c r="B75" s="42">
        <f t="shared" si="1"/>
        <v>36.875599999999999</v>
      </c>
      <c r="C75" s="7" t="s">
        <v>161</v>
      </c>
      <c r="D75" s="7" t="s">
        <v>163</v>
      </c>
      <c r="E75" s="7" t="s">
        <v>826</v>
      </c>
      <c r="F75" s="17">
        <v>35.175189999999702</v>
      </c>
      <c r="G75" s="7" t="s">
        <v>655</v>
      </c>
      <c r="H75" s="7" t="s">
        <v>656</v>
      </c>
      <c r="I75" s="6">
        <v>629.17999999999995</v>
      </c>
      <c r="J75" s="6">
        <v>36875.599999999999</v>
      </c>
      <c r="K75" s="6">
        <v>220432.34</v>
      </c>
    </row>
    <row r="76" spans="1:11" x14ac:dyDescent="0.25">
      <c r="A76" s="5" t="s">
        <v>822</v>
      </c>
      <c r="B76" s="42">
        <f t="shared" si="1"/>
        <v>37.504779999999997</v>
      </c>
      <c r="C76" s="7" t="s">
        <v>163</v>
      </c>
      <c r="D76" s="7" t="s">
        <v>165</v>
      </c>
      <c r="E76" s="7" t="s">
        <v>826</v>
      </c>
      <c r="F76" s="17">
        <v>35.630589999999707</v>
      </c>
      <c r="G76" s="7" t="s">
        <v>656</v>
      </c>
      <c r="H76" s="7" t="s">
        <v>657</v>
      </c>
      <c r="I76" s="6">
        <v>554.37999999999738</v>
      </c>
      <c r="J76" s="6">
        <v>37504.78</v>
      </c>
      <c r="K76" s="6">
        <v>219803.16</v>
      </c>
    </row>
    <row r="77" spans="1:11" x14ac:dyDescent="0.25">
      <c r="A77" s="5" t="s">
        <v>822</v>
      </c>
      <c r="B77" s="42">
        <f t="shared" si="1"/>
        <v>38.059159999999999</v>
      </c>
      <c r="C77" s="7" t="s">
        <v>165</v>
      </c>
      <c r="D77" s="7" t="s">
        <v>167</v>
      </c>
      <c r="E77" s="7" t="s">
        <v>826</v>
      </c>
      <c r="F77" s="17">
        <v>36.113239999999706</v>
      </c>
      <c r="G77" s="7" t="s">
        <v>657</v>
      </c>
      <c r="H77" s="7" t="s">
        <v>658</v>
      </c>
      <c r="I77" s="6">
        <v>521.10000000000582</v>
      </c>
      <c r="J77" s="6">
        <v>38059.159999999996</v>
      </c>
      <c r="K77" s="6">
        <v>219248.78</v>
      </c>
    </row>
    <row r="78" spans="1:11" x14ac:dyDescent="0.25">
      <c r="A78" s="5" t="s">
        <v>822</v>
      </c>
      <c r="B78" s="42">
        <f t="shared" si="1"/>
        <v>38.580260000000003</v>
      </c>
      <c r="C78" s="7" t="s">
        <v>167</v>
      </c>
      <c r="D78" s="7" t="s">
        <v>169</v>
      </c>
      <c r="E78" s="7" t="s">
        <v>826</v>
      </c>
      <c r="F78" s="17">
        <v>36.583969999999709</v>
      </c>
      <c r="G78" s="7" t="s">
        <v>658</v>
      </c>
      <c r="H78" s="7" t="s">
        <v>659</v>
      </c>
      <c r="I78" s="6">
        <v>548.0199999999968</v>
      </c>
      <c r="J78" s="6">
        <v>38580.26</v>
      </c>
      <c r="K78" s="6">
        <v>218727.67999999999</v>
      </c>
    </row>
    <row r="79" spans="1:11" x14ac:dyDescent="0.25">
      <c r="A79" s="5" t="s">
        <v>822</v>
      </c>
      <c r="B79" s="42">
        <f t="shared" si="1"/>
        <v>39.128279999999997</v>
      </c>
      <c r="C79" s="7" t="s">
        <v>169</v>
      </c>
      <c r="D79" s="7" t="s">
        <v>171</v>
      </c>
      <c r="E79" s="7" t="s">
        <v>826</v>
      </c>
      <c r="F79" s="17">
        <v>37.077249999999708</v>
      </c>
      <c r="G79" s="7" t="s">
        <v>659</v>
      </c>
      <c r="H79" s="7" t="s">
        <v>660</v>
      </c>
      <c r="I79" s="6">
        <v>540.34999999999854</v>
      </c>
      <c r="J79" s="6">
        <v>39128.28</v>
      </c>
      <c r="K79" s="6">
        <v>218179.66</v>
      </c>
    </row>
    <row r="80" spans="1:11" x14ac:dyDescent="0.25">
      <c r="A80" s="5" t="s">
        <v>822</v>
      </c>
      <c r="B80" s="42">
        <f t="shared" si="1"/>
        <v>39.66863</v>
      </c>
      <c r="C80" s="7" t="s">
        <v>171</v>
      </c>
      <c r="D80" s="7" t="s">
        <v>173</v>
      </c>
      <c r="E80" s="7" t="s">
        <v>826</v>
      </c>
      <c r="F80" s="17">
        <v>37.567839999999705</v>
      </c>
      <c r="G80" s="7" t="s">
        <v>660</v>
      </c>
      <c r="H80" s="7" t="s">
        <v>661</v>
      </c>
      <c r="I80" s="6">
        <v>430.95999999999913</v>
      </c>
      <c r="J80" s="6">
        <v>39668.629999999997</v>
      </c>
      <c r="K80" s="6">
        <v>217639.31</v>
      </c>
    </row>
    <row r="81" spans="1:11" x14ac:dyDescent="0.25">
      <c r="A81" s="5" t="s">
        <v>822</v>
      </c>
      <c r="B81" s="42">
        <f t="shared" si="1"/>
        <v>40.099589999999999</v>
      </c>
      <c r="C81" s="7" t="s">
        <v>173</v>
      </c>
      <c r="D81" s="7" t="s">
        <v>175</v>
      </c>
      <c r="E81" s="7" t="s">
        <v>827</v>
      </c>
      <c r="F81" s="17">
        <v>37.915419999999706</v>
      </c>
      <c r="G81" s="7" t="s">
        <v>661</v>
      </c>
      <c r="H81" s="7" t="s">
        <v>662</v>
      </c>
      <c r="I81" s="6">
        <v>452.87000000000262</v>
      </c>
      <c r="J81" s="6">
        <v>40099.589999999997</v>
      </c>
      <c r="K81" s="6">
        <v>217208.35</v>
      </c>
    </row>
    <row r="82" spans="1:11" x14ac:dyDescent="0.25">
      <c r="A82" s="5" t="s">
        <v>822</v>
      </c>
      <c r="B82" s="42">
        <f t="shared" si="1"/>
        <v>40.552459999999996</v>
      </c>
      <c r="C82" s="7" t="s">
        <v>175</v>
      </c>
      <c r="D82" s="7" t="s">
        <v>177</v>
      </c>
      <c r="E82" s="7" t="s">
        <v>0</v>
      </c>
      <c r="F82" s="17">
        <v>38.414069999999711</v>
      </c>
      <c r="G82" s="7" t="s">
        <v>662</v>
      </c>
      <c r="H82" s="7" t="s">
        <v>663</v>
      </c>
      <c r="I82" s="6">
        <v>459.7699999999968</v>
      </c>
      <c r="J82" s="6">
        <v>40552.46</v>
      </c>
      <c r="K82" s="6">
        <v>216755.48</v>
      </c>
    </row>
    <row r="83" spans="1:11" x14ac:dyDescent="0.25">
      <c r="A83" s="5" t="s">
        <v>822</v>
      </c>
      <c r="B83" s="42">
        <f t="shared" si="1"/>
        <v>41.012229999999995</v>
      </c>
      <c r="C83" s="7" t="s">
        <v>177</v>
      </c>
      <c r="D83" s="7" t="s">
        <v>179</v>
      </c>
      <c r="E83" s="7" t="s">
        <v>0</v>
      </c>
      <c r="F83" s="17">
        <v>38.832729999999714</v>
      </c>
      <c r="G83" s="7" t="s">
        <v>663</v>
      </c>
      <c r="H83" s="7" t="s">
        <v>664</v>
      </c>
      <c r="I83" s="6">
        <v>533.13999999999942</v>
      </c>
      <c r="J83" s="6">
        <v>41012.229999999996</v>
      </c>
      <c r="K83" s="6">
        <v>216295.71000000002</v>
      </c>
    </row>
    <row r="84" spans="1:11" x14ac:dyDescent="0.25">
      <c r="A84" s="5" t="s">
        <v>822</v>
      </c>
      <c r="B84" s="42">
        <f t="shared" si="1"/>
        <v>41.545369999999998</v>
      </c>
      <c r="C84" s="7" t="s">
        <v>179</v>
      </c>
      <c r="D84" s="7" t="s">
        <v>181</v>
      </c>
      <c r="E84" s="7" t="s">
        <v>0</v>
      </c>
      <c r="F84" s="17">
        <v>39.378279999999712</v>
      </c>
      <c r="G84" s="7" t="s">
        <v>664</v>
      </c>
      <c r="H84" s="7" t="s">
        <v>665</v>
      </c>
      <c r="I84" s="6">
        <v>539.37000000000262</v>
      </c>
      <c r="J84" s="6">
        <v>41545.369999999995</v>
      </c>
      <c r="K84" s="6">
        <v>215762.57</v>
      </c>
    </row>
    <row r="85" spans="1:11" x14ac:dyDescent="0.25">
      <c r="A85" s="5" t="s">
        <v>822</v>
      </c>
      <c r="B85" s="42">
        <f t="shared" si="1"/>
        <v>42.084739999999996</v>
      </c>
      <c r="C85" s="7" t="s">
        <v>181</v>
      </c>
      <c r="D85" s="7" t="s">
        <v>183</v>
      </c>
      <c r="E85" s="7" t="s">
        <v>0</v>
      </c>
      <c r="F85" s="17">
        <v>39.891969999999716</v>
      </c>
      <c r="G85" s="7" t="s">
        <v>665</v>
      </c>
      <c r="H85" s="7" t="s">
        <v>666</v>
      </c>
      <c r="I85" s="6">
        <v>533.82000000000005</v>
      </c>
      <c r="J85" s="6">
        <v>42084.74</v>
      </c>
      <c r="K85" s="6">
        <v>215223.2</v>
      </c>
    </row>
    <row r="86" spans="1:11" x14ac:dyDescent="0.25">
      <c r="A86" s="5" t="s">
        <v>822</v>
      </c>
      <c r="B86" s="42">
        <f t="shared" si="1"/>
        <v>42.618559999999995</v>
      </c>
      <c r="C86" s="7" t="s">
        <v>183</v>
      </c>
      <c r="D86" s="7" t="s">
        <v>272</v>
      </c>
      <c r="E86" s="7" t="s">
        <v>0</v>
      </c>
      <c r="F86" s="17">
        <v>40.398499999999714</v>
      </c>
      <c r="G86" s="7" t="s">
        <v>666</v>
      </c>
      <c r="H86" s="7" t="s">
        <v>667</v>
      </c>
      <c r="I86" s="6">
        <v>630.42999999999995</v>
      </c>
      <c r="J86" s="6">
        <v>42618.559999999998</v>
      </c>
      <c r="K86" s="6">
        <v>214689.38</v>
      </c>
    </row>
    <row r="87" spans="1:11" x14ac:dyDescent="0.25">
      <c r="A87" s="5" t="s">
        <v>822</v>
      </c>
      <c r="B87" s="42">
        <f t="shared" si="1"/>
        <v>43.248989999999999</v>
      </c>
      <c r="C87" s="7" t="s">
        <v>272</v>
      </c>
      <c r="D87" s="7" t="s">
        <v>274</v>
      </c>
      <c r="E87" s="7" t="s">
        <v>0</v>
      </c>
      <c r="F87" s="17">
        <v>40.748329999999719</v>
      </c>
      <c r="G87" s="7" t="s">
        <v>667</v>
      </c>
      <c r="H87" s="7" t="s">
        <v>668</v>
      </c>
      <c r="I87" s="6">
        <v>532.66999999999996</v>
      </c>
      <c r="J87" s="6">
        <v>43248.99</v>
      </c>
      <c r="K87" s="6">
        <v>214058.95</v>
      </c>
    </row>
    <row r="88" spans="1:11" x14ac:dyDescent="0.25">
      <c r="A88" s="5" t="s">
        <v>822</v>
      </c>
      <c r="B88" s="42">
        <f t="shared" si="1"/>
        <v>43.781659999999995</v>
      </c>
      <c r="C88" s="7" t="s">
        <v>274</v>
      </c>
      <c r="D88" s="7" t="s">
        <v>276</v>
      </c>
      <c r="E88" s="7" t="s">
        <v>0</v>
      </c>
      <c r="F88" s="17">
        <v>41.151939999999719</v>
      </c>
      <c r="G88" s="7" t="s">
        <v>668</v>
      </c>
      <c r="H88" s="7" t="s">
        <v>669</v>
      </c>
      <c r="I88" s="6">
        <v>532.19000000000233</v>
      </c>
      <c r="J88" s="6">
        <v>43781.659999999996</v>
      </c>
      <c r="K88" s="6">
        <v>213526.28</v>
      </c>
    </row>
    <row r="89" spans="1:11" x14ac:dyDescent="0.25">
      <c r="A89" s="5" t="s">
        <v>822</v>
      </c>
      <c r="B89" s="42">
        <f t="shared" si="1"/>
        <v>44.313849999999995</v>
      </c>
      <c r="C89" s="7" t="s">
        <v>276</v>
      </c>
      <c r="D89" s="7" t="s">
        <v>278</v>
      </c>
      <c r="E89" s="7" t="s">
        <v>0</v>
      </c>
      <c r="F89" s="17">
        <v>41.603579999999717</v>
      </c>
      <c r="G89" s="7" t="s">
        <v>669</v>
      </c>
      <c r="H89" s="7" t="s">
        <v>670</v>
      </c>
      <c r="I89" s="6">
        <v>541.20000000000005</v>
      </c>
      <c r="J89" s="6">
        <v>44313.85</v>
      </c>
      <c r="K89" s="6">
        <v>212994.09</v>
      </c>
    </row>
    <row r="90" spans="1:11" x14ac:dyDescent="0.25">
      <c r="A90" s="5" t="s">
        <v>822</v>
      </c>
      <c r="B90" s="42">
        <f t="shared" si="1"/>
        <v>44.855049999999999</v>
      </c>
      <c r="C90" s="7" t="s">
        <v>278</v>
      </c>
      <c r="D90" s="7" t="s">
        <v>280</v>
      </c>
      <c r="E90" s="7" t="s">
        <v>0</v>
      </c>
      <c r="F90" s="17">
        <v>42.209569999999715</v>
      </c>
      <c r="G90" s="7" t="s">
        <v>670</v>
      </c>
      <c r="H90" s="7" t="s">
        <v>671</v>
      </c>
      <c r="I90" s="6">
        <v>553.75</v>
      </c>
      <c r="J90" s="6">
        <v>44855.049999999996</v>
      </c>
      <c r="K90" s="6">
        <v>212452.88999999998</v>
      </c>
    </row>
    <row r="91" spans="1:11" x14ac:dyDescent="0.25">
      <c r="A91" s="5" t="s">
        <v>822</v>
      </c>
      <c r="B91" s="42">
        <f t="shared" si="1"/>
        <v>45.408799999999992</v>
      </c>
      <c r="C91" s="7" t="s">
        <v>280</v>
      </c>
      <c r="D91" s="7" t="s">
        <v>282</v>
      </c>
      <c r="E91" s="7" t="s">
        <v>0</v>
      </c>
      <c r="F91" s="17">
        <v>42.673389999999713</v>
      </c>
      <c r="G91" s="7" t="s">
        <v>671</v>
      </c>
      <c r="H91" s="7" t="s">
        <v>672</v>
      </c>
      <c r="I91" s="6">
        <v>522.92999999999995</v>
      </c>
      <c r="J91" s="6">
        <v>45408.799999999996</v>
      </c>
      <c r="K91" s="6">
        <v>211899.13999999998</v>
      </c>
    </row>
    <row r="92" spans="1:11" x14ac:dyDescent="0.25">
      <c r="A92" s="5" t="s">
        <v>822</v>
      </c>
      <c r="B92" s="42">
        <f t="shared" si="1"/>
        <v>45.931729999999995</v>
      </c>
      <c r="C92" s="7" t="s">
        <v>282</v>
      </c>
      <c r="D92" s="7" t="s">
        <v>284</v>
      </c>
      <c r="E92" s="7" t="s">
        <v>0</v>
      </c>
      <c r="F92" s="17">
        <v>43.082659999999713</v>
      </c>
      <c r="G92" s="7" t="s">
        <v>672</v>
      </c>
      <c r="H92" s="7" t="s">
        <v>673</v>
      </c>
      <c r="I92" s="6">
        <v>470.87000000000262</v>
      </c>
      <c r="J92" s="6">
        <v>45931.729999999996</v>
      </c>
      <c r="K92" s="6">
        <v>211376.21</v>
      </c>
    </row>
    <row r="93" spans="1:11" x14ac:dyDescent="0.25">
      <c r="A93" s="5" t="s">
        <v>822</v>
      </c>
      <c r="B93" s="42">
        <f t="shared" si="1"/>
        <v>46.4026</v>
      </c>
      <c r="C93" s="7" t="s">
        <v>284</v>
      </c>
      <c r="D93" s="7" t="s">
        <v>286</v>
      </c>
      <c r="E93" s="7" t="s">
        <v>0</v>
      </c>
      <c r="F93" s="17">
        <v>43.593869999999711</v>
      </c>
      <c r="G93" s="7" t="s">
        <v>673</v>
      </c>
      <c r="H93" s="7" t="s">
        <v>674</v>
      </c>
      <c r="I93" s="6">
        <v>517.25</v>
      </c>
      <c r="J93" s="6">
        <v>46402.6</v>
      </c>
      <c r="K93" s="6">
        <v>210905.34</v>
      </c>
    </row>
    <row r="94" spans="1:11" x14ac:dyDescent="0.25">
      <c r="A94" s="5" t="s">
        <v>822</v>
      </c>
      <c r="B94" s="42">
        <f t="shared" si="1"/>
        <v>46.919849999999997</v>
      </c>
      <c r="C94" s="7" t="s">
        <v>286</v>
      </c>
      <c r="D94" s="7" t="s">
        <v>288</v>
      </c>
      <c r="E94" s="7" t="s">
        <v>0</v>
      </c>
      <c r="F94" s="17">
        <v>44.204959999999708</v>
      </c>
      <c r="G94" s="7" t="s">
        <v>674</v>
      </c>
      <c r="H94" s="7" t="s">
        <v>675</v>
      </c>
      <c r="I94" s="6">
        <v>542.77999999999884</v>
      </c>
      <c r="J94" s="6">
        <v>46919.85</v>
      </c>
      <c r="K94" s="6">
        <v>210388.09</v>
      </c>
    </row>
    <row r="95" spans="1:11" x14ac:dyDescent="0.25">
      <c r="A95" s="5" t="s">
        <v>822</v>
      </c>
      <c r="B95" s="42">
        <f t="shared" si="1"/>
        <v>47.462629999999997</v>
      </c>
      <c r="C95" s="7" t="s">
        <v>288</v>
      </c>
      <c r="D95" s="7" t="s">
        <v>290</v>
      </c>
      <c r="E95" s="7" t="s">
        <v>0</v>
      </c>
      <c r="F95" s="17">
        <v>44.632109999999713</v>
      </c>
      <c r="G95" s="7" t="s">
        <v>675</v>
      </c>
      <c r="H95" s="7" t="s">
        <v>676</v>
      </c>
      <c r="I95" s="6">
        <v>528.32000000000005</v>
      </c>
      <c r="J95" s="6">
        <v>47462.63</v>
      </c>
      <c r="K95" s="6">
        <v>209845.31</v>
      </c>
    </row>
    <row r="96" spans="1:11" x14ac:dyDescent="0.25">
      <c r="A96" s="5" t="s">
        <v>822</v>
      </c>
      <c r="B96" s="42">
        <f t="shared" si="1"/>
        <v>47.990949999999998</v>
      </c>
      <c r="C96" s="7" t="s">
        <v>290</v>
      </c>
      <c r="D96" s="7" t="s">
        <v>292</v>
      </c>
      <c r="E96" s="7" t="s">
        <v>0</v>
      </c>
      <c r="F96" s="17">
        <v>45.010399999999713</v>
      </c>
      <c r="G96" s="7" t="s">
        <v>676</v>
      </c>
      <c r="H96" s="7" t="s">
        <v>677</v>
      </c>
      <c r="I96" s="6">
        <v>550.42999999999995</v>
      </c>
      <c r="J96" s="6">
        <v>47990.95</v>
      </c>
      <c r="K96" s="6">
        <v>209316.99</v>
      </c>
    </row>
    <row r="97" spans="1:11" x14ac:dyDescent="0.25">
      <c r="A97" s="5" t="s">
        <v>822</v>
      </c>
      <c r="B97" s="42">
        <f t="shared" si="1"/>
        <v>48.541379999999997</v>
      </c>
      <c r="C97" s="7" t="s">
        <v>292</v>
      </c>
      <c r="D97" s="7" t="s">
        <v>294</v>
      </c>
      <c r="E97" s="7" t="s">
        <v>0</v>
      </c>
      <c r="F97" s="17">
        <v>45.454299999999712</v>
      </c>
      <c r="G97" s="7" t="s">
        <v>677</v>
      </c>
      <c r="H97" s="7" t="s">
        <v>678</v>
      </c>
      <c r="I97" s="6">
        <v>420.18</v>
      </c>
      <c r="J97" s="6">
        <v>48541.38</v>
      </c>
      <c r="K97" s="6">
        <v>208766.56</v>
      </c>
    </row>
    <row r="98" spans="1:11" x14ac:dyDescent="0.25">
      <c r="A98" s="5" t="s">
        <v>822</v>
      </c>
      <c r="B98" s="42">
        <f t="shared" si="1"/>
        <v>48.961559999999999</v>
      </c>
      <c r="C98" s="7" t="s">
        <v>294</v>
      </c>
      <c r="D98" s="7" t="s">
        <v>296</v>
      </c>
      <c r="E98" s="7" t="s">
        <v>0</v>
      </c>
      <c r="F98" s="17">
        <v>45.885279999999717</v>
      </c>
      <c r="G98" s="7" t="s">
        <v>678</v>
      </c>
      <c r="H98" s="7" t="s">
        <v>679</v>
      </c>
      <c r="I98" s="6">
        <v>564.16999999999825</v>
      </c>
      <c r="J98" s="6">
        <v>48961.56</v>
      </c>
      <c r="K98" s="6">
        <v>208346.38</v>
      </c>
    </row>
    <row r="99" spans="1:11" x14ac:dyDescent="0.25">
      <c r="A99" s="5" t="s">
        <v>822</v>
      </c>
      <c r="B99" s="42">
        <f t="shared" si="1"/>
        <v>49.525729999999996</v>
      </c>
      <c r="C99" s="7" t="s">
        <v>296</v>
      </c>
      <c r="D99" s="7" t="s">
        <v>298</v>
      </c>
      <c r="E99" s="7" t="s">
        <v>0</v>
      </c>
      <c r="F99" s="17">
        <v>46.304269999999711</v>
      </c>
      <c r="G99" s="7" t="s">
        <v>679</v>
      </c>
      <c r="H99" s="7" t="s">
        <v>680</v>
      </c>
      <c r="I99" s="6">
        <v>482.34000000000401</v>
      </c>
      <c r="J99" s="6">
        <v>49525.729999999996</v>
      </c>
      <c r="K99" s="6">
        <v>207782.21000000002</v>
      </c>
    </row>
    <row r="100" spans="1:11" x14ac:dyDescent="0.25">
      <c r="A100" s="5" t="s">
        <v>822</v>
      </c>
      <c r="B100" s="42">
        <f t="shared" si="1"/>
        <v>50.008069999999996</v>
      </c>
      <c r="C100" s="7" t="s">
        <v>298</v>
      </c>
      <c r="D100" s="7" t="s">
        <v>300</v>
      </c>
      <c r="E100" s="7" t="s">
        <v>0</v>
      </c>
      <c r="F100" s="17">
        <v>46.743369999999715</v>
      </c>
      <c r="G100" s="7" t="s">
        <v>680</v>
      </c>
      <c r="H100" s="7" t="s">
        <v>681</v>
      </c>
      <c r="I100" s="6">
        <v>475.66</v>
      </c>
      <c r="J100" s="6">
        <v>50008.07</v>
      </c>
      <c r="K100" s="6">
        <v>207299.87000000002</v>
      </c>
    </row>
    <row r="101" spans="1:11" x14ac:dyDescent="0.25">
      <c r="A101" s="5" t="s">
        <v>822</v>
      </c>
      <c r="B101" s="42">
        <f t="shared" si="1"/>
        <v>50.483730000000001</v>
      </c>
      <c r="C101" s="7" t="s">
        <v>300</v>
      </c>
      <c r="D101" s="7" t="s">
        <v>302</v>
      </c>
      <c r="E101" s="7" t="s">
        <v>0</v>
      </c>
      <c r="F101" s="17">
        <v>47.207319999999712</v>
      </c>
      <c r="G101" s="7" t="s">
        <v>681</v>
      </c>
      <c r="H101" s="7" t="s">
        <v>682</v>
      </c>
      <c r="I101" s="6">
        <v>524.95000000000005</v>
      </c>
      <c r="J101" s="6">
        <v>50483.73</v>
      </c>
      <c r="K101" s="6">
        <v>206824.21000000002</v>
      </c>
    </row>
    <row r="102" spans="1:11" x14ac:dyDescent="0.25">
      <c r="A102" s="5" t="s">
        <v>822</v>
      </c>
      <c r="B102" s="42">
        <f t="shared" si="1"/>
        <v>51.008679999999998</v>
      </c>
      <c r="C102" s="7" t="s">
        <v>302</v>
      </c>
      <c r="D102" s="7" t="s">
        <v>304</v>
      </c>
      <c r="E102" s="7" t="s">
        <v>0</v>
      </c>
      <c r="F102" s="17">
        <v>47.823439999999714</v>
      </c>
      <c r="G102" s="7" t="s">
        <v>682</v>
      </c>
      <c r="H102" s="7" t="s">
        <v>683</v>
      </c>
      <c r="I102" s="6">
        <v>474.49000000000524</v>
      </c>
      <c r="J102" s="6">
        <v>51008.68</v>
      </c>
      <c r="K102" s="6">
        <v>206299.26</v>
      </c>
    </row>
    <row r="103" spans="1:11" x14ac:dyDescent="0.25">
      <c r="A103" s="5" t="s">
        <v>822</v>
      </c>
      <c r="B103" s="42">
        <f t="shared" si="1"/>
        <v>51.483170000000008</v>
      </c>
      <c r="C103" s="7" t="s">
        <v>304</v>
      </c>
      <c r="D103" s="7" t="s">
        <v>306</v>
      </c>
      <c r="E103" s="7" t="s">
        <v>0</v>
      </c>
      <c r="F103" s="17">
        <v>48.35440999999971</v>
      </c>
      <c r="G103" s="7" t="s">
        <v>683</v>
      </c>
      <c r="H103" s="7" t="s">
        <v>684</v>
      </c>
      <c r="I103" s="6">
        <v>460.05999999999767</v>
      </c>
      <c r="J103" s="6">
        <v>51483.170000000006</v>
      </c>
      <c r="K103" s="6">
        <v>205824.77000000002</v>
      </c>
    </row>
    <row r="104" spans="1:11" x14ac:dyDescent="0.25">
      <c r="A104" s="5" t="s">
        <v>822</v>
      </c>
      <c r="B104" s="42">
        <f t="shared" si="1"/>
        <v>51.94323</v>
      </c>
      <c r="C104" s="7" t="s">
        <v>306</v>
      </c>
      <c r="D104" s="7" t="s">
        <v>308</v>
      </c>
      <c r="E104" s="7" t="s">
        <v>0</v>
      </c>
      <c r="F104" s="17">
        <v>48.843069999999713</v>
      </c>
      <c r="G104" s="7" t="s">
        <v>684</v>
      </c>
      <c r="H104" s="7" t="s">
        <v>685</v>
      </c>
      <c r="I104" s="6">
        <v>552.09</v>
      </c>
      <c r="J104" s="6">
        <v>51943.23</v>
      </c>
      <c r="K104" s="6">
        <v>205364.71000000002</v>
      </c>
    </row>
    <row r="105" spans="1:11" x14ac:dyDescent="0.25">
      <c r="A105" s="5" t="s">
        <v>822</v>
      </c>
      <c r="B105" s="42">
        <f t="shared" si="1"/>
        <v>52.49532</v>
      </c>
      <c r="C105" s="7" t="s">
        <v>308</v>
      </c>
      <c r="D105" s="7" t="s">
        <v>310</v>
      </c>
      <c r="E105" s="7" t="s">
        <v>0</v>
      </c>
      <c r="F105" s="17">
        <v>49.204299999999719</v>
      </c>
      <c r="G105" s="7" t="s">
        <v>685</v>
      </c>
      <c r="H105" s="7" t="s">
        <v>686</v>
      </c>
      <c r="I105" s="6">
        <v>621.84</v>
      </c>
      <c r="J105" s="6">
        <v>52495.32</v>
      </c>
      <c r="K105" s="6">
        <v>204812.62000000002</v>
      </c>
    </row>
    <row r="106" spans="1:11" x14ac:dyDescent="0.25">
      <c r="A106" s="5" t="s">
        <v>822</v>
      </c>
      <c r="B106" s="42">
        <f t="shared" si="1"/>
        <v>53.117159999999998</v>
      </c>
      <c r="C106" s="7" t="s">
        <v>310</v>
      </c>
      <c r="D106" s="7" t="s">
        <v>312</v>
      </c>
      <c r="E106" s="7" t="s">
        <v>0</v>
      </c>
      <c r="F106" s="17">
        <v>49.715419999999725</v>
      </c>
      <c r="G106" s="7" t="s">
        <v>686</v>
      </c>
      <c r="H106" s="7" t="s">
        <v>687</v>
      </c>
      <c r="I106" s="6">
        <v>561.94999999999709</v>
      </c>
      <c r="J106" s="6">
        <v>53117.159999999996</v>
      </c>
      <c r="K106" s="6">
        <v>204190.78000000003</v>
      </c>
    </row>
    <row r="107" spans="1:11" x14ac:dyDescent="0.25">
      <c r="A107" s="5" t="s">
        <v>822</v>
      </c>
      <c r="B107" s="42">
        <f t="shared" si="1"/>
        <v>53.679109999999994</v>
      </c>
      <c r="C107" s="7" t="s">
        <v>312</v>
      </c>
      <c r="D107" s="7" t="s">
        <v>314</v>
      </c>
      <c r="E107" s="7" t="s">
        <v>0</v>
      </c>
      <c r="F107" s="17">
        <v>50.299659999999719</v>
      </c>
      <c r="G107" s="7" t="s">
        <v>687</v>
      </c>
      <c r="H107" s="7" t="s">
        <v>688</v>
      </c>
      <c r="I107" s="6">
        <v>560.11000000000058</v>
      </c>
      <c r="J107" s="6">
        <v>53679.109999999993</v>
      </c>
      <c r="K107" s="6">
        <v>203628.83000000002</v>
      </c>
    </row>
    <row r="108" spans="1:11" x14ac:dyDescent="0.25">
      <c r="A108" s="5" t="s">
        <v>822</v>
      </c>
      <c r="B108" s="42">
        <f t="shared" si="1"/>
        <v>54.239219999999996</v>
      </c>
      <c r="C108" s="7" t="s">
        <v>314</v>
      </c>
      <c r="D108" s="7" t="s">
        <v>316</v>
      </c>
      <c r="E108" s="7" t="s">
        <v>0</v>
      </c>
      <c r="F108" s="17">
        <v>50.747449999999724</v>
      </c>
      <c r="G108" s="7" t="s">
        <v>688</v>
      </c>
      <c r="H108" s="7" t="s">
        <v>689</v>
      </c>
      <c r="I108" s="6">
        <v>468.70000000000437</v>
      </c>
      <c r="J108" s="6">
        <v>54239.219999999994</v>
      </c>
      <c r="K108" s="6">
        <v>203068.72000000003</v>
      </c>
    </row>
    <row r="109" spans="1:11" x14ac:dyDescent="0.25">
      <c r="A109" s="5" t="s">
        <v>822</v>
      </c>
      <c r="B109" s="42">
        <f t="shared" si="1"/>
        <v>54.707920000000001</v>
      </c>
      <c r="C109" s="7" t="s">
        <v>316</v>
      </c>
      <c r="D109" s="7" t="s">
        <v>318</v>
      </c>
      <c r="E109" s="7" t="s">
        <v>0</v>
      </c>
      <c r="F109" s="17">
        <v>51.254239999999719</v>
      </c>
      <c r="G109" s="7" t="s">
        <v>689</v>
      </c>
      <c r="H109" s="7" t="s">
        <v>690</v>
      </c>
      <c r="I109" s="6">
        <v>466.33000000000175</v>
      </c>
      <c r="J109" s="6">
        <v>54707.92</v>
      </c>
      <c r="K109" s="6">
        <v>202600.02000000002</v>
      </c>
    </row>
    <row r="110" spans="1:11" x14ac:dyDescent="0.25">
      <c r="A110" s="5" t="s">
        <v>822</v>
      </c>
      <c r="B110" s="42">
        <f t="shared" si="1"/>
        <v>55.174250000000001</v>
      </c>
      <c r="C110" s="7" t="s">
        <v>318</v>
      </c>
      <c r="D110" s="7" t="s">
        <v>320</v>
      </c>
      <c r="E110" s="7" t="s">
        <v>0</v>
      </c>
      <c r="F110" s="17">
        <v>51.794139999999722</v>
      </c>
      <c r="G110" s="7" t="s">
        <v>690</v>
      </c>
      <c r="H110" s="7" t="s">
        <v>691</v>
      </c>
      <c r="I110" s="6">
        <v>466.63999999999942</v>
      </c>
      <c r="J110" s="6">
        <v>55174.25</v>
      </c>
      <c r="K110" s="6">
        <v>202133.69</v>
      </c>
    </row>
    <row r="111" spans="1:11" x14ac:dyDescent="0.25">
      <c r="A111" s="5" t="s">
        <v>822</v>
      </c>
      <c r="B111" s="42">
        <f t="shared" si="1"/>
        <v>55.640889999999999</v>
      </c>
      <c r="C111" s="7" t="s">
        <v>320</v>
      </c>
      <c r="D111" s="7" t="s">
        <v>322</v>
      </c>
      <c r="E111" s="7" t="s">
        <v>0</v>
      </c>
      <c r="F111" s="17">
        <v>52.34344999999972</v>
      </c>
      <c r="G111" s="7" t="s">
        <v>691</v>
      </c>
      <c r="H111" s="7" t="s">
        <v>692</v>
      </c>
      <c r="I111" s="6">
        <v>534.61</v>
      </c>
      <c r="J111" s="6">
        <v>55640.89</v>
      </c>
      <c r="K111" s="6">
        <v>201667.05</v>
      </c>
    </row>
    <row r="112" spans="1:11" x14ac:dyDescent="0.25">
      <c r="A112" s="5" t="s">
        <v>822</v>
      </c>
      <c r="B112" s="42">
        <f t="shared" si="1"/>
        <v>56.1755</v>
      </c>
      <c r="C112" s="7" t="s">
        <v>322</v>
      </c>
      <c r="D112" s="7" t="s">
        <v>324</v>
      </c>
      <c r="E112" s="7" t="s">
        <v>0</v>
      </c>
      <c r="F112" s="17">
        <v>52.832449999999717</v>
      </c>
      <c r="G112" s="7" t="s">
        <v>692</v>
      </c>
      <c r="H112" s="7" t="s">
        <v>693</v>
      </c>
      <c r="I112" s="6">
        <v>421.85</v>
      </c>
      <c r="J112" s="6">
        <v>56175.5</v>
      </c>
      <c r="K112" s="6">
        <v>201132.44</v>
      </c>
    </row>
    <row r="113" spans="1:11" x14ac:dyDescent="0.25">
      <c r="A113" s="5" t="s">
        <v>822</v>
      </c>
      <c r="B113" s="42">
        <f t="shared" si="1"/>
        <v>56.597349999999999</v>
      </c>
      <c r="C113" s="7" t="s">
        <v>324</v>
      </c>
      <c r="D113" s="7" t="s">
        <v>326</v>
      </c>
      <c r="E113" s="7" t="s">
        <v>0</v>
      </c>
      <c r="F113" s="17">
        <v>53.37684999999972</v>
      </c>
      <c r="G113" s="7" t="s">
        <v>693</v>
      </c>
      <c r="H113" s="7" t="s">
        <v>694</v>
      </c>
      <c r="I113" s="6">
        <v>482.22000000000116</v>
      </c>
      <c r="J113" s="6">
        <v>56597.35</v>
      </c>
      <c r="K113" s="6">
        <v>200710.59</v>
      </c>
    </row>
    <row r="114" spans="1:11" x14ac:dyDescent="0.25">
      <c r="A114" s="5" t="s">
        <v>822</v>
      </c>
      <c r="B114" s="42">
        <f t="shared" si="1"/>
        <v>57.079569999999997</v>
      </c>
      <c r="C114" s="7" t="s">
        <v>326</v>
      </c>
      <c r="D114" s="7" t="s">
        <v>328</v>
      </c>
      <c r="E114" s="7" t="s">
        <v>0</v>
      </c>
      <c r="F114" s="17">
        <v>53.748449999999721</v>
      </c>
      <c r="G114" s="7" t="s">
        <v>694</v>
      </c>
      <c r="H114" s="7" t="s">
        <v>695</v>
      </c>
      <c r="I114" s="6">
        <v>550.57000000000005</v>
      </c>
      <c r="J114" s="6">
        <v>57079.57</v>
      </c>
      <c r="K114" s="6">
        <v>200228.37</v>
      </c>
    </row>
    <row r="115" spans="1:11" x14ac:dyDescent="0.25">
      <c r="A115" s="5" t="s">
        <v>822</v>
      </c>
      <c r="B115" s="42">
        <f t="shared" si="1"/>
        <v>57.630139999999997</v>
      </c>
      <c r="C115" s="7" t="s">
        <v>328</v>
      </c>
      <c r="D115" s="7" t="s">
        <v>330</v>
      </c>
      <c r="E115" s="7" t="s">
        <v>0</v>
      </c>
      <c r="F115" s="17">
        <v>54.211479999999746</v>
      </c>
      <c r="G115" s="7" t="s">
        <v>695</v>
      </c>
      <c r="H115" s="7" t="s">
        <v>696</v>
      </c>
      <c r="I115" s="6">
        <v>536.91999999999825</v>
      </c>
      <c r="J115" s="6">
        <v>57630.14</v>
      </c>
      <c r="K115" s="6">
        <v>199677.8</v>
      </c>
    </row>
    <row r="116" spans="1:11" x14ac:dyDescent="0.25">
      <c r="A116" s="5" t="s">
        <v>822</v>
      </c>
      <c r="B116" s="42">
        <f t="shared" si="1"/>
        <v>58.167059999999999</v>
      </c>
      <c r="C116" s="7" t="s">
        <v>330</v>
      </c>
      <c r="D116" s="7" t="s">
        <v>332</v>
      </c>
      <c r="E116" s="7" t="s">
        <v>0</v>
      </c>
      <c r="F116" s="17">
        <v>54.679209999999749</v>
      </c>
      <c r="G116" s="7" t="s">
        <v>696</v>
      </c>
      <c r="H116" s="7" t="s">
        <v>188</v>
      </c>
      <c r="I116" s="6">
        <v>524.15999999999622</v>
      </c>
      <c r="J116" s="6">
        <v>58167.06</v>
      </c>
      <c r="K116" s="6">
        <v>199140.88</v>
      </c>
    </row>
    <row r="117" spans="1:11" x14ac:dyDescent="0.25">
      <c r="A117" s="5" t="s">
        <v>822</v>
      </c>
      <c r="B117" s="42">
        <f t="shared" si="1"/>
        <v>58.691219999999994</v>
      </c>
      <c r="C117" s="7" t="s">
        <v>332</v>
      </c>
      <c r="D117" s="7" t="s">
        <v>334</v>
      </c>
      <c r="E117" s="7" t="s">
        <v>0</v>
      </c>
      <c r="F117" s="17">
        <v>55.175479999999752</v>
      </c>
      <c r="G117" s="7" t="s">
        <v>188</v>
      </c>
      <c r="H117" s="7" t="s">
        <v>189</v>
      </c>
      <c r="I117" s="6">
        <v>535.22000000000116</v>
      </c>
      <c r="J117" s="6">
        <v>58691.219999999994</v>
      </c>
      <c r="K117" s="6">
        <v>198616.72</v>
      </c>
    </row>
    <row r="118" spans="1:11" x14ac:dyDescent="0.25">
      <c r="A118" s="5" t="s">
        <v>822</v>
      </c>
      <c r="B118" s="42">
        <f t="shared" si="1"/>
        <v>59.226439999999997</v>
      </c>
      <c r="C118" s="7" t="s">
        <v>334</v>
      </c>
      <c r="D118" s="7" t="s">
        <v>336</v>
      </c>
      <c r="E118" s="7" t="s">
        <v>0</v>
      </c>
      <c r="F118" s="17">
        <v>55.729659999999747</v>
      </c>
      <c r="G118" s="7" t="s">
        <v>189</v>
      </c>
      <c r="H118" s="7" t="s">
        <v>190</v>
      </c>
      <c r="I118" s="6">
        <v>556.65000000000146</v>
      </c>
      <c r="J118" s="6">
        <v>59226.439999999995</v>
      </c>
      <c r="K118" s="6">
        <v>198081.5</v>
      </c>
    </row>
    <row r="119" spans="1:11" x14ac:dyDescent="0.25">
      <c r="A119" s="5" t="s">
        <v>822</v>
      </c>
      <c r="B119" s="42">
        <f t="shared" si="1"/>
        <v>59.783089999999994</v>
      </c>
      <c r="C119" s="7" t="s">
        <v>336</v>
      </c>
      <c r="D119" s="7" t="s">
        <v>338</v>
      </c>
      <c r="E119" s="7" t="s">
        <v>0</v>
      </c>
      <c r="F119" s="17">
        <v>56.313799999999745</v>
      </c>
      <c r="G119" s="7" t="s">
        <v>190</v>
      </c>
      <c r="H119" s="7" t="s">
        <v>191</v>
      </c>
      <c r="I119" s="6">
        <v>543.61</v>
      </c>
      <c r="J119" s="6">
        <v>59783.09</v>
      </c>
      <c r="K119" s="6">
        <v>197524.85</v>
      </c>
    </row>
    <row r="120" spans="1:11" x14ac:dyDescent="0.25">
      <c r="A120" s="5" t="s">
        <v>822</v>
      </c>
      <c r="B120" s="42">
        <f t="shared" si="1"/>
        <v>60.326699999999995</v>
      </c>
      <c r="C120" s="7" t="s">
        <v>338</v>
      </c>
      <c r="D120" s="7" t="s">
        <v>340</v>
      </c>
      <c r="E120" s="7" t="s">
        <v>0</v>
      </c>
      <c r="F120" s="17">
        <v>56.722929999999742</v>
      </c>
      <c r="G120" s="7" t="s">
        <v>191</v>
      </c>
      <c r="H120" s="7" t="s">
        <v>192</v>
      </c>
      <c r="I120" s="6">
        <v>456.95000000000437</v>
      </c>
      <c r="J120" s="6">
        <v>60326.7</v>
      </c>
      <c r="K120" s="6">
        <v>196981.24000000002</v>
      </c>
    </row>
    <row r="121" spans="1:11" x14ac:dyDescent="0.25">
      <c r="A121" s="5" t="s">
        <v>822</v>
      </c>
      <c r="B121" s="42">
        <f t="shared" si="1"/>
        <v>60.783650000000002</v>
      </c>
      <c r="C121" s="7" t="s">
        <v>340</v>
      </c>
      <c r="D121" s="7" t="s">
        <v>342</v>
      </c>
      <c r="E121" s="7" t="s">
        <v>0</v>
      </c>
      <c r="F121" s="17">
        <v>57.137599999999743</v>
      </c>
      <c r="G121" s="7" t="s">
        <v>192</v>
      </c>
      <c r="H121" s="7" t="s">
        <v>193</v>
      </c>
      <c r="I121" s="6">
        <v>499.94</v>
      </c>
      <c r="J121" s="6">
        <v>60783.65</v>
      </c>
      <c r="K121" s="6">
        <v>196524.29</v>
      </c>
    </row>
    <row r="122" spans="1:11" x14ac:dyDescent="0.25">
      <c r="A122" s="5" t="s">
        <v>822</v>
      </c>
      <c r="B122" s="42">
        <f t="shared" si="1"/>
        <v>61.283590000000004</v>
      </c>
      <c r="C122" s="7" t="s">
        <v>342</v>
      </c>
      <c r="D122" s="7" t="s">
        <v>344</v>
      </c>
      <c r="E122" s="7" t="s">
        <v>0</v>
      </c>
      <c r="F122" s="17">
        <v>57.592119999999738</v>
      </c>
      <c r="G122" s="7" t="s">
        <v>193</v>
      </c>
      <c r="H122" s="7" t="s">
        <v>194</v>
      </c>
      <c r="I122" s="6">
        <v>525.11</v>
      </c>
      <c r="J122" s="6">
        <v>61283.590000000004</v>
      </c>
      <c r="K122" s="6">
        <v>196024.35</v>
      </c>
    </row>
    <row r="123" spans="1:11" x14ac:dyDescent="0.25">
      <c r="A123" s="5" t="s">
        <v>822</v>
      </c>
      <c r="B123" s="42">
        <f t="shared" si="1"/>
        <v>61.808700000000002</v>
      </c>
      <c r="C123" s="7" t="s">
        <v>344</v>
      </c>
      <c r="D123" s="7" t="s">
        <v>346</v>
      </c>
      <c r="E123" s="7" t="s">
        <v>0</v>
      </c>
      <c r="F123" s="17">
        <v>58.187949999999745</v>
      </c>
      <c r="G123" s="7" t="s">
        <v>194</v>
      </c>
      <c r="H123" s="7" t="s">
        <v>195</v>
      </c>
      <c r="I123" s="6">
        <v>475.09</v>
      </c>
      <c r="J123" s="6">
        <v>61808.700000000004</v>
      </c>
      <c r="K123" s="6">
        <v>195499.24000000002</v>
      </c>
    </row>
    <row r="124" spans="1:11" x14ac:dyDescent="0.25">
      <c r="A124" s="5" t="s">
        <v>822</v>
      </c>
      <c r="B124" s="42">
        <f t="shared" si="1"/>
        <v>62.283790000000003</v>
      </c>
      <c r="C124" s="7" t="s">
        <v>346</v>
      </c>
      <c r="D124" s="7" t="s">
        <v>348</v>
      </c>
      <c r="E124" s="7" t="s">
        <v>0</v>
      </c>
      <c r="F124" s="17">
        <v>58.58043999999974</v>
      </c>
      <c r="G124" s="7" t="s">
        <v>195</v>
      </c>
      <c r="H124" s="7" t="s">
        <v>196</v>
      </c>
      <c r="I124" s="6">
        <v>369.54000000000087</v>
      </c>
      <c r="J124" s="6">
        <v>62283.79</v>
      </c>
      <c r="K124" s="6">
        <v>195024.15000000002</v>
      </c>
    </row>
    <row r="125" spans="1:11" x14ac:dyDescent="0.25">
      <c r="A125" s="5" t="s">
        <v>822</v>
      </c>
      <c r="B125" s="42">
        <f t="shared" si="1"/>
        <v>62.653330000000004</v>
      </c>
      <c r="C125" s="7" t="s">
        <v>348</v>
      </c>
      <c r="D125" s="7" t="s">
        <v>350</v>
      </c>
      <c r="E125" s="7" t="s">
        <v>0</v>
      </c>
      <c r="F125" s="17">
        <v>59.104229999999738</v>
      </c>
      <c r="G125" s="7" t="s">
        <v>196</v>
      </c>
      <c r="H125" s="7" t="s">
        <v>197</v>
      </c>
      <c r="I125" s="6">
        <v>373.37</v>
      </c>
      <c r="J125" s="6">
        <v>62653.33</v>
      </c>
      <c r="K125" s="6">
        <v>194654.61000000002</v>
      </c>
    </row>
    <row r="126" spans="1:11" x14ac:dyDescent="0.25">
      <c r="A126" s="5" t="s">
        <v>822</v>
      </c>
      <c r="B126" s="42">
        <f t="shared" si="1"/>
        <v>63.026700000000005</v>
      </c>
      <c r="C126" s="7" t="s">
        <v>350</v>
      </c>
      <c r="D126" s="7" t="s">
        <v>352</v>
      </c>
      <c r="E126" s="7" t="s">
        <v>0</v>
      </c>
      <c r="F126" s="17">
        <v>59.649749999999742</v>
      </c>
      <c r="G126" s="7" t="s">
        <v>197</v>
      </c>
      <c r="H126" s="7" t="s">
        <v>198</v>
      </c>
      <c r="I126" s="6">
        <v>469.16999999999825</v>
      </c>
      <c r="J126" s="6">
        <v>63026.700000000004</v>
      </c>
      <c r="K126" s="6">
        <v>194281.24000000002</v>
      </c>
    </row>
    <row r="127" spans="1:11" x14ac:dyDescent="0.25">
      <c r="A127" s="5" t="s">
        <v>822</v>
      </c>
      <c r="B127" s="42">
        <f t="shared" si="1"/>
        <v>63.495870000000004</v>
      </c>
      <c r="C127" s="7" t="s">
        <v>352</v>
      </c>
      <c r="D127" s="7" t="s">
        <v>354</v>
      </c>
      <c r="E127" s="7" t="s">
        <v>0</v>
      </c>
      <c r="F127" s="17">
        <v>60.179629999999733</v>
      </c>
      <c r="G127" s="7" t="s">
        <v>198</v>
      </c>
      <c r="H127" s="7" t="s">
        <v>199</v>
      </c>
      <c r="I127" s="6">
        <v>483.06000000000495</v>
      </c>
      <c r="J127" s="6">
        <v>63495.87</v>
      </c>
      <c r="K127" s="6">
        <v>193812.07</v>
      </c>
    </row>
    <row r="128" spans="1:11" x14ac:dyDescent="0.25">
      <c r="A128" s="5" t="s">
        <v>822</v>
      </c>
      <c r="B128" s="42">
        <f t="shared" si="1"/>
        <v>63.978930000000005</v>
      </c>
      <c r="C128" s="7" t="s">
        <v>354</v>
      </c>
      <c r="D128" s="7" t="s">
        <v>356</v>
      </c>
      <c r="E128" s="7" t="s">
        <v>0</v>
      </c>
      <c r="F128" s="17">
        <v>60.630799999999731</v>
      </c>
      <c r="G128" s="7" t="s">
        <v>199</v>
      </c>
      <c r="H128" s="7" t="s">
        <v>200</v>
      </c>
      <c r="I128" s="6">
        <v>495.75999999999476</v>
      </c>
      <c r="J128" s="6">
        <v>63978.930000000008</v>
      </c>
      <c r="K128" s="6">
        <v>193329.01</v>
      </c>
    </row>
    <row r="129" spans="1:11" x14ac:dyDescent="0.25">
      <c r="A129" s="5" t="s">
        <v>822</v>
      </c>
      <c r="B129" s="42">
        <f t="shared" si="1"/>
        <v>64.474689999999995</v>
      </c>
      <c r="C129" s="7" t="s">
        <v>356</v>
      </c>
      <c r="D129" s="7" t="s">
        <v>358</v>
      </c>
      <c r="E129" s="7" t="s">
        <v>0</v>
      </c>
      <c r="F129" s="17">
        <v>61.034189999999732</v>
      </c>
      <c r="G129" s="7" t="s">
        <v>200</v>
      </c>
      <c r="H129" s="7" t="s">
        <v>201</v>
      </c>
      <c r="I129" s="6">
        <v>497.13000000000466</v>
      </c>
      <c r="J129" s="6">
        <v>64474.69</v>
      </c>
      <c r="K129" s="6">
        <v>192833.25</v>
      </c>
    </row>
    <row r="130" spans="1:11" x14ac:dyDescent="0.25">
      <c r="A130" s="5" t="s">
        <v>822</v>
      </c>
      <c r="B130" s="42">
        <f t="shared" si="1"/>
        <v>64.971820000000008</v>
      </c>
      <c r="C130" s="7" t="s">
        <v>358</v>
      </c>
      <c r="D130" s="7" t="s">
        <v>360</v>
      </c>
      <c r="E130" s="7" t="s">
        <v>0</v>
      </c>
      <c r="F130" s="17">
        <v>61.41038999999973</v>
      </c>
      <c r="G130" s="7" t="s">
        <v>201</v>
      </c>
      <c r="H130" s="7" t="s">
        <v>202</v>
      </c>
      <c r="I130" s="6">
        <v>535.52999999999884</v>
      </c>
      <c r="J130" s="6">
        <v>64971.820000000007</v>
      </c>
      <c r="K130" s="6">
        <v>192336.12</v>
      </c>
    </row>
    <row r="131" spans="1:11" x14ac:dyDescent="0.25">
      <c r="A131" s="5" t="s">
        <v>822</v>
      </c>
      <c r="B131" s="42">
        <f t="shared" ref="B131:B194" si="2">J131/1000</f>
        <v>65.507350000000002</v>
      </c>
      <c r="C131" s="7" t="s">
        <v>360</v>
      </c>
      <c r="D131" s="7" t="s">
        <v>362</v>
      </c>
      <c r="E131" s="7" t="s">
        <v>0</v>
      </c>
      <c r="F131" s="17">
        <v>61.821299999999731</v>
      </c>
      <c r="G131" s="7" t="s">
        <v>202</v>
      </c>
      <c r="H131" s="7" t="s">
        <v>203</v>
      </c>
      <c r="I131" s="6">
        <v>521.84999999999127</v>
      </c>
      <c r="J131" s="6">
        <v>65507.350000000006</v>
      </c>
      <c r="K131" s="6">
        <v>191800.59</v>
      </c>
    </row>
    <row r="132" spans="1:11" x14ac:dyDescent="0.25">
      <c r="A132" s="5" t="s">
        <v>822</v>
      </c>
      <c r="B132" s="42">
        <f t="shared" si="2"/>
        <v>66.029200000000003</v>
      </c>
      <c r="C132" s="7" t="s">
        <v>362</v>
      </c>
      <c r="D132" s="7" t="s">
        <v>364</v>
      </c>
      <c r="E132" s="7" t="s">
        <v>0</v>
      </c>
      <c r="F132" s="17">
        <v>62.299639999999734</v>
      </c>
      <c r="G132" s="7" t="s">
        <v>203</v>
      </c>
      <c r="H132" s="7" t="s">
        <v>204</v>
      </c>
      <c r="I132" s="6">
        <v>646.09000000001106</v>
      </c>
      <c r="J132" s="6">
        <v>66029.2</v>
      </c>
      <c r="K132" s="6">
        <v>191278.74</v>
      </c>
    </row>
    <row r="133" spans="1:11" x14ac:dyDescent="0.25">
      <c r="A133" s="5" t="s">
        <v>822</v>
      </c>
      <c r="B133" s="42">
        <f t="shared" si="2"/>
        <v>66.675290000000004</v>
      </c>
      <c r="C133" s="7" t="s">
        <v>364</v>
      </c>
      <c r="D133" s="7" t="s">
        <v>366</v>
      </c>
      <c r="E133" s="7" t="s">
        <v>0</v>
      </c>
      <c r="F133" s="17">
        <v>62.932209999999728</v>
      </c>
      <c r="G133" s="7" t="s">
        <v>204</v>
      </c>
      <c r="H133" s="7" t="s">
        <v>205</v>
      </c>
      <c r="I133" s="6">
        <v>552.35</v>
      </c>
      <c r="J133" s="6">
        <v>66675.290000000008</v>
      </c>
      <c r="K133" s="6">
        <v>190632.64999999997</v>
      </c>
    </row>
    <row r="134" spans="1:11" x14ac:dyDescent="0.25">
      <c r="A134" s="5" t="s">
        <v>822</v>
      </c>
      <c r="B134" s="42">
        <f t="shared" si="2"/>
        <v>67.227640000000008</v>
      </c>
      <c r="C134" s="7" t="s">
        <v>366</v>
      </c>
      <c r="D134" s="7" t="s">
        <v>368</v>
      </c>
      <c r="E134" s="7" t="s">
        <v>0</v>
      </c>
      <c r="F134" s="17">
        <v>63.285869999999733</v>
      </c>
      <c r="G134" s="7" t="s">
        <v>205</v>
      </c>
      <c r="H134" s="7" t="s">
        <v>206</v>
      </c>
      <c r="I134" s="6">
        <v>549.95000000000005</v>
      </c>
      <c r="J134" s="6">
        <v>67227.640000000014</v>
      </c>
      <c r="K134" s="6">
        <v>190080.29999999996</v>
      </c>
    </row>
    <row r="135" spans="1:11" x14ac:dyDescent="0.25">
      <c r="A135" s="5" t="s">
        <v>822</v>
      </c>
      <c r="B135" s="42">
        <f t="shared" si="2"/>
        <v>67.777590000000018</v>
      </c>
      <c r="C135" s="7" t="s">
        <v>368</v>
      </c>
      <c r="D135" s="7" t="s">
        <v>370</v>
      </c>
      <c r="E135" s="7" t="s">
        <v>0</v>
      </c>
      <c r="F135" s="17">
        <v>63.900579999999735</v>
      </c>
      <c r="G135" s="7" t="s">
        <v>206</v>
      </c>
      <c r="H135" s="7" t="s">
        <v>207</v>
      </c>
      <c r="I135" s="6">
        <v>552.79999999999995</v>
      </c>
      <c r="J135" s="6">
        <v>67777.590000000011</v>
      </c>
      <c r="K135" s="6">
        <v>189530.34999999995</v>
      </c>
    </row>
    <row r="136" spans="1:11" x14ac:dyDescent="0.25">
      <c r="A136" s="5" t="s">
        <v>822</v>
      </c>
      <c r="B136" s="42">
        <f t="shared" si="2"/>
        <v>68.330390000000008</v>
      </c>
      <c r="C136" s="7" t="s">
        <v>370</v>
      </c>
      <c r="D136" s="7" t="s">
        <v>372</v>
      </c>
      <c r="E136" s="7" t="s">
        <v>0</v>
      </c>
      <c r="F136" s="17">
        <v>64.225439999999736</v>
      </c>
      <c r="G136" s="7" t="s">
        <v>207</v>
      </c>
      <c r="H136" s="7" t="s">
        <v>208</v>
      </c>
      <c r="I136" s="6">
        <v>500.6</v>
      </c>
      <c r="J136" s="6">
        <v>68330.390000000014</v>
      </c>
      <c r="K136" s="6">
        <v>188977.54999999996</v>
      </c>
    </row>
    <row r="137" spans="1:11" x14ac:dyDescent="0.25">
      <c r="A137" s="5" t="s">
        <v>822</v>
      </c>
      <c r="B137" s="42">
        <f t="shared" si="2"/>
        <v>68.830990000000014</v>
      </c>
      <c r="C137" s="7" t="s">
        <v>372</v>
      </c>
      <c r="D137" s="7" t="s">
        <v>374</v>
      </c>
      <c r="E137" s="7" t="s">
        <v>0</v>
      </c>
      <c r="F137" s="17">
        <v>64.589879999999738</v>
      </c>
      <c r="G137" s="7" t="s">
        <v>208</v>
      </c>
      <c r="H137" s="7" t="s">
        <v>209</v>
      </c>
      <c r="I137" s="6">
        <v>537.04</v>
      </c>
      <c r="J137" s="6">
        <v>68830.99000000002</v>
      </c>
      <c r="K137" s="6">
        <v>188476.94999999995</v>
      </c>
    </row>
    <row r="138" spans="1:11" x14ac:dyDescent="0.25">
      <c r="A138" s="5" t="s">
        <v>822</v>
      </c>
      <c r="B138" s="42">
        <f t="shared" si="2"/>
        <v>69.368030000000019</v>
      </c>
      <c r="C138" s="7" t="s">
        <v>374</v>
      </c>
      <c r="D138" s="7" t="s">
        <v>376</v>
      </c>
      <c r="E138" s="7" t="s">
        <v>0</v>
      </c>
      <c r="F138" s="17">
        <v>64.999549999999729</v>
      </c>
      <c r="G138" s="7" t="s">
        <v>209</v>
      </c>
      <c r="H138" s="7" t="s">
        <v>210</v>
      </c>
      <c r="I138" s="6">
        <v>570.94999999999709</v>
      </c>
      <c r="J138" s="6">
        <v>69368.030000000013</v>
      </c>
      <c r="K138" s="6">
        <v>187939.90999999995</v>
      </c>
    </row>
    <row r="139" spans="1:11" x14ac:dyDescent="0.25">
      <c r="A139" s="5" t="s">
        <v>822</v>
      </c>
      <c r="B139" s="42">
        <f t="shared" si="2"/>
        <v>69.938980000000015</v>
      </c>
      <c r="C139" s="7" t="s">
        <v>376</v>
      </c>
      <c r="D139" s="7" t="s">
        <v>378</v>
      </c>
      <c r="E139" s="7" t="s">
        <v>0</v>
      </c>
      <c r="F139" s="17">
        <v>65.579699999999733</v>
      </c>
      <c r="G139" s="7" t="s">
        <v>210</v>
      </c>
      <c r="H139" s="7" t="s">
        <v>211</v>
      </c>
      <c r="I139" s="6">
        <v>578.25</v>
      </c>
      <c r="J139" s="6">
        <v>69938.98000000001</v>
      </c>
      <c r="K139" s="6">
        <v>187368.95999999996</v>
      </c>
    </row>
    <row r="140" spans="1:11" x14ac:dyDescent="0.25">
      <c r="A140" s="5" t="s">
        <v>822</v>
      </c>
      <c r="B140" s="42">
        <f t="shared" si="2"/>
        <v>70.517230000000012</v>
      </c>
      <c r="C140" s="7" t="s">
        <v>378</v>
      </c>
      <c r="D140" s="7" t="s">
        <v>380</v>
      </c>
      <c r="E140" s="7" t="s">
        <v>0</v>
      </c>
      <c r="F140" s="17">
        <v>66.091079999999735</v>
      </c>
      <c r="G140" s="7" t="s">
        <v>211</v>
      </c>
      <c r="H140" s="7" t="s">
        <v>212</v>
      </c>
      <c r="I140" s="6">
        <v>511.75</v>
      </c>
      <c r="J140" s="6">
        <v>70517.23000000001</v>
      </c>
      <c r="K140" s="6">
        <v>186790.70999999996</v>
      </c>
    </row>
    <row r="141" spans="1:11" x14ac:dyDescent="0.25">
      <c r="A141" s="5" t="s">
        <v>822</v>
      </c>
      <c r="B141" s="42">
        <f t="shared" si="2"/>
        <v>71.028980000000004</v>
      </c>
      <c r="C141" s="7" t="s">
        <v>380</v>
      </c>
      <c r="D141" s="7" t="s">
        <v>382</v>
      </c>
      <c r="E141" s="7" t="s">
        <v>0</v>
      </c>
      <c r="F141" s="17">
        <v>66.442389999999733</v>
      </c>
      <c r="G141" s="7" t="s">
        <v>212</v>
      </c>
      <c r="H141" s="7" t="s">
        <v>213</v>
      </c>
      <c r="I141" s="6">
        <v>588.79999999999995</v>
      </c>
      <c r="J141" s="6">
        <v>71028.98000000001</v>
      </c>
      <c r="K141" s="6">
        <v>186278.95999999996</v>
      </c>
    </row>
    <row r="142" spans="1:11" x14ac:dyDescent="0.25">
      <c r="A142" s="5" t="s">
        <v>822</v>
      </c>
      <c r="B142" s="42">
        <f t="shared" si="2"/>
        <v>71.61778000000001</v>
      </c>
      <c r="C142" s="7" t="s">
        <v>382</v>
      </c>
      <c r="D142" s="7" t="s">
        <v>384</v>
      </c>
      <c r="E142" s="7" t="s">
        <v>0</v>
      </c>
      <c r="F142" s="17">
        <v>66.939109999999744</v>
      </c>
      <c r="G142" s="7" t="s">
        <v>213</v>
      </c>
      <c r="H142" s="7" t="s">
        <v>214</v>
      </c>
      <c r="I142" s="6">
        <v>472.83</v>
      </c>
      <c r="J142" s="6">
        <v>71617.780000000013</v>
      </c>
      <c r="K142" s="6">
        <v>185690.15999999997</v>
      </c>
    </row>
    <row r="143" spans="1:11" x14ac:dyDescent="0.25">
      <c r="A143" s="5" t="s">
        <v>822</v>
      </c>
      <c r="B143" s="42">
        <f t="shared" si="2"/>
        <v>72.090610000000012</v>
      </c>
      <c r="C143" s="7" t="s">
        <v>384</v>
      </c>
      <c r="D143" s="7" t="s">
        <v>386</v>
      </c>
      <c r="E143" s="7" t="s">
        <v>0</v>
      </c>
      <c r="F143" s="17">
        <v>67.311989999999739</v>
      </c>
      <c r="G143" s="7" t="s">
        <v>214</v>
      </c>
      <c r="H143" s="7" t="s">
        <v>215</v>
      </c>
      <c r="I143" s="6">
        <v>530.0399999999936</v>
      </c>
      <c r="J143" s="6">
        <v>72090.610000000015</v>
      </c>
      <c r="K143" s="6">
        <v>185217.33</v>
      </c>
    </row>
    <row r="144" spans="1:11" x14ac:dyDescent="0.25">
      <c r="A144" s="5" t="s">
        <v>822</v>
      </c>
      <c r="B144" s="42">
        <f t="shared" si="2"/>
        <v>72.620650000000012</v>
      </c>
      <c r="C144" s="7" t="s">
        <v>386</v>
      </c>
      <c r="D144" s="7" t="s">
        <v>388</v>
      </c>
      <c r="E144" s="7" t="s">
        <v>0</v>
      </c>
      <c r="F144" s="17">
        <v>67.767579999999739</v>
      </c>
      <c r="G144" s="7" t="s">
        <v>215</v>
      </c>
      <c r="H144" s="7" t="s">
        <v>216</v>
      </c>
      <c r="I144" s="6">
        <v>469.17</v>
      </c>
      <c r="J144" s="6">
        <v>72620.650000000009</v>
      </c>
      <c r="K144" s="6">
        <v>184687.28999999998</v>
      </c>
    </row>
    <row r="145" spans="1:11" x14ac:dyDescent="0.25">
      <c r="A145" s="5" t="s">
        <v>822</v>
      </c>
      <c r="B145" s="42">
        <f t="shared" si="2"/>
        <v>73.089820000000003</v>
      </c>
      <c r="C145" s="7" t="s">
        <v>388</v>
      </c>
      <c r="D145" s="7" t="s">
        <v>390</v>
      </c>
      <c r="E145" s="7" t="s">
        <v>0</v>
      </c>
      <c r="F145" s="17">
        <v>68.09647999999973</v>
      </c>
      <c r="G145" s="7" t="s">
        <v>216</v>
      </c>
      <c r="H145" s="7" t="s">
        <v>217</v>
      </c>
      <c r="I145" s="6">
        <v>532.48000000001048</v>
      </c>
      <c r="J145" s="6">
        <v>73089.820000000007</v>
      </c>
      <c r="K145" s="6">
        <v>184218.11999999997</v>
      </c>
    </row>
    <row r="146" spans="1:11" x14ac:dyDescent="0.25">
      <c r="A146" s="5" t="s">
        <v>822</v>
      </c>
      <c r="B146" s="42">
        <f t="shared" si="2"/>
        <v>73.622300000000024</v>
      </c>
      <c r="C146" s="7" t="s">
        <v>390</v>
      </c>
      <c r="D146" s="7" t="s">
        <v>392</v>
      </c>
      <c r="E146" s="7" t="s">
        <v>0</v>
      </c>
      <c r="F146" s="17">
        <v>68.450299999999743</v>
      </c>
      <c r="G146" s="7" t="s">
        <v>217</v>
      </c>
      <c r="H146" s="7" t="s">
        <v>218</v>
      </c>
      <c r="I146" s="6">
        <v>580.92999999999995</v>
      </c>
      <c r="J146" s="6">
        <v>73622.300000000017</v>
      </c>
      <c r="K146" s="6">
        <v>183685.63999999996</v>
      </c>
    </row>
    <row r="147" spans="1:11" x14ac:dyDescent="0.25">
      <c r="A147" s="5" t="s">
        <v>822</v>
      </c>
      <c r="B147" s="42">
        <f t="shared" si="2"/>
        <v>74.203230000000005</v>
      </c>
      <c r="C147" s="7" t="s">
        <v>392</v>
      </c>
      <c r="D147" s="7" t="s">
        <v>394</v>
      </c>
      <c r="E147" s="7" t="s">
        <v>0</v>
      </c>
      <c r="F147" s="17">
        <v>68.902369999999749</v>
      </c>
      <c r="G147" s="7" t="s">
        <v>218</v>
      </c>
      <c r="H147" s="7" t="s">
        <v>219</v>
      </c>
      <c r="I147" s="6">
        <v>538.72000000000116</v>
      </c>
      <c r="J147" s="6">
        <v>74203.23000000001</v>
      </c>
      <c r="K147" s="6">
        <v>183104.70999999996</v>
      </c>
    </row>
    <row r="148" spans="1:11" x14ac:dyDescent="0.25">
      <c r="A148" s="5" t="s">
        <v>822</v>
      </c>
      <c r="B148" s="42">
        <f t="shared" si="2"/>
        <v>74.741950000000017</v>
      </c>
      <c r="C148" s="7" t="s">
        <v>394</v>
      </c>
      <c r="D148" s="7" t="s">
        <v>396</v>
      </c>
      <c r="E148" s="7" t="s">
        <v>0</v>
      </c>
      <c r="F148" s="17">
        <v>69.482269999999744</v>
      </c>
      <c r="G148" s="7" t="s">
        <v>219</v>
      </c>
      <c r="H148" s="7" t="s">
        <v>220</v>
      </c>
      <c r="I148" s="6">
        <v>432.36999999999534</v>
      </c>
      <c r="J148" s="6">
        <v>74741.950000000012</v>
      </c>
      <c r="K148" s="6">
        <v>182565.98999999996</v>
      </c>
    </row>
    <row r="149" spans="1:11" x14ac:dyDescent="0.25">
      <c r="A149" s="5" t="s">
        <v>822</v>
      </c>
      <c r="B149" s="42">
        <f t="shared" si="2"/>
        <v>75.174320000000009</v>
      </c>
      <c r="C149" s="7" t="s">
        <v>396</v>
      </c>
      <c r="D149" s="7" t="s">
        <v>398</v>
      </c>
      <c r="E149" s="7" t="s">
        <v>0</v>
      </c>
      <c r="F149" s="17">
        <v>70.047279999999731</v>
      </c>
      <c r="G149" s="7" t="s">
        <v>220</v>
      </c>
      <c r="H149" s="7" t="s">
        <v>221</v>
      </c>
      <c r="I149" s="6">
        <v>478.13000000000466</v>
      </c>
      <c r="J149" s="6">
        <v>75174.320000000007</v>
      </c>
      <c r="K149" s="6">
        <v>182133.61999999997</v>
      </c>
    </row>
    <row r="150" spans="1:11" x14ac:dyDescent="0.25">
      <c r="A150" s="5" t="s">
        <v>822</v>
      </c>
      <c r="B150" s="42">
        <f t="shared" si="2"/>
        <v>75.652450000000016</v>
      </c>
      <c r="C150" s="7" t="s">
        <v>398</v>
      </c>
      <c r="D150" s="7" t="s">
        <v>400</v>
      </c>
      <c r="E150" s="7" t="s">
        <v>0</v>
      </c>
      <c r="F150" s="17">
        <v>70.605769999999737</v>
      </c>
      <c r="G150" s="7" t="s">
        <v>221</v>
      </c>
      <c r="H150" s="7" t="s">
        <v>222</v>
      </c>
      <c r="I150" s="6">
        <v>504.04999999998836</v>
      </c>
      <c r="J150" s="6">
        <v>75652.450000000012</v>
      </c>
      <c r="K150" s="6">
        <v>181655.48999999996</v>
      </c>
    </row>
    <row r="151" spans="1:11" x14ac:dyDescent="0.25">
      <c r="A151" s="5" t="s">
        <v>822</v>
      </c>
      <c r="B151" s="42">
        <f t="shared" si="2"/>
        <v>76.156499999999994</v>
      </c>
      <c r="C151" s="7" t="s">
        <v>400</v>
      </c>
      <c r="D151" s="7" t="s">
        <v>402</v>
      </c>
      <c r="E151" s="7" t="s">
        <v>0</v>
      </c>
      <c r="F151" s="17">
        <v>71.189689999999743</v>
      </c>
      <c r="G151" s="7" t="s">
        <v>222</v>
      </c>
      <c r="H151" s="7" t="s">
        <v>223</v>
      </c>
      <c r="I151" s="6">
        <v>484.16000000000349</v>
      </c>
      <c r="J151" s="6">
        <v>76156.5</v>
      </c>
      <c r="K151" s="6">
        <v>181151.43999999997</v>
      </c>
    </row>
    <row r="152" spans="1:11" x14ac:dyDescent="0.25">
      <c r="A152" s="5" t="s">
        <v>822</v>
      </c>
      <c r="B152" s="42">
        <f t="shared" si="2"/>
        <v>76.640659999999997</v>
      </c>
      <c r="C152" s="7" t="s">
        <v>402</v>
      </c>
      <c r="D152" s="7" t="s">
        <v>404</v>
      </c>
      <c r="E152" s="7" t="s">
        <v>0</v>
      </c>
      <c r="F152" s="17">
        <v>71.554139999999734</v>
      </c>
      <c r="G152" s="7" t="s">
        <v>223</v>
      </c>
      <c r="H152" s="7" t="s">
        <v>224</v>
      </c>
      <c r="I152" s="6">
        <v>464.75</v>
      </c>
      <c r="J152" s="6">
        <v>76640.66</v>
      </c>
      <c r="K152" s="6">
        <v>180667.27999999997</v>
      </c>
    </row>
    <row r="153" spans="1:11" x14ac:dyDescent="0.25">
      <c r="A153" s="5" t="s">
        <v>822</v>
      </c>
      <c r="B153" s="42">
        <f t="shared" si="2"/>
        <v>77.105410000000006</v>
      </c>
      <c r="C153" s="7" t="s">
        <v>404</v>
      </c>
      <c r="D153" s="7" t="s">
        <v>406</v>
      </c>
      <c r="E153" s="7" t="s">
        <v>0</v>
      </c>
      <c r="F153" s="17">
        <v>72.049979999999735</v>
      </c>
      <c r="G153" s="7" t="s">
        <v>224</v>
      </c>
      <c r="H153" s="7" t="s">
        <v>225</v>
      </c>
      <c r="I153" s="6">
        <v>459.94999999999709</v>
      </c>
      <c r="J153" s="6">
        <v>77105.41</v>
      </c>
      <c r="K153" s="6">
        <v>180202.52999999997</v>
      </c>
    </row>
    <row r="154" spans="1:11" x14ac:dyDescent="0.25">
      <c r="A154" s="5" t="s">
        <v>822</v>
      </c>
      <c r="B154" s="42">
        <f t="shared" si="2"/>
        <v>77.565359999999998</v>
      </c>
      <c r="C154" s="7" t="s">
        <v>406</v>
      </c>
      <c r="D154" s="7" t="s">
        <v>408</v>
      </c>
      <c r="E154" s="7" t="s">
        <v>0</v>
      </c>
      <c r="F154" s="17">
        <v>72.528329999999741</v>
      </c>
      <c r="G154" s="7" t="s">
        <v>225</v>
      </c>
      <c r="H154" s="7" t="s">
        <v>226</v>
      </c>
      <c r="I154" s="6">
        <v>434.35000000000582</v>
      </c>
      <c r="J154" s="6">
        <v>77565.36</v>
      </c>
      <c r="K154" s="6">
        <v>179742.57999999996</v>
      </c>
    </row>
    <row r="155" spans="1:11" x14ac:dyDescent="0.25">
      <c r="A155" s="5" t="s">
        <v>822</v>
      </c>
      <c r="B155" s="42">
        <f t="shared" si="2"/>
        <v>77.999710000000007</v>
      </c>
      <c r="C155" s="7" t="s">
        <v>408</v>
      </c>
      <c r="D155" s="7" t="s">
        <v>410</v>
      </c>
      <c r="E155" s="7" t="s">
        <v>0</v>
      </c>
      <c r="F155" s="17">
        <v>73.01353999999975</v>
      </c>
      <c r="G155" s="7" t="s">
        <v>226</v>
      </c>
      <c r="H155" s="7" t="s">
        <v>227</v>
      </c>
      <c r="I155" s="6">
        <v>517.68000000000757</v>
      </c>
      <c r="J155" s="6">
        <v>77999.710000000006</v>
      </c>
      <c r="K155" s="6">
        <v>179308.22999999995</v>
      </c>
    </row>
    <row r="156" spans="1:11" x14ac:dyDescent="0.25">
      <c r="A156" s="5" t="s">
        <v>822</v>
      </c>
      <c r="B156" s="42">
        <f t="shared" si="2"/>
        <v>78.51739000000002</v>
      </c>
      <c r="C156" s="7" t="s">
        <v>410</v>
      </c>
      <c r="D156" s="7" t="s">
        <v>412</v>
      </c>
      <c r="E156" s="7" t="s">
        <v>0</v>
      </c>
      <c r="F156" s="17">
        <v>73.373549999999739</v>
      </c>
      <c r="G156" s="7" t="s">
        <v>227</v>
      </c>
      <c r="H156" s="7" t="s">
        <v>228</v>
      </c>
      <c r="I156" s="6">
        <v>541.44999999999709</v>
      </c>
      <c r="J156" s="6">
        <v>78517.390000000014</v>
      </c>
      <c r="K156" s="6">
        <v>178790.54999999993</v>
      </c>
    </row>
    <row r="157" spans="1:11" x14ac:dyDescent="0.25">
      <c r="A157" s="5" t="s">
        <v>822</v>
      </c>
      <c r="B157" s="42">
        <f t="shared" si="2"/>
        <v>79.058840000000018</v>
      </c>
      <c r="C157" s="7" t="s">
        <v>412</v>
      </c>
      <c r="D157" s="7" t="s">
        <v>414</v>
      </c>
      <c r="E157" s="7" t="s">
        <v>0</v>
      </c>
      <c r="F157" s="17">
        <v>73.797639999999731</v>
      </c>
      <c r="G157" s="7" t="s">
        <v>228</v>
      </c>
      <c r="H157" s="7" t="s">
        <v>229</v>
      </c>
      <c r="I157" s="6">
        <v>622.92999999999302</v>
      </c>
      <c r="J157" s="6">
        <v>79058.840000000011</v>
      </c>
      <c r="K157" s="6">
        <v>178249.09999999992</v>
      </c>
    </row>
    <row r="158" spans="1:11" x14ac:dyDescent="0.25">
      <c r="A158" s="5" t="s">
        <v>822</v>
      </c>
      <c r="B158" s="42">
        <f t="shared" si="2"/>
        <v>79.68177</v>
      </c>
      <c r="C158" s="7" t="s">
        <v>414</v>
      </c>
      <c r="D158" s="7" t="s">
        <v>416</v>
      </c>
      <c r="E158" s="7" t="s">
        <v>0</v>
      </c>
      <c r="F158" s="17">
        <v>74.336789999999738</v>
      </c>
      <c r="G158" s="7" t="s">
        <v>229</v>
      </c>
      <c r="H158" s="7" t="s">
        <v>230</v>
      </c>
      <c r="I158" s="6">
        <v>545.25</v>
      </c>
      <c r="J158" s="6">
        <v>79681.77</v>
      </c>
      <c r="K158" s="6">
        <v>177626.16999999993</v>
      </c>
    </row>
    <row r="159" spans="1:11" x14ac:dyDescent="0.25">
      <c r="A159" s="5" t="s">
        <v>822</v>
      </c>
      <c r="B159" s="42">
        <f t="shared" si="2"/>
        <v>80.22702000000001</v>
      </c>
      <c r="C159" s="7" t="s">
        <v>416</v>
      </c>
      <c r="D159" s="7" t="s">
        <v>418</v>
      </c>
      <c r="E159" s="7" t="s">
        <v>0</v>
      </c>
      <c r="F159" s="17">
        <v>74.885089999999735</v>
      </c>
      <c r="G159" s="7" t="s">
        <v>230</v>
      </c>
      <c r="H159" s="7" t="s">
        <v>231</v>
      </c>
      <c r="I159" s="6">
        <v>562.98</v>
      </c>
      <c r="J159" s="6">
        <v>80227.02</v>
      </c>
      <c r="K159" s="6">
        <v>177080.91999999993</v>
      </c>
    </row>
    <row r="160" spans="1:11" x14ac:dyDescent="0.25">
      <c r="A160" s="5" t="s">
        <v>822</v>
      </c>
      <c r="B160" s="42">
        <f t="shared" si="2"/>
        <v>80.790000000000006</v>
      </c>
      <c r="C160" s="7" t="s">
        <v>418</v>
      </c>
      <c r="D160" s="7" t="s">
        <v>420</v>
      </c>
      <c r="E160" s="7" t="s">
        <v>0</v>
      </c>
      <c r="F160" s="17">
        <v>75.466719999999739</v>
      </c>
      <c r="G160" s="7" t="s">
        <v>231</v>
      </c>
      <c r="H160" s="7" t="s">
        <v>232</v>
      </c>
      <c r="I160" s="6">
        <v>571.74</v>
      </c>
      <c r="J160" s="6">
        <v>80790</v>
      </c>
      <c r="K160" s="6">
        <v>176517.93999999992</v>
      </c>
    </row>
    <row r="161" spans="1:11" x14ac:dyDescent="0.25">
      <c r="A161" s="5" t="s">
        <v>822</v>
      </c>
      <c r="B161" s="42">
        <f t="shared" si="2"/>
        <v>81.361740000000012</v>
      </c>
      <c r="C161" s="7" t="s">
        <v>420</v>
      </c>
      <c r="D161" s="7" t="s">
        <v>422</v>
      </c>
      <c r="E161" s="7" t="s">
        <v>0</v>
      </c>
      <c r="F161" s="17">
        <v>75.835289999999745</v>
      </c>
      <c r="G161" s="7" t="s">
        <v>232</v>
      </c>
      <c r="H161" s="7" t="s">
        <v>233</v>
      </c>
      <c r="I161" s="6">
        <v>536.7100000000064</v>
      </c>
      <c r="J161" s="6">
        <v>81361.740000000005</v>
      </c>
      <c r="K161" s="6">
        <v>175946.19999999992</v>
      </c>
    </row>
    <row r="162" spans="1:11" x14ac:dyDescent="0.25">
      <c r="A162" s="5" t="s">
        <v>822</v>
      </c>
      <c r="B162" s="42">
        <f t="shared" si="2"/>
        <v>81.898450000000011</v>
      </c>
      <c r="C162" s="7" t="s">
        <v>422</v>
      </c>
      <c r="D162" s="7" t="s">
        <v>424</v>
      </c>
      <c r="E162" s="7" t="s">
        <v>0</v>
      </c>
      <c r="F162" s="17">
        <v>76.35259999999974</v>
      </c>
      <c r="G162" s="7" t="s">
        <v>233</v>
      </c>
      <c r="H162" s="7" t="s">
        <v>234</v>
      </c>
      <c r="I162" s="6">
        <v>576.50999999999476</v>
      </c>
      <c r="J162" s="6">
        <v>81898.450000000012</v>
      </c>
      <c r="K162" s="6">
        <v>175409.48999999993</v>
      </c>
    </row>
    <row r="163" spans="1:11" x14ac:dyDescent="0.25">
      <c r="A163" s="5" t="s">
        <v>822</v>
      </c>
      <c r="B163" s="42">
        <f t="shared" si="2"/>
        <v>82.47496000000001</v>
      </c>
      <c r="C163" s="7" t="s">
        <v>424</v>
      </c>
      <c r="D163" s="7" t="s">
        <v>426</v>
      </c>
      <c r="E163" s="7" t="s">
        <v>0</v>
      </c>
      <c r="F163" s="17">
        <v>76.791879999999736</v>
      </c>
      <c r="G163" s="7" t="s">
        <v>234</v>
      </c>
      <c r="H163" s="7" t="s">
        <v>235</v>
      </c>
      <c r="I163" s="6">
        <v>522.44999999999709</v>
      </c>
      <c r="J163" s="6">
        <v>82474.960000000006</v>
      </c>
      <c r="K163" s="6">
        <v>174832.97999999992</v>
      </c>
    </row>
    <row r="164" spans="1:11" x14ac:dyDescent="0.25">
      <c r="A164" s="5" t="s">
        <v>822</v>
      </c>
      <c r="B164" s="42">
        <f t="shared" si="2"/>
        <v>82.997410000000002</v>
      </c>
      <c r="C164" s="7" t="s">
        <v>426</v>
      </c>
      <c r="D164" s="7" t="s">
        <v>428</v>
      </c>
      <c r="E164" s="7" t="s">
        <v>0</v>
      </c>
      <c r="F164" s="17">
        <v>77.251219999999734</v>
      </c>
      <c r="G164" s="7" t="s">
        <v>235</v>
      </c>
      <c r="H164" s="7" t="s">
        <v>236</v>
      </c>
      <c r="I164" s="6">
        <v>489.22</v>
      </c>
      <c r="J164" s="6">
        <v>82997.41</v>
      </c>
      <c r="K164" s="6">
        <v>174310.52999999991</v>
      </c>
    </row>
    <row r="165" spans="1:11" x14ac:dyDescent="0.25">
      <c r="A165" s="5" t="s">
        <v>822</v>
      </c>
      <c r="B165" s="42">
        <f t="shared" si="2"/>
        <v>83.486630000000005</v>
      </c>
      <c r="C165" s="7" t="s">
        <v>428</v>
      </c>
      <c r="D165" s="7" t="s">
        <v>430</v>
      </c>
      <c r="E165" s="7" t="s">
        <v>0</v>
      </c>
      <c r="F165" s="17">
        <v>77.687309999999741</v>
      </c>
      <c r="G165" s="7" t="s">
        <v>236</v>
      </c>
      <c r="H165" s="7" t="s">
        <v>237</v>
      </c>
      <c r="I165" s="6">
        <v>497.88</v>
      </c>
      <c r="J165" s="6">
        <v>83486.63</v>
      </c>
      <c r="K165" s="6">
        <v>173821.30999999991</v>
      </c>
    </row>
    <row r="166" spans="1:11" x14ac:dyDescent="0.25">
      <c r="A166" s="5" t="s">
        <v>822</v>
      </c>
      <c r="B166" s="42">
        <f t="shared" si="2"/>
        <v>83.984510000000014</v>
      </c>
      <c r="C166" s="7" t="s">
        <v>430</v>
      </c>
      <c r="D166" s="7" t="s">
        <v>432</v>
      </c>
      <c r="E166" s="7" t="s">
        <v>0</v>
      </c>
      <c r="F166" s="17">
        <v>78.133009999999729</v>
      </c>
      <c r="G166" s="7" t="s">
        <v>237</v>
      </c>
      <c r="H166" s="7" t="s">
        <v>238</v>
      </c>
      <c r="I166" s="6">
        <v>493.79</v>
      </c>
      <c r="J166" s="6">
        <v>83984.510000000009</v>
      </c>
      <c r="K166" s="6">
        <v>173323.42999999991</v>
      </c>
    </row>
    <row r="167" spans="1:11" x14ac:dyDescent="0.25">
      <c r="A167" s="5" t="s">
        <v>822</v>
      </c>
      <c r="B167" s="42">
        <f t="shared" si="2"/>
        <v>84.478300000000004</v>
      </c>
      <c r="C167" s="7" t="s">
        <v>432</v>
      </c>
      <c r="D167" s="7" t="s">
        <v>434</v>
      </c>
      <c r="E167" s="7" t="s">
        <v>0</v>
      </c>
      <c r="F167" s="17">
        <v>78.689429999999732</v>
      </c>
      <c r="G167" s="7" t="s">
        <v>238</v>
      </c>
      <c r="H167" s="7" t="s">
        <v>239</v>
      </c>
      <c r="I167" s="6">
        <v>497.82000000000698</v>
      </c>
      <c r="J167" s="6">
        <v>84478.3</v>
      </c>
      <c r="K167" s="6">
        <v>172829.6399999999</v>
      </c>
    </row>
    <row r="168" spans="1:11" x14ac:dyDescent="0.25">
      <c r="A168" s="5" t="s">
        <v>822</v>
      </c>
      <c r="B168" s="42">
        <f t="shared" si="2"/>
        <v>84.976120000000009</v>
      </c>
      <c r="C168" s="7" t="s">
        <v>434</v>
      </c>
      <c r="D168" s="7" t="s">
        <v>436</v>
      </c>
      <c r="E168" s="7" t="s">
        <v>0</v>
      </c>
      <c r="F168" s="17">
        <v>79.030709999999729</v>
      </c>
      <c r="G168" s="7" t="s">
        <v>239</v>
      </c>
      <c r="H168" s="7" t="s">
        <v>240</v>
      </c>
      <c r="I168" s="6">
        <v>484.22000000000116</v>
      </c>
      <c r="J168" s="6">
        <v>84976.12000000001</v>
      </c>
      <c r="K168" s="6">
        <v>172331.81999999989</v>
      </c>
    </row>
    <row r="169" spans="1:11" x14ac:dyDescent="0.25">
      <c r="A169" s="5" t="s">
        <v>822</v>
      </c>
      <c r="B169" s="42">
        <f t="shared" si="2"/>
        <v>85.460340000000016</v>
      </c>
      <c r="C169" s="7" t="s">
        <v>436</v>
      </c>
      <c r="D169" s="7" t="s">
        <v>438</v>
      </c>
      <c r="E169" s="7" t="s">
        <v>0</v>
      </c>
      <c r="F169" s="17">
        <v>79.532519999999721</v>
      </c>
      <c r="G169" s="7" t="s">
        <v>240</v>
      </c>
      <c r="H169" s="7" t="s">
        <v>241</v>
      </c>
      <c r="I169" s="6">
        <v>386.97000000000116</v>
      </c>
      <c r="J169" s="6">
        <v>85460.340000000011</v>
      </c>
      <c r="K169" s="6">
        <v>171847.59999999989</v>
      </c>
    </row>
    <row r="170" spans="1:11" x14ac:dyDescent="0.25">
      <c r="A170" s="5" t="s">
        <v>822</v>
      </c>
      <c r="B170" s="42">
        <f t="shared" si="2"/>
        <v>85.847310000000007</v>
      </c>
      <c r="C170" s="7" t="s">
        <v>438</v>
      </c>
      <c r="D170" s="7" t="s">
        <v>440</v>
      </c>
      <c r="E170" s="7" t="s">
        <v>0</v>
      </c>
      <c r="F170" s="17">
        <v>79.980529999999717</v>
      </c>
      <c r="G170" s="7" t="s">
        <v>241</v>
      </c>
      <c r="H170" s="7" t="s">
        <v>242</v>
      </c>
      <c r="I170" s="6">
        <v>563.72999999999593</v>
      </c>
      <c r="J170" s="6">
        <v>85847.310000000012</v>
      </c>
      <c r="K170" s="6">
        <v>171460.62999999989</v>
      </c>
    </row>
    <row r="171" spans="1:11" x14ac:dyDescent="0.25">
      <c r="A171" s="5" t="s">
        <v>822</v>
      </c>
      <c r="B171" s="42">
        <f t="shared" si="2"/>
        <v>86.411040000000014</v>
      </c>
      <c r="C171" s="7" t="s">
        <v>440</v>
      </c>
      <c r="D171" s="7" t="s">
        <v>442</v>
      </c>
      <c r="E171" s="7" t="s">
        <v>0</v>
      </c>
      <c r="F171" s="17">
        <v>80.428149999999718</v>
      </c>
      <c r="G171" s="7" t="s">
        <v>242</v>
      </c>
      <c r="H171" s="7" t="s">
        <v>243</v>
      </c>
      <c r="I171" s="6">
        <v>547.14999999999418</v>
      </c>
      <c r="J171" s="6">
        <v>86411.040000000008</v>
      </c>
      <c r="K171" s="6">
        <v>170896.89999999991</v>
      </c>
    </row>
    <row r="172" spans="1:11" x14ac:dyDescent="0.25">
      <c r="A172" s="5" t="s">
        <v>822</v>
      </c>
      <c r="B172" s="42">
        <f t="shared" si="2"/>
        <v>86.958190000000002</v>
      </c>
      <c r="C172" s="7" t="s">
        <v>442</v>
      </c>
      <c r="D172" s="7" t="s">
        <v>444</v>
      </c>
      <c r="E172" s="7" t="s">
        <v>0</v>
      </c>
      <c r="F172" s="17">
        <v>80.916659999999709</v>
      </c>
      <c r="G172" s="7" t="s">
        <v>243</v>
      </c>
      <c r="H172" s="7" t="s">
        <v>244</v>
      </c>
      <c r="I172" s="6">
        <v>545.77000000000407</v>
      </c>
      <c r="J172" s="6">
        <v>86958.19</v>
      </c>
      <c r="K172" s="6">
        <v>170349.74999999991</v>
      </c>
    </row>
    <row r="173" spans="1:11" x14ac:dyDescent="0.25">
      <c r="A173" s="5" t="s">
        <v>822</v>
      </c>
      <c r="B173" s="42">
        <f t="shared" si="2"/>
        <v>87.503960000000006</v>
      </c>
      <c r="C173" s="7" t="s">
        <v>444</v>
      </c>
      <c r="D173" s="7" t="s">
        <v>446</v>
      </c>
      <c r="E173" s="7" t="s">
        <v>0</v>
      </c>
      <c r="F173" s="17">
        <v>81.42592999999971</v>
      </c>
      <c r="G173" s="7" t="s">
        <v>244</v>
      </c>
      <c r="H173" s="7" t="s">
        <v>245</v>
      </c>
      <c r="I173" s="6">
        <v>546.15</v>
      </c>
      <c r="J173" s="6">
        <v>87503.96</v>
      </c>
      <c r="K173" s="6">
        <v>169803.97999999992</v>
      </c>
    </row>
    <row r="174" spans="1:11" x14ac:dyDescent="0.25">
      <c r="A174" s="5" t="s">
        <v>822</v>
      </c>
      <c r="B174" s="42">
        <f t="shared" si="2"/>
        <v>88.050110000000004</v>
      </c>
      <c r="C174" s="7" t="s">
        <v>446</v>
      </c>
      <c r="D174" s="7" t="s">
        <v>448</v>
      </c>
      <c r="E174" s="7" t="s">
        <v>0</v>
      </c>
      <c r="F174" s="17">
        <v>81.947119999999714</v>
      </c>
      <c r="G174" s="7" t="s">
        <v>245</v>
      </c>
      <c r="H174" s="7" t="s">
        <v>246</v>
      </c>
      <c r="I174" s="6">
        <v>437.56</v>
      </c>
      <c r="J174" s="6">
        <v>88050.11</v>
      </c>
      <c r="K174" s="6">
        <v>169257.82999999993</v>
      </c>
    </row>
    <row r="175" spans="1:11" x14ac:dyDescent="0.25">
      <c r="A175" s="5" t="s">
        <v>822</v>
      </c>
      <c r="B175" s="42">
        <f t="shared" si="2"/>
        <v>88.487669999999994</v>
      </c>
      <c r="C175" s="7" t="s">
        <v>448</v>
      </c>
      <c r="D175" s="7" t="s">
        <v>450</v>
      </c>
      <c r="E175" s="7" t="s">
        <v>0</v>
      </c>
      <c r="F175" s="17">
        <v>82.482429999999709</v>
      </c>
      <c r="G175" s="7" t="s">
        <v>246</v>
      </c>
      <c r="H175" s="7" t="s">
        <v>247</v>
      </c>
      <c r="I175" s="6">
        <v>567.61999999999534</v>
      </c>
      <c r="J175" s="6">
        <v>88487.67</v>
      </c>
      <c r="K175" s="6">
        <v>168820.26999999993</v>
      </c>
    </row>
    <row r="176" spans="1:11" x14ac:dyDescent="0.25">
      <c r="A176" s="5" t="s">
        <v>822</v>
      </c>
      <c r="B176" s="42">
        <f t="shared" si="2"/>
        <v>89.055289999999999</v>
      </c>
      <c r="C176" s="7" t="s">
        <v>450</v>
      </c>
      <c r="D176" s="7" t="s">
        <v>452</v>
      </c>
      <c r="E176" s="7" t="s">
        <v>0</v>
      </c>
      <c r="F176" s="17">
        <v>83.04052999999972</v>
      </c>
      <c r="G176" s="7" t="s">
        <v>247</v>
      </c>
      <c r="H176" s="7" t="s">
        <v>248</v>
      </c>
      <c r="I176" s="6">
        <v>481.74000000000524</v>
      </c>
      <c r="J176" s="6">
        <v>89055.29</v>
      </c>
      <c r="K176" s="6">
        <v>168252.64999999994</v>
      </c>
    </row>
    <row r="177" spans="1:11" x14ac:dyDescent="0.25">
      <c r="A177" s="5" t="s">
        <v>822</v>
      </c>
      <c r="B177" s="42">
        <f t="shared" si="2"/>
        <v>89.537030000000001</v>
      </c>
      <c r="C177" s="7" t="s">
        <v>452</v>
      </c>
      <c r="D177" s="7" t="s">
        <v>454</v>
      </c>
      <c r="E177" s="7" t="s">
        <v>0</v>
      </c>
      <c r="F177" s="17">
        <v>83.575919999999726</v>
      </c>
      <c r="G177" s="7" t="s">
        <v>248</v>
      </c>
      <c r="H177" s="7" t="s">
        <v>249</v>
      </c>
      <c r="I177" s="6">
        <v>402.09999999999127</v>
      </c>
      <c r="J177" s="6">
        <v>89537.03</v>
      </c>
      <c r="K177" s="6">
        <v>167770.90999999992</v>
      </c>
    </row>
    <row r="178" spans="1:11" x14ac:dyDescent="0.25">
      <c r="A178" s="5" t="s">
        <v>822</v>
      </c>
      <c r="B178" s="42">
        <f t="shared" si="2"/>
        <v>89.939129999999992</v>
      </c>
      <c r="C178" s="7" t="s">
        <v>454</v>
      </c>
      <c r="D178" s="7" t="s">
        <v>456</v>
      </c>
      <c r="E178" s="7" t="s">
        <v>0</v>
      </c>
      <c r="F178" s="17">
        <v>84.075969999999728</v>
      </c>
      <c r="G178" s="7" t="s">
        <v>249</v>
      </c>
      <c r="H178" s="7" t="s">
        <v>250</v>
      </c>
      <c r="I178" s="6">
        <v>478.19999999999709</v>
      </c>
      <c r="J178" s="6">
        <v>89939.12999999999</v>
      </c>
      <c r="K178" s="6">
        <v>167368.80999999994</v>
      </c>
    </row>
    <row r="179" spans="1:11" x14ac:dyDescent="0.25">
      <c r="A179" s="5" t="s">
        <v>822</v>
      </c>
      <c r="B179" s="42">
        <f t="shared" si="2"/>
        <v>90.417329999999993</v>
      </c>
      <c r="C179" s="7" t="s">
        <v>456</v>
      </c>
      <c r="D179" s="7" t="s">
        <v>458</v>
      </c>
      <c r="E179" s="7" t="s">
        <v>0</v>
      </c>
      <c r="F179" s="17">
        <v>84.498219999999719</v>
      </c>
      <c r="G179" s="7" t="s">
        <v>250</v>
      </c>
      <c r="H179" s="7" t="s">
        <v>251</v>
      </c>
      <c r="I179" s="6">
        <v>543.35000000000582</v>
      </c>
      <c r="J179" s="6">
        <v>90417.329999999987</v>
      </c>
      <c r="K179" s="6">
        <v>166890.60999999993</v>
      </c>
    </row>
    <row r="180" spans="1:11" x14ac:dyDescent="0.25">
      <c r="A180" s="5" t="s">
        <v>822</v>
      </c>
      <c r="B180" s="42">
        <f t="shared" si="2"/>
        <v>90.960679999999996</v>
      </c>
      <c r="C180" s="7" t="s">
        <v>458</v>
      </c>
      <c r="D180" s="7" t="s">
        <v>460</v>
      </c>
      <c r="E180" s="7" t="s">
        <v>0</v>
      </c>
      <c r="F180" s="17">
        <v>84.892519999999735</v>
      </c>
      <c r="G180" s="7" t="s">
        <v>251</v>
      </c>
      <c r="H180" s="7" t="s">
        <v>252</v>
      </c>
      <c r="I180" s="6">
        <v>569.36000000000058</v>
      </c>
      <c r="J180" s="6">
        <v>90960.68</v>
      </c>
      <c r="K180" s="6">
        <v>166347.25999999992</v>
      </c>
    </row>
    <row r="181" spans="1:11" x14ac:dyDescent="0.25">
      <c r="A181" s="5" t="s">
        <v>822</v>
      </c>
      <c r="B181" s="42">
        <f t="shared" si="2"/>
        <v>91.53004</v>
      </c>
      <c r="C181" s="7" t="s">
        <v>460</v>
      </c>
      <c r="D181" s="7" t="s">
        <v>462</v>
      </c>
      <c r="E181" s="7" t="s">
        <v>0</v>
      </c>
      <c r="F181" s="17">
        <v>85.356959999999731</v>
      </c>
      <c r="G181" s="7" t="s">
        <v>252</v>
      </c>
      <c r="H181" s="7" t="s">
        <v>253</v>
      </c>
      <c r="I181" s="6">
        <v>571.5399999999936</v>
      </c>
      <c r="J181" s="6">
        <v>91530.04</v>
      </c>
      <c r="K181" s="6">
        <v>165777.89999999991</v>
      </c>
    </row>
    <row r="182" spans="1:11" x14ac:dyDescent="0.25">
      <c r="A182" s="5" t="s">
        <v>822</v>
      </c>
      <c r="B182" s="42">
        <f t="shared" si="2"/>
        <v>92.101579999999984</v>
      </c>
      <c r="C182" s="7" t="s">
        <v>462</v>
      </c>
      <c r="D182" s="7" t="s">
        <v>464</v>
      </c>
      <c r="E182" s="7" t="s">
        <v>0</v>
      </c>
      <c r="F182" s="17">
        <v>85.855729999999738</v>
      </c>
      <c r="G182" s="7" t="s">
        <v>253</v>
      </c>
      <c r="H182" s="7" t="s">
        <v>254</v>
      </c>
      <c r="I182" s="6">
        <v>570.28000000001339</v>
      </c>
      <c r="J182" s="6">
        <v>92101.579999999987</v>
      </c>
      <c r="K182" s="6">
        <v>165206.35999999993</v>
      </c>
    </row>
    <row r="183" spans="1:11" x14ac:dyDescent="0.25">
      <c r="A183" s="5" t="s">
        <v>822</v>
      </c>
      <c r="B183" s="42">
        <f t="shared" si="2"/>
        <v>92.671859999999995</v>
      </c>
      <c r="C183" s="7" t="s">
        <v>464</v>
      </c>
      <c r="D183" s="7" t="s">
        <v>466</v>
      </c>
      <c r="E183" s="7" t="s">
        <v>0</v>
      </c>
      <c r="F183" s="17">
        <v>86.616119999999739</v>
      </c>
      <c r="G183" s="7" t="s">
        <v>254</v>
      </c>
      <c r="H183" s="7" t="s">
        <v>255</v>
      </c>
      <c r="I183" s="6">
        <v>590.45999999999185</v>
      </c>
      <c r="J183" s="6">
        <v>92671.86</v>
      </c>
      <c r="K183" s="6">
        <v>164636.0799999999</v>
      </c>
    </row>
    <row r="184" spans="1:11" x14ac:dyDescent="0.25">
      <c r="A184" s="5" t="s">
        <v>822</v>
      </c>
      <c r="B184" s="42">
        <f t="shared" si="2"/>
        <v>93.262319999999988</v>
      </c>
      <c r="C184" s="7" t="s">
        <v>466</v>
      </c>
      <c r="D184" s="7" t="s">
        <v>468</v>
      </c>
      <c r="E184" s="7" t="s">
        <v>0</v>
      </c>
      <c r="F184" s="17">
        <v>87.117019999999727</v>
      </c>
      <c r="G184" s="7" t="s">
        <v>255</v>
      </c>
      <c r="H184" s="7" t="s">
        <v>256</v>
      </c>
      <c r="I184" s="6">
        <v>557.47</v>
      </c>
      <c r="J184" s="6">
        <v>93262.319999999992</v>
      </c>
      <c r="K184" s="6">
        <v>164045.61999999991</v>
      </c>
    </row>
    <row r="185" spans="1:11" x14ac:dyDescent="0.25">
      <c r="A185" s="5" t="s">
        <v>822</v>
      </c>
      <c r="B185" s="42">
        <f t="shared" si="2"/>
        <v>93.819789999999998</v>
      </c>
      <c r="C185" s="7" t="s">
        <v>468</v>
      </c>
      <c r="D185" s="7" t="s">
        <v>470</v>
      </c>
      <c r="E185" s="7" t="s">
        <v>0</v>
      </c>
      <c r="F185" s="17">
        <v>87.745729999999739</v>
      </c>
      <c r="G185" s="7" t="s">
        <v>256</v>
      </c>
      <c r="H185" s="7" t="s">
        <v>257</v>
      </c>
      <c r="I185" s="6">
        <v>552.17999999999995</v>
      </c>
      <c r="J185" s="6">
        <v>93819.79</v>
      </c>
      <c r="K185" s="6">
        <v>163488.14999999991</v>
      </c>
    </row>
    <row r="186" spans="1:11" x14ac:dyDescent="0.25">
      <c r="A186" s="5" t="s">
        <v>822</v>
      </c>
      <c r="B186" s="42">
        <f t="shared" si="2"/>
        <v>94.37196999999999</v>
      </c>
      <c r="C186" s="7" t="s">
        <v>470</v>
      </c>
      <c r="D186" s="7" t="s">
        <v>472</v>
      </c>
      <c r="E186" s="7" t="s">
        <v>0</v>
      </c>
      <c r="F186" s="17">
        <v>88.305339999999731</v>
      </c>
      <c r="G186" s="7" t="s">
        <v>257</v>
      </c>
      <c r="H186" s="7" t="s">
        <v>258</v>
      </c>
      <c r="I186" s="6">
        <v>574.04999999999995</v>
      </c>
      <c r="J186" s="6">
        <v>94371.969999999987</v>
      </c>
      <c r="K186" s="6">
        <v>162935.96999999991</v>
      </c>
    </row>
    <row r="187" spans="1:11" x14ac:dyDescent="0.25">
      <c r="A187" s="5" t="s">
        <v>822</v>
      </c>
      <c r="B187" s="42">
        <f t="shared" si="2"/>
        <v>94.94601999999999</v>
      </c>
      <c r="C187" s="7" t="s">
        <v>472</v>
      </c>
      <c r="D187" s="7" t="s">
        <v>474</v>
      </c>
      <c r="E187" s="7" t="s">
        <v>0</v>
      </c>
      <c r="F187" s="17">
        <v>88.955689999999734</v>
      </c>
      <c r="G187" s="7" t="s">
        <v>258</v>
      </c>
      <c r="H187" s="7" t="s">
        <v>259</v>
      </c>
      <c r="I187" s="6">
        <v>484.5</v>
      </c>
      <c r="J187" s="6">
        <v>94946.01999999999</v>
      </c>
      <c r="K187" s="6">
        <v>162361.91999999993</v>
      </c>
    </row>
    <row r="188" spans="1:11" x14ac:dyDescent="0.25">
      <c r="A188" s="5" t="s">
        <v>822</v>
      </c>
      <c r="B188" s="42">
        <f t="shared" si="2"/>
        <v>95.430519999999987</v>
      </c>
      <c r="C188" s="7" t="s">
        <v>474</v>
      </c>
      <c r="D188" s="7" t="s">
        <v>476</v>
      </c>
      <c r="E188" s="7" t="s">
        <v>0</v>
      </c>
      <c r="F188" s="17">
        <v>89.294009999999744</v>
      </c>
      <c r="G188" s="7" t="s">
        <v>259</v>
      </c>
      <c r="H188" s="7" t="s">
        <v>260</v>
      </c>
      <c r="I188" s="6">
        <v>436.2</v>
      </c>
      <c r="J188" s="6">
        <v>95430.51999999999</v>
      </c>
      <c r="K188" s="6">
        <v>161877.41999999993</v>
      </c>
    </row>
    <row r="189" spans="1:11" x14ac:dyDescent="0.25">
      <c r="A189" s="5" t="s">
        <v>822</v>
      </c>
      <c r="B189" s="42">
        <f t="shared" si="2"/>
        <v>95.866719999999987</v>
      </c>
      <c r="C189" s="7" t="s">
        <v>476</v>
      </c>
      <c r="D189" s="7" t="s">
        <v>478</v>
      </c>
      <c r="E189" s="7" t="s">
        <v>0</v>
      </c>
      <c r="F189" s="17">
        <v>89.765609999999754</v>
      </c>
      <c r="G189" s="7" t="s">
        <v>260</v>
      </c>
      <c r="H189" s="7" t="s">
        <v>261</v>
      </c>
      <c r="I189" s="6">
        <v>497.44</v>
      </c>
      <c r="J189" s="6">
        <v>95866.719999999987</v>
      </c>
      <c r="K189" s="6">
        <v>161441.21999999991</v>
      </c>
    </row>
    <row r="190" spans="1:11" x14ac:dyDescent="0.25">
      <c r="A190" s="5" t="s">
        <v>822</v>
      </c>
      <c r="B190" s="42">
        <f t="shared" si="2"/>
        <v>96.364159999999984</v>
      </c>
      <c r="C190" s="7" t="s">
        <v>478</v>
      </c>
      <c r="D190" s="7" t="s">
        <v>480</v>
      </c>
      <c r="E190" s="7" t="s">
        <v>0</v>
      </c>
      <c r="F190" s="17">
        <v>90.232809999999745</v>
      </c>
      <c r="G190" s="7" t="s">
        <v>261</v>
      </c>
      <c r="H190" s="7" t="s">
        <v>262</v>
      </c>
      <c r="I190" s="6">
        <v>515.75</v>
      </c>
      <c r="J190" s="6">
        <v>96364.159999999989</v>
      </c>
      <c r="K190" s="6">
        <v>160943.77999999991</v>
      </c>
    </row>
    <row r="191" spans="1:11" x14ac:dyDescent="0.25">
      <c r="A191" s="5" t="s">
        <v>822</v>
      </c>
      <c r="B191" s="42">
        <f t="shared" si="2"/>
        <v>96.879909999999995</v>
      </c>
      <c r="C191" s="7" t="s">
        <v>480</v>
      </c>
      <c r="D191" s="7" t="s">
        <v>482</v>
      </c>
      <c r="E191" s="7" t="s">
        <v>0</v>
      </c>
      <c r="F191" s="17">
        <v>90.795609999999755</v>
      </c>
      <c r="G191" s="7" t="s">
        <v>262</v>
      </c>
      <c r="H191" s="7" t="s">
        <v>263</v>
      </c>
      <c r="I191" s="6">
        <v>559.79999999999995</v>
      </c>
      <c r="J191" s="6">
        <v>96879.909999999989</v>
      </c>
      <c r="K191" s="6">
        <v>160428.02999999991</v>
      </c>
    </row>
    <row r="192" spans="1:11" x14ac:dyDescent="0.25">
      <c r="A192" s="5" t="s">
        <v>822</v>
      </c>
      <c r="B192" s="42">
        <f t="shared" si="2"/>
        <v>97.439709999999991</v>
      </c>
      <c r="C192" s="7" t="s">
        <v>482</v>
      </c>
      <c r="D192" s="7" t="s">
        <v>484</v>
      </c>
      <c r="E192" s="7" t="s">
        <v>0</v>
      </c>
      <c r="F192" s="17">
        <v>91.307449999999747</v>
      </c>
      <c r="G192" s="7" t="s">
        <v>263</v>
      </c>
      <c r="H192" s="7" t="s">
        <v>264</v>
      </c>
      <c r="I192" s="6">
        <v>502.31</v>
      </c>
      <c r="J192" s="6">
        <v>97439.709999999992</v>
      </c>
      <c r="K192" s="6">
        <v>159868.22999999992</v>
      </c>
    </row>
    <row r="193" spans="1:11" x14ac:dyDescent="0.25">
      <c r="A193" s="5" t="s">
        <v>822</v>
      </c>
      <c r="B193" s="42">
        <f t="shared" si="2"/>
        <v>97.942019999999985</v>
      </c>
      <c r="C193" s="7" t="s">
        <v>484</v>
      </c>
      <c r="D193" s="7" t="s">
        <v>486</v>
      </c>
      <c r="E193" s="7" t="s">
        <v>0</v>
      </c>
      <c r="F193" s="17">
        <v>91.854359999999758</v>
      </c>
      <c r="G193" s="7" t="s">
        <v>264</v>
      </c>
      <c r="H193" s="7" t="s">
        <v>265</v>
      </c>
      <c r="I193" s="6">
        <v>574.25</v>
      </c>
      <c r="J193" s="6">
        <v>97942.01999999999</v>
      </c>
      <c r="K193" s="6">
        <v>159365.91999999993</v>
      </c>
    </row>
    <row r="194" spans="1:11" x14ac:dyDescent="0.25">
      <c r="A194" s="5" t="s">
        <v>822</v>
      </c>
      <c r="B194" s="42">
        <f t="shared" si="2"/>
        <v>98.516269999999992</v>
      </c>
      <c r="C194" s="7" t="s">
        <v>486</v>
      </c>
      <c r="D194" s="7" t="s">
        <v>488</v>
      </c>
      <c r="E194" s="7" t="s">
        <v>0</v>
      </c>
      <c r="F194" s="17">
        <v>92.343439999999774</v>
      </c>
      <c r="G194" s="7" t="s">
        <v>265</v>
      </c>
      <c r="H194" s="7" t="s">
        <v>266</v>
      </c>
      <c r="I194" s="6">
        <v>512.70000000000005</v>
      </c>
      <c r="J194" s="6">
        <v>98516.26999999999</v>
      </c>
      <c r="K194" s="6">
        <v>158791.66999999993</v>
      </c>
    </row>
    <row r="195" spans="1:11" x14ac:dyDescent="0.25">
      <c r="A195" s="5" t="s">
        <v>822</v>
      </c>
      <c r="B195" s="42">
        <f t="shared" ref="B195:B258" si="3">J195/1000</f>
        <v>99.028969999999987</v>
      </c>
      <c r="C195" s="7" t="s">
        <v>488</v>
      </c>
      <c r="D195" s="7" t="s">
        <v>490</v>
      </c>
      <c r="E195" s="7" t="s">
        <v>0</v>
      </c>
      <c r="F195" s="17">
        <v>92.927449999999766</v>
      </c>
      <c r="G195" s="7" t="s">
        <v>266</v>
      </c>
      <c r="H195" s="7" t="s">
        <v>267</v>
      </c>
      <c r="I195" s="6">
        <v>556.26</v>
      </c>
      <c r="J195" s="6">
        <v>99028.969999999987</v>
      </c>
      <c r="K195" s="6">
        <v>158278.96999999991</v>
      </c>
    </row>
    <row r="196" spans="1:11" x14ac:dyDescent="0.25">
      <c r="A196" s="5" t="s">
        <v>822</v>
      </c>
      <c r="B196" s="42">
        <f t="shared" si="3"/>
        <v>99.585229999999981</v>
      </c>
      <c r="C196" s="7" t="s">
        <v>490</v>
      </c>
      <c r="D196" s="7" t="s">
        <v>492</v>
      </c>
      <c r="E196" s="7" t="s">
        <v>0</v>
      </c>
      <c r="F196" s="17">
        <v>93.68193999999977</v>
      </c>
      <c r="G196" s="7" t="s">
        <v>267</v>
      </c>
      <c r="H196" s="7" t="s">
        <v>268</v>
      </c>
      <c r="I196" s="6">
        <v>560.15</v>
      </c>
      <c r="J196" s="6">
        <v>99585.229999999981</v>
      </c>
      <c r="K196" s="6">
        <v>157722.7099999999</v>
      </c>
    </row>
    <row r="197" spans="1:11" x14ac:dyDescent="0.25">
      <c r="A197" s="5" t="s">
        <v>822</v>
      </c>
      <c r="B197" s="42">
        <f t="shared" si="3"/>
        <v>100.14537999999997</v>
      </c>
      <c r="C197" s="7" t="s">
        <v>492</v>
      </c>
      <c r="D197" s="7" t="s">
        <v>494</v>
      </c>
      <c r="E197" s="7" t="s">
        <v>0</v>
      </c>
      <c r="F197" s="17">
        <v>94.311929999999776</v>
      </c>
      <c r="G197" s="7" t="s">
        <v>268</v>
      </c>
      <c r="H197" s="7" t="s">
        <v>269</v>
      </c>
      <c r="I197" s="6">
        <v>379.96</v>
      </c>
      <c r="J197" s="6">
        <v>100145.37999999998</v>
      </c>
      <c r="K197" s="6">
        <v>157162.55999999991</v>
      </c>
    </row>
    <row r="198" spans="1:11" x14ac:dyDescent="0.25">
      <c r="A198" s="5" t="s">
        <v>822</v>
      </c>
      <c r="B198" s="42">
        <f t="shared" si="3"/>
        <v>100.52533999999999</v>
      </c>
      <c r="C198" s="7" t="s">
        <v>494</v>
      </c>
      <c r="D198" s="7" t="s">
        <v>496</v>
      </c>
      <c r="E198" s="7" t="s">
        <v>0</v>
      </c>
      <c r="F198" s="17">
        <v>94.612949999999785</v>
      </c>
      <c r="G198" s="7" t="s">
        <v>269</v>
      </c>
      <c r="H198" s="7" t="s">
        <v>270</v>
      </c>
      <c r="I198" s="6">
        <v>431.15</v>
      </c>
      <c r="J198" s="6">
        <v>100525.33999999998</v>
      </c>
      <c r="K198" s="6">
        <v>156782.59999999992</v>
      </c>
    </row>
    <row r="199" spans="1:11" x14ac:dyDescent="0.25">
      <c r="A199" s="5" t="s">
        <v>822</v>
      </c>
      <c r="B199" s="42">
        <f t="shared" si="3"/>
        <v>100.95648999999997</v>
      </c>
      <c r="C199" s="7" t="s">
        <v>496</v>
      </c>
      <c r="D199" s="7" t="s">
        <v>498</v>
      </c>
      <c r="E199" s="7" t="s">
        <v>0</v>
      </c>
      <c r="F199" s="17">
        <v>95.346949999999779</v>
      </c>
      <c r="G199" s="7" t="s">
        <v>270</v>
      </c>
      <c r="H199" s="7" t="s">
        <v>271</v>
      </c>
      <c r="I199" s="6">
        <v>502.5</v>
      </c>
      <c r="J199" s="6">
        <v>100956.48999999998</v>
      </c>
      <c r="K199" s="6">
        <v>156351.44999999992</v>
      </c>
    </row>
    <row r="200" spans="1:11" x14ac:dyDescent="0.25">
      <c r="A200" s="5" t="s">
        <v>822</v>
      </c>
      <c r="B200" s="42">
        <f t="shared" si="3"/>
        <v>101.45898999999997</v>
      </c>
      <c r="C200" s="7" t="s">
        <v>498</v>
      </c>
      <c r="D200" s="7" t="s">
        <v>500</v>
      </c>
      <c r="E200" s="7" t="s">
        <v>0</v>
      </c>
      <c r="F200" s="17">
        <v>95.807819999999779</v>
      </c>
      <c r="G200" s="7" t="s">
        <v>271</v>
      </c>
      <c r="H200" s="7" t="s">
        <v>273</v>
      </c>
      <c r="I200" s="6">
        <v>505.72999999999593</v>
      </c>
      <c r="J200" s="6">
        <v>101458.98999999998</v>
      </c>
      <c r="K200" s="6">
        <v>155848.94999999992</v>
      </c>
    </row>
    <row r="201" spans="1:11" x14ac:dyDescent="0.25">
      <c r="A201" s="5" t="s">
        <v>822</v>
      </c>
      <c r="B201" s="42">
        <f t="shared" si="3"/>
        <v>101.96471999999997</v>
      </c>
      <c r="C201" s="7" t="s">
        <v>500</v>
      </c>
      <c r="D201" s="7" t="s">
        <v>502</v>
      </c>
      <c r="E201" s="7" t="s">
        <v>0</v>
      </c>
      <c r="F201" s="17">
        <v>96.066229999999777</v>
      </c>
      <c r="G201" s="7" t="s">
        <v>273</v>
      </c>
      <c r="H201" s="7" t="s">
        <v>275</v>
      </c>
      <c r="I201" s="6">
        <v>483.25</v>
      </c>
      <c r="J201" s="6">
        <v>101964.71999999997</v>
      </c>
      <c r="K201" s="6">
        <v>155343.21999999991</v>
      </c>
    </row>
    <row r="202" spans="1:11" x14ac:dyDescent="0.25">
      <c r="A202" s="5" t="s">
        <v>822</v>
      </c>
      <c r="B202" s="42">
        <f t="shared" si="3"/>
        <v>102.44796999999997</v>
      </c>
      <c r="C202" s="7" t="s">
        <v>502</v>
      </c>
      <c r="D202" s="7" t="s">
        <v>503</v>
      </c>
      <c r="E202" s="7" t="s">
        <v>0</v>
      </c>
      <c r="F202" s="17">
        <v>96.511539999999769</v>
      </c>
      <c r="G202" s="7" t="s">
        <v>275</v>
      </c>
      <c r="H202" s="7" t="s">
        <v>277</v>
      </c>
      <c r="I202" s="6">
        <v>516.91000000000349</v>
      </c>
      <c r="J202" s="6">
        <v>102447.96999999997</v>
      </c>
      <c r="K202" s="6">
        <v>154859.96999999991</v>
      </c>
    </row>
    <row r="203" spans="1:11" x14ac:dyDescent="0.25">
      <c r="A203" s="5" t="s">
        <v>822</v>
      </c>
      <c r="B203" s="42">
        <f t="shared" si="3"/>
        <v>102.96487999999998</v>
      </c>
      <c r="C203" s="7" t="s">
        <v>503</v>
      </c>
      <c r="D203" s="7" t="s">
        <v>501</v>
      </c>
      <c r="E203" s="7" t="s">
        <v>0</v>
      </c>
      <c r="F203" s="17">
        <v>97.075549999999765</v>
      </c>
      <c r="G203" s="7" t="s">
        <v>277</v>
      </c>
      <c r="H203" s="7" t="s">
        <v>279</v>
      </c>
      <c r="I203" s="6">
        <v>480.55999999999767</v>
      </c>
      <c r="J203" s="6">
        <v>102964.87999999998</v>
      </c>
      <c r="K203" s="6">
        <v>154343.05999999991</v>
      </c>
    </row>
    <row r="204" spans="1:11" x14ac:dyDescent="0.25">
      <c r="A204" s="5" t="s">
        <v>822</v>
      </c>
      <c r="B204" s="42">
        <f t="shared" si="3"/>
        <v>103.44543999999998</v>
      </c>
      <c r="C204" s="7" t="s">
        <v>501</v>
      </c>
      <c r="D204" s="7" t="s">
        <v>499</v>
      </c>
      <c r="E204" s="7" t="s">
        <v>0</v>
      </c>
      <c r="F204" s="17">
        <v>97.543639999999769</v>
      </c>
      <c r="G204" s="7" t="s">
        <v>279</v>
      </c>
      <c r="H204" s="7" t="s">
        <v>281</v>
      </c>
      <c r="I204" s="6">
        <v>582</v>
      </c>
      <c r="J204" s="6">
        <v>103445.43999999997</v>
      </c>
      <c r="K204" s="6">
        <v>153862.49999999991</v>
      </c>
    </row>
    <row r="205" spans="1:11" x14ac:dyDescent="0.25">
      <c r="A205" s="5" t="s">
        <v>822</v>
      </c>
      <c r="B205" s="42">
        <f t="shared" si="3"/>
        <v>104.02743999999997</v>
      </c>
      <c r="C205" s="7" t="s">
        <v>499</v>
      </c>
      <c r="D205" s="7" t="s">
        <v>497</v>
      </c>
      <c r="E205" s="7" t="s">
        <v>0</v>
      </c>
      <c r="F205" s="17">
        <v>97.99085999999977</v>
      </c>
      <c r="G205" s="7" t="s">
        <v>281</v>
      </c>
      <c r="H205" s="7" t="s">
        <v>283</v>
      </c>
      <c r="I205" s="6">
        <v>530.43000000000757</v>
      </c>
      <c r="J205" s="6">
        <v>104027.43999999997</v>
      </c>
      <c r="K205" s="6">
        <v>153280.49999999991</v>
      </c>
    </row>
    <row r="206" spans="1:11" x14ac:dyDescent="0.25">
      <c r="A206" s="5" t="s">
        <v>822</v>
      </c>
      <c r="B206" s="42">
        <f t="shared" si="3"/>
        <v>104.55786999999998</v>
      </c>
      <c r="C206" s="7" t="s">
        <v>497</v>
      </c>
      <c r="D206" s="7" t="s">
        <v>495</v>
      </c>
      <c r="E206" s="7" t="s">
        <v>0</v>
      </c>
      <c r="F206" s="17">
        <v>98.443449999999771</v>
      </c>
      <c r="G206" s="7" t="s">
        <v>283</v>
      </c>
      <c r="H206" s="7" t="s">
        <v>285</v>
      </c>
      <c r="I206" s="6">
        <v>524.63999999999942</v>
      </c>
      <c r="J206" s="6">
        <v>104557.86999999998</v>
      </c>
      <c r="K206" s="6">
        <v>152750.06999999989</v>
      </c>
    </row>
    <row r="207" spans="1:11" x14ac:dyDescent="0.25">
      <c r="A207" s="5" t="s">
        <v>822</v>
      </c>
      <c r="B207" s="42">
        <f t="shared" si="3"/>
        <v>105.08250999999998</v>
      </c>
      <c r="C207" s="7" t="s">
        <v>495</v>
      </c>
      <c r="D207" s="7" t="s">
        <v>493</v>
      </c>
      <c r="E207" s="7" t="s">
        <v>0</v>
      </c>
      <c r="F207" s="17">
        <v>98.884569999999755</v>
      </c>
      <c r="G207" s="7" t="s">
        <v>285</v>
      </c>
      <c r="H207" s="7" t="s">
        <v>287</v>
      </c>
      <c r="I207" s="6">
        <v>594.77999999999884</v>
      </c>
      <c r="J207" s="6">
        <v>105082.50999999998</v>
      </c>
      <c r="K207" s="6">
        <v>152225.42999999988</v>
      </c>
    </row>
    <row r="208" spans="1:11" x14ac:dyDescent="0.25">
      <c r="A208" s="5" t="s">
        <v>822</v>
      </c>
      <c r="B208" s="42">
        <f t="shared" si="3"/>
        <v>105.67728999999999</v>
      </c>
      <c r="C208" s="7" t="s">
        <v>493</v>
      </c>
      <c r="D208" s="7" t="s">
        <v>491</v>
      </c>
      <c r="E208" s="7" t="s">
        <v>0</v>
      </c>
      <c r="F208" s="17">
        <v>99.317859999999754</v>
      </c>
      <c r="G208" s="7" t="s">
        <v>287</v>
      </c>
      <c r="H208" s="7" t="s">
        <v>289</v>
      </c>
      <c r="I208" s="6">
        <v>453.97999999999593</v>
      </c>
      <c r="J208" s="6">
        <v>105677.28999999998</v>
      </c>
      <c r="K208" s="6">
        <v>151630.64999999988</v>
      </c>
    </row>
    <row r="209" spans="1:11" x14ac:dyDescent="0.25">
      <c r="A209" s="5" t="s">
        <v>822</v>
      </c>
      <c r="B209" s="42">
        <f t="shared" si="3"/>
        <v>106.13126999999997</v>
      </c>
      <c r="C209" s="7" t="s">
        <v>491</v>
      </c>
      <c r="D209" s="7" t="s">
        <v>489</v>
      </c>
      <c r="E209" s="7" t="s">
        <v>0</v>
      </c>
      <c r="F209" s="17">
        <v>99.742039999999747</v>
      </c>
      <c r="G209" s="7" t="s">
        <v>289</v>
      </c>
      <c r="H209" s="7" t="s">
        <v>291</v>
      </c>
      <c r="I209" s="6">
        <v>349.2100000000064</v>
      </c>
      <c r="J209" s="6">
        <v>106131.26999999997</v>
      </c>
      <c r="K209" s="6">
        <v>151176.66999999987</v>
      </c>
    </row>
    <row r="210" spans="1:11" x14ac:dyDescent="0.25">
      <c r="A210" s="5" t="s">
        <v>822</v>
      </c>
      <c r="B210" s="42">
        <f t="shared" si="3"/>
        <v>106.48047999999999</v>
      </c>
      <c r="C210" s="7" t="s">
        <v>489</v>
      </c>
      <c r="D210" s="7" t="s">
        <v>487</v>
      </c>
      <c r="E210" s="7" t="s">
        <v>0</v>
      </c>
      <c r="F210" s="17">
        <v>100.22273999999975</v>
      </c>
      <c r="G210" s="7" t="s">
        <v>291</v>
      </c>
      <c r="H210" s="7" t="s">
        <v>293</v>
      </c>
      <c r="I210" s="6">
        <v>406.08000000000175</v>
      </c>
      <c r="J210" s="6">
        <v>106480.47999999998</v>
      </c>
      <c r="K210" s="6">
        <v>150827.45999999985</v>
      </c>
    </row>
    <row r="211" spans="1:11" x14ac:dyDescent="0.25">
      <c r="A211" s="5" t="s">
        <v>822</v>
      </c>
      <c r="B211" s="42">
        <f t="shared" si="3"/>
        <v>106.88655999999999</v>
      </c>
      <c r="C211" s="7" t="s">
        <v>487</v>
      </c>
      <c r="D211" s="7" t="s">
        <v>485</v>
      </c>
      <c r="E211" s="7" t="s">
        <v>0</v>
      </c>
      <c r="F211" s="17">
        <v>100.71164999999975</v>
      </c>
      <c r="G211" s="7" t="s">
        <v>293</v>
      </c>
      <c r="H211" s="7" t="s">
        <v>295</v>
      </c>
      <c r="I211" s="6">
        <v>508.16</v>
      </c>
      <c r="J211" s="6">
        <v>106886.55999999998</v>
      </c>
      <c r="K211" s="6">
        <v>150421.37999999983</v>
      </c>
    </row>
    <row r="212" spans="1:11" x14ac:dyDescent="0.25">
      <c r="A212" s="5" t="s">
        <v>822</v>
      </c>
      <c r="B212" s="42">
        <f t="shared" si="3"/>
        <v>107.39471999999999</v>
      </c>
      <c r="C212" s="7" t="s">
        <v>485</v>
      </c>
      <c r="D212" s="7" t="s">
        <v>483</v>
      </c>
      <c r="E212" s="7" t="s">
        <v>0</v>
      </c>
      <c r="F212" s="17">
        <v>101.19665999999974</v>
      </c>
      <c r="G212" s="7" t="s">
        <v>295</v>
      </c>
      <c r="H212" s="7" t="s">
        <v>297</v>
      </c>
      <c r="I212" s="6">
        <v>515.23</v>
      </c>
      <c r="J212" s="6">
        <v>107394.71999999999</v>
      </c>
      <c r="K212" s="6">
        <v>149913.21999999983</v>
      </c>
    </row>
    <row r="213" spans="1:11" x14ac:dyDescent="0.25">
      <c r="A213" s="5" t="s">
        <v>822</v>
      </c>
      <c r="B213" s="42">
        <f t="shared" si="3"/>
        <v>107.90994999999998</v>
      </c>
      <c r="C213" s="7" t="s">
        <v>483</v>
      </c>
      <c r="D213" s="7" t="s">
        <v>481</v>
      </c>
      <c r="E213" s="7" t="s">
        <v>0</v>
      </c>
      <c r="F213" s="17">
        <v>101.79334999999975</v>
      </c>
      <c r="G213" s="7" t="s">
        <v>297</v>
      </c>
      <c r="H213" s="7" t="s">
        <v>299</v>
      </c>
      <c r="I213" s="6">
        <v>524.38</v>
      </c>
      <c r="J213" s="6">
        <v>107909.94999999998</v>
      </c>
      <c r="K213" s="6">
        <v>149397.98999999982</v>
      </c>
    </row>
    <row r="214" spans="1:11" x14ac:dyDescent="0.25">
      <c r="A214" s="5" t="s">
        <v>822</v>
      </c>
      <c r="B214" s="42">
        <f t="shared" si="3"/>
        <v>108.43432999999999</v>
      </c>
      <c r="C214" s="7" t="s">
        <v>481</v>
      </c>
      <c r="D214" s="7" t="s">
        <v>479</v>
      </c>
      <c r="E214" s="7" t="s">
        <v>0</v>
      </c>
      <c r="F214" s="17">
        <v>102.14283999999975</v>
      </c>
      <c r="G214" s="7" t="s">
        <v>299</v>
      </c>
      <c r="H214" s="7" t="s">
        <v>301</v>
      </c>
      <c r="I214" s="6">
        <v>570.47000000000116</v>
      </c>
      <c r="J214" s="6">
        <v>108434.32999999999</v>
      </c>
      <c r="K214" s="6">
        <v>148873.60999999981</v>
      </c>
    </row>
    <row r="215" spans="1:11" x14ac:dyDescent="0.25">
      <c r="A215" s="5" t="s">
        <v>822</v>
      </c>
      <c r="B215" s="42">
        <f t="shared" si="3"/>
        <v>109.00479999999999</v>
      </c>
      <c r="C215" s="7" t="s">
        <v>479</v>
      </c>
      <c r="D215" s="7" t="s">
        <v>477</v>
      </c>
      <c r="E215" s="7" t="s">
        <v>0</v>
      </c>
      <c r="F215" s="17">
        <v>103.01505999999975</v>
      </c>
      <c r="G215" s="7" t="s">
        <v>301</v>
      </c>
      <c r="H215" s="7" t="s">
        <v>303</v>
      </c>
      <c r="I215" s="6">
        <v>330.74000000000524</v>
      </c>
      <c r="J215" s="6">
        <v>109004.79999999999</v>
      </c>
      <c r="K215" s="6">
        <v>148303.13999999981</v>
      </c>
    </row>
    <row r="216" spans="1:11" x14ac:dyDescent="0.25">
      <c r="A216" s="5" t="s">
        <v>822</v>
      </c>
      <c r="B216" s="42">
        <f t="shared" si="3"/>
        <v>109.33553999999999</v>
      </c>
      <c r="C216" s="7" t="s">
        <v>477</v>
      </c>
      <c r="D216" s="7" t="s">
        <v>475</v>
      </c>
      <c r="E216" s="7" t="s">
        <v>0</v>
      </c>
      <c r="F216" s="17">
        <v>103.28551999999976</v>
      </c>
      <c r="G216" s="7" t="s">
        <v>303</v>
      </c>
      <c r="H216" s="7" t="s">
        <v>305</v>
      </c>
      <c r="I216" s="6">
        <v>580.94999999999709</v>
      </c>
      <c r="J216" s="6">
        <v>109335.54</v>
      </c>
      <c r="K216" s="6">
        <v>147972.39999999979</v>
      </c>
    </row>
    <row r="217" spans="1:11" x14ac:dyDescent="0.25">
      <c r="A217" s="5" t="s">
        <v>822</v>
      </c>
      <c r="B217" s="42">
        <f t="shared" si="3"/>
        <v>109.91649</v>
      </c>
      <c r="C217" s="7" t="s">
        <v>475</v>
      </c>
      <c r="D217" s="7" t="s">
        <v>473</v>
      </c>
      <c r="E217" s="7" t="s">
        <v>0</v>
      </c>
      <c r="F217" s="17">
        <v>103.63401999999975</v>
      </c>
      <c r="G217" s="7" t="s">
        <v>305</v>
      </c>
      <c r="H217" s="7" t="s">
        <v>307</v>
      </c>
      <c r="I217" s="6">
        <v>389.17999999999302</v>
      </c>
      <c r="J217" s="6">
        <v>109916.48999999999</v>
      </c>
      <c r="K217" s="6">
        <v>147391.44999999978</v>
      </c>
    </row>
    <row r="218" spans="1:11" x14ac:dyDescent="0.25">
      <c r="A218" s="5" t="s">
        <v>822</v>
      </c>
      <c r="B218" s="42">
        <f t="shared" si="3"/>
        <v>110.30566999999998</v>
      </c>
      <c r="C218" s="7" t="s">
        <v>473</v>
      </c>
      <c r="D218" s="7" t="s">
        <v>471</v>
      </c>
      <c r="E218" s="7" t="s">
        <v>0</v>
      </c>
      <c r="F218" s="17">
        <v>104.28089999999976</v>
      </c>
      <c r="G218" s="7" t="s">
        <v>307</v>
      </c>
      <c r="H218" s="7" t="s">
        <v>309</v>
      </c>
      <c r="I218" s="6">
        <v>435.3700000000099</v>
      </c>
      <c r="J218" s="6">
        <v>110305.66999999998</v>
      </c>
      <c r="K218" s="6">
        <v>147002.26999999979</v>
      </c>
    </row>
    <row r="219" spans="1:11" x14ac:dyDescent="0.25">
      <c r="A219" s="5" t="s">
        <v>822</v>
      </c>
      <c r="B219" s="42">
        <f t="shared" si="3"/>
        <v>110.74104</v>
      </c>
      <c r="C219" s="7" t="s">
        <v>471</v>
      </c>
      <c r="D219" s="7" t="s">
        <v>469</v>
      </c>
      <c r="E219" s="7" t="s">
        <v>0</v>
      </c>
      <c r="F219" s="17">
        <v>104.79709999999976</v>
      </c>
      <c r="G219" s="7" t="s">
        <v>309</v>
      </c>
      <c r="H219" s="7" t="s">
        <v>311</v>
      </c>
      <c r="I219" s="6">
        <v>753.25</v>
      </c>
      <c r="J219" s="6">
        <v>110741.04</v>
      </c>
      <c r="K219" s="6">
        <v>146566.89999999979</v>
      </c>
    </row>
    <row r="220" spans="1:11" x14ac:dyDescent="0.25">
      <c r="A220" s="5" t="s">
        <v>822</v>
      </c>
      <c r="B220" s="42">
        <f t="shared" si="3"/>
        <v>111.49428999999999</v>
      </c>
      <c r="C220" s="7" t="s">
        <v>469</v>
      </c>
      <c r="D220" s="7" t="s">
        <v>467</v>
      </c>
      <c r="E220" s="7" t="s">
        <v>0</v>
      </c>
      <c r="F220" s="17">
        <v>105.30926999999976</v>
      </c>
      <c r="G220" s="7" t="s">
        <v>311</v>
      </c>
      <c r="H220" s="7" t="s">
        <v>313</v>
      </c>
      <c r="I220" s="6">
        <v>555.7899999999936</v>
      </c>
      <c r="J220" s="6">
        <v>111494.29</v>
      </c>
      <c r="K220" s="6">
        <v>145813.64999999979</v>
      </c>
    </row>
    <row r="221" spans="1:11" x14ac:dyDescent="0.25">
      <c r="A221" s="5" t="s">
        <v>822</v>
      </c>
      <c r="B221" s="42">
        <f t="shared" si="3"/>
        <v>112.05007999999999</v>
      </c>
      <c r="C221" s="7" t="s">
        <v>467</v>
      </c>
      <c r="D221" s="7" t="s">
        <v>465</v>
      </c>
      <c r="E221" s="7" t="s">
        <v>0</v>
      </c>
      <c r="F221" s="17">
        <v>105.68837999999975</v>
      </c>
      <c r="G221" s="7" t="s">
        <v>313</v>
      </c>
      <c r="H221" s="7" t="s">
        <v>315</v>
      </c>
      <c r="I221" s="6">
        <v>374.48000000001048</v>
      </c>
      <c r="J221" s="6">
        <v>112050.07999999999</v>
      </c>
      <c r="K221" s="6">
        <v>145257.85999999981</v>
      </c>
    </row>
    <row r="222" spans="1:11" x14ac:dyDescent="0.25">
      <c r="A222" s="5" t="s">
        <v>822</v>
      </c>
      <c r="B222" s="42">
        <f t="shared" si="3"/>
        <v>112.42456</v>
      </c>
      <c r="C222" s="7" t="s">
        <v>465</v>
      </c>
      <c r="D222" s="7" t="s">
        <v>463</v>
      </c>
      <c r="E222" s="7" t="s">
        <v>0</v>
      </c>
      <c r="F222" s="17">
        <v>106.25437999999976</v>
      </c>
      <c r="G222" s="7" t="s">
        <v>315</v>
      </c>
      <c r="H222" s="7" t="s">
        <v>317</v>
      </c>
      <c r="I222" s="6">
        <v>287.7</v>
      </c>
      <c r="J222" s="6">
        <v>112424.56</v>
      </c>
      <c r="K222" s="6">
        <v>144883.3799999998</v>
      </c>
    </row>
    <row r="223" spans="1:11" x14ac:dyDescent="0.25">
      <c r="A223" s="5" t="s">
        <v>822</v>
      </c>
      <c r="B223" s="42">
        <f t="shared" si="3"/>
        <v>112.71226</v>
      </c>
      <c r="C223" s="7" t="s">
        <v>463</v>
      </c>
      <c r="D223" s="7" t="s">
        <v>461</v>
      </c>
      <c r="E223" s="7" t="s">
        <v>0</v>
      </c>
      <c r="F223" s="17">
        <v>106.82476999999976</v>
      </c>
      <c r="G223" s="7" t="s">
        <v>317</v>
      </c>
      <c r="H223" s="7" t="s">
        <v>319</v>
      </c>
      <c r="I223" s="6">
        <v>597.1</v>
      </c>
      <c r="J223" s="6">
        <v>112712.26</v>
      </c>
      <c r="K223" s="6">
        <v>144595.67999999979</v>
      </c>
    </row>
    <row r="224" spans="1:11" x14ac:dyDescent="0.25">
      <c r="A224" s="5" t="s">
        <v>822</v>
      </c>
      <c r="B224" s="42">
        <f t="shared" si="3"/>
        <v>113.30936</v>
      </c>
      <c r="C224" s="7" t="s">
        <v>461</v>
      </c>
      <c r="D224" s="7" t="s">
        <v>459</v>
      </c>
      <c r="E224" s="7" t="s">
        <v>0</v>
      </c>
      <c r="F224" s="17">
        <v>107.32712999999976</v>
      </c>
      <c r="G224" s="7" t="s">
        <v>319</v>
      </c>
      <c r="H224" s="7" t="s">
        <v>321</v>
      </c>
      <c r="I224" s="6">
        <v>430.58000000000175</v>
      </c>
      <c r="J224" s="6">
        <v>113309.36</v>
      </c>
      <c r="K224" s="6">
        <v>143998.57999999978</v>
      </c>
    </row>
    <row r="225" spans="1:11" x14ac:dyDescent="0.25">
      <c r="A225" s="5" t="s">
        <v>822</v>
      </c>
      <c r="B225" s="42">
        <f t="shared" si="3"/>
        <v>113.73994</v>
      </c>
      <c r="C225" s="7" t="s">
        <v>459</v>
      </c>
      <c r="D225" s="7" t="s">
        <v>457</v>
      </c>
      <c r="E225" s="7" t="s">
        <v>0</v>
      </c>
      <c r="F225" s="17">
        <v>107.92931999999976</v>
      </c>
      <c r="G225" s="7" t="s">
        <v>321</v>
      </c>
      <c r="H225" s="7" t="s">
        <v>323</v>
      </c>
      <c r="I225" s="6">
        <v>583.07000000000698</v>
      </c>
      <c r="J225" s="6">
        <v>113739.94</v>
      </c>
      <c r="K225" s="6">
        <v>143567.99999999977</v>
      </c>
    </row>
    <row r="226" spans="1:11" x14ac:dyDescent="0.25">
      <c r="A226" s="5" t="s">
        <v>822</v>
      </c>
      <c r="B226" s="42">
        <f t="shared" si="3"/>
        <v>114.32301000000001</v>
      </c>
      <c r="C226" s="7" t="s">
        <v>457</v>
      </c>
      <c r="D226" s="7" t="s">
        <v>455</v>
      </c>
      <c r="E226" s="7" t="s">
        <v>0</v>
      </c>
      <c r="F226" s="17">
        <v>108.40896999999975</v>
      </c>
      <c r="G226" s="7" t="s">
        <v>323</v>
      </c>
      <c r="H226" s="7" t="s">
        <v>325</v>
      </c>
      <c r="I226" s="6">
        <v>516.92999999999302</v>
      </c>
      <c r="J226" s="6">
        <v>114323.01000000001</v>
      </c>
      <c r="K226" s="6">
        <v>142984.92999999976</v>
      </c>
    </row>
    <row r="227" spans="1:11" x14ac:dyDescent="0.25">
      <c r="A227" s="5" t="s">
        <v>822</v>
      </c>
      <c r="B227" s="42">
        <f t="shared" si="3"/>
        <v>114.83994</v>
      </c>
      <c r="C227" s="7" t="s">
        <v>455</v>
      </c>
      <c r="D227" s="7" t="s">
        <v>453</v>
      </c>
      <c r="E227" s="7" t="s">
        <v>0</v>
      </c>
      <c r="F227" s="17">
        <v>108.90855999999975</v>
      </c>
      <c r="G227" s="7" t="s">
        <v>325</v>
      </c>
      <c r="H227" s="7" t="s">
        <v>327</v>
      </c>
      <c r="I227" s="6">
        <v>580.5</v>
      </c>
      <c r="J227" s="6">
        <v>114839.94</v>
      </c>
      <c r="K227" s="6">
        <v>142467.99999999977</v>
      </c>
    </row>
    <row r="228" spans="1:11" x14ac:dyDescent="0.25">
      <c r="A228" s="5" t="s">
        <v>822</v>
      </c>
      <c r="B228" s="42">
        <f t="shared" si="3"/>
        <v>115.42044</v>
      </c>
      <c r="C228" s="7" t="s">
        <v>453</v>
      </c>
      <c r="D228" s="7" t="s">
        <v>451</v>
      </c>
      <c r="E228" s="7" t="s">
        <v>0</v>
      </c>
      <c r="F228" s="17">
        <v>109.44955999999975</v>
      </c>
      <c r="G228" s="7" t="s">
        <v>327</v>
      </c>
      <c r="H228" s="7" t="s">
        <v>329</v>
      </c>
      <c r="I228" s="6">
        <v>360.05</v>
      </c>
      <c r="J228" s="6">
        <v>115420.44</v>
      </c>
      <c r="K228" s="6">
        <v>141887.49999999977</v>
      </c>
    </row>
    <row r="229" spans="1:11" x14ac:dyDescent="0.25">
      <c r="A229" s="5" t="s">
        <v>822</v>
      </c>
      <c r="B229" s="42">
        <f t="shared" si="3"/>
        <v>115.78049</v>
      </c>
      <c r="C229" s="7" t="s">
        <v>451</v>
      </c>
      <c r="D229" s="7" t="s">
        <v>449</v>
      </c>
      <c r="E229" s="7" t="s">
        <v>0</v>
      </c>
      <c r="F229" s="17">
        <v>109.80895999999974</v>
      </c>
      <c r="G229" s="7" t="s">
        <v>329</v>
      </c>
      <c r="H229" s="7" t="s">
        <v>331</v>
      </c>
      <c r="I229" s="6">
        <v>539.08999999999651</v>
      </c>
      <c r="J229" s="6">
        <v>115780.49</v>
      </c>
      <c r="K229" s="6">
        <v>141527.44999999978</v>
      </c>
    </row>
    <row r="230" spans="1:11" x14ac:dyDescent="0.25">
      <c r="A230" s="5" t="s">
        <v>822</v>
      </c>
      <c r="B230" s="42">
        <f t="shared" si="3"/>
        <v>116.31958</v>
      </c>
      <c r="C230" s="7" t="s">
        <v>449</v>
      </c>
      <c r="D230" s="7" t="s">
        <v>447</v>
      </c>
      <c r="E230" s="7" t="s">
        <v>0</v>
      </c>
      <c r="F230" s="17">
        <v>110.27439999999974</v>
      </c>
      <c r="G230" s="7" t="s">
        <v>331</v>
      </c>
      <c r="H230" s="7" t="s">
        <v>333</v>
      </c>
      <c r="I230" s="6">
        <v>508.16000000000349</v>
      </c>
      <c r="J230" s="6">
        <v>116319.58</v>
      </c>
      <c r="K230" s="6">
        <v>140988.35999999978</v>
      </c>
    </row>
    <row r="231" spans="1:11" x14ac:dyDescent="0.25">
      <c r="A231" s="5" t="s">
        <v>822</v>
      </c>
      <c r="B231" s="42">
        <f t="shared" si="3"/>
        <v>116.82774000000001</v>
      </c>
      <c r="C231" s="7" t="s">
        <v>447</v>
      </c>
      <c r="D231" s="7" t="s">
        <v>445</v>
      </c>
      <c r="E231" s="7" t="s">
        <v>0</v>
      </c>
      <c r="F231" s="17">
        <v>110.86854999999974</v>
      </c>
      <c r="G231" s="7" t="s">
        <v>333</v>
      </c>
      <c r="H231" s="7" t="s">
        <v>335</v>
      </c>
      <c r="I231" s="6">
        <v>565.22999999999593</v>
      </c>
      <c r="J231" s="6">
        <v>116827.74</v>
      </c>
      <c r="K231" s="6">
        <v>140480.19999999978</v>
      </c>
    </row>
    <row r="232" spans="1:11" x14ac:dyDescent="0.25">
      <c r="A232" s="5" t="s">
        <v>822</v>
      </c>
      <c r="B232" s="42">
        <f t="shared" si="3"/>
        <v>117.39297000000001</v>
      </c>
      <c r="C232" s="7" t="s">
        <v>445</v>
      </c>
      <c r="D232" s="7" t="s">
        <v>443</v>
      </c>
      <c r="E232" s="7" t="s">
        <v>0</v>
      </c>
      <c r="F232" s="17">
        <v>111.41615999999973</v>
      </c>
      <c r="G232" s="7" t="s">
        <v>335</v>
      </c>
      <c r="H232" s="7" t="s">
        <v>337</v>
      </c>
      <c r="I232" s="6">
        <v>477.61000000000058</v>
      </c>
      <c r="J232" s="6">
        <v>117392.97</v>
      </c>
      <c r="K232" s="6">
        <v>139914.9699999998</v>
      </c>
    </row>
    <row r="233" spans="1:11" x14ac:dyDescent="0.25">
      <c r="A233" s="5" t="s">
        <v>822</v>
      </c>
      <c r="B233" s="42">
        <f t="shared" si="3"/>
        <v>117.87058</v>
      </c>
      <c r="C233" s="7" t="s">
        <v>443</v>
      </c>
      <c r="D233" s="7" t="s">
        <v>441</v>
      </c>
      <c r="E233" s="7" t="s">
        <v>0</v>
      </c>
      <c r="F233" s="17">
        <v>111.99754999999973</v>
      </c>
      <c r="G233" s="7" t="s">
        <v>337</v>
      </c>
      <c r="H233" s="7" t="s">
        <v>339</v>
      </c>
      <c r="I233" s="6">
        <v>520.65000000000873</v>
      </c>
      <c r="J233" s="6">
        <v>117870.58</v>
      </c>
      <c r="K233" s="6">
        <v>139437.35999999981</v>
      </c>
    </row>
    <row r="234" spans="1:11" x14ac:dyDescent="0.25">
      <c r="A234" s="5" t="s">
        <v>822</v>
      </c>
      <c r="B234" s="42">
        <f t="shared" si="3"/>
        <v>118.39123000000001</v>
      </c>
      <c r="C234" s="7" t="s">
        <v>441</v>
      </c>
      <c r="D234" s="7" t="s">
        <v>439</v>
      </c>
      <c r="E234" s="7" t="s">
        <v>0</v>
      </c>
      <c r="F234" s="17">
        <v>112.59529999999974</v>
      </c>
      <c r="G234" s="7" t="s">
        <v>339</v>
      </c>
      <c r="H234" s="7" t="s">
        <v>341</v>
      </c>
      <c r="I234" s="6">
        <v>496.05</v>
      </c>
      <c r="J234" s="6">
        <v>118391.23000000001</v>
      </c>
      <c r="K234" s="6">
        <v>138916.70999999979</v>
      </c>
    </row>
    <row r="235" spans="1:11" x14ac:dyDescent="0.25">
      <c r="A235" s="5" t="s">
        <v>822</v>
      </c>
      <c r="B235" s="42">
        <f t="shared" si="3"/>
        <v>118.88728000000002</v>
      </c>
      <c r="C235" s="7" t="s">
        <v>439</v>
      </c>
      <c r="D235" s="7" t="s">
        <v>437</v>
      </c>
      <c r="E235" s="7" t="s">
        <v>0</v>
      </c>
      <c r="F235" s="17">
        <v>113.19204999999974</v>
      </c>
      <c r="G235" s="7" t="s">
        <v>341</v>
      </c>
      <c r="H235" s="7" t="s">
        <v>343</v>
      </c>
      <c r="I235" s="6">
        <v>500.48</v>
      </c>
      <c r="J235" s="6">
        <v>118887.28000000001</v>
      </c>
      <c r="K235" s="6">
        <v>138420.6599999998</v>
      </c>
    </row>
    <row r="236" spans="1:11" x14ac:dyDescent="0.25">
      <c r="A236" s="5" t="s">
        <v>822</v>
      </c>
      <c r="B236" s="42">
        <f t="shared" si="3"/>
        <v>119.38776000000001</v>
      </c>
      <c r="C236" s="7" t="s">
        <v>437</v>
      </c>
      <c r="D236" s="7" t="s">
        <v>435</v>
      </c>
      <c r="E236" s="7" t="s">
        <v>0</v>
      </c>
      <c r="F236" s="17">
        <v>113.69620999999974</v>
      </c>
      <c r="G236" s="7" t="s">
        <v>343</v>
      </c>
      <c r="H236" s="7" t="s">
        <v>345</v>
      </c>
      <c r="I236" s="6">
        <v>651.5399999999936</v>
      </c>
      <c r="J236" s="6">
        <v>119387.76000000001</v>
      </c>
      <c r="K236" s="6">
        <v>137920.17999999979</v>
      </c>
    </row>
    <row r="237" spans="1:11" x14ac:dyDescent="0.25">
      <c r="A237" s="5" t="s">
        <v>822</v>
      </c>
      <c r="B237" s="42">
        <f t="shared" si="3"/>
        <v>120.0393</v>
      </c>
      <c r="C237" s="7" t="s">
        <v>435</v>
      </c>
      <c r="D237" s="7" t="s">
        <v>433</v>
      </c>
      <c r="E237" s="7" t="s">
        <v>0</v>
      </c>
      <c r="F237" s="17">
        <v>114.26459999999976</v>
      </c>
      <c r="G237" s="7" t="s">
        <v>345</v>
      </c>
      <c r="H237" s="7" t="s">
        <v>347</v>
      </c>
      <c r="I237" s="6">
        <v>535.86000000000058</v>
      </c>
      <c r="J237" s="6">
        <v>120039.3</v>
      </c>
      <c r="K237" s="6">
        <v>137268.63999999978</v>
      </c>
    </row>
    <row r="238" spans="1:11" x14ac:dyDescent="0.25">
      <c r="A238" s="5" t="s">
        <v>822</v>
      </c>
      <c r="B238" s="42">
        <f t="shared" si="3"/>
        <v>120.57516</v>
      </c>
      <c r="C238" s="7" t="s">
        <v>433</v>
      </c>
      <c r="D238" s="7" t="s">
        <v>431</v>
      </c>
      <c r="E238" s="7" t="s">
        <v>0</v>
      </c>
      <c r="F238" s="17">
        <v>114.68554999999974</v>
      </c>
      <c r="G238" s="7" t="s">
        <v>347</v>
      </c>
      <c r="H238" s="7" t="s">
        <v>349</v>
      </c>
      <c r="I238" s="6">
        <v>423.2</v>
      </c>
      <c r="J238" s="6">
        <v>120575.16</v>
      </c>
      <c r="K238" s="6">
        <v>136732.7799999998</v>
      </c>
    </row>
    <row r="239" spans="1:11" x14ac:dyDescent="0.25">
      <c r="A239" s="5" t="s">
        <v>822</v>
      </c>
      <c r="B239" s="42">
        <f t="shared" si="3"/>
        <v>120.99836000000001</v>
      </c>
      <c r="C239" s="7" t="s">
        <v>431</v>
      </c>
      <c r="D239" s="7" t="s">
        <v>429</v>
      </c>
      <c r="E239" s="7" t="s">
        <v>0</v>
      </c>
      <c r="F239" s="17">
        <v>115.10215999999976</v>
      </c>
      <c r="G239" s="7" t="s">
        <v>349</v>
      </c>
      <c r="H239" s="7" t="s">
        <v>351</v>
      </c>
      <c r="I239" s="6">
        <v>435.12</v>
      </c>
      <c r="J239" s="6">
        <v>120998.36</v>
      </c>
      <c r="K239" s="6">
        <v>136309.57999999978</v>
      </c>
    </row>
    <row r="240" spans="1:11" x14ac:dyDescent="0.25">
      <c r="A240" s="5" t="s">
        <v>822</v>
      </c>
      <c r="B240" s="42">
        <f t="shared" si="3"/>
        <v>121.43348</v>
      </c>
      <c r="C240" s="7" t="s">
        <v>429</v>
      </c>
      <c r="D240" s="7" t="s">
        <v>427</v>
      </c>
      <c r="E240" s="7" t="s">
        <v>0</v>
      </c>
      <c r="F240" s="17">
        <v>115.65660999999977</v>
      </c>
      <c r="G240" s="7" t="s">
        <v>351</v>
      </c>
      <c r="H240" s="7" t="s">
        <v>353</v>
      </c>
      <c r="I240" s="6">
        <v>425.18</v>
      </c>
      <c r="J240" s="6">
        <v>121433.48</v>
      </c>
      <c r="K240" s="6">
        <v>135874.45999999979</v>
      </c>
    </row>
    <row r="241" spans="1:11" x14ac:dyDescent="0.25">
      <c r="A241" s="5" t="s">
        <v>822</v>
      </c>
      <c r="B241" s="42">
        <f t="shared" si="3"/>
        <v>121.85865999999999</v>
      </c>
      <c r="C241" s="7" t="s">
        <v>427</v>
      </c>
      <c r="D241" s="7" t="s">
        <v>425</v>
      </c>
      <c r="E241" s="7" t="s">
        <v>0</v>
      </c>
      <c r="F241" s="17">
        <v>116.06945999999975</v>
      </c>
      <c r="G241" s="7" t="s">
        <v>353</v>
      </c>
      <c r="H241" s="7" t="s">
        <v>355</v>
      </c>
      <c r="I241" s="6">
        <v>501.53</v>
      </c>
      <c r="J241" s="6">
        <v>121858.65999999999</v>
      </c>
      <c r="K241" s="6">
        <v>135449.2799999998</v>
      </c>
    </row>
    <row r="242" spans="1:11" x14ac:dyDescent="0.25">
      <c r="A242" s="5" t="s">
        <v>822</v>
      </c>
      <c r="B242" s="42">
        <f t="shared" si="3"/>
        <v>122.36018999999999</v>
      </c>
      <c r="C242" s="7" t="s">
        <v>425</v>
      </c>
      <c r="D242" s="7" t="s">
        <v>423</v>
      </c>
      <c r="E242" s="7" t="s">
        <v>0</v>
      </c>
      <c r="F242" s="17">
        <v>116.65363999999977</v>
      </c>
      <c r="G242" s="7" t="s">
        <v>355</v>
      </c>
      <c r="H242" s="7" t="s">
        <v>357</v>
      </c>
      <c r="I242" s="6">
        <v>567.26</v>
      </c>
      <c r="J242" s="6">
        <v>122360.18999999999</v>
      </c>
      <c r="K242" s="6">
        <v>134947.7499999998</v>
      </c>
    </row>
    <row r="243" spans="1:11" x14ac:dyDescent="0.25">
      <c r="A243" s="5" t="s">
        <v>822</v>
      </c>
      <c r="B243" s="42">
        <f t="shared" si="3"/>
        <v>122.92744999999998</v>
      </c>
      <c r="C243" s="7" t="s">
        <v>423</v>
      </c>
      <c r="D243" s="7" t="s">
        <v>421</v>
      </c>
      <c r="E243" s="7" t="s">
        <v>0</v>
      </c>
      <c r="F243" s="17">
        <v>117.23099999999975</v>
      </c>
      <c r="G243" s="7" t="s">
        <v>357</v>
      </c>
      <c r="H243" s="7" t="s">
        <v>359</v>
      </c>
      <c r="I243" s="6">
        <v>508.04</v>
      </c>
      <c r="J243" s="6">
        <v>122927.44999999998</v>
      </c>
      <c r="K243" s="6">
        <v>134380.48999999979</v>
      </c>
    </row>
    <row r="244" spans="1:11" x14ac:dyDescent="0.25">
      <c r="A244" s="5" t="s">
        <v>822</v>
      </c>
      <c r="B244" s="42">
        <f t="shared" si="3"/>
        <v>123.43548999999997</v>
      </c>
      <c r="C244" s="7" t="s">
        <v>421</v>
      </c>
      <c r="D244" s="7" t="s">
        <v>419</v>
      </c>
      <c r="E244" s="7" t="s">
        <v>0</v>
      </c>
      <c r="F244" s="17">
        <v>117.73979999999975</v>
      </c>
      <c r="G244" s="7" t="s">
        <v>359</v>
      </c>
      <c r="H244" s="7" t="s">
        <v>361</v>
      </c>
      <c r="I244" s="6">
        <v>573.84</v>
      </c>
      <c r="J244" s="6">
        <v>123435.48999999998</v>
      </c>
      <c r="K244" s="6">
        <v>133872.44999999978</v>
      </c>
    </row>
    <row r="245" spans="1:11" x14ac:dyDescent="0.25">
      <c r="A245" s="5" t="s">
        <v>822</v>
      </c>
      <c r="B245" s="42">
        <f t="shared" si="3"/>
        <v>124.00932999999998</v>
      </c>
      <c r="C245" s="7" t="s">
        <v>419</v>
      </c>
      <c r="D245" s="7" t="s">
        <v>417</v>
      </c>
      <c r="E245" s="7" t="s">
        <v>0</v>
      </c>
      <c r="F245" s="17">
        <v>118.26140999999976</v>
      </c>
      <c r="G245" s="7" t="s">
        <v>361</v>
      </c>
      <c r="H245" s="7" t="s">
        <v>363</v>
      </c>
      <c r="I245" s="6">
        <v>593.45000000000005</v>
      </c>
      <c r="J245" s="6">
        <v>124009.32999999997</v>
      </c>
      <c r="K245" s="6">
        <v>133298.60999999978</v>
      </c>
    </row>
    <row r="246" spans="1:11" x14ac:dyDescent="0.25">
      <c r="A246" s="5" t="s">
        <v>822</v>
      </c>
      <c r="B246" s="42">
        <f t="shared" si="3"/>
        <v>124.60277999999997</v>
      </c>
      <c r="C246" s="7" t="s">
        <v>417</v>
      </c>
      <c r="D246" s="7" t="s">
        <v>415</v>
      </c>
      <c r="E246" s="7" t="s">
        <v>0</v>
      </c>
      <c r="F246" s="17">
        <v>118.82707999999977</v>
      </c>
      <c r="G246" s="7" t="s">
        <v>363</v>
      </c>
      <c r="H246" s="7" t="s">
        <v>365</v>
      </c>
      <c r="I246" s="6">
        <v>520.41999999999996</v>
      </c>
      <c r="J246" s="6">
        <v>124602.77999999997</v>
      </c>
      <c r="K246" s="6">
        <v>132705.15999999977</v>
      </c>
    </row>
    <row r="247" spans="1:11" x14ac:dyDescent="0.25">
      <c r="A247" s="5" t="s">
        <v>822</v>
      </c>
      <c r="B247" s="42">
        <f t="shared" si="3"/>
        <v>125.12319999999997</v>
      </c>
      <c r="C247" s="7" t="s">
        <v>415</v>
      </c>
      <c r="D247" s="7" t="s">
        <v>413</v>
      </c>
      <c r="E247" s="7" t="s">
        <v>0</v>
      </c>
      <c r="F247" s="17">
        <v>119.18335999999977</v>
      </c>
      <c r="G247" s="7" t="s">
        <v>365</v>
      </c>
      <c r="H247" s="7" t="s">
        <v>367</v>
      </c>
      <c r="I247" s="6">
        <v>579.08000000000004</v>
      </c>
      <c r="J247" s="6">
        <v>125123.19999999997</v>
      </c>
      <c r="K247" s="6">
        <v>132184.73999999976</v>
      </c>
    </row>
    <row r="248" spans="1:11" x14ac:dyDescent="0.25">
      <c r="A248" s="5" t="s">
        <v>822</v>
      </c>
      <c r="B248" s="42">
        <f t="shared" si="3"/>
        <v>125.70227999999997</v>
      </c>
      <c r="C248" s="7" t="s">
        <v>413</v>
      </c>
      <c r="D248" s="7" t="s">
        <v>411</v>
      </c>
      <c r="E248" s="7" t="s">
        <v>0</v>
      </c>
      <c r="F248" s="17">
        <v>119.56376999999974</v>
      </c>
      <c r="G248" s="7" t="s">
        <v>367</v>
      </c>
      <c r="H248" s="7" t="s">
        <v>369</v>
      </c>
      <c r="I248" s="6">
        <v>550.08000000000004</v>
      </c>
      <c r="J248" s="6">
        <v>125702.27999999997</v>
      </c>
      <c r="K248" s="6">
        <v>131605.65999999977</v>
      </c>
    </row>
    <row r="249" spans="1:11" x14ac:dyDescent="0.25">
      <c r="A249" s="5" t="s">
        <v>822</v>
      </c>
      <c r="B249" s="42">
        <f t="shared" si="3"/>
        <v>126.25235999999997</v>
      </c>
      <c r="C249" s="7" t="s">
        <v>411</v>
      </c>
      <c r="D249" s="7" t="s">
        <v>409</v>
      </c>
      <c r="E249" s="7" t="s">
        <v>0</v>
      </c>
      <c r="F249" s="17">
        <v>120.07190999999976</v>
      </c>
      <c r="G249" s="7" t="s">
        <v>369</v>
      </c>
      <c r="H249" s="7" t="s">
        <v>371</v>
      </c>
      <c r="I249" s="6">
        <v>558.19000000000005</v>
      </c>
      <c r="J249" s="6">
        <v>126252.35999999997</v>
      </c>
      <c r="K249" s="6">
        <v>131055.57999999977</v>
      </c>
    </row>
    <row r="250" spans="1:11" x14ac:dyDescent="0.25">
      <c r="A250" s="5" t="s">
        <v>822</v>
      </c>
      <c r="B250" s="42">
        <f t="shared" si="3"/>
        <v>126.81054999999998</v>
      </c>
      <c r="C250" s="7" t="s">
        <v>409</v>
      </c>
      <c r="D250" s="7" t="s">
        <v>407</v>
      </c>
      <c r="E250" s="7" t="s">
        <v>828</v>
      </c>
      <c r="F250" s="17">
        <v>120.52595999999974</v>
      </c>
      <c r="G250" s="7" t="s">
        <v>371</v>
      </c>
      <c r="H250" s="7" t="s">
        <v>373</v>
      </c>
      <c r="I250" s="6">
        <v>308.64</v>
      </c>
      <c r="J250" s="6">
        <v>126810.54999999997</v>
      </c>
      <c r="K250" s="6">
        <v>130497.38999999977</v>
      </c>
    </row>
    <row r="251" spans="1:11" x14ac:dyDescent="0.25">
      <c r="A251" s="5" t="s">
        <v>822</v>
      </c>
      <c r="B251" s="42">
        <f t="shared" si="3"/>
        <v>127.11918999999997</v>
      </c>
      <c r="C251" s="7" t="s">
        <v>407</v>
      </c>
      <c r="D251" s="7" t="s">
        <v>405</v>
      </c>
      <c r="E251" s="7" t="s">
        <v>829</v>
      </c>
      <c r="F251" s="17">
        <v>121.01579999999974</v>
      </c>
      <c r="G251" s="7" t="s">
        <v>373</v>
      </c>
      <c r="H251" s="7" t="s">
        <v>375</v>
      </c>
      <c r="I251" s="6">
        <v>590.39</v>
      </c>
      <c r="J251" s="6">
        <v>127119.18999999997</v>
      </c>
      <c r="K251" s="6">
        <v>130188.74999999977</v>
      </c>
    </row>
    <row r="252" spans="1:11" x14ac:dyDescent="0.25">
      <c r="A252" s="5" t="s">
        <v>822</v>
      </c>
      <c r="B252" s="42">
        <f t="shared" si="3"/>
        <v>127.70957999999997</v>
      </c>
      <c r="C252" s="7" t="s">
        <v>405</v>
      </c>
      <c r="D252" s="7" t="s">
        <v>403</v>
      </c>
      <c r="E252" s="7" t="s">
        <v>829</v>
      </c>
      <c r="F252" s="17">
        <v>121.51921999999975</v>
      </c>
      <c r="G252" s="7" t="s">
        <v>375</v>
      </c>
      <c r="H252" s="7" t="s">
        <v>377</v>
      </c>
      <c r="I252" s="6">
        <v>610.27</v>
      </c>
      <c r="J252" s="6">
        <v>127709.57999999997</v>
      </c>
      <c r="K252" s="6">
        <v>129598.35999999977</v>
      </c>
    </row>
    <row r="253" spans="1:11" x14ac:dyDescent="0.25">
      <c r="A253" s="5" t="s">
        <v>822</v>
      </c>
      <c r="B253" s="42">
        <f t="shared" si="3"/>
        <v>128.31984999999997</v>
      </c>
      <c r="C253" s="7" t="s">
        <v>403</v>
      </c>
      <c r="D253" s="7" t="s">
        <v>401</v>
      </c>
      <c r="E253" s="7" t="s">
        <v>829</v>
      </c>
      <c r="F253" s="17">
        <v>121.94984999999976</v>
      </c>
      <c r="G253" s="7" t="s">
        <v>377</v>
      </c>
      <c r="H253" s="7" t="s">
        <v>379</v>
      </c>
      <c r="I253" s="6">
        <v>573.69000000000005</v>
      </c>
      <c r="J253" s="6">
        <v>128319.84999999998</v>
      </c>
      <c r="K253" s="6">
        <v>128988.08999999976</v>
      </c>
    </row>
    <row r="254" spans="1:11" x14ac:dyDescent="0.25">
      <c r="A254" s="5" t="s">
        <v>822</v>
      </c>
      <c r="B254" s="42">
        <f t="shared" si="3"/>
        <v>128.89353999999997</v>
      </c>
      <c r="C254" s="7" t="s">
        <v>401</v>
      </c>
      <c r="D254" s="7" t="s">
        <v>399</v>
      </c>
      <c r="E254" s="7" t="s">
        <v>829</v>
      </c>
      <c r="F254" s="17">
        <v>122.45221999999976</v>
      </c>
      <c r="G254" s="7" t="s">
        <v>379</v>
      </c>
      <c r="H254" s="7" t="s">
        <v>381</v>
      </c>
      <c r="I254" s="6">
        <v>568.19000000000005</v>
      </c>
      <c r="J254" s="6">
        <v>128893.53999999998</v>
      </c>
      <c r="K254" s="6">
        <v>128414.39999999976</v>
      </c>
    </row>
    <row r="255" spans="1:11" x14ac:dyDescent="0.25">
      <c r="A255" s="5" t="s">
        <v>822</v>
      </c>
      <c r="B255" s="42">
        <f t="shared" si="3"/>
        <v>129.46172999999999</v>
      </c>
      <c r="C255" s="7" t="s">
        <v>399</v>
      </c>
      <c r="D255" s="7" t="s">
        <v>397</v>
      </c>
      <c r="E255" s="7" t="s">
        <v>829</v>
      </c>
      <c r="F255" s="17">
        <v>122.94932999999978</v>
      </c>
      <c r="G255" s="7" t="s">
        <v>381</v>
      </c>
      <c r="H255" s="7" t="s">
        <v>383</v>
      </c>
      <c r="I255" s="6">
        <v>504.24</v>
      </c>
      <c r="J255" s="6">
        <v>129461.72999999998</v>
      </c>
      <c r="K255" s="6">
        <v>127846.20999999976</v>
      </c>
    </row>
    <row r="256" spans="1:11" x14ac:dyDescent="0.25">
      <c r="A256" s="5" t="s">
        <v>822</v>
      </c>
      <c r="B256" s="42">
        <f t="shared" si="3"/>
        <v>129.96597</v>
      </c>
      <c r="C256" s="7" t="s">
        <v>397</v>
      </c>
      <c r="D256" s="7" t="s">
        <v>395</v>
      </c>
      <c r="E256" s="7" t="s">
        <v>829</v>
      </c>
      <c r="F256" s="17">
        <v>123.38840999999975</v>
      </c>
      <c r="G256" s="7" t="s">
        <v>383</v>
      </c>
      <c r="H256" s="7" t="s">
        <v>385</v>
      </c>
      <c r="I256" s="6">
        <v>532.49</v>
      </c>
      <c r="J256" s="6">
        <v>129965.96999999999</v>
      </c>
      <c r="K256" s="6">
        <v>127341.96999999975</v>
      </c>
    </row>
    <row r="257" spans="1:11" x14ac:dyDescent="0.25">
      <c r="A257" s="5" t="s">
        <v>822</v>
      </c>
      <c r="B257" s="42">
        <f t="shared" si="3"/>
        <v>130.49845999999999</v>
      </c>
      <c r="C257" s="7" t="s">
        <v>395</v>
      </c>
      <c r="D257" s="7" t="s">
        <v>393</v>
      </c>
      <c r="E257" s="7" t="s">
        <v>829</v>
      </c>
      <c r="F257" s="17">
        <v>123.92923999999974</v>
      </c>
      <c r="G257" s="7" t="s">
        <v>385</v>
      </c>
      <c r="H257" s="7" t="s">
        <v>387</v>
      </c>
      <c r="I257" s="6">
        <v>606.00999999999476</v>
      </c>
      <c r="J257" s="6">
        <v>130498.45999999999</v>
      </c>
      <c r="K257" s="6">
        <v>126809.47999999975</v>
      </c>
    </row>
    <row r="258" spans="1:11" x14ac:dyDescent="0.25">
      <c r="A258" s="5" t="s">
        <v>822</v>
      </c>
      <c r="B258" s="42">
        <f t="shared" si="3"/>
        <v>131.10446999999996</v>
      </c>
      <c r="C258" s="7" t="s">
        <v>393</v>
      </c>
      <c r="D258" s="7" t="s">
        <v>391</v>
      </c>
      <c r="E258" s="7" t="s">
        <v>829</v>
      </c>
      <c r="F258" s="17">
        <v>124.55132999999977</v>
      </c>
      <c r="G258" s="7" t="s">
        <v>387</v>
      </c>
      <c r="H258" s="7" t="s">
        <v>389</v>
      </c>
      <c r="I258" s="6">
        <v>520.19000000000233</v>
      </c>
      <c r="J258" s="6">
        <v>131104.46999999997</v>
      </c>
      <c r="K258" s="6">
        <v>126203.46999999975</v>
      </c>
    </row>
    <row r="259" spans="1:11" x14ac:dyDescent="0.25">
      <c r="A259" s="5" t="s">
        <v>822</v>
      </c>
      <c r="B259" s="42">
        <f t="shared" ref="B259:B322" si="4">J259/1000</f>
        <v>131.62465999999998</v>
      </c>
      <c r="C259" s="7" t="s">
        <v>391</v>
      </c>
      <c r="D259" s="7" t="s">
        <v>389</v>
      </c>
      <c r="E259" s="7" t="s">
        <v>829</v>
      </c>
      <c r="F259" s="17">
        <v>125.03468999999976</v>
      </c>
      <c r="G259" s="7" t="s">
        <v>389</v>
      </c>
      <c r="H259" s="7" t="s">
        <v>391</v>
      </c>
      <c r="I259" s="6">
        <v>648.58999999999651</v>
      </c>
      <c r="J259" s="6">
        <v>131624.65999999997</v>
      </c>
      <c r="K259" s="6">
        <v>125683.27999999975</v>
      </c>
    </row>
    <row r="260" spans="1:11" x14ac:dyDescent="0.25">
      <c r="A260" s="5" t="s">
        <v>822</v>
      </c>
      <c r="B260" s="42">
        <f t="shared" si="4"/>
        <v>132.27324999999996</v>
      </c>
      <c r="C260" s="7" t="s">
        <v>389</v>
      </c>
      <c r="D260" s="7" t="s">
        <v>387</v>
      </c>
      <c r="E260" s="7" t="s">
        <v>829</v>
      </c>
      <c r="F260" s="17">
        <v>125.68327999999975</v>
      </c>
      <c r="G260" s="7" t="s">
        <v>391</v>
      </c>
      <c r="H260" s="7" t="s">
        <v>393</v>
      </c>
      <c r="I260" s="6">
        <v>483.35999999998603</v>
      </c>
      <c r="J260" s="6">
        <v>132273.24999999997</v>
      </c>
      <c r="K260" s="6">
        <v>125034.68999999975</v>
      </c>
    </row>
    <row r="261" spans="1:11" x14ac:dyDescent="0.25">
      <c r="A261" s="5" t="s">
        <v>822</v>
      </c>
      <c r="B261" s="42">
        <f t="shared" si="4"/>
        <v>132.75660999999997</v>
      </c>
      <c r="C261" s="7" t="s">
        <v>387</v>
      </c>
      <c r="D261" s="7" t="s">
        <v>385</v>
      </c>
      <c r="E261" s="7" t="s">
        <v>829</v>
      </c>
      <c r="F261" s="17">
        <v>126.20346999999975</v>
      </c>
      <c r="G261" s="7" t="s">
        <v>393</v>
      </c>
      <c r="H261" s="7" t="s">
        <v>395</v>
      </c>
      <c r="I261" s="6">
        <v>622.09000000002561</v>
      </c>
      <c r="J261" s="6">
        <v>132756.60999999996</v>
      </c>
      <c r="K261" s="6">
        <v>124551.32999999977</v>
      </c>
    </row>
    <row r="262" spans="1:11" x14ac:dyDescent="0.25">
      <c r="A262" s="5" t="s">
        <v>822</v>
      </c>
      <c r="B262" s="42">
        <f t="shared" si="4"/>
        <v>133.37869999999998</v>
      </c>
      <c r="C262" s="7" t="s">
        <v>385</v>
      </c>
      <c r="D262" s="7" t="s">
        <v>383</v>
      </c>
      <c r="E262" s="7" t="s">
        <v>829</v>
      </c>
      <c r="F262" s="17">
        <v>126.80947999999975</v>
      </c>
      <c r="G262" s="7" t="s">
        <v>395</v>
      </c>
      <c r="H262" s="7" t="s">
        <v>397</v>
      </c>
      <c r="I262" s="6">
        <v>540.82999999998719</v>
      </c>
      <c r="J262" s="6">
        <v>133378.69999999998</v>
      </c>
      <c r="K262" s="6">
        <v>123929.23999999974</v>
      </c>
    </row>
    <row r="263" spans="1:11" x14ac:dyDescent="0.25">
      <c r="A263" s="5" t="s">
        <v>822</v>
      </c>
      <c r="B263" s="42">
        <f t="shared" si="4"/>
        <v>133.91952999999998</v>
      </c>
      <c r="C263" s="7" t="s">
        <v>383</v>
      </c>
      <c r="D263" s="7" t="s">
        <v>381</v>
      </c>
      <c r="E263" s="7" t="s">
        <v>829</v>
      </c>
      <c r="F263" s="17">
        <v>127.34196999999975</v>
      </c>
      <c r="G263" s="7" t="s">
        <v>397</v>
      </c>
      <c r="H263" s="7" t="s">
        <v>399</v>
      </c>
      <c r="I263" s="6">
        <v>439.07999999998719</v>
      </c>
      <c r="J263" s="6">
        <v>133919.52999999997</v>
      </c>
      <c r="K263" s="6">
        <v>123388.40999999976</v>
      </c>
    </row>
    <row r="264" spans="1:11" x14ac:dyDescent="0.25">
      <c r="A264" s="5" t="s">
        <v>822</v>
      </c>
      <c r="B264" s="42">
        <f t="shared" si="4"/>
        <v>134.35860999999997</v>
      </c>
      <c r="C264" s="7" t="s">
        <v>381</v>
      </c>
      <c r="D264" s="7" t="s">
        <v>379</v>
      </c>
      <c r="E264" s="7" t="s">
        <v>829</v>
      </c>
      <c r="F264" s="17">
        <v>127.84620999999976</v>
      </c>
      <c r="G264" s="7" t="s">
        <v>399</v>
      </c>
      <c r="H264" s="7" t="s">
        <v>401</v>
      </c>
      <c r="I264" s="6">
        <v>497.11000000001513</v>
      </c>
      <c r="J264" s="6">
        <v>134358.60999999996</v>
      </c>
      <c r="K264" s="6">
        <v>122949.32999999977</v>
      </c>
    </row>
    <row r="265" spans="1:11" x14ac:dyDescent="0.25">
      <c r="A265" s="5" t="s">
        <v>822</v>
      </c>
      <c r="B265" s="42">
        <f t="shared" si="4"/>
        <v>134.85571999999996</v>
      </c>
      <c r="C265" s="7" t="s">
        <v>379</v>
      </c>
      <c r="D265" s="7" t="s">
        <v>377</v>
      </c>
      <c r="E265" s="7" t="s">
        <v>829</v>
      </c>
      <c r="F265" s="17">
        <v>128.41439999999977</v>
      </c>
      <c r="G265" s="7" t="s">
        <v>401</v>
      </c>
      <c r="H265" s="7" t="s">
        <v>403</v>
      </c>
      <c r="I265" s="6">
        <v>502.37</v>
      </c>
      <c r="J265" s="6">
        <v>134855.71999999997</v>
      </c>
      <c r="K265" s="6">
        <v>122452.21999999975</v>
      </c>
    </row>
    <row r="266" spans="1:11" x14ac:dyDescent="0.25">
      <c r="A266" s="5" t="s">
        <v>822</v>
      </c>
      <c r="B266" s="42">
        <f t="shared" si="4"/>
        <v>135.35808999999998</v>
      </c>
      <c r="C266" s="7" t="s">
        <v>377</v>
      </c>
      <c r="D266" s="7" t="s">
        <v>375</v>
      </c>
      <c r="E266" s="7" t="s">
        <v>829</v>
      </c>
      <c r="F266" s="17">
        <v>128.98808999999977</v>
      </c>
      <c r="G266" s="7" t="s">
        <v>403</v>
      </c>
      <c r="H266" s="7" t="s">
        <v>405</v>
      </c>
      <c r="I266" s="6">
        <v>430.63</v>
      </c>
      <c r="J266" s="6">
        <v>135358.08999999997</v>
      </c>
      <c r="K266" s="6">
        <v>121949.84999999976</v>
      </c>
    </row>
    <row r="267" spans="1:11" x14ac:dyDescent="0.25">
      <c r="A267" s="5" t="s">
        <v>822</v>
      </c>
      <c r="B267" s="42">
        <f t="shared" si="4"/>
        <v>135.78871999999998</v>
      </c>
      <c r="C267" s="7" t="s">
        <v>375</v>
      </c>
      <c r="D267" s="7" t="s">
        <v>373</v>
      </c>
      <c r="E267" s="7" t="s">
        <v>829</v>
      </c>
      <c r="F267" s="17">
        <v>129.59835999999976</v>
      </c>
      <c r="G267" s="7" t="s">
        <v>405</v>
      </c>
      <c r="H267" s="7" t="s">
        <v>407</v>
      </c>
      <c r="I267" s="6">
        <v>503.42000000001281</v>
      </c>
      <c r="J267" s="6">
        <v>135788.71999999997</v>
      </c>
      <c r="K267" s="6">
        <v>121519.21999999975</v>
      </c>
    </row>
    <row r="268" spans="1:11" x14ac:dyDescent="0.25">
      <c r="A268" s="5" t="s">
        <v>822</v>
      </c>
      <c r="B268" s="42">
        <f t="shared" si="4"/>
        <v>136.29213999999999</v>
      </c>
      <c r="C268" s="7" t="s">
        <v>373</v>
      </c>
      <c r="D268" s="7" t="s">
        <v>371</v>
      </c>
      <c r="E268" s="7" t="s">
        <v>829</v>
      </c>
      <c r="F268" s="17">
        <v>130.18874999999977</v>
      </c>
      <c r="G268" s="7" t="s">
        <v>407</v>
      </c>
      <c r="H268" s="7" t="s">
        <v>409</v>
      </c>
      <c r="I268" s="6">
        <v>489.83999999999651</v>
      </c>
      <c r="J268" s="6">
        <v>136292.13999999998</v>
      </c>
      <c r="K268" s="6">
        <v>121015.79999999974</v>
      </c>
    </row>
    <row r="269" spans="1:11" x14ac:dyDescent="0.25">
      <c r="A269" s="5" t="s">
        <v>822</v>
      </c>
      <c r="B269" s="42">
        <f t="shared" si="4"/>
        <v>136.78197999999998</v>
      </c>
      <c r="C269" s="7" t="s">
        <v>371</v>
      </c>
      <c r="D269" s="7" t="s">
        <v>369</v>
      </c>
      <c r="E269" s="7" t="s">
        <v>829</v>
      </c>
      <c r="F269" s="17">
        <v>130.49738999999977</v>
      </c>
      <c r="G269" s="7" t="s">
        <v>409</v>
      </c>
      <c r="H269" s="7" t="s">
        <v>411</v>
      </c>
      <c r="I269" s="6">
        <v>454.04999999998836</v>
      </c>
      <c r="J269" s="6">
        <v>136781.97999999998</v>
      </c>
      <c r="K269" s="6">
        <v>120525.95999999974</v>
      </c>
    </row>
    <row r="270" spans="1:11" x14ac:dyDescent="0.25">
      <c r="A270" s="5" t="s">
        <v>822</v>
      </c>
      <c r="B270" s="42">
        <f t="shared" si="4"/>
        <v>137.23602999999997</v>
      </c>
      <c r="C270" s="7" t="s">
        <v>369</v>
      </c>
      <c r="D270" s="7" t="s">
        <v>367</v>
      </c>
      <c r="E270" s="7" t="s">
        <v>829</v>
      </c>
      <c r="F270" s="17">
        <v>131.05557999999976</v>
      </c>
      <c r="G270" s="7" t="s">
        <v>411</v>
      </c>
      <c r="H270" s="7" t="s">
        <v>413</v>
      </c>
      <c r="I270" s="6">
        <v>508.14000000001397</v>
      </c>
      <c r="J270" s="6">
        <v>137236.02999999997</v>
      </c>
      <c r="K270" s="6">
        <v>120071.90999999976</v>
      </c>
    </row>
    <row r="271" spans="1:11" x14ac:dyDescent="0.25">
      <c r="A271" s="5" t="s">
        <v>822</v>
      </c>
      <c r="B271" s="42">
        <f t="shared" si="4"/>
        <v>137.74417</v>
      </c>
      <c r="C271" s="7" t="s">
        <v>367</v>
      </c>
      <c r="D271" s="7" t="s">
        <v>365</v>
      </c>
      <c r="E271" s="7" t="s">
        <v>829</v>
      </c>
      <c r="F271" s="17">
        <v>131.60565999999977</v>
      </c>
      <c r="G271" s="7" t="s">
        <v>413</v>
      </c>
      <c r="H271" s="7" t="s">
        <v>415</v>
      </c>
      <c r="I271" s="6">
        <v>380.40999999997439</v>
      </c>
      <c r="J271" s="6">
        <v>137744.16999999998</v>
      </c>
      <c r="K271" s="6">
        <v>119563.76999999974</v>
      </c>
    </row>
    <row r="272" spans="1:11" x14ac:dyDescent="0.25">
      <c r="A272" s="5" t="s">
        <v>822</v>
      </c>
      <c r="B272" s="42">
        <f t="shared" si="4"/>
        <v>138.12457999999995</v>
      </c>
      <c r="C272" s="7" t="s">
        <v>365</v>
      </c>
      <c r="D272" s="7" t="s">
        <v>363</v>
      </c>
      <c r="E272" s="7" t="s">
        <v>829</v>
      </c>
      <c r="F272" s="17">
        <v>132.18473999999975</v>
      </c>
      <c r="G272" s="7" t="s">
        <v>415</v>
      </c>
      <c r="H272" s="7" t="s">
        <v>417</v>
      </c>
      <c r="I272" s="6">
        <v>356.27999999999884</v>
      </c>
      <c r="J272" s="6">
        <v>138124.57999999996</v>
      </c>
      <c r="K272" s="6">
        <v>119183.35999999977</v>
      </c>
    </row>
    <row r="273" spans="1:11" x14ac:dyDescent="0.25">
      <c r="A273" s="5" t="s">
        <v>822</v>
      </c>
      <c r="B273" s="42">
        <f t="shared" si="4"/>
        <v>138.48085999999995</v>
      </c>
      <c r="C273" s="7" t="s">
        <v>363</v>
      </c>
      <c r="D273" s="7" t="s">
        <v>361</v>
      </c>
      <c r="E273" s="7" t="s">
        <v>829</v>
      </c>
      <c r="F273" s="17">
        <v>132.70515999999978</v>
      </c>
      <c r="G273" s="7" t="s">
        <v>417</v>
      </c>
      <c r="H273" s="7" t="s">
        <v>419</v>
      </c>
      <c r="I273" s="6">
        <v>565.67000000001281</v>
      </c>
      <c r="J273" s="6">
        <v>138480.85999999996</v>
      </c>
      <c r="K273" s="6">
        <v>118827.07999999977</v>
      </c>
    </row>
    <row r="274" spans="1:11" x14ac:dyDescent="0.25">
      <c r="A274" s="5" t="s">
        <v>822</v>
      </c>
      <c r="B274" s="42">
        <f t="shared" si="4"/>
        <v>139.04652999999996</v>
      </c>
      <c r="C274" s="7" t="s">
        <v>361</v>
      </c>
      <c r="D274" s="7" t="s">
        <v>359</v>
      </c>
      <c r="E274" s="7" t="s">
        <v>829</v>
      </c>
      <c r="F274" s="17">
        <v>133.29860999999977</v>
      </c>
      <c r="G274" s="7" t="s">
        <v>419</v>
      </c>
      <c r="H274" s="7" t="s">
        <v>421</v>
      </c>
      <c r="I274" s="6">
        <v>521.61000000001513</v>
      </c>
      <c r="J274" s="6">
        <v>139046.52999999997</v>
      </c>
      <c r="K274" s="6">
        <v>118261.40999999976</v>
      </c>
    </row>
    <row r="275" spans="1:11" x14ac:dyDescent="0.25">
      <c r="A275" s="5" t="s">
        <v>822</v>
      </c>
      <c r="B275" s="42">
        <f t="shared" si="4"/>
        <v>139.56813999999997</v>
      </c>
      <c r="C275" s="7" t="s">
        <v>359</v>
      </c>
      <c r="D275" s="7" t="s">
        <v>357</v>
      </c>
      <c r="E275" s="7" t="s">
        <v>829</v>
      </c>
      <c r="F275" s="17">
        <v>133.87244999999979</v>
      </c>
      <c r="G275" s="7" t="s">
        <v>421</v>
      </c>
      <c r="H275" s="7" t="s">
        <v>423</v>
      </c>
      <c r="I275" s="6">
        <v>508.79999999998836</v>
      </c>
      <c r="J275" s="6">
        <v>139568.13999999998</v>
      </c>
      <c r="K275" s="6">
        <v>117739.79999999974</v>
      </c>
    </row>
    <row r="276" spans="1:11" x14ac:dyDescent="0.25">
      <c r="A276" s="5" t="s">
        <v>822</v>
      </c>
      <c r="B276" s="42">
        <f t="shared" si="4"/>
        <v>140.07693999999998</v>
      </c>
      <c r="C276" s="7" t="s">
        <v>357</v>
      </c>
      <c r="D276" s="7" t="s">
        <v>355</v>
      </c>
      <c r="E276" s="7" t="s">
        <v>829</v>
      </c>
      <c r="F276" s="17">
        <v>134.38048999999978</v>
      </c>
      <c r="G276" s="7" t="s">
        <v>423</v>
      </c>
      <c r="H276" s="7" t="s">
        <v>425</v>
      </c>
      <c r="I276" s="6">
        <v>577.35999999998603</v>
      </c>
      <c r="J276" s="6">
        <v>140076.93999999997</v>
      </c>
      <c r="K276" s="6">
        <v>117230.99999999975</v>
      </c>
    </row>
    <row r="277" spans="1:11" x14ac:dyDescent="0.25">
      <c r="A277" s="5" t="s">
        <v>822</v>
      </c>
      <c r="B277" s="42">
        <f t="shared" si="4"/>
        <v>140.65429999999995</v>
      </c>
      <c r="C277" s="7" t="s">
        <v>355</v>
      </c>
      <c r="D277" s="7" t="s">
        <v>353</v>
      </c>
      <c r="E277" s="7" t="s">
        <v>829</v>
      </c>
      <c r="F277" s="17">
        <v>134.94774999999979</v>
      </c>
      <c r="G277" s="7" t="s">
        <v>425</v>
      </c>
      <c r="H277" s="7" t="s">
        <v>427</v>
      </c>
      <c r="I277" s="6">
        <v>584.18000000002212</v>
      </c>
      <c r="J277" s="6">
        <v>140654.29999999996</v>
      </c>
      <c r="K277" s="6">
        <v>116653.63999999977</v>
      </c>
    </row>
    <row r="278" spans="1:11" x14ac:dyDescent="0.25">
      <c r="A278" s="5" t="s">
        <v>822</v>
      </c>
      <c r="B278" s="42">
        <f t="shared" si="4"/>
        <v>141.23847999999998</v>
      </c>
      <c r="C278" s="7" t="s">
        <v>353</v>
      </c>
      <c r="D278" s="7" t="s">
        <v>351</v>
      </c>
      <c r="E278" s="7" t="s">
        <v>829</v>
      </c>
      <c r="F278" s="17">
        <v>135.44927999999979</v>
      </c>
      <c r="G278" s="7" t="s">
        <v>427</v>
      </c>
      <c r="H278" s="7" t="s">
        <v>429</v>
      </c>
      <c r="I278" s="6">
        <v>412.84999999997672</v>
      </c>
      <c r="J278" s="6">
        <v>141238.47999999998</v>
      </c>
      <c r="K278" s="6">
        <v>116069.45999999974</v>
      </c>
    </row>
    <row r="279" spans="1:11" x14ac:dyDescent="0.25">
      <c r="A279" s="5" t="s">
        <v>822</v>
      </c>
      <c r="B279" s="42">
        <f t="shared" si="4"/>
        <v>141.65132999999994</v>
      </c>
      <c r="C279" s="7" t="s">
        <v>351</v>
      </c>
      <c r="D279" s="7" t="s">
        <v>349</v>
      </c>
      <c r="E279" s="7" t="s">
        <v>829</v>
      </c>
      <c r="F279" s="17">
        <v>135.8744599999998</v>
      </c>
      <c r="G279" s="7" t="s">
        <v>429</v>
      </c>
      <c r="H279" s="7" t="s">
        <v>431</v>
      </c>
      <c r="I279" s="6">
        <v>554.45000000001164</v>
      </c>
      <c r="J279" s="6">
        <v>141651.32999999996</v>
      </c>
      <c r="K279" s="6">
        <v>115656.60999999977</v>
      </c>
    </row>
    <row r="280" spans="1:11" x14ac:dyDescent="0.25">
      <c r="A280" s="5" t="s">
        <v>822</v>
      </c>
      <c r="B280" s="42">
        <f t="shared" si="4"/>
        <v>142.20577999999998</v>
      </c>
      <c r="C280" s="7" t="s">
        <v>349</v>
      </c>
      <c r="D280" s="7" t="s">
        <v>347</v>
      </c>
      <c r="E280" s="7" t="s">
        <v>829</v>
      </c>
      <c r="F280" s="17">
        <v>136.30957999999978</v>
      </c>
      <c r="G280" s="7" t="s">
        <v>431</v>
      </c>
      <c r="H280" s="7" t="s">
        <v>433</v>
      </c>
      <c r="I280" s="6">
        <v>416.61000000001513</v>
      </c>
      <c r="J280" s="6">
        <v>142205.77999999997</v>
      </c>
      <c r="K280" s="6">
        <v>115102.15999999976</v>
      </c>
    </row>
    <row r="281" spans="1:11" x14ac:dyDescent="0.25">
      <c r="A281" s="5" t="s">
        <v>822</v>
      </c>
      <c r="B281" s="42">
        <f t="shared" si="4"/>
        <v>142.62239</v>
      </c>
      <c r="C281" s="7" t="s">
        <v>347</v>
      </c>
      <c r="D281" s="7" t="s">
        <v>345</v>
      </c>
      <c r="E281" s="7" t="s">
        <v>829</v>
      </c>
      <c r="F281" s="17">
        <v>136.73277999999979</v>
      </c>
      <c r="G281" s="7" t="s">
        <v>433</v>
      </c>
      <c r="H281" s="7" t="s">
        <v>435</v>
      </c>
      <c r="I281" s="6">
        <v>420.94999999998254</v>
      </c>
      <c r="J281" s="6">
        <v>142622.38999999998</v>
      </c>
      <c r="K281" s="6">
        <v>114685.54999999974</v>
      </c>
    </row>
    <row r="282" spans="1:11" x14ac:dyDescent="0.25">
      <c r="A282" s="5" t="s">
        <v>822</v>
      </c>
      <c r="B282" s="42">
        <f t="shared" si="4"/>
        <v>143.04333999999997</v>
      </c>
      <c r="C282" s="7" t="s">
        <v>345</v>
      </c>
      <c r="D282" s="7" t="s">
        <v>343</v>
      </c>
      <c r="E282" s="7" t="s">
        <v>829</v>
      </c>
      <c r="F282" s="17">
        <v>137.26863999999978</v>
      </c>
      <c r="G282" s="7" t="s">
        <v>435</v>
      </c>
      <c r="H282" s="7" t="s">
        <v>437</v>
      </c>
      <c r="I282" s="6">
        <v>568.39000000001397</v>
      </c>
      <c r="J282" s="6">
        <v>143043.33999999997</v>
      </c>
      <c r="K282" s="6">
        <v>114264.59999999976</v>
      </c>
    </row>
    <row r="283" spans="1:11" x14ac:dyDescent="0.25">
      <c r="A283" s="5" t="s">
        <v>822</v>
      </c>
      <c r="B283" s="42">
        <f t="shared" si="4"/>
        <v>143.61172999999999</v>
      </c>
      <c r="C283" s="7" t="s">
        <v>343</v>
      </c>
      <c r="D283" s="7" t="s">
        <v>341</v>
      </c>
      <c r="E283" s="7" t="s">
        <v>829</v>
      </c>
      <c r="F283" s="17">
        <v>137.92017999999979</v>
      </c>
      <c r="G283" s="7" t="s">
        <v>437</v>
      </c>
      <c r="H283" s="7" t="s">
        <v>439</v>
      </c>
      <c r="I283" s="6">
        <v>504.16000000000349</v>
      </c>
      <c r="J283" s="6">
        <v>143611.72999999998</v>
      </c>
      <c r="K283" s="6">
        <v>113696.20999999974</v>
      </c>
    </row>
    <row r="284" spans="1:11" x14ac:dyDescent="0.25">
      <c r="A284" s="5" t="s">
        <v>822</v>
      </c>
      <c r="B284" s="42">
        <f t="shared" si="4"/>
        <v>144.11588999999998</v>
      </c>
      <c r="C284" s="7" t="s">
        <v>341</v>
      </c>
      <c r="D284" s="7" t="s">
        <v>339</v>
      </c>
      <c r="E284" s="7" t="s">
        <v>829</v>
      </c>
      <c r="F284" s="17">
        <v>138.4206599999998</v>
      </c>
      <c r="G284" s="7" t="s">
        <v>439</v>
      </c>
      <c r="H284" s="7" t="s">
        <v>441</v>
      </c>
      <c r="I284" s="6">
        <v>596.75</v>
      </c>
      <c r="J284" s="6">
        <v>144115.88999999998</v>
      </c>
      <c r="K284" s="6">
        <v>113192.04999999974</v>
      </c>
    </row>
    <row r="285" spans="1:11" x14ac:dyDescent="0.25">
      <c r="A285" s="5" t="s">
        <v>822</v>
      </c>
      <c r="B285" s="42">
        <f t="shared" si="4"/>
        <v>144.71263999999999</v>
      </c>
      <c r="C285" s="7" t="s">
        <v>339</v>
      </c>
      <c r="D285" s="7" t="s">
        <v>337</v>
      </c>
      <c r="E285" s="7" t="s">
        <v>829</v>
      </c>
      <c r="F285" s="17">
        <v>138.9167099999998</v>
      </c>
      <c r="G285" s="7" t="s">
        <v>441</v>
      </c>
      <c r="H285" s="7" t="s">
        <v>443</v>
      </c>
      <c r="I285" s="6">
        <v>597.75</v>
      </c>
      <c r="J285" s="6">
        <v>144712.63999999998</v>
      </c>
      <c r="K285" s="6">
        <v>112595.29999999974</v>
      </c>
    </row>
    <row r="286" spans="1:11" x14ac:dyDescent="0.25">
      <c r="A286" s="5" t="s">
        <v>822</v>
      </c>
      <c r="B286" s="42">
        <f t="shared" si="4"/>
        <v>145.31038999999998</v>
      </c>
      <c r="C286" s="7" t="s">
        <v>337</v>
      </c>
      <c r="D286" s="7" t="s">
        <v>335</v>
      </c>
      <c r="E286" s="7" t="s">
        <v>829</v>
      </c>
      <c r="F286" s="17">
        <v>139.43735999999981</v>
      </c>
      <c r="G286" s="7" t="s">
        <v>443</v>
      </c>
      <c r="H286" s="7" t="s">
        <v>445</v>
      </c>
      <c r="I286" s="6">
        <v>581.39</v>
      </c>
      <c r="J286" s="6">
        <v>145310.38999999998</v>
      </c>
      <c r="K286" s="6">
        <v>111997.54999999974</v>
      </c>
    </row>
    <row r="287" spans="1:11" x14ac:dyDescent="0.25">
      <c r="A287" s="5" t="s">
        <v>822</v>
      </c>
      <c r="B287" s="42">
        <f t="shared" si="4"/>
        <v>145.89178000000001</v>
      </c>
      <c r="C287" s="7" t="s">
        <v>335</v>
      </c>
      <c r="D287" s="7" t="s">
        <v>333</v>
      </c>
      <c r="E287" s="7" t="s">
        <v>829</v>
      </c>
      <c r="F287" s="17">
        <v>139.91496999999978</v>
      </c>
      <c r="G287" s="7" t="s">
        <v>445</v>
      </c>
      <c r="H287" s="7" t="s">
        <v>447</v>
      </c>
      <c r="I287" s="6">
        <v>547.61</v>
      </c>
      <c r="J287" s="6">
        <v>145891.78</v>
      </c>
      <c r="K287" s="6">
        <v>111416.15999999974</v>
      </c>
    </row>
    <row r="288" spans="1:11" x14ac:dyDescent="0.25">
      <c r="A288" s="5" t="s">
        <v>822</v>
      </c>
      <c r="B288" s="42">
        <f t="shared" si="4"/>
        <v>146.43938999999997</v>
      </c>
      <c r="C288" s="7" t="s">
        <v>333</v>
      </c>
      <c r="D288" s="7" t="s">
        <v>331</v>
      </c>
      <c r="E288" s="7" t="s">
        <v>829</v>
      </c>
      <c r="F288" s="17">
        <v>140.48019999999977</v>
      </c>
      <c r="G288" s="7" t="s">
        <v>447</v>
      </c>
      <c r="H288" s="7" t="s">
        <v>449</v>
      </c>
      <c r="I288" s="6">
        <v>594.15</v>
      </c>
      <c r="J288" s="6">
        <v>146439.38999999998</v>
      </c>
      <c r="K288" s="6">
        <v>110868.54999999974</v>
      </c>
    </row>
    <row r="289" spans="1:11" x14ac:dyDescent="0.25">
      <c r="A289" s="5" t="s">
        <v>822</v>
      </c>
      <c r="B289" s="42">
        <f t="shared" si="4"/>
        <v>147.03353999999999</v>
      </c>
      <c r="C289" s="7" t="s">
        <v>331</v>
      </c>
      <c r="D289" s="7" t="s">
        <v>329</v>
      </c>
      <c r="E289" s="7" t="s">
        <v>829</v>
      </c>
      <c r="F289" s="17">
        <v>140.98835999999977</v>
      </c>
      <c r="G289" s="7" t="s">
        <v>449</v>
      </c>
      <c r="H289" s="7" t="s">
        <v>451</v>
      </c>
      <c r="I289" s="6">
        <v>465.44</v>
      </c>
      <c r="J289" s="6">
        <v>147033.53999999998</v>
      </c>
      <c r="K289" s="6">
        <v>110274.39999999975</v>
      </c>
    </row>
    <row r="290" spans="1:11" x14ac:dyDescent="0.25">
      <c r="A290" s="5" t="s">
        <v>822</v>
      </c>
      <c r="B290" s="42">
        <f t="shared" si="4"/>
        <v>147.49897999999999</v>
      </c>
      <c r="C290" s="7" t="s">
        <v>329</v>
      </c>
      <c r="D290" s="7" t="s">
        <v>327</v>
      </c>
      <c r="E290" s="7" t="s">
        <v>829</v>
      </c>
      <c r="F290" s="17">
        <v>141.52744999999979</v>
      </c>
      <c r="G290" s="7" t="s">
        <v>451</v>
      </c>
      <c r="H290" s="7" t="s">
        <v>453</v>
      </c>
      <c r="I290" s="6">
        <v>359.4</v>
      </c>
      <c r="J290" s="6">
        <v>147498.97999999998</v>
      </c>
      <c r="K290" s="6">
        <v>109808.95999999974</v>
      </c>
    </row>
    <row r="291" spans="1:11" x14ac:dyDescent="0.25">
      <c r="A291" s="5" t="s">
        <v>822</v>
      </c>
      <c r="B291" s="42">
        <f t="shared" si="4"/>
        <v>147.85837999999998</v>
      </c>
      <c r="C291" s="7" t="s">
        <v>327</v>
      </c>
      <c r="D291" s="7" t="s">
        <v>325</v>
      </c>
      <c r="E291" s="7" t="s">
        <v>829</v>
      </c>
      <c r="F291" s="17">
        <v>141.88749999999976</v>
      </c>
      <c r="G291" s="7" t="s">
        <v>453</v>
      </c>
      <c r="H291" s="7" t="s">
        <v>455</v>
      </c>
      <c r="I291" s="6">
        <v>541</v>
      </c>
      <c r="J291" s="6">
        <v>147858.37999999998</v>
      </c>
      <c r="K291" s="6">
        <v>109449.55999999975</v>
      </c>
    </row>
    <row r="292" spans="1:11" x14ac:dyDescent="0.25">
      <c r="A292" s="5" t="s">
        <v>822</v>
      </c>
      <c r="B292" s="42">
        <f t="shared" si="4"/>
        <v>148.39937999999998</v>
      </c>
      <c r="C292" s="7" t="s">
        <v>325</v>
      </c>
      <c r="D292" s="7" t="s">
        <v>323</v>
      </c>
      <c r="E292" s="7" t="s">
        <v>829</v>
      </c>
      <c r="F292" s="17">
        <v>142.46799999999976</v>
      </c>
      <c r="G292" s="7" t="s">
        <v>455</v>
      </c>
      <c r="H292" s="7" t="s">
        <v>457</v>
      </c>
      <c r="I292" s="6">
        <v>499.59</v>
      </c>
      <c r="J292" s="6">
        <v>148399.37999999998</v>
      </c>
      <c r="K292" s="6">
        <v>108908.55999999975</v>
      </c>
    </row>
    <row r="293" spans="1:11" x14ac:dyDescent="0.25">
      <c r="A293" s="5" t="s">
        <v>822</v>
      </c>
      <c r="B293" s="42">
        <f t="shared" si="4"/>
        <v>148.89896999999996</v>
      </c>
      <c r="C293" s="7" t="s">
        <v>323</v>
      </c>
      <c r="D293" s="7" t="s">
        <v>321</v>
      </c>
      <c r="E293" s="7" t="s">
        <v>829</v>
      </c>
      <c r="F293" s="17">
        <v>142.98492999999976</v>
      </c>
      <c r="G293" s="7" t="s">
        <v>457</v>
      </c>
      <c r="H293" s="7" t="s">
        <v>459</v>
      </c>
      <c r="I293" s="6">
        <v>479.65</v>
      </c>
      <c r="J293" s="6">
        <v>148898.96999999997</v>
      </c>
      <c r="K293" s="6">
        <v>108408.96999999975</v>
      </c>
    </row>
    <row r="294" spans="1:11" x14ac:dyDescent="0.25">
      <c r="A294" s="5" t="s">
        <v>822</v>
      </c>
      <c r="B294" s="42">
        <f t="shared" si="4"/>
        <v>149.37861999999996</v>
      </c>
      <c r="C294" s="7" t="s">
        <v>321</v>
      </c>
      <c r="D294" s="7" t="s">
        <v>319</v>
      </c>
      <c r="E294" s="7" t="s">
        <v>829</v>
      </c>
      <c r="F294" s="17">
        <v>143.56799999999976</v>
      </c>
      <c r="G294" s="7" t="s">
        <v>459</v>
      </c>
      <c r="H294" s="7" t="s">
        <v>461</v>
      </c>
      <c r="I294" s="6">
        <v>602.19000000000005</v>
      </c>
      <c r="J294" s="6">
        <v>149378.61999999997</v>
      </c>
      <c r="K294" s="6">
        <v>107929.31999999976</v>
      </c>
    </row>
    <row r="295" spans="1:11" x14ac:dyDescent="0.25">
      <c r="A295" s="5" t="s">
        <v>822</v>
      </c>
      <c r="B295" s="42">
        <f t="shared" si="4"/>
        <v>149.98080999999996</v>
      </c>
      <c r="C295" s="7" t="s">
        <v>319</v>
      </c>
      <c r="D295" s="7" t="s">
        <v>317</v>
      </c>
      <c r="E295" s="7" t="s">
        <v>829</v>
      </c>
      <c r="F295" s="17">
        <v>143.99857999999978</v>
      </c>
      <c r="G295" s="7" t="s">
        <v>461</v>
      </c>
      <c r="H295" s="7" t="s">
        <v>463</v>
      </c>
      <c r="I295" s="6">
        <v>502.36</v>
      </c>
      <c r="J295" s="6">
        <v>149980.80999999997</v>
      </c>
      <c r="K295" s="6">
        <v>107327.12999999976</v>
      </c>
    </row>
    <row r="296" spans="1:11" x14ac:dyDescent="0.25">
      <c r="A296" s="5" t="s">
        <v>822</v>
      </c>
      <c r="B296" s="42">
        <f t="shared" si="4"/>
        <v>150.48316999999994</v>
      </c>
      <c r="C296" s="7" t="s">
        <v>317</v>
      </c>
      <c r="D296" s="7" t="s">
        <v>315</v>
      </c>
      <c r="E296" s="7" t="s">
        <v>829</v>
      </c>
      <c r="F296" s="17">
        <v>144.59567999999979</v>
      </c>
      <c r="G296" s="7" t="s">
        <v>463</v>
      </c>
      <c r="H296" s="7" t="s">
        <v>465</v>
      </c>
      <c r="I296" s="6">
        <v>570.39</v>
      </c>
      <c r="J296" s="6">
        <v>150483.16999999995</v>
      </c>
      <c r="K296" s="6">
        <v>106824.76999999976</v>
      </c>
    </row>
    <row r="297" spans="1:11" x14ac:dyDescent="0.25">
      <c r="A297" s="5" t="s">
        <v>822</v>
      </c>
      <c r="B297" s="42">
        <f t="shared" si="4"/>
        <v>151.05355999999998</v>
      </c>
      <c r="C297" s="7" t="s">
        <v>315</v>
      </c>
      <c r="D297" s="7" t="s">
        <v>313</v>
      </c>
      <c r="E297" s="7" t="s">
        <v>829</v>
      </c>
      <c r="F297" s="17">
        <v>144.88337999999979</v>
      </c>
      <c r="G297" s="7" t="s">
        <v>465</v>
      </c>
      <c r="H297" s="7" t="s">
        <v>467</v>
      </c>
      <c r="I297" s="6">
        <v>566</v>
      </c>
      <c r="J297" s="6">
        <v>151053.55999999997</v>
      </c>
      <c r="K297" s="6">
        <v>106254.37999999976</v>
      </c>
    </row>
    <row r="298" spans="1:11" x14ac:dyDescent="0.25">
      <c r="A298" s="5" t="s">
        <v>822</v>
      </c>
      <c r="B298" s="42">
        <f t="shared" si="4"/>
        <v>151.61955999999998</v>
      </c>
      <c r="C298" s="7" t="s">
        <v>313</v>
      </c>
      <c r="D298" s="7" t="s">
        <v>311</v>
      </c>
      <c r="E298" s="7" t="s">
        <v>829</v>
      </c>
      <c r="F298" s="17">
        <v>145.25785999999982</v>
      </c>
      <c r="G298" s="7" t="s">
        <v>467</v>
      </c>
      <c r="H298" s="7" t="s">
        <v>469</v>
      </c>
      <c r="I298" s="6">
        <v>379.11</v>
      </c>
      <c r="J298" s="6">
        <v>151619.55999999997</v>
      </c>
      <c r="K298" s="6">
        <v>105688.37999999976</v>
      </c>
    </row>
    <row r="299" spans="1:11" x14ac:dyDescent="0.25">
      <c r="A299" s="5" t="s">
        <v>822</v>
      </c>
      <c r="B299" s="42">
        <f t="shared" si="4"/>
        <v>151.99866999999995</v>
      </c>
      <c r="C299" s="7" t="s">
        <v>311</v>
      </c>
      <c r="D299" s="7" t="s">
        <v>309</v>
      </c>
      <c r="E299" s="7" t="s">
        <v>829</v>
      </c>
      <c r="F299" s="17">
        <v>145.8136499999998</v>
      </c>
      <c r="G299" s="7" t="s">
        <v>469</v>
      </c>
      <c r="H299" s="7" t="s">
        <v>471</v>
      </c>
      <c r="I299" s="6">
        <v>512.16999999999996</v>
      </c>
      <c r="J299" s="6">
        <v>151998.66999999995</v>
      </c>
      <c r="K299" s="6">
        <v>105309.26999999976</v>
      </c>
    </row>
    <row r="300" spans="1:11" x14ac:dyDescent="0.25">
      <c r="A300" s="5" t="s">
        <v>822</v>
      </c>
      <c r="B300" s="42">
        <f t="shared" si="4"/>
        <v>152.51083999999997</v>
      </c>
      <c r="C300" s="7" t="s">
        <v>309</v>
      </c>
      <c r="D300" s="7" t="s">
        <v>307</v>
      </c>
      <c r="E300" s="7" t="s">
        <v>829</v>
      </c>
      <c r="F300" s="17">
        <v>146.56689999999978</v>
      </c>
      <c r="G300" s="7" t="s">
        <v>471</v>
      </c>
      <c r="H300" s="7" t="s">
        <v>473</v>
      </c>
      <c r="I300" s="6">
        <v>516.20000000000005</v>
      </c>
      <c r="J300" s="6">
        <v>152510.83999999997</v>
      </c>
      <c r="K300" s="6">
        <v>104797.09999999976</v>
      </c>
    </row>
    <row r="301" spans="1:11" x14ac:dyDescent="0.25">
      <c r="A301" s="5" t="s">
        <v>822</v>
      </c>
      <c r="B301" s="42">
        <f t="shared" si="4"/>
        <v>153.02703999999997</v>
      </c>
      <c r="C301" s="7" t="s">
        <v>307</v>
      </c>
      <c r="D301" s="7" t="s">
        <v>305</v>
      </c>
      <c r="E301" s="7" t="s">
        <v>829</v>
      </c>
      <c r="F301" s="17">
        <v>147.00226999999978</v>
      </c>
      <c r="G301" s="7" t="s">
        <v>473</v>
      </c>
      <c r="H301" s="7" t="s">
        <v>475</v>
      </c>
      <c r="I301" s="6">
        <v>646.88</v>
      </c>
      <c r="J301" s="6">
        <v>153027.03999999998</v>
      </c>
      <c r="K301" s="6">
        <v>104280.89999999976</v>
      </c>
    </row>
    <row r="302" spans="1:11" x14ac:dyDescent="0.25">
      <c r="A302" s="5" t="s">
        <v>822</v>
      </c>
      <c r="B302" s="42">
        <f t="shared" si="4"/>
        <v>153.67391999999998</v>
      </c>
      <c r="C302" s="7" t="s">
        <v>305</v>
      </c>
      <c r="D302" s="7" t="s">
        <v>303</v>
      </c>
      <c r="E302" s="7" t="s">
        <v>829</v>
      </c>
      <c r="F302" s="17">
        <v>147.39144999999979</v>
      </c>
      <c r="G302" s="7" t="s">
        <v>475</v>
      </c>
      <c r="H302" s="7" t="s">
        <v>477</v>
      </c>
      <c r="I302" s="6">
        <v>348.5</v>
      </c>
      <c r="J302" s="6">
        <v>153673.91999999998</v>
      </c>
      <c r="K302" s="6">
        <v>103634.01999999976</v>
      </c>
    </row>
    <row r="303" spans="1:11" x14ac:dyDescent="0.25">
      <c r="A303" s="5" t="s">
        <v>822</v>
      </c>
      <c r="B303" s="42">
        <f t="shared" si="4"/>
        <v>154.02241999999998</v>
      </c>
      <c r="C303" s="7" t="s">
        <v>303</v>
      </c>
      <c r="D303" s="7" t="s">
        <v>301</v>
      </c>
      <c r="E303" s="7" t="s">
        <v>829</v>
      </c>
      <c r="F303" s="17">
        <v>147.97239999999979</v>
      </c>
      <c r="G303" s="7" t="s">
        <v>477</v>
      </c>
      <c r="H303" s="7" t="s">
        <v>479</v>
      </c>
      <c r="I303" s="6">
        <v>270.45999999999998</v>
      </c>
      <c r="J303" s="6">
        <v>154022.41999999998</v>
      </c>
      <c r="K303" s="6">
        <v>103285.51999999976</v>
      </c>
    </row>
    <row r="304" spans="1:11" x14ac:dyDescent="0.25">
      <c r="A304" s="5" t="s">
        <v>822</v>
      </c>
      <c r="B304" s="42">
        <f t="shared" si="4"/>
        <v>154.29287999999997</v>
      </c>
      <c r="C304" s="7" t="s">
        <v>301</v>
      </c>
      <c r="D304" s="7" t="s">
        <v>299</v>
      </c>
      <c r="E304" s="7" t="s">
        <v>829</v>
      </c>
      <c r="F304" s="17">
        <v>148.30313999999981</v>
      </c>
      <c r="G304" s="7" t="s">
        <v>479</v>
      </c>
      <c r="H304" s="7" t="s">
        <v>481</v>
      </c>
      <c r="I304" s="6">
        <v>872.22</v>
      </c>
      <c r="J304" s="6">
        <v>154292.87999999998</v>
      </c>
      <c r="K304" s="6">
        <v>103015.05999999975</v>
      </c>
    </row>
    <row r="305" spans="1:11" x14ac:dyDescent="0.25">
      <c r="A305" s="5" t="s">
        <v>822</v>
      </c>
      <c r="B305" s="42">
        <f t="shared" si="4"/>
        <v>155.16509999999997</v>
      </c>
      <c r="C305" s="7" t="s">
        <v>299</v>
      </c>
      <c r="D305" s="7" t="s">
        <v>297</v>
      </c>
      <c r="E305" s="7" t="s">
        <v>829</v>
      </c>
      <c r="F305" s="17">
        <v>148.87360999999981</v>
      </c>
      <c r="G305" s="7" t="s">
        <v>481</v>
      </c>
      <c r="H305" s="7" t="s">
        <v>483</v>
      </c>
      <c r="I305" s="6">
        <v>349.49</v>
      </c>
      <c r="J305" s="6">
        <v>155165.09999999998</v>
      </c>
      <c r="K305" s="6">
        <v>102142.83999999975</v>
      </c>
    </row>
    <row r="306" spans="1:11" x14ac:dyDescent="0.25">
      <c r="A306" s="5" t="s">
        <v>822</v>
      </c>
      <c r="B306" s="42">
        <f t="shared" si="4"/>
        <v>155.51458999999997</v>
      </c>
      <c r="C306" s="7" t="s">
        <v>297</v>
      </c>
      <c r="D306" s="7" t="s">
        <v>295</v>
      </c>
      <c r="E306" s="7" t="s">
        <v>829</v>
      </c>
      <c r="F306" s="17">
        <v>149.39798999999982</v>
      </c>
      <c r="G306" s="7" t="s">
        <v>483</v>
      </c>
      <c r="H306" s="7" t="s">
        <v>485</v>
      </c>
      <c r="I306" s="6">
        <v>596.69000000000005</v>
      </c>
      <c r="J306" s="6">
        <v>155514.58999999997</v>
      </c>
      <c r="K306" s="6">
        <v>101793.34999999974</v>
      </c>
    </row>
    <row r="307" spans="1:11" x14ac:dyDescent="0.25">
      <c r="A307" s="5" t="s">
        <v>822</v>
      </c>
      <c r="B307" s="42">
        <f t="shared" si="4"/>
        <v>156.11127999999997</v>
      </c>
      <c r="C307" s="7" t="s">
        <v>295</v>
      </c>
      <c r="D307" s="7" t="s">
        <v>293</v>
      </c>
      <c r="E307" s="7" t="s">
        <v>829</v>
      </c>
      <c r="F307" s="17">
        <v>149.91321999999982</v>
      </c>
      <c r="G307" s="7" t="s">
        <v>485</v>
      </c>
      <c r="H307" s="7" t="s">
        <v>487</v>
      </c>
      <c r="I307" s="6">
        <v>485.01</v>
      </c>
      <c r="J307" s="6">
        <v>156111.27999999997</v>
      </c>
      <c r="K307" s="6">
        <v>101196.65999999974</v>
      </c>
    </row>
    <row r="308" spans="1:11" x14ac:dyDescent="0.25">
      <c r="A308" s="5" t="s">
        <v>822</v>
      </c>
      <c r="B308" s="42">
        <f t="shared" si="4"/>
        <v>156.59628999999998</v>
      </c>
      <c r="C308" s="7" t="s">
        <v>293</v>
      </c>
      <c r="D308" s="7" t="s">
        <v>291</v>
      </c>
      <c r="E308" s="7" t="s">
        <v>829</v>
      </c>
      <c r="F308" s="17">
        <v>150.42137999999983</v>
      </c>
      <c r="G308" s="7" t="s">
        <v>487</v>
      </c>
      <c r="H308" s="7" t="s">
        <v>489</v>
      </c>
      <c r="I308" s="6">
        <v>488.91</v>
      </c>
      <c r="J308" s="6">
        <v>156596.28999999998</v>
      </c>
      <c r="K308" s="6">
        <v>100711.64999999975</v>
      </c>
    </row>
    <row r="309" spans="1:11" x14ac:dyDescent="0.25">
      <c r="A309" s="5" t="s">
        <v>822</v>
      </c>
      <c r="B309" s="42">
        <f t="shared" si="4"/>
        <v>157.08519999999999</v>
      </c>
      <c r="C309" s="7" t="s">
        <v>291</v>
      </c>
      <c r="D309" s="7" t="s">
        <v>289</v>
      </c>
      <c r="E309" s="7" t="s">
        <v>829</v>
      </c>
      <c r="F309" s="17">
        <v>150.82745999999986</v>
      </c>
      <c r="G309" s="7" t="s">
        <v>489</v>
      </c>
      <c r="H309" s="7" t="s">
        <v>491</v>
      </c>
      <c r="I309" s="6">
        <v>480.7</v>
      </c>
      <c r="J309" s="6">
        <v>157085.19999999998</v>
      </c>
      <c r="K309" s="6">
        <v>100222.73999999974</v>
      </c>
    </row>
    <row r="310" spans="1:11" x14ac:dyDescent="0.25">
      <c r="A310" s="5" t="s">
        <v>822</v>
      </c>
      <c r="B310" s="42">
        <f t="shared" si="4"/>
        <v>157.5659</v>
      </c>
      <c r="C310" s="7" t="s">
        <v>289</v>
      </c>
      <c r="D310" s="7" t="s">
        <v>287</v>
      </c>
      <c r="E310" s="7" t="s">
        <v>829</v>
      </c>
      <c r="F310" s="17">
        <v>151.17666999999986</v>
      </c>
      <c r="G310" s="7" t="s">
        <v>491</v>
      </c>
      <c r="H310" s="7" t="s">
        <v>493</v>
      </c>
      <c r="I310" s="6">
        <v>424.18</v>
      </c>
      <c r="J310" s="6">
        <v>157565.9</v>
      </c>
      <c r="K310" s="6">
        <v>99742.039999999746</v>
      </c>
    </row>
    <row r="311" spans="1:11" x14ac:dyDescent="0.25">
      <c r="A311" s="5" t="s">
        <v>822</v>
      </c>
      <c r="B311" s="42">
        <f t="shared" si="4"/>
        <v>157.99007999999998</v>
      </c>
      <c r="C311" s="7" t="s">
        <v>287</v>
      </c>
      <c r="D311" s="7" t="s">
        <v>285</v>
      </c>
      <c r="E311" s="7" t="s">
        <v>829</v>
      </c>
      <c r="F311" s="17">
        <v>151.63064999999989</v>
      </c>
      <c r="G311" s="7" t="s">
        <v>493</v>
      </c>
      <c r="H311" s="7" t="s">
        <v>495</v>
      </c>
      <c r="I311" s="6">
        <v>433.29</v>
      </c>
      <c r="J311" s="6">
        <v>157990.07999999999</v>
      </c>
      <c r="K311" s="6">
        <v>99317.859999999753</v>
      </c>
    </row>
    <row r="312" spans="1:11" x14ac:dyDescent="0.25">
      <c r="A312" s="5" t="s">
        <v>822</v>
      </c>
      <c r="B312" s="42">
        <f t="shared" si="4"/>
        <v>158.42337000000001</v>
      </c>
      <c r="C312" s="7" t="s">
        <v>285</v>
      </c>
      <c r="D312" s="7" t="s">
        <v>283</v>
      </c>
      <c r="E312" s="7" t="s">
        <v>829</v>
      </c>
      <c r="F312" s="17">
        <v>152.22542999999988</v>
      </c>
      <c r="G312" s="7" t="s">
        <v>495</v>
      </c>
      <c r="H312" s="7" t="s">
        <v>497</v>
      </c>
      <c r="I312" s="6">
        <v>441.12</v>
      </c>
      <c r="J312" s="6">
        <v>158423.37</v>
      </c>
      <c r="K312" s="6">
        <v>98884.56999999976</v>
      </c>
    </row>
    <row r="313" spans="1:11" x14ac:dyDescent="0.25">
      <c r="A313" s="5" t="s">
        <v>822</v>
      </c>
      <c r="B313" s="42">
        <f t="shared" si="4"/>
        <v>158.86448999999999</v>
      </c>
      <c r="C313" s="7" t="s">
        <v>283</v>
      </c>
      <c r="D313" s="7" t="s">
        <v>281</v>
      </c>
      <c r="E313" s="7" t="s">
        <v>829</v>
      </c>
      <c r="F313" s="17">
        <v>152.75006999999988</v>
      </c>
      <c r="G313" s="7" t="s">
        <v>497</v>
      </c>
      <c r="H313" s="7" t="s">
        <v>499</v>
      </c>
      <c r="I313" s="6">
        <v>452.59</v>
      </c>
      <c r="J313" s="6">
        <v>158864.49</v>
      </c>
      <c r="K313" s="6">
        <v>98443.449999999764</v>
      </c>
    </row>
    <row r="314" spans="1:11" x14ac:dyDescent="0.25">
      <c r="A314" s="5" t="s">
        <v>822</v>
      </c>
      <c r="B314" s="42">
        <f t="shared" si="4"/>
        <v>159.31707999999998</v>
      </c>
      <c r="C314" s="7" t="s">
        <v>281</v>
      </c>
      <c r="D314" s="7" t="s">
        <v>279</v>
      </c>
      <c r="E314" s="7" t="s">
        <v>829</v>
      </c>
      <c r="F314" s="17">
        <v>153.2804999999999</v>
      </c>
      <c r="G314" s="7" t="s">
        <v>499</v>
      </c>
      <c r="H314" s="7" t="s">
        <v>501</v>
      </c>
      <c r="I314" s="6">
        <v>447.22</v>
      </c>
      <c r="J314" s="6">
        <v>159317.07999999999</v>
      </c>
      <c r="K314" s="6">
        <v>97990.859999999768</v>
      </c>
    </row>
    <row r="315" spans="1:11" x14ac:dyDescent="0.25">
      <c r="A315" s="5" t="s">
        <v>822</v>
      </c>
      <c r="B315" s="42">
        <f t="shared" si="4"/>
        <v>159.76429999999999</v>
      </c>
      <c r="C315" s="7" t="s">
        <v>279</v>
      </c>
      <c r="D315" s="7" t="s">
        <v>277</v>
      </c>
      <c r="E315" s="7" t="s">
        <v>829</v>
      </c>
      <c r="F315" s="17">
        <v>153.86249999999993</v>
      </c>
      <c r="G315" s="7" t="s">
        <v>501</v>
      </c>
      <c r="H315" s="7" t="s">
        <v>503</v>
      </c>
      <c r="I315" s="6">
        <v>468.09</v>
      </c>
      <c r="J315" s="6">
        <v>159764.29999999999</v>
      </c>
      <c r="K315" s="6">
        <v>97543.639999999767</v>
      </c>
    </row>
    <row r="316" spans="1:11" x14ac:dyDescent="0.25">
      <c r="A316" s="5" t="s">
        <v>822</v>
      </c>
      <c r="B316" s="42">
        <f t="shared" si="4"/>
        <v>160.23238999999998</v>
      </c>
      <c r="C316" s="7" t="s">
        <v>277</v>
      </c>
      <c r="D316" s="7" t="s">
        <v>275</v>
      </c>
      <c r="E316" s="7" t="s">
        <v>829</v>
      </c>
      <c r="F316" s="17">
        <v>154.34305999999992</v>
      </c>
      <c r="G316" s="7" t="s">
        <v>503</v>
      </c>
      <c r="H316" s="7" t="s">
        <v>502</v>
      </c>
      <c r="I316" s="6">
        <v>564.01</v>
      </c>
      <c r="J316" s="6">
        <v>160232.38999999998</v>
      </c>
      <c r="K316" s="6">
        <v>97075.54999999977</v>
      </c>
    </row>
    <row r="317" spans="1:11" x14ac:dyDescent="0.25">
      <c r="A317" s="5" t="s">
        <v>822</v>
      </c>
      <c r="B317" s="42">
        <f t="shared" si="4"/>
        <v>160.79640000000001</v>
      </c>
      <c r="C317" s="7" t="s">
        <v>275</v>
      </c>
      <c r="D317" s="7" t="s">
        <v>273</v>
      </c>
      <c r="E317" s="7" t="s">
        <v>829</v>
      </c>
      <c r="F317" s="17">
        <v>154.85996999999992</v>
      </c>
      <c r="G317" s="7" t="s">
        <v>502</v>
      </c>
      <c r="H317" s="7" t="s">
        <v>500</v>
      </c>
      <c r="I317" s="6">
        <v>445.31</v>
      </c>
      <c r="J317" s="6">
        <v>160796.4</v>
      </c>
      <c r="K317" s="6">
        <v>96511.539999999775</v>
      </c>
    </row>
    <row r="318" spans="1:11" x14ac:dyDescent="0.25">
      <c r="A318" s="5" t="s">
        <v>822</v>
      </c>
      <c r="B318" s="42">
        <f t="shared" si="4"/>
        <v>161.24170999999998</v>
      </c>
      <c r="C318" s="7" t="s">
        <v>273</v>
      </c>
      <c r="D318" s="7" t="s">
        <v>271</v>
      </c>
      <c r="E318" s="7" t="s">
        <v>829</v>
      </c>
      <c r="F318" s="17">
        <v>155.34321999999992</v>
      </c>
      <c r="G318" s="7" t="s">
        <v>500</v>
      </c>
      <c r="H318" s="7" t="s">
        <v>498</v>
      </c>
      <c r="I318" s="6">
        <v>258.41000000000003</v>
      </c>
      <c r="J318" s="6">
        <v>161241.71</v>
      </c>
      <c r="K318" s="6">
        <v>96066.229999999778</v>
      </c>
    </row>
    <row r="319" spans="1:11" x14ac:dyDescent="0.25">
      <c r="A319" s="5" t="s">
        <v>822</v>
      </c>
      <c r="B319" s="42">
        <f t="shared" si="4"/>
        <v>161.50011999999998</v>
      </c>
      <c r="C319" s="7" t="s">
        <v>271</v>
      </c>
      <c r="D319" s="7" t="s">
        <v>270</v>
      </c>
      <c r="E319" s="7" t="s">
        <v>829</v>
      </c>
      <c r="F319" s="17">
        <v>155.84894999999992</v>
      </c>
      <c r="G319" s="7" t="s">
        <v>498</v>
      </c>
      <c r="H319" s="7" t="s">
        <v>496</v>
      </c>
      <c r="I319" s="6">
        <v>460.87</v>
      </c>
      <c r="J319" s="6">
        <v>161500.12</v>
      </c>
      <c r="K319" s="6">
        <v>95807.819999999774</v>
      </c>
    </row>
    <row r="320" spans="1:11" x14ac:dyDescent="0.25">
      <c r="A320" s="5" t="s">
        <v>822</v>
      </c>
      <c r="B320" s="42">
        <f t="shared" si="4"/>
        <v>161.96098999999998</v>
      </c>
      <c r="C320" s="7" t="s">
        <v>270</v>
      </c>
      <c r="D320" s="7" t="s">
        <v>269</v>
      </c>
      <c r="E320" s="7" t="s">
        <v>829</v>
      </c>
      <c r="F320" s="17">
        <v>156.35144999999991</v>
      </c>
      <c r="G320" s="7" t="s">
        <v>496</v>
      </c>
      <c r="H320" s="7" t="s">
        <v>494</v>
      </c>
      <c r="I320" s="6">
        <v>734</v>
      </c>
      <c r="J320" s="6">
        <v>161960.99</v>
      </c>
      <c r="K320" s="6">
        <v>95346.949999999779</v>
      </c>
    </row>
    <row r="321" spans="1:13" x14ac:dyDescent="0.25">
      <c r="A321" s="5" t="s">
        <v>822</v>
      </c>
      <c r="B321" s="42">
        <f t="shared" si="4"/>
        <v>162.69498999999999</v>
      </c>
      <c r="C321" s="7" t="s">
        <v>269</v>
      </c>
      <c r="D321" s="7" t="s">
        <v>268</v>
      </c>
      <c r="E321" s="7" t="s">
        <v>829</v>
      </c>
      <c r="F321" s="17">
        <v>156.78259999999992</v>
      </c>
      <c r="G321" s="7" t="s">
        <v>494</v>
      </c>
      <c r="H321" s="7" t="s">
        <v>492</v>
      </c>
      <c r="I321" s="6">
        <v>301.02</v>
      </c>
      <c r="J321" s="6">
        <v>162694.99</v>
      </c>
      <c r="K321" s="6">
        <v>94612.949999999779</v>
      </c>
    </row>
    <row r="322" spans="1:13" x14ac:dyDescent="0.25">
      <c r="A322" s="5" t="s">
        <v>822</v>
      </c>
      <c r="B322" s="42">
        <f t="shared" si="4"/>
        <v>162.99600999999998</v>
      </c>
      <c r="C322" s="7" t="s">
        <v>268</v>
      </c>
      <c r="D322" s="7" t="s">
        <v>267</v>
      </c>
      <c r="E322" s="7" t="s">
        <v>829</v>
      </c>
      <c r="F322" s="17">
        <v>157.1625599999999</v>
      </c>
      <c r="G322" s="7" t="s">
        <v>492</v>
      </c>
      <c r="H322" s="7" t="s">
        <v>490</v>
      </c>
      <c r="I322" s="6">
        <v>629.99</v>
      </c>
      <c r="J322" s="6">
        <v>162996.00999999998</v>
      </c>
      <c r="K322" s="6">
        <v>94311.929999999775</v>
      </c>
    </row>
    <row r="323" spans="1:13" x14ac:dyDescent="0.25">
      <c r="A323" s="5" t="s">
        <v>822</v>
      </c>
      <c r="B323" s="42">
        <f t="shared" ref="B323:B386" si="5">J323/1000</f>
        <v>163.62599999999998</v>
      </c>
      <c r="C323" s="7" t="s">
        <v>267</v>
      </c>
      <c r="D323" s="7" t="s">
        <v>266</v>
      </c>
      <c r="E323" s="7" t="s">
        <v>829</v>
      </c>
      <c r="F323" s="17">
        <v>157.72270999999989</v>
      </c>
      <c r="G323" s="7" t="s">
        <v>490</v>
      </c>
      <c r="H323" s="7" t="s">
        <v>488</v>
      </c>
      <c r="I323" s="6">
        <v>754.49</v>
      </c>
      <c r="J323" s="6">
        <v>163625.99999999997</v>
      </c>
      <c r="K323" s="6">
        <v>93681.939999999769</v>
      </c>
    </row>
    <row r="324" spans="1:13" x14ac:dyDescent="0.25">
      <c r="A324" s="5" t="s">
        <v>822</v>
      </c>
      <c r="B324" s="42">
        <f t="shared" si="5"/>
        <v>164.38048999999995</v>
      </c>
      <c r="C324" s="7" t="s">
        <v>266</v>
      </c>
      <c r="D324" s="7" t="s">
        <v>265</v>
      </c>
      <c r="E324" s="7" t="s">
        <v>829</v>
      </c>
      <c r="F324" s="17">
        <v>158.2789699999999</v>
      </c>
      <c r="G324" s="7" t="s">
        <v>488</v>
      </c>
      <c r="H324" s="7" t="s">
        <v>486</v>
      </c>
      <c r="I324" s="6">
        <v>584.01</v>
      </c>
      <c r="J324" s="6">
        <v>164380.48999999996</v>
      </c>
      <c r="K324" s="6">
        <v>92927.449999999764</v>
      </c>
    </row>
    <row r="325" spans="1:13" x14ac:dyDescent="0.25">
      <c r="A325" s="5" t="s">
        <v>822</v>
      </c>
      <c r="B325" s="42">
        <f t="shared" si="5"/>
        <v>164.96449999999996</v>
      </c>
      <c r="C325" s="7" t="s">
        <v>265</v>
      </c>
      <c r="D325" s="7" t="s">
        <v>264</v>
      </c>
      <c r="E325" s="7" t="s">
        <v>829</v>
      </c>
      <c r="F325" s="17">
        <v>158.79166999999993</v>
      </c>
      <c r="G325" s="7" t="s">
        <v>486</v>
      </c>
      <c r="H325" s="7" t="s">
        <v>484</v>
      </c>
      <c r="I325" s="6">
        <v>489.0800000000163</v>
      </c>
      <c r="J325" s="6">
        <v>164964.49999999997</v>
      </c>
      <c r="K325" s="6">
        <v>92343.439999999769</v>
      </c>
    </row>
    <row r="326" spans="1:13" x14ac:dyDescent="0.25">
      <c r="A326" s="5" t="s">
        <v>822</v>
      </c>
      <c r="B326" s="42">
        <f t="shared" si="5"/>
        <v>165.45357999999999</v>
      </c>
      <c r="C326" s="7" t="s">
        <v>264</v>
      </c>
      <c r="D326" s="7" t="s">
        <v>263</v>
      </c>
      <c r="E326" s="7" t="s">
        <v>829</v>
      </c>
      <c r="F326" s="17">
        <v>159.36591999999993</v>
      </c>
      <c r="G326" s="7" t="s">
        <v>484</v>
      </c>
      <c r="H326" s="7" t="s">
        <v>482</v>
      </c>
      <c r="I326" s="6">
        <v>546.91</v>
      </c>
      <c r="J326" s="6">
        <v>165453.57999999999</v>
      </c>
      <c r="K326" s="6">
        <v>91854.359999999753</v>
      </c>
    </row>
    <row r="327" spans="1:13" x14ac:dyDescent="0.25">
      <c r="A327" s="5" t="s">
        <v>822</v>
      </c>
      <c r="B327" s="42">
        <f t="shared" si="5"/>
        <v>166.00048999999999</v>
      </c>
      <c r="C327" s="7" t="s">
        <v>263</v>
      </c>
      <c r="D327" s="7" t="s">
        <v>262</v>
      </c>
      <c r="E327" s="7" t="s">
        <v>829</v>
      </c>
      <c r="F327" s="17">
        <v>159.86822999999993</v>
      </c>
      <c r="G327" s="7" t="s">
        <v>482</v>
      </c>
      <c r="H327" s="7" t="s">
        <v>480</v>
      </c>
      <c r="I327" s="6">
        <v>511.84</v>
      </c>
      <c r="J327" s="6">
        <v>166000.49</v>
      </c>
      <c r="K327" s="6">
        <v>91307.44999999975</v>
      </c>
    </row>
    <row r="328" spans="1:13" x14ac:dyDescent="0.25">
      <c r="A328" s="5" t="s">
        <v>822</v>
      </c>
      <c r="B328" s="42">
        <f t="shared" si="5"/>
        <v>166.51232999999999</v>
      </c>
      <c r="C328" s="7" t="s">
        <v>262</v>
      </c>
      <c r="D328" s="7" t="s">
        <v>261</v>
      </c>
      <c r="E328" s="7" t="s">
        <v>829</v>
      </c>
      <c r="F328" s="17">
        <v>160.42802999999992</v>
      </c>
      <c r="G328" s="7" t="s">
        <v>480</v>
      </c>
      <c r="H328" s="7" t="s">
        <v>478</v>
      </c>
      <c r="I328" s="6">
        <v>562.79999999999995</v>
      </c>
      <c r="J328" s="6">
        <v>166512.32999999999</v>
      </c>
      <c r="K328" s="6">
        <v>90795.609999999753</v>
      </c>
    </row>
    <row r="329" spans="1:13" x14ac:dyDescent="0.25">
      <c r="A329" s="5" t="s">
        <v>822</v>
      </c>
      <c r="B329" s="42">
        <f t="shared" si="5"/>
        <v>167.07512999999997</v>
      </c>
      <c r="C329" s="7" t="s">
        <v>261</v>
      </c>
      <c r="D329" s="7" t="s">
        <v>260</v>
      </c>
      <c r="E329" s="7" t="s">
        <v>829</v>
      </c>
      <c r="F329" s="17">
        <v>160.94377999999992</v>
      </c>
      <c r="G329" s="7" t="s">
        <v>478</v>
      </c>
      <c r="H329" s="7" t="s">
        <v>476</v>
      </c>
      <c r="I329" s="6">
        <v>467.2</v>
      </c>
      <c r="J329" s="6">
        <v>167075.12999999998</v>
      </c>
      <c r="K329" s="6">
        <v>90232.80999999975</v>
      </c>
    </row>
    <row r="330" spans="1:13" x14ac:dyDescent="0.25">
      <c r="A330" s="5" t="s">
        <v>822</v>
      </c>
      <c r="B330" s="42">
        <f t="shared" si="5"/>
        <v>167.54232999999999</v>
      </c>
      <c r="C330" s="7" t="s">
        <v>260</v>
      </c>
      <c r="D330" s="7" t="s">
        <v>259</v>
      </c>
      <c r="E330" s="7" t="s">
        <v>829</v>
      </c>
      <c r="F330" s="17">
        <v>161.4412199999999</v>
      </c>
      <c r="G330" s="7" t="s">
        <v>476</v>
      </c>
      <c r="H330" s="7" t="s">
        <v>474</v>
      </c>
      <c r="I330" s="6">
        <v>471.6</v>
      </c>
      <c r="J330" s="6">
        <v>167542.32999999999</v>
      </c>
      <c r="K330" s="6">
        <v>89765.609999999753</v>
      </c>
    </row>
    <row r="331" spans="1:13" x14ac:dyDescent="0.25">
      <c r="A331" s="5" t="s">
        <v>822</v>
      </c>
      <c r="B331" s="42">
        <f t="shared" si="5"/>
        <v>168.01392999999999</v>
      </c>
      <c r="C331" s="7" t="s">
        <v>259</v>
      </c>
      <c r="D331" s="7" t="s">
        <v>258</v>
      </c>
      <c r="E331" s="7" t="s">
        <v>829</v>
      </c>
      <c r="F331" s="17">
        <v>161.87741999999992</v>
      </c>
      <c r="G331" s="7" t="s">
        <v>474</v>
      </c>
      <c r="H331" s="7" t="s">
        <v>472</v>
      </c>
      <c r="I331" s="6">
        <v>338.32</v>
      </c>
      <c r="J331" s="6">
        <v>168013.93</v>
      </c>
      <c r="K331" s="6">
        <v>89294.009999999747</v>
      </c>
    </row>
    <row r="332" spans="1:13" x14ac:dyDescent="0.25">
      <c r="A332" s="5" t="s">
        <v>822</v>
      </c>
      <c r="B332" s="42">
        <f t="shared" si="5"/>
        <v>168.35225</v>
      </c>
      <c r="C332" s="7" t="s">
        <v>258</v>
      </c>
      <c r="D332" s="7" t="s">
        <v>257</v>
      </c>
      <c r="E332" s="7" t="s">
        <v>829</v>
      </c>
      <c r="F332" s="17">
        <v>162.36191999999991</v>
      </c>
      <c r="G332" s="7" t="s">
        <v>472</v>
      </c>
      <c r="H332" s="7" t="s">
        <v>470</v>
      </c>
      <c r="I332" s="6">
        <v>650.35</v>
      </c>
      <c r="J332" s="6">
        <v>168352.25</v>
      </c>
      <c r="K332" s="6">
        <v>88955.68999999974</v>
      </c>
    </row>
    <row r="333" spans="1:13" x14ac:dyDescent="0.25">
      <c r="A333" s="5" t="s">
        <v>822</v>
      </c>
      <c r="B333" s="42">
        <f t="shared" si="5"/>
        <v>169.0026</v>
      </c>
      <c r="C333" s="7" t="s">
        <v>257</v>
      </c>
      <c r="D333" s="7" t="s">
        <v>256</v>
      </c>
      <c r="E333" s="7" t="s">
        <v>829</v>
      </c>
      <c r="F333" s="17">
        <v>162.93596999999991</v>
      </c>
      <c r="G333" s="7" t="s">
        <v>470</v>
      </c>
      <c r="H333" s="7" t="s">
        <v>468</v>
      </c>
      <c r="I333" s="6">
        <v>559.61</v>
      </c>
      <c r="J333" s="6">
        <v>169002.6</v>
      </c>
      <c r="K333" s="6">
        <v>88305.339999999735</v>
      </c>
    </row>
    <row r="334" spans="1:13" x14ac:dyDescent="0.25">
      <c r="A334" s="5" t="s">
        <v>822</v>
      </c>
      <c r="B334" s="42">
        <f t="shared" si="5"/>
        <v>169.56220999999999</v>
      </c>
      <c r="C334" s="7" t="s">
        <v>256</v>
      </c>
      <c r="D334" s="7" t="s">
        <v>255</v>
      </c>
      <c r="E334" s="7" t="s">
        <v>829</v>
      </c>
      <c r="F334" s="17">
        <v>163.48814999999991</v>
      </c>
      <c r="G334" s="7" t="s">
        <v>468</v>
      </c>
      <c r="H334" s="7" t="s">
        <v>466</v>
      </c>
      <c r="I334" s="6">
        <v>628.71</v>
      </c>
      <c r="J334" s="6">
        <v>169562.21</v>
      </c>
      <c r="K334" s="6">
        <v>87745.729999999734</v>
      </c>
    </row>
    <row r="335" spans="1:13" x14ac:dyDescent="0.25">
      <c r="A335" s="5" t="s">
        <v>822</v>
      </c>
      <c r="B335" s="42">
        <f t="shared" si="5"/>
        <v>170.19091999999998</v>
      </c>
      <c r="C335" s="7" t="s">
        <v>255</v>
      </c>
      <c r="D335" s="7" t="s">
        <v>254</v>
      </c>
      <c r="E335" s="7" t="s">
        <v>829</v>
      </c>
      <c r="F335" s="17">
        <v>164.0456199999999</v>
      </c>
      <c r="G335" s="7" t="s">
        <v>466</v>
      </c>
      <c r="H335" s="7" t="s">
        <v>464</v>
      </c>
      <c r="I335" s="6">
        <v>500.9</v>
      </c>
      <c r="J335" s="6">
        <v>170190.91999999998</v>
      </c>
      <c r="K335" s="6">
        <v>87117.019999999728</v>
      </c>
      <c r="M335" s="74"/>
    </row>
    <row r="336" spans="1:13" x14ac:dyDescent="0.25">
      <c r="A336" s="5" t="s">
        <v>822</v>
      </c>
      <c r="B336" s="42">
        <f t="shared" si="5"/>
        <v>170.69181999999998</v>
      </c>
      <c r="C336" s="7" t="s">
        <v>254</v>
      </c>
      <c r="D336" s="7" t="s">
        <v>253</v>
      </c>
      <c r="E336" s="7" t="s">
        <v>829</v>
      </c>
      <c r="F336" s="17">
        <v>164.63607999999991</v>
      </c>
      <c r="G336" s="7" t="s">
        <v>464</v>
      </c>
      <c r="H336" s="7" t="s">
        <v>462</v>
      </c>
      <c r="I336" s="6">
        <v>760.39</v>
      </c>
      <c r="J336" s="6">
        <v>170691.81999999998</v>
      </c>
      <c r="K336" s="6">
        <v>86616.119999999733</v>
      </c>
      <c r="M336" s="74"/>
    </row>
    <row r="337" spans="1:13" x14ac:dyDescent="0.25">
      <c r="A337" s="13" t="s">
        <v>822</v>
      </c>
      <c r="B337" s="68">
        <f t="shared" si="5"/>
        <v>171.45220999999998</v>
      </c>
      <c r="C337" s="14" t="s">
        <v>253</v>
      </c>
      <c r="D337" s="14" t="s">
        <v>252</v>
      </c>
      <c r="E337" s="14" t="s">
        <v>829</v>
      </c>
      <c r="F337" s="17">
        <v>165.20635999999993</v>
      </c>
      <c r="G337" s="7" t="s">
        <v>462</v>
      </c>
      <c r="H337" s="7" t="s">
        <v>460</v>
      </c>
      <c r="I337" s="6">
        <v>498.77</v>
      </c>
      <c r="J337" s="6">
        <v>171452.21</v>
      </c>
      <c r="K337" s="6">
        <v>85855.729999999734</v>
      </c>
      <c r="M337" s="74"/>
    </row>
    <row r="338" spans="1:13" x14ac:dyDescent="0.25">
      <c r="A338" s="5" t="s">
        <v>822</v>
      </c>
      <c r="B338" s="42">
        <f t="shared" si="5"/>
        <v>171.95097999999999</v>
      </c>
      <c r="C338" s="7" t="s">
        <v>252</v>
      </c>
      <c r="D338" s="7" t="s">
        <v>251</v>
      </c>
      <c r="E338" s="7" t="s">
        <v>829</v>
      </c>
      <c r="F338" s="17">
        <v>165.7778999999999</v>
      </c>
      <c r="G338" s="7" t="s">
        <v>460</v>
      </c>
      <c r="H338" s="7" t="s">
        <v>458</v>
      </c>
      <c r="I338" s="6">
        <v>464.44</v>
      </c>
      <c r="J338" s="6">
        <v>171950.97999999998</v>
      </c>
      <c r="K338" s="6">
        <v>85356.95999999973</v>
      </c>
      <c r="M338" s="74"/>
    </row>
    <row r="339" spans="1:13" x14ac:dyDescent="0.25">
      <c r="A339" s="5" t="s">
        <v>822</v>
      </c>
      <c r="B339" s="42">
        <f t="shared" si="5"/>
        <v>172.41541999999998</v>
      </c>
      <c r="C339" s="7" t="s">
        <v>251</v>
      </c>
      <c r="D339" s="7" t="s">
        <v>250</v>
      </c>
      <c r="E339" s="7" t="s">
        <v>829</v>
      </c>
      <c r="F339" s="17">
        <v>166.34725999999992</v>
      </c>
      <c r="G339" s="7" t="s">
        <v>458</v>
      </c>
      <c r="H339" s="7" t="s">
        <v>456</v>
      </c>
      <c r="I339" s="6">
        <v>394.3</v>
      </c>
      <c r="J339" s="6">
        <v>172415.41999999998</v>
      </c>
      <c r="K339" s="6">
        <v>84892.519999999728</v>
      </c>
      <c r="M339" s="74"/>
    </row>
    <row r="340" spans="1:13" x14ac:dyDescent="0.25">
      <c r="A340" s="5" t="s">
        <v>822</v>
      </c>
      <c r="B340" s="42">
        <f t="shared" si="5"/>
        <v>172.80971999999997</v>
      </c>
      <c r="C340" s="7" t="s">
        <v>250</v>
      </c>
      <c r="D340" s="7" t="s">
        <v>249</v>
      </c>
      <c r="E340" s="7" t="s">
        <v>829</v>
      </c>
      <c r="F340" s="17">
        <v>166.89060999999992</v>
      </c>
      <c r="G340" s="7" t="s">
        <v>456</v>
      </c>
      <c r="H340" s="7" t="s">
        <v>454</v>
      </c>
      <c r="I340" s="6">
        <v>422.25</v>
      </c>
      <c r="J340" s="6">
        <v>172809.71999999997</v>
      </c>
      <c r="K340" s="6">
        <v>84498.219999999725</v>
      </c>
      <c r="M340" s="74"/>
    </row>
    <row r="341" spans="1:13" x14ac:dyDescent="0.25">
      <c r="A341" s="5" t="s">
        <v>822</v>
      </c>
      <c r="B341" s="42">
        <f t="shared" si="5"/>
        <v>173.23196999999996</v>
      </c>
      <c r="C341" s="7" t="s">
        <v>249</v>
      </c>
      <c r="D341" s="7" t="s">
        <v>248</v>
      </c>
      <c r="E341" s="7" t="s">
        <v>829</v>
      </c>
      <c r="F341" s="17">
        <v>167.36880999999994</v>
      </c>
      <c r="G341" s="7" t="s">
        <v>454</v>
      </c>
      <c r="H341" s="7" t="s">
        <v>452</v>
      </c>
      <c r="I341" s="6">
        <v>500.05</v>
      </c>
      <c r="J341" s="6">
        <v>173231.96999999997</v>
      </c>
      <c r="K341" s="6">
        <v>84075.969999999725</v>
      </c>
      <c r="M341" s="74"/>
    </row>
    <row r="342" spans="1:13" x14ac:dyDescent="0.25">
      <c r="A342" s="5" t="s">
        <v>822</v>
      </c>
      <c r="B342" s="42">
        <f t="shared" si="5"/>
        <v>173.73201999999995</v>
      </c>
      <c r="C342" s="7" t="s">
        <v>248</v>
      </c>
      <c r="D342" s="7" t="s">
        <v>247</v>
      </c>
      <c r="E342" s="7" t="s">
        <v>829</v>
      </c>
      <c r="F342" s="17">
        <v>167.77090999999993</v>
      </c>
      <c r="G342" s="7" t="s">
        <v>452</v>
      </c>
      <c r="H342" s="7" t="s">
        <v>450</v>
      </c>
      <c r="I342" s="6">
        <v>535.39</v>
      </c>
      <c r="J342" s="6">
        <v>173732.01999999996</v>
      </c>
      <c r="K342" s="6">
        <v>83575.919999999722</v>
      </c>
    </row>
    <row r="343" spans="1:13" x14ac:dyDescent="0.25">
      <c r="A343" s="5" t="s">
        <v>822</v>
      </c>
      <c r="B343" s="42">
        <f t="shared" si="5"/>
        <v>174.26740999999998</v>
      </c>
      <c r="C343" s="7" t="s">
        <v>247</v>
      </c>
      <c r="D343" s="7" t="s">
        <v>246</v>
      </c>
      <c r="E343" s="7" t="s">
        <v>829</v>
      </c>
      <c r="F343" s="17">
        <v>168.25264999999993</v>
      </c>
      <c r="G343" s="7" t="s">
        <v>450</v>
      </c>
      <c r="H343" s="7" t="s">
        <v>448</v>
      </c>
      <c r="I343" s="6">
        <v>558.1</v>
      </c>
      <c r="J343" s="6">
        <v>174267.40999999997</v>
      </c>
      <c r="K343" s="6">
        <v>83040.529999999722</v>
      </c>
    </row>
    <row r="344" spans="1:13" x14ac:dyDescent="0.25">
      <c r="A344" s="5" t="s">
        <v>822</v>
      </c>
      <c r="B344" s="42">
        <f t="shared" si="5"/>
        <v>174.82550999999998</v>
      </c>
      <c r="C344" s="7" t="s">
        <v>246</v>
      </c>
      <c r="D344" s="7" t="s">
        <v>245</v>
      </c>
      <c r="E344" s="7" t="s">
        <v>829</v>
      </c>
      <c r="F344" s="17">
        <v>168.82026999999994</v>
      </c>
      <c r="G344" s="7" t="s">
        <v>448</v>
      </c>
      <c r="H344" s="7" t="s">
        <v>446</v>
      </c>
      <c r="I344" s="6">
        <v>535.30999999999995</v>
      </c>
      <c r="J344" s="6">
        <v>174825.50999999998</v>
      </c>
      <c r="K344" s="6">
        <v>82482.429999999717</v>
      </c>
    </row>
    <row r="345" spans="1:13" x14ac:dyDescent="0.25">
      <c r="A345" s="5" t="s">
        <v>822</v>
      </c>
      <c r="B345" s="42">
        <f t="shared" si="5"/>
        <v>175.36081999999999</v>
      </c>
      <c r="C345" s="7" t="s">
        <v>245</v>
      </c>
      <c r="D345" s="7" t="s">
        <v>244</v>
      </c>
      <c r="E345" s="7" t="s">
        <v>829</v>
      </c>
      <c r="F345" s="17">
        <v>169.25782999999993</v>
      </c>
      <c r="G345" s="7" t="s">
        <v>446</v>
      </c>
      <c r="H345" s="7" t="s">
        <v>444</v>
      </c>
      <c r="I345" s="6">
        <v>521.19000000000005</v>
      </c>
      <c r="J345" s="6">
        <v>175360.81999999998</v>
      </c>
      <c r="K345" s="6">
        <v>81947.119999999719</v>
      </c>
    </row>
    <row r="346" spans="1:13" x14ac:dyDescent="0.25">
      <c r="A346" s="5" t="s">
        <v>822</v>
      </c>
      <c r="B346" s="42">
        <f t="shared" si="5"/>
        <v>175.88200999999998</v>
      </c>
      <c r="C346" s="7" t="s">
        <v>244</v>
      </c>
      <c r="D346" s="7" t="s">
        <v>243</v>
      </c>
      <c r="E346" s="7" t="s">
        <v>829</v>
      </c>
      <c r="F346" s="17">
        <v>169.80397999999991</v>
      </c>
      <c r="G346" s="7" t="s">
        <v>444</v>
      </c>
      <c r="H346" s="7" t="s">
        <v>442</v>
      </c>
      <c r="I346" s="6">
        <v>509.27</v>
      </c>
      <c r="J346" s="6">
        <v>175882.00999999998</v>
      </c>
      <c r="K346" s="6">
        <v>81425.929999999717</v>
      </c>
    </row>
    <row r="347" spans="1:13" x14ac:dyDescent="0.25">
      <c r="A347" s="5" t="s">
        <v>822</v>
      </c>
      <c r="B347" s="42">
        <f t="shared" si="5"/>
        <v>176.39127999999997</v>
      </c>
      <c r="C347" s="7" t="s">
        <v>243</v>
      </c>
      <c r="D347" s="7" t="s">
        <v>242</v>
      </c>
      <c r="E347" s="7" t="s">
        <v>829</v>
      </c>
      <c r="F347" s="17">
        <v>170.34974999999991</v>
      </c>
      <c r="G347" s="7" t="s">
        <v>442</v>
      </c>
      <c r="H347" s="7" t="s">
        <v>440</v>
      </c>
      <c r="I347" s="6">
        <v>488.51</v>
      </c>
      <c r="J347" s="6">
        <v>176391.27999999997</v>
      </c>
      <c r="K347" s="6">
        <v>80916.659999999712</v>
      </c>
    </row>
    <row r="348" spans="1:13" x14ac:dyDescent="0.25">
      <c r="A348" s="5" t="s">
        <v>822</v>
      </c>
      <c r="B348" s="42">
        <f t="shared" si="5"/>
        <v>176.87978999999999</v>
      </c>
      <c r="C348" s="7" t="s">
        <v>242</v>
      </c>
      <c r="D348" s="7" t="s">
        <v>241</v>
      </c>
      <c r="E348" s="7" t="s">
        <v>829</v>
      </c>
      <c r="F348" s="17">
        <v>170.8968999999999</v>
      </c>
      <c r="G348" s="7" t="s">
        <v>440</v>
      </c>
      <c r="H348" s="7" t="s">
        <v>438</v>
      </c>
      <c r="I348" s="6">
        <v>447.62</v>
      </c>
      <c r="J348" s="6">
        <v>176879.78999999998</v>
      </c>
      <c r="K348" s="6">
        <v>80428.149999999718</v>
      </c>
    </row>
    <row r="349" spans="1:13" x14ac:dyDescent="0.25">
      <c r="A349" s="5" t="s">
        <v>822</v>
      </c>
      <c r="B349" s="42">
        <f t="shared" si="5"/>
        <v>177.32740999999999</v>
      </c>
      <c r="C349" s="7" t="s">
        <v>241</v>
      </c>
      <c r="D349" s="7" t="s">
        <v>240</v>
      </c>
      <c r="E349" s="7" t="s">
        <v>829</v>
      </c>
      <c r="F349" s="17">
        <v>171.4606299999999</v>
      </c>
      <c r="G349" s="7" t="s">
        <v>438</v>
      </c>
      <c r="H349" s="7" t="s">
        <v>436</v>
      </c>
      <c r="I349" s="6">
        <v>448.01</v>
      </c>
      <c r="J349" s="6">
        <v>177327.40999999997</v>
      </c>
      <c r="K349" s="6">
        <v>79980.529999999722</v>
      </c>
    </row>
    <row r="350" spans="1:13" x14ac:dyDescent="0.25">
      <c r="A350" s="5" t="s">
        <v>822</v>
      </c>
      <c r="B350" s="42">
        <f t="shared" si="5"/>
        <v>177.77542</v>
      </c>
      <c r="C350" s="7" t="s">
        <v>240</v>
      </c>
      <c r="D350" s="7" t="s">
        <v>239</v>
      </c>
      <c r="E350" s="7" t="s">
        <v>829</v>
      </c>
      <c r="F350" s="17">
        <v>171.84759999999989</v>
      </c>
      <c r="G350" s="7" t="s">
        <v>436</v>
      </c>
      <c r="H350" s="7" t="s">
        <v>434</v>
      </c>
      <c r="I350" s="6">
        <v>501.81</v>
      </c>
      <c r="J350" s="6">
        <v>177775.41999999998</v>
      </c>
      <c r="K350" s="6">
        <v>79532.519999999728</v>
      </c>
    </row>
    <row r="351" spans="1:13" x14ac:dyDescent="0.25">
      <c r="A351" s="5" t="s">
        <v>822</v>
      </c>
      <c r="B351" s="42">
        <f t="shared" si="5"/>
        <v>178.27722999999997</v>
      </c>
      <c r="C351" s="7" t="s">
        <v>239</v>
      </c>
      <c r="D351" s="7" t="s">
        <v>238</v>
      </c>
      <c r="E351" s="7" t="s">
        <v>829</v>
      </c>
      <c r="F351" s="17">
        <v>172.33181999999988</v>
      </c>
      <c r="G351" s="7" t="s">
        <v>434</v>
      </c>
      <c r="H351" s="7" t="s">
        <v>432</v>
      </c>
      <c r="I351" s="6">
        <v>341.28</v>
      </c>
      <c r="J351" s="6">
        <v>178277.22999999998</v>
      </c>
      <c r="K351" s="6">
        <v>79030.70999999973</v>
      </c>
    </row>
    <row r="352" spans="1:13" x14ac:dyDescent="0.25">
      <c r="A352" s="5" t="s">
        <v>822</v>
      </c>
      <c r="B352" s="42">
        <f t="shared" si="5"/>
        <v>178.61850999999999</v>
      </c>
      <c r="C352" s="7" t="s">
        <v>238</v>
      </c>
      <c r="D352" s="7" t="s">
        <v>237</v>
      </c>
      <c r="E352" s="7" t="s">
        <v>829</v>
      </c>
      <c r="F352" s="17">
        <v>172.8296399999999</v>
      </c>
      <c r="G352" s="7" t="s">
        <v>432</v>
      </c>
      <c r="H352" s="7" t="s">
        <v>430</v>
      </c>
      <c r="I352" s="6">
        <v>556.41999999999996</v>
      </c>
      <c r="J352" s="6">
        <v>178618.50999999998</v>
      </c>
      <c r="K352" s="6">
        <v>78689.429999999731</v>
      </c>
    </row>
    <row r="353" spans="1:11" x14ac:dyDescent="0.25">
      <c r="A353" s="5" t="s">
        <v>822</v>
      </c>
      <c r="B353" s="42">
        <f t="shared" si="5"/>
        <v>179.17492999999999</v>
      </c>
      <c r="C353" s="7" t="s">
        <v>237</v>
      </c>
      <c r="D353" s="7" t="s">
        <v>236</v>
      </c>
      <c r="E353" s="7" t="s">
        <v>829</v>
      </c>
      <c r="F353" s="17">
        <v>173.32342999999992</v>
      </c>
      <c r="G353" s="7" t="s">
        <v>430</v>
      </c>
      <c r="H353" s="7" t="s">
        <v>428</v>
      </c>
      <c r="I353" s="6">
        <v>445.7</v>
      </c>
      <c r="J353" s="6">
        <v>179174.93</v>
      </c>
      <c r="K353" s="6">
        <v>78133.009999999733</v>
      </c>
    </row>
    <row r="354" spans="1:11" x14ac:dyDescent="0.25">
      <c r="A354" s="5" t="s">
        <v>822</v>
      </c>
      <c r="B354" s="42">
        <f t="shared" si="5"/>
        <v>179.62063000000001</v>
      </c>
      <c r="C354" s="7" t="s">
        <v>236</v>
      </c>
      <c r="D354" s="7" t="s">
        <v>235</v>
      </c>
      <c r="E354" s="7" t="s">
        <v>829</v>
      </c>
      <c r="F354" s="17">
        <v>173.8213099999999</v>
      </c>
      <c r="G354" s="7" t="s">
        <v>428</v>
      </c>
      <c r="H354" s="7" t="s">
        <v>426</v>
      </c>
      <c r="I354" s="6">
        <v>436.09</v>
      </c>
      <c r="J354" s="6">
        <v>179620.63</v>
      </c>
      <c r="K354" s="6">
        <v>77687.309999999736</v>
      </c>
    </row>
    <row r="355" spans="1:11" x14ac:dyDescent="0.25">
      <c r="A355" s="5" t="s">
        <v>822</v>
      </c>
      <c r="B355" s="42">
        <f t="shared" si="5"/>
        <v>180.05672000000001</v>
      </c>
      <c r="C355" s="7" t="s">
        <v>235</v>
      </c>
      <c r="D355" s="7" t="s">
        <v>234</v>
      </c>
      <c r="E355" s="7" t="s">
        <v>829</v>
      </c>
      <c r="F355" s="17">
        <v>174.31052999999991</v>
      </c>
      <c r="G355" s="7" t="s">
        <v>426</v>
      </c>
      <c r="H355" s="7" t="s">
        <v>424</v>
      </c>
      <c r="I355" s="6">
        <v>459.34</v>
      </c>
      <c r="J355" s="6">
        <v>180056.72</v>
      </c>
      <c r="K355" s="6">
        <v>77251.219999999739</v>
      </c>
    </row>
    <row r="356" spans="1:11" x14ac:dyDescent="0.25">
      <c r="A356" s="5" t="s">
        <v>822</v>
      </c>
      <c r="B356" s="42">
        <f t="shared" si="5"/>
        <v>180.51606000000001</v>
      </c>
      <c r="C356" s="7" t="s">
        <v>234</v>
      </c>
      <c r="D356" s="7" t="s">
        <v>233</v>
      </c>
      <c r="E356" s="7" t="s">
        <v>829</v>
      </c>
      <c r="F356" s="17">
        <v>174.83297999999994</v>
      </c>
      <c r="G356" s="7" t="s">
        <v>424</v>
      </c>
      <c r="H356" s="7" t="s">
        <v>422</v>
      </c>
      <c r="I356" s="6">
        <v>439.28</v>
      </c>
      <c r="J356" s="6">
        <v>180516.06</v>
      </c>
      <c r="K356" s="6">
        <v>76791.879999999743</v>
      </c>
    </row>
    <row r="357" spans="1:11" x14ac:dyDescent="0.25">
      <c r="A357" s="5" t="s">
        <v>822</v>
      </c>
      <c r="B357" s="42">
        <f t="shared" si="5"/>
        <v>180.95534000000001</v>
      </c>
      <c r="C357" s="7" t="s">
        <v>233</v>
      </c>
      <c r="D357" s="7" t="s">
        <v>232</v>
      </c>
      <c r="E357" s="7" t="s">
        <v>829</v>
      </c>
      <c r="F357" s="17">
        <v>175.40948999999992</v>
      </c>
      <c r="G357" s="7" t="s">
        <v>422</v>
      </c>
      <c r="H357" s="7" t="s">
        <v>420</v>
      </c>
      <c r="I357" s="6">
        <v>517.30999999999995</v>
      </c>
      <c r="J357" s="6">
        <v>180955.34</v>
      </c>
      <c r="K357" s="6">
        <v>76352.599999999744</v>
      </c>
    </row>
    <row r="358" spans="1:11" x14ac:dyDescent="0.25">
      <c r="A358" s="5" t="s">
        <v>822</v>
      </c>
      <c r="B358" s="42">
        <f t="shared" si="5"/>
        <v>181.47264999999999</v>
      </c>
      <c r="C358" s="7" t="s">
        <v>232</v>
      </c>
      <c r="D358" s="7" t="s">
        <v>231</v>
      </c>
      <c r="E358" s="7" t="s">
        <v>829</v>
      </c>
      <c r="F358" s="17">
        <v>175.94619999999992</v>
      </c>
      <c r="G358" s="7" t="s">
        <v>420</v>
      </c>
      <c r="H358" s="7" t="s">
        <v>418</v>
      </c>
      <c r="I358" s="6">
        <v>368.57</v>
      </c>
      <c r="J358" s="6">
        <v>181472.65</v>
      </c>
      <c r="K358" s="6">
        <v>75835.289999999746</v>
      </c>
    </row>
    <row r="359" spans="1:11" x14ac:dyDescent="0.25">
      <c r="A359" s="5" t="s">
        <v>822</v>
      </c>
      <c r="B359" s="42">
        <f t="shared" si="5"/>
        <v>181.84121999999999</v>
      </c>
      <c r="C359" s="7" t="s">
        <v>231</v>
      </c>
      <c r="D359" s="7" t="s">
        <v>230</v>
      </c>
      <c r="E359" s="7" t="s">
        <v>829</v>
      </c>
      <c r="F359" s="17">
        <v>176.51793999999992</v>
      </c>
      <c r="G359" s="7" t="s">
        <v>418</v>
      </c>
      <c r="H359" s="7" t="s">
        <v>416</v>
      </c>
      <c r="I359" s="6">
        <v>581.63</v>
      </c>
      <c r="J359" s="6">
        <v>181841.22</v>
      </c>
      <c r="K359" s="6">
        <v>75466.719999999739</v>
      </c>
    </row>
    <row r="360" spans="1:11" x14ac:dyDescent="0.25">
      <c r="A360" s="5" t="s">
        <v>822</v>
      </c>
      <c r="B360" s="42">
        <f t="shared" si="5"/>
        <v>182.42285000000001</v>
      </c>
      <c r="C360" s="7" t="s">
        <v>230</v>
      </c>
      <c r="D360" s="7" t="s">
        <v>229</v>
      </c>
      <c r="E360" s="7" t="s">
        <v>829</v>
      </c>
      <c r="F360" s="17">
        <v>177.08091999999994</v>
      </c>
      <c r="G360" s="7" t="s">
        <v>416</v>
      </c>
      <c r="H360" s="7" t="s">
        <v>414</v>
      </c>
      <c r="I360" s="6">
        <v>548.29999999999995</v>
      </c>
      <c r="J360" s="6">
        <v>182422.85</v>
      </c>
      <c r="K360" s="6">
        <v>74885.089999999735</v>
      </c>
    </row>
    <row r="361" spans="1:11" x14ac:dyDescent="0.25">
      <c r="A361" s="5" t="s">
        <v>822</v>
      </c>
      <c r="B361" s="42">
        <f t="shared" si="5"/>
        <v>182.97114999999999</v>
      </c>
      <c r="C361" s="7" t="s">
        <v>229</v>
      </c>
      <c r="D361" s="7" t="s">
        <v>228</v>
      </c>
      <c r="E361" s="7" t="s">
        <v>829</v>
      </c>
      <c r="F361" s="17">
        <v>177.62616999999992</v>
      </c>
      <c r="G361" s="7" t="s">
        <v>414</v>
      </c>
      <c r="H361" s="7" t="s">
        <v>412</v>
      </c>
      <c r="I361" s="6">
        <v>539.15</v>
      </c>
      <c r="J361" s="6">
        <v>182971.15</v>
      </c>
      <c r="K361" s="6">
        <v>74336.789999999732</v>
      </c>
    </row>
    <row r="362" spans="1:11" x14ac:dyDescent="0.25">
      <c r="A362" s="5" t="s">
        <v>822</v>
      </c>
      <c r="B362" s="42">
        <f t="shared" si="5"/>
        <v>183.5103</v>
      </c>
      <c r="C362" s="7" t="s">
        <v>228</v>
      </c>
      <c r="D362" s="7" t="s">
        <v>227</v>
      </c>
      <c r="E362" s="7" t="s">
        <v>829</v>
      </c>
      <c r="F362" s="17">
        <v>178.24909999999991</v>
      </c>
      <c r="G362" s="7" t="s">
        <v>412</v>
      </c>
      <c r="H362" s="7" t="s">
        <v>410</v>
      </c>
      <c r="I362" s="6">
        <v>424.09</v>
      </c>
      <c r="J362" s="6">
        <v>183510.3</v>
      </c>
      <c r="K362" s="6">
        <v>73797.639999999737</v>
      </c>
    </row>
    <row r="363" spans="1:11" x14ac:dyDescent="0.25">
      <c r="A363" s="5" t="s">
        <v>822</v>
      </c>
      <c r="B363" s="42">
        <f t="shared" si="5"/>
        <v>183.93438999999998</v>
      </c>
      <c r="C363" s="7" t="s">
        <v>227</v>
      </c>
      <c r="D363" s="7" t="s">
        <v>226</v>
      </c>
      <c r="E363" s="7" t="s">
        <v>829</v>
      </c>
      <c r="F363" s="17">
        <v>178.79054999999994</v>
      </c>
      <c r="G363" s="7" t="s">
        <v>410</v>
      </c>
      <c r="H363" s="7" t="s">
        <v>408</v>
      </c>
      <c r="I363" s="6">
        <v>360.01</v>
      </c>
      <c r="J363" s="6">
        <v>183934.38999999998</v>
      </c>
      <c r="K363" s="6">
        <v>73373.549999999741</v>
      </c>
    </row>
    <row r="364" spans="1:11" x14ac:dyDescent="0.25">
      <c r="A364" s="5" t="s">
        <v>822</v>
      </c>
      <c r="B364" s="42">
        <f t="shared" si="5"/>
        <v>184.2944</v>
      </c>
      <c r="C364" s="7" t="s">
        <v>226</v>
      </c>
      <c r="D364" s="7" t="s">
        <v>225</v>
      </c>
      <c r="E364" s="7" t="s">
        <v>829</v>
      </c>
      <c r="F364" s="17">
        <v>179.30822999999995</v>
      </c>
      <c r="G364" s="7" t="s">
        <v>408</v>
      </c>
      <c r="H364" s="7" t="s">
        <v>406</v>
      </c>
      <c r="I364" s="6">
        <v>485.21</v>
      </c>
      <c r="J364" s="6">
        <v>184294.39999999999</v>
      </c>
      <c r="K364" s="6">
        <v>73013.539999999746</v>
      </c>
    </row>
    <row r="365" spans="1:11" x14ac:dyDescent="0.25">
      <c r="A365" s="5" t="s">
        <v>822</v>
      </c>
      <c r="B365" s="42">
        <f t="shared" si="5"/>
        <v>184.77960999999999</v>
      </c>
      <c r="C365" s="7" t="s">
        <v>225</v>
      </c>
      <c r="D365" s="7" t="s">
        <v>224</v>
      </c>
      <c r="E365" s="7" t="s">
        <v>829</v>
      </c>
      <c r="F365" s="17">
        <v>179.74257999999995</v>
      </c>
      <c r="G365" s="7" t="s">
        <v>406</v>
      </c>
      <c r="H365" s="7" t="s">
        <v>404</v>
      </c>
      <c r="I365" s="6">
        <v>478.35</v>
      </c>
      <c r="J365" s="6">
        <v>184779.61</v>
      </c>
      <c r="K365" s="6">
        <v>72528.32999999974</v>
      </c>
    </row>
    <row r="366" spans="1:11" x14ac:dyDescent="0.25">
      <c r="A366" s="5" t="s">
        <v>822</v>
      </c>
      <c r="B366" s="42">
        <f t="shared" si="5"/>
        <v>185.25796</v>
      </c>
      <c r="C366" s="7" t="s">
        <v>224</v>
      </c>
      <c r="D366" s="7" t="s">
        <v>223</v>
      </c>
      <c r="E366" s="7" t="s">
        <v>829</v>
      </c>
      <c r="F366" s="17">
        <v>180.20252999999997</v>
      </c>
      <c r="G366" s="7" t="s">
        <v>404</v>
      </c>
      <c r="H366" s="7" t="s">
        <v>402</v>
      </c>
      <c r="I366" s="6">
        <v>495.84</v>
      </c>
      <c r="J366" s="6">
        <v>185257.96</v>
      </c>
      <c r="K366" s="6">
        <v>72049.979999999734</v>
      </c>
    </row>
    <row r="367" spans="1:11" x14ac:dyDescent="0.25">
      <c r="A367" s="5" t="s">
        <v>822</v>
      </c>
      <c r="B367" s="42">
        <f t="shared" si="5"/>
        <v>185.75379999999998</v>
      </c>
      <c r="C367" s="7" t="s">
        <v>223</v>
      </c>
      <c r="D367" s="7" t="s">
        <v>222</v>
      </c>
      <c r="E367" s="7" t="s">
        <v>829</v>
      </c>
      <c r="F367" s="17">
        <v>180.66727999999998</v>
      </c>
      <c r="G367" s="7" t="s">
        <v>402</v>
      </c>
      <c r="H367" s="7" t="s">
        <v>400</v>
      </c>
      <c r="I367" s="6">
        <v>364.45</v>
      </c>
      <c r="J367" s="6">
        <v>185753.8</v>
      </c>
      <c r="K367" s="6">
        <v>71554.139999999737</v>
      </c>
    </row>
    <row r="368" spans="1:11" x14ac:dyDescent="0.25">
      <c r="A368" s="5" t="s">
        <v>822</v>
      </c>
      <c r="B368" s="42">
        <f t="shared" si="5"/>
        <v>186.11824999999999</v>
      </c>
      <c r="C368" s="7" t="s">
        <v>222</v>
      </c>
      <c r="D368" s="7" t="s">
        <v>221</v>
      </c>
      <c r="E368" s="7" t="s">
        <v>829</v>
      </c>
      <c r="F368" s="17">
        <v>181.15143999999998</v>
      </c>
      <c r="G368" s="7" t="s">
        <v>400</v>
      </c>
      <c r="H368" s="7" t="s">
        <v>398</v>
      </c>
      <c r="I368" s="6">
        <v>583.91999999999996</v>
      </c>
      <c r="J368" s="6">
        <v>186118.25</v>
      </c>
      <c r="K368" s="6">
        <v>71189.68999999974</v>
      </c>
    </row>
    <row r="369" spans="1:11" x14ac:dyDescent="0.25">
      <c r="A369" s="5" t="s">
        <v>822</v>
      </c>
      <c r="B369" s="42">
        <f t="shared" si="5"/>
        <v>186.70217000000002</v>
      </c>
      <c r="C369" s="7" t="s">
        <v>221</v>
      </c>
      <c r="D369" s="7" t="s">
        <v>220</v>
      </c>
      <c r="E369" s="7" t="s">
        <v>829</v>
      </c>
      <c r="F369" s="17">
        <v>181.65548999999996</v>
      </c>
      <c r="G369" s="7" t="s">
        <v>398</v>
      </c>
      <c r="H369" s="7" t="s">
        <v>396</v>
      </c>
      <c r="I369" s="6">
        <v>558.49</v>
      </c>
      <c r="J369" s="6">
        <v>186702.17</v>
      </c>
      <c r="K369" s="6">
        <v>70605.769999999742</v>
      </c>
    </row>
    <row r="370" spans="1:11" x14ac:dyDescent="0.25">
      <c r="A370" s="5" t="s">
        <v>822</v>
      </c>
      <c r="B370" s="42">
        <f t="shared" si="5"/>
        <v>187.26066</v>
      </c>
      <c r="C370" s="7" t="s">
        <v>220</v>
      </c>
      <c r="D370" s="7" t="s">
        <v>219</v>
      </c>
      <c r="E370" s="7" t="s">
        <v>829</v>
      </c>
      <c r="F370" s="17">
        <v>182.13361999999998</v>
      </c>
      <c r="G370" s="7" t="s">
        <v>396</v>
      </c>
      <c r="H370" s="7" t="s">
        <v>394</v>
      </c>
      <c r="I370" s="6">
        <v>565.01</v>
      </c>
      <c r="J370" s="6">
        <v>187260.66</v>
      </c>
      <c r="K370" s="6">
        <v>70047.279999999737</v>
      </c>
    </row>
    <row r="371" spans="1:11" x14ac:dyDescent="0.25">
      <c r="A371" s="5" t="s">
        <v>822</v>
      </c>
      <c r="B371" s="42">
        <f t="shared" si="5"/>
        <v>187.82567</v>
      </c>
      <c r="C371" s="7" t="s">
        <v>219</v>
      </c>
      <c r="D371" s="7" t="s">
        <v>218</v>
      </c>
      <c r="E371" s="7" t="s">
        <v>829</v>
      </c>
      <c r="F371" s="17">
        <v>182.56598999999997</v>
      </c>
      <c r="G371" s="7" t="s">
        <v>394</v>
      </c>
      <c r="H371" s="7" t="s">
        <v>392</v>
      </c>
      <c r="I371" s="6">
        <v>579.9</v>
      </c>
      <c r="J371" s="6">
        <v>187825.67</v>
      </c>
      <c r="K371" s="6">
        <v>69482.269999999742</v>
      </c>
    </row>
    <row r="372" spans="1:11" x14ac:dyDescent="0.25">
      <c r="A372" s="5" t="s">
        <v>822</v>
      </c>
      <c r="B372" s="42">
        <f t="shared" si="5"/>
        <v>188.40557000000001</v>
      </c>
      <c r="C372" s="7" t="s">
        <v>218</v>
      </c>
      <c r="D372" s="7" t="s">
        <v>217</v>
      </c>
      <c r="E372" s="7" t="s">
        <v>829</v>
      </c>
      <c r="F372" s="17">
        <v>183.10470999999995</v>
      </c>
      <c r="G372" s="7" t="s">
        <v>392</v>
      </c>
      <c r="H372" s="7" t="s">
        <v>390</v>
      </c>
      <c r="I372" s="6">
        <v>452.07</v>
      </c>
      <c r="J372" s="6">
        <v>188405.57</v>
      </c>
      <c r="K372" s="6">
        <v>68902.369999999748</v>
      </c>
    </row>
    <row r="373" spans="1:11" x14ac:dyDescent="0.25">
      <c r="A373" s="5" t="s">
        <v>822</v>
      </c>
      <c r="B373" s="42">
        <f t="shared" si="5"/>
        <v>188.85764</v>
      </c>
      <c r="C373" s="7" t="s">
        <v>217</v>
      </c>
      <c r="D373" s="7" t="s">
        <v>216</v>
      </c>
      <c r="E373" s="7" t="s">
        <v>829</v>
      </c>
      <c r="F373" s="17">
        <v>183.68563999999995</v>
      </c>
      <c r="G373" s="7" t="s">
        <v>390</v>
      </c>
      <c r="H373" s="7" t="s">
        <v>388</v>
      </c>
      <c r="I373" s="6">
        <v>353.82</v>
      </c>
      <c r="J373" s="6">
        <v>188857.64</v>
      </c>
      <c r="K373" s="6">
        <v>68450.299999999741</v>
      </c>
    </row>
    <row r="374" spans="1:11" x14ac:dyDescent="0.25">
      <c r="A374" s="5" t="s">
        <v>822</v>
      </c>
      <c r="B374" s="42">
        <f t="shared" si="5"/>
        <v>189.21146000000002</v>
      </c>
      <c r="C374" s="7" t="s">
        <v>216</v>
      </c>
      <c r="D374" s="7" t="s">
        <v>215</v>
      </c>
      <c r="E374" s="7" t="s">
        <v>829</v>
      </c>
      <c r="F374" s="17">
        <v>184.21811999999997</v>
      </c>
      <c r="G374" s="7" t="s">
        <v>388</v>
      </c>
      <c r="H374" s="7" t="s">
        <v>386</v>
      </c>
      <c r="I374" s="6">
        <v>328.9</v>
      </c>
      <c r="J374" s="6">
        <v>189211.46000000002</v>
      </c>
      <c r="K374" s="6">
        <v>68096.479999999734</v>
      </c>
    </row>
    <row r="375" spans="1:11" x14ac:dyDescent="0.25">
      <c r="A375" s="5" t="s">
        <v>822</v>
      </c>
      <c r="B375" s="42">
        <f t="shared" si="5"/>
        <v>189.54036000000002</v>
      </c>
      <c r="C375" s="7" t="s">
        <v>215</v>
      </c>
      <c r="D375" s="7" t="s">
        <v>214</v>
      </c>
      <c r="E375" s="7" t="s">
        <v>829</v>
      </c>
      <c r="F375" s="17">
        <v>184.68728999999999</v>
      </c>
      <c r="G375" s="7" t="s">
        <v>386</v>
      </c>
      <c r="H375" s="7" t="s">
        <v>384</v>
      </c>
      <c r="I375" s="6">
        <v>455.59</v>
      </c>
      <c r="J375" s="6">
        <v>189540.36000000002</v>
      </c>
      <c r="K375" s="6">
        <v>67767.57999999974</v>
      </c>
    </row>
    <row r="376" spans="1:11" x14ac:dyDescent="0.25">
      <c r="A376" s="5" t="s">
        <v>822</v>
      </c>
      <c r="B376" s="42">
        <f t="shared" si="5"/>
        <v>189.99595000000002</v>
      </c>
      <c r="C376" s="7" t="s">
        <v>214</v>
      </c>
      <c r="D376" s="7" t="s">
        <v>213</v>
      </c>
      <c r="E376" s="7" t="s">
        <v>829</v>
      </c>
      <c r="F376" s="17">
        <v>185.21732999999998</v>
      </c>
      <c r="G376" s="7" t="s">
        <v>384</v>
      </c>
      <c r="H376" s="7" t="s">
        <v>382</v>
      </c>
      <c r="I376" s="6">
        <v>372.88</v>
      </c>
      <c r="J376" s="6">
        <v>189995.95</v>
      </c>
      <c r="K376" s="6">
        <v>67311.989999999743</v>
      </c>
    </row>
    <row r="377" spans="1:11" x14ac:dyDescent="0.25">
      <c r="A377" s="5" t="s">
        <v>822</v>
      </c>
      <c r="B377" s="42">
        <f t="shared" si="5"/>
        <v>190.36883</v>
      </c>
      <c r="C377" s="7" t="s">
        <v>213</v>
      </c>
      <c r="D377" s="7" t="s">
        <v>212</v>
      </c>
      <c r="E377" s="7" t="s">
        <v>829</v>
      </c>
      <c r="F377" s="17">
        <v>185.69015999999996</v>
      </c>
      <c r="G377" s="7" t="s">
        <v>382</v>
      </c>
      <c r="H377" s="7" t="s">
        <v>380</v>
      </c>
      <c r="I377" s="6">
        <v>496.72</v>
      </c>
      <c r="J377" s="6">
        <v>190368.83000000002</v>
      </c>
      <c r="K377" s="6">
        <v>66939.109999999739</v>
      </c>
    </row>
    <row r="378" spans="1:11" x14ac:dyDescent="0.25">
      <c r="A378" s="5" t="s">
        <v>822</v>
      </c>
      <c r="B378" s="42">
        <f t="shared" si="5"/>
        <v>190.86555000000001</v>
      </c>
      <c r="C378" s="7" t="s">
        <v>212</v>
      </c>
      <c r="D378" s="7" t="s">
        <v>211</v>
      </c>
      <c r="E378" s="7" t="s">
        <v>829</v>
      </c>
      <c r="F378" s="17">
        <v>186.27895999999996</v>
      </c>
      <c r="G378" s="7" t="s">
        <v>380</v>
      </c>
      <c r="H378" s="7" t="s">
        <v>378</v>
      </c>
      <c r="I378" s="6">
        <v>351.31</v>
      </c>
      <c r="J378" s="6">
        <v>190865.55000000002</v>
      </c>
      <c r="K378" s="6">
        <v>66442.389999999737</v>
      </c>
    </row>
    <row r="379" spans="1:11" x14ac:dyDescent="0.25">
      <c r="A379" s="5" t="s">
        <v>822</v>
      </c>
      <c r="B379" s="42">
        <f t="shared" si="5"/>
        <v>191.21686000000003</v>
      </c>
      <c r="C379" s="7" t="s">
        <v>211</v>
      </c>
      <c r="D379" s="7" t="s">
        <v>210</v>
      </c>
      <c r="E379" s="7" t="s">
        <v>829</v>
      </c>
      <c r="F379" s="17">
        <v>186.79070999999996</v>
      </c>
      <c r="G379" s="7" t="s">
        <v>378</v>
      </c>
      <c r="H379" s="7" t="s">
        <v>376</v>
      </c>
      <c r="I379" s="6">
        <v>511.38</v>
      </c>
      <c r="J379" s="6">
        <v>191216.86000000002</v>
      </c>
      <c r="K379" s="6">
        <v>66091.07999999974</v>
      </c>
    </row>
    <row r="380" spans="1:11" x14ac:dyDescent="0.25">
      <c r="A380" s="5" t="s">
        <v>822</v>
      </c>
      <c r="B380" s="42">
        <f t="shared" si="5"/>
        <v>191.72824000000003</v>
      </c>
      <c r="C380" s="7" t="s">
        <v>210</v>
      </c>
      <c r="D380" s="7" t="s">
        <v>209</v>
      </c>
      <c r="E380" s="7" t="s">
        <v>829</v>
      </c>
      <c r="F380" s="17">
        <v>187.36895999999996</v>
      </c>
      <c r="G380" s="7" t="s">
        <v>376</v>
      </c>
      <c r="H380" s="7" t="s">
        <v>374</v>
      </c>
      <c r="I380" s="6">
        <v>580.15</v>
      </c>
      <c r="J380" s="6">
        <v>191728.24000000002</v>
      </c>
      <c r="K380" s="6">
        <v>65579.699999999735</v>
      </c>
    </row>
    <row r="381" spans="1:11" x14ac:dyDescent="0.25">
      <c r="A381" s="5" t="s">
        <v>822</v>
      </c>
      <c r="B381" s="42">
        <f t="shared" si="5"/>
        <v>192.30839</v>
      </c>
      <c r="C381" s="7" t="s">
        <v>209</v>
      </c>
      <c r="D381" s="7" t="s">
        <v>208</v>
      </c>
      <c r="E381" s="7" t="s">
        <v>829</v>
      </c>
      <c r="F381" s="17">
        <v>187.93990999999994</v>
      </c>
      <c r="G381" s="7" t="s">
        <v>374</v>
      </c>
      <c r="H381" s="7" t="s">
        <v>372</v>
      </c>
      <c r="I381" s="6">
        <v>409.67</v>
      </c>
      <c r="J381" s="6">
        <v>192308.39</v>
      </c>
      <c r="K381" s="6">
        <v>64999.549999999734</v>
      </c>
    </row>
    <row r="382" spans="1:11" x14ac:dyDescent="0.25">
      <c r="A382" s="5" t="s">
        <v>822</v>
      </c>
      <c r="B382" s="42">
        <f t="shared" si="5"/>
        <v>192.71806000000004</v>
      </c>
      <c r="C382" s="7" t="s">
        <v>208</v>
      </c>
      <c r="D382" s="7" t="s">
        <v>207</v>
      </c>
      <c r="E382" s="7" t="s">
        <v>829</v>
      </c>
      <c r="F382" s="17">
        <v>188.47694999999996</v>
      </c>
      <c r="G382" s="7" t="s">
        <v>372</v>
      </c>
      <c r="H382" s="7" t="s">
        <v>370</v>
      </c>
      <c r="I382" s="6">
        <v>364.44</v>
      </c>
      <c r="J382" s="6">
        <v>192718.06000000003</v>
      </c>
      <c r="K382" s="6">
        <v>64589.879999999735</v>
      </c>
    </row>
    <row r="383" spans="1:11" x14ac:dyDescent="0.25">
      <c r="A383" s="5" t="s">
        <v>822</v>
      </c>
      <c r="B383" s="42">
        <f t="shared" si="5"/>
        <v>193.08250000000004</v>
      </c>
      <c r="C383" s="7" t="s">
        <v>207</v>
      </c>
      <c r="D383" s="7" t="s">
        <v>206</v>
      </c>
      <c r="E383" s="7" t="s">
        <v>829</v>
      </c>
      <c r="F383" s="17">
        <v>188.97754999999995</v>
      </c>
      <c r="G383" s="7" t="s">
        <v>370</v>
      </c>
      <c r="H383" s="7" t="s">
        <v>368</v>
      </c>
      <c r="I383" s="6">
        <v>324.86</v>
      </c>
      <c r="J383" s="6">
        <v>193082.50000000003</v>
      </c>
      <c r="K383" s="6">
        <v>64225.439999999733</v>
      </c>
    </row>
    <row r="384" spans="1:11" x14ac:dyDescent="0.25">
      <c r="A384" s="5" t="s">
        <v>822</v>
      </c>
      <c r="B384" s="42">
        <f t="shared" si="5"/>
        <v>193.40736000000001</v>
      </c>
      <c r="C384" s="7" t="s">
        <v>206</v>
      </c>
      <c r="D384" s="7" t="s">
        <v>205</v>
      </c>
      <c r="E384" s="7" t="s">
        <v>829</v>
      </c>
      <c r="F384" s="17">
        <v>189.53034999999994</v>
      </c>
      <c r="G384" s="7" t="s">
        <v>368</v>
      </c>
      <c r="H384" s="7" t="s">
        <v>366</v>
      </c>
      <c r="I384" s="6">
        <v>614.71</v>
      </c>
      <c r="J384" s="6">
        <v>193407.36000000002</v>
      </c>
      <c r="K384" s="6">
        <v>63900.579999999733</v>
      </c>
    </row>
    <row r="385" spans="1:11" x14ac:dyDescent="0.25">
      <c r="A385" s="5" t="s">
        <v>822</v>
      </c>
      <c r="B385" s="42">
        <f t="shared" si="5"/>
        <v>194.02207000000001</v>
      </c>
      <c r="C385" s="7" t="s">
        <v>205</v>
      </c>
      <c r="D385" s="7" t="s">
        <v>204</v>
      </c>
      <c r="E385" s="7" t="s">
        <v>829</v>
      </c>
      <c r="F385" s="17">
        <v>190.08029999999997</v>
      </c>
      <c r="G385" s="7" t="s">
        <v>366</v>
      </c>
      <c r="H385" s="7" t="s">
        <v>364</v>
      </c>
      <c r="I385" s="6">
        <v>353.66</v>
      </c>
      <c r="J385" s="6">
        <v>194022.07</v>
      </c>
      <c r="K385" s="6">
        <v>63285.869999999733</v>
      </c>
    </row>
    <row r="386" spans="1:11" x14ac:dyDescent="0.25">
      <c r="A386" s="5" t="s">
        <v>822</v>
      </c>
      <c r="B386" s="42">
        <f t="shared" si="5"/>
        <v>194.37573</v>
      </c>
      <c r="C386" s="7" t="s">
        <v>204</v>
      </c>
      <c r="D386" s="7" t="s">
        <v>203</v>
      </c>
      <c r="E386" s="7" t="s">
        <v>829</v>
      </c>
      <c r="F386" s="17">
        <v>190.63264999999996</v>
      </c>
      <c r="G386" s="7" t="s">
        <v>364</v>
      </c>
      <c r="H386" s="7" t="s">
        <v>362</v>
      </c>
      <c r="I386" s="6">
        <v>632.57000000000005</v>
      </c>
      <c r="J386" s="6">
        <v>194375.73</v>
      </c>
      <c r="K386" s="6">
        <v>62932.20999999973</v>
      </c>
    </row>
    <row r="387" spans="1:11" x14ac:dyDescent="0.25">
      <c r="A387" s="5" t="s">
        <v>822</v>
      </c>
      <c r="B387" s="42">
        <f t="shared" ref="B387:B450" si="6">J387/1000</f>
        <v>195.00830000000002</v>
      </c>
      <c r="C387" s="7" t="s">
        <v>203</v>
      </c>
      <c r="D387" s="7" t="s">
        <v>202</v>
      </c>
      <c r="E387" s="7" t="s">
        <v>829</v>
      </c>
      <c r="F387" s="17">
        <v>191.27874</v>
      </c>
      <c r="G387" s="7" t="s">
        <v>362</v>
      </c>
      <c r="H387" s="7" t="s">
        <v>360</v>
      </c>
      <c r="I387" s="6">
        <v>478.33999999999651</v>
      </c>
      <c r="J387" s="6">
        <v>195008.30000000002</v>
      </c>
      <c r="K387" s="6">
        <v>62299.63999999973</v>
      </c>
    </row>
    <row r="388" spans="1:11" x14ac:dyDescent="0.25">
      <c r="A388" s="5" t="s">
        <v>822</v>
      </c>
      <c r="B388" s="42">
        <f t="shared" si="6"/>
        <v>195.48664000000002</v>
      </c>
      <c r="C388" s="7" t="s">
        <v>202</v>
      </c>
      <c r="D388" s="7" t="s">
        <v>201</v>
      </c>
      <c r="E388" s="7" t="s">
        <v>829</v>
      </c>
      <c r="F388" s="17">
        <v>191.80059</v>
      </c>
      <c r="G388" s="7" t="s">
        <v>360</v>
      </c>
      <c r="H388" s="7" t="s">
        <v>358</v>
      </c>
      <c r="I388" s="6">
        <v>410.91000000000349</v>
      </c>
      <c r="J388" s="6">
        <v>195486.64</v>
      </c>
      <c r="K388" s="6">
        <v>61821.299999999734</v>
      </c>
    </row>
    <row r="389" spans="1:11" x14ac:dyDescent="0.25">
      <c r="A389" s="5" t="s">
        <v>822</v>
      </c>
      <c r="B389" s="42">
        <f t="shared" si="6"/>
        <v>195.89755000000002</v>
      </c>
      <c r="C389" s="7" t="s">
        <v>201</v>
      </c>
      <c r="D389" s="7" t="s">
        <v>200</v>
      </c>
      <c r="E389" s="7" t="s">
        <v>829</v>
      </c>
      <c r="F389" s="17">
        <v>192.33611999999999</v>
      </c>
      <c r="G389" s="7" t="s">
        <v>358</v>
      </c>
      <c r="H389" s="7" t="s">
        <v>356</v>
      </c>
      <c r="I389" s="6">
        <v>376.2</v>
      </c>
      <c r="J389" s="6">
        <v>195897.55000000002</v>
      </c>
      <c r="K389" s="6">
        <v>61410.38999999973</v>
      </c>
    </row>
    <row r="390" spans="1:11" x14ac:dyDescent="0.25">
      <c r="A390" s="5" t="s">
        <v>822</v>
      </c>
      <c r="B390" s="42">
        <f t="shared" si="6"/>
        <v>196.27375000000004</v>
      </c>
      <c r="C390" s="7" t="s">
        <v>200</v>
      </c>
      <c r="D390" s="7" t="s">
        <v>199</v>
      </c>
      <c r="E390" s="7" t="s">
        <v>829</v>
      </c>
      <c r="F390" s="17">
        <v>192.83324999999999</v>
      </c>
      <c r="G390" s="7" t="s">
        <v>356</v>
      </c>
      <c r="H390" s="7" t="s">
        <v>354</v>
      </c>
      <c r="I390" s="6">
        <v>403.39</v>
      </c>
      <c r="J390" s="6">
        <v>196273.75000000003</v>
      </c>
      <c r="K390" s="6">
        <v>61034.189999999733</v>
      </c>
    </row>
    <row r="391" spans="1:11" x14ac:dyDescent="0.25">
      <c r="A391" s="5" t="s">
        <v>822</v>
      </c>
      <c r="B391" s="42">
        <f t="shared" si="6"/>
        <v>196.67714000000004</v>
      </c>
      <c r="C391" s="7" t="s">
        <v>199</v>
      </c>
      <c r="D391" s="7" t="s">
        <v>198</v>
      </c>
      <c r="E391" s="7" t="s">
        <v>829</v>
      </c>
      <c r="F391" s="17">
        <v>193.32901000000001</v>
      </c>
      <c r="G391" s="7" t="s">
        <v>354</v>
      </c>
      <c r="H391" s="7" t="s">
        <v>352</v>
      </c>
      <c r="I391" s="6">
        <v>451.17</v>
      </c>
      <c r="J391" s="6">
        <v>196677.14000000004</v>
      </c>
      <c r="K391" s="6">
        <v>60630.799999999734</v>
      </c>
    </row>
    <row r="392" spans="1:11" x14ac:dyDescent="0.25">
      <c r="A392" s="5" t="s">
        <v>822</v>
      </c>
      <c r="B392" s="42">
        <f t="shared" si="6"/>
        <v>197.12831000000006</v>
      </c>
      <c r="C392" s="7" t="s">
        <v>198</v>
      </c>
      <c r="D392" s="7" t="s">
        <v>197</v>
      </c>
      <c r="E392" s="7" t="s">
        <v>829</v>
      </c>
      <c r="F392" s="17">
        <v>193.81207000000001</v>
      </c>
      <c r="G392" s="7" t="s">
        <v>352</v>
      </c>
      <c r="H392" s="7" t="s">
        <v>350</v>
      </c>
      <c r="I392" s="6">
        <v>529.88</v>
      </c>
      <c r="J392" s="6">
        <v>197128.31000000006</v>
      </c>
      <c r="K392" s="6">
        <v>60179.629999999735</v>
      </c>
    </row>
    <row r="393" spans="1:11" x14ac:dyDescent="0.25">
      <c r="A393" s="5" t="s">
        <v>822</v>
      </c>
      <c r="B393" s="42">
        <f t="shared" si="6"/>
        <v>197.65819000000005</v>
      </c>
      <c r="C393" s="7" t="s">
        <v>197</v>
      </c>
      <c r="D393" s="7" t="s">
        <v>196</v>
      </c>
      <c r="E393" s="7" t="s">
        <v>829</v>
      </c>
      <c r="F393" s="17">
        <v>194.28124000000003</v>
      </c>
      <c r="G393" s="7" t="s">
        <v>350</v>
      </c>
      <c r="H393" s="7" t="s">
        <v>348</v>
      </c>
      <c r="I393" s="6">
        <v>545.52</v>
      </c>
      <c r="J393" s="6">
        <v>197658.19000000006</v>
      </c>
      <c r="K393" s="6">
        <v>59649.749999999738</v>
      </c>
    </row>
    <row r="394" spans="1:11" x14ac:dyDescent="0.25">
      <c r="A394" s="5" t="s">
        <v>822</v>
      </c>
      <c r="B394" s="42">
        <f t="shared" si="6"/>
        <v>198.20371000000006</v>
      </c>
      <c r="C394" s="7" t="s">
        <v>196</v>
      </c>
      <c r="D394" s="7" t="s">
        <v>195</v>
      </c>
      <c r="E394" s="7" t="s">
        <v>829</v>
      </c>
      <c r="F394" s="17">
        <v>194.65461000000002</v>
      </c>
      <c r="G394" s="7" t="s">
        <v>348</v>
      </c>
      <c r="H394" s="7" t="s">
        <v>346</v>
      </c>
      <c r="I394" s="6">
        <v>523.79</v>
      </c>
      <c r="J394" s="6">
        <v>198203.71000000005</v>
      </c>
      <c r="K394" s="6">
        <v>59104.229999999741</v>
      </c>
    </row>
    <row r="395" spans="1:11" x14ac:dyDescent="0.25">
      <c r="A395" s="5" t="s">
        <v>822</v>
      </c>
      <c r="B395" s="42">
        <f t="shared" si="6"/>
        <v>198.72750000000005</v>
      </c>
      <c r="C395" s="7" t="s">
        <v>195</v>
      </c>
      <c r="D395" s="7" t="s">
        <v>194</v>
      </c>
      <c r="E395" s="7" t="s">
        <v>829</v>
      </c>
      <c r="F395" s="17">
        <v>195.02415000000002</v>
      </c>
      <c r="G395" s="7" t="s">
        <v>346</v>
      </c>
      <c r="H395" s="7" t="s">
        <v>344</v>
      </c>
      <c r="I395" s="6">
        <v>392.49</v>
      </c>
      <c r="J395" s="6">
        <v>198727.50000000006</v>
      </c>
      <c r="K395" s="6">
        <v>58580.43999999974</v>
      </c>
    </row>
    <row r="396" spans="1:11" x14ac:dyDescent="0.25">
      <c r="A396" s="5" t="s">
        <v>822</v>
      </c>
      <c r="B396" s="42">
        <f t="shared" si="6"/>
        <v>199.11999000000006</v>
      </c>
      <c r="C396" s="7" t="s">
        <v>194</v>
      </c>
      <c r="D396" s="7" t="s">
        <v>193</v>
      </c>
      <c r="E396" s="7" t="s">
        <v>829</v>
      </c>
      <c r="F396" s="17">
        <v>195.49924000000001</v>
      </c>
      <c r="G396" s="7" t="s">
        <v>344</v>
      </c>
      <c r="H396" s="7" t="s">
        <v>342</v>
      </c>
      <c r="I396" s="6">
        <v>595.83000000000004</v>
      </c>
      <c r="J396" s="6">
        <v>199119.99000000005</v>
      </c>
      <c r="K396" s="6">
        <v>58187.949999999742</v>
      </c>
    </row>
    <row r="397" spans="1:11" x14ac:dyDescent="0.25">
      <c r="A397" s="5" t="s">
        <v>822</v>
      </c>
      <c r="B397" s="42">
        <f t="shared" si="6"/>
        <v>199.71582000000004</v>
      </c>
      <c r="C397" s="7" t="s">
        <v>193</v>
      </c>
      <c r="D397" s="7" t="s">
        <v>192</v>
      </c>
      <c r="E397" s="7" t="s">
        <v>829</v>
      </c>
      <c r="F397" s="17">
        <v>196.02435</v>
      </c>
      <c r="G397" s="7" t="s">
        <v>342</v>
      </c>
      <c r="H397" s="7" t="s">
        <v>340</v>
      </c>
      <c r="I397" s="6">
        <v>454.52</v>
      </c>
      <c r="J397" s="6">
        <v>199715.82000000004</v>
      </c>
      <c r="K397" s="6">
        <v>57592.119999999741</v>
      </c>
    </row>
    <row r="398" spans="1:11" x14ac:dyDescent="0.25">
      <c r="A398" s="5" t="s">
        <v>822</v>
      </c>
      <c r="B398" s="42">
        <f t="shared" si="6"/>
        <v>200.17034000000004</v>
      </c>
      <c r="C398" s="7" t="s">
        <v>192</v>
      </c>
      <c r="D398" s="7" t="s">
        <v>191</v>
      </c>
      <c r="E398" s="7" t="s">
        <v>829</v>
      </c>
      <c r="F398" s="17">
        <v>196.52429000000001</v>
      </c>
      <c r="G398" s="7" t="s">
        <v>340</v>
      </c>
      <c r="H398" s="7" t="s">
        <v>338</v>
      </c>
      <c r="I398" s="6">
        <v>414.67</v>
      </c>
      <c r="J398" s="6">
        <v>200170.34000000003</v>
      </c>
      <c r="K398" s="6">
        <v>57137.599999999744</v>
      </c>
    </row>
    <row r="399" spans="1:11" x14ac:dyDescent="0.25">
      <c r="A399" s="5" t="s">
        <v>822</v>
      </c>
      <c r="B399" s="42">
        <f t="shared" si="6"/>
        <v>200.58501000000004</v>
      </c>
      <c r="C399" s="7" t="s">
        <v>191</v>
      </c>
      <c r="D399" s="7" t="s">
        <v>190</v>
      </c>
      <c r="E399" s="7" t="s">
        <v>829</v>
      </c>
      <c r="F399" s="17">
        <v>196.98124000000001</v>
      </c>
      <c r="G399" s="7" t="s">
        <v>338</v>
      </c>
      <c r="H399" s="7" t="s">
        <v>336</v>
      </c>
      <c r="I399" s="6">
        <v>409.13</v>
      </c>
      <c r="J399" s="6">
        <v>200585.01000000004</v>
      </c>
      <c r="K399" s="6">
        <v>56722.929999999746</v>
      </c>
    </row>
    <row r="400" spans="1:11" x14ac:dyDescent="0.25">
      <c r="A400" s="5" t="s">
        <v>822</v>
      </c>
      <c r="B400" s="42">
        <f t="shared" si="6"/>
        <v>200.99414000000004</v>
      </c>
      <c r="C400" s="7" t="s">
        <v>190</v>
      </c>
      <c r="D400" s="7" t="s">
        <v>189</v>
      </c>
      <c r="E400" s="7" t="s">
        <v>829</v>
      </c>
      <c r="F400" s="17">
        <v>197.52485000000001</v>
      </c>
      <c r="G400" s="7" t="s">
        <v>336</v>
      </c>
      <c r="H400" s="7" t="s">
        <v>334</v>
      </c>
      <c r="I400" s="6">
        <v>584.14</v>
      </c>
      <c r="J400" s="6">
        <v>200994.14000000004</v>
      </c>
      <c r="K400" s="6">
        <v>56313.799999999748</v>
      </c>
    </row>
    <row r="401" spans="1:11" x14ac:dyDescent="0.25">
      <c r="A401" s="5" t="s">
        <v>822</v>
      </c>
      <c r="B401" s="42">
        <f t="shared" si="6"/>
        <v>201.57828000000006</v>
      </c>
      <c r="C401" s="7" t="s">
        <v>189</v>
      </c>
      <c r="D401" s="7" t="s">
        <v>188</v>
      </c>
      <c r="E401" s="7" t="s">
        <v>829</v>
      </c>
      <c r="F401" s="17">
        <v>198.08150000000001</v>
      </c>
      <c r="G401" s="7" t="s">
        <v>334</v>
      </c>
      <c r="H401" s="7" t="s">
        <v>332</v>
      </c>
      <c r="I401" s="6">
        <v>554.17999999999995</v>
      </c>
      <c r="J401" s="6">
        <v>201578.28000000006</v>
      </c>
      <c r="K401" s="6">
        <v>55729.659999999749</v>
      </c>
    </row>
    <row r="402" spans="1:11" x14ac:dyDescent="0.25">
      <c r="A402" s="5" t="s">
        <v>822</v>
      </c>
      <c r="B402" s="42">
        <f t="shared" si="6"/>
        <v>202.13246000000004</v>
      </c>
      <c r="C402" s="7" t="s">
        <v>188</v>
      </c>
      <c r="D402" s="7" t="s">
        <v>696</v>
      </c>
      <c r="E402" s="7" t="s">
        <v>829</v>
      </c>
      <c r="F402" s="17">
        <v>198.61672000000002</v>
      </c>
      <c r="G402" s="7" t="s">
        <v>332</v>
      </c>
      <c r="H402" s="7" t="s">
        <v>330</v>
      </c>
      <c r="I402" s="6">
        <v>496.27</v>
      </c>
      <c r="J402" s="6">
        <v>202132.46000000005</v>
      </c>
      <c r="K402" s="6">
        <v>55175.479999999749</v>
      </c>
    </row>
    <row r="403" spans="1:11" x14ac:dyDescent="0.25">
      <c r="A403" s="5" t="s">
        <v>822</v>
      </c>
      <c r="B403" s="42">
        <f t="shared" si="6"/>
        <v>202.62873000000005</v>
      </c>
      <c r="C403" s="7" t="s">
        <v>696</v>
      </c>
      <c r="D403" s="7" t="s">
        <v>695</v>
      </c>
      <c r="E403" s="7" t="s">
        <v>829</v>
      </c>
      <c r="F403" s="17">
        <v>199.14088000000001</v>
      </c>
      <c r="G403" s="7" t="s">
        <v>330</v>
      </c>
      <c r="H403" s="7" t="s">
        <v>328</v>
      </c>
      <c r="I403" s="6">
        <v>467.73</v>
      </c>
      <c r="J403" s="6">
        <v>202628.73000000004</v>
      </c>
      <c r="K403" s="6">
        <v>54679.209999999752</v>
      </c>
    </row>
    <row r="404" spans="1:11" x14ac:dyDescent="0.25">
      <c r="A404" s="5" t="s">
        <v>822</v>
      </c>
      <c r="B404" s="42">
        <f t="shared" si="6"/>
        <v>203.09646000000004</v>
      </c>
      <c r="C404" s="7" t="s">
        <v>695</v>
      </c>
      <c r="D404" s="7" t="s">
        <v>694</v>
      </c>
      <c r="E404" s="7" t="s">
        <v>829</v>
      </c>
      <c r="F404" s="17">
        <v>199.67779999999999</v>
      </c>
      <c r="G404" s="7" t="s">
        <v>328</v>
      </c>
      <c r="H404" s="7" t="s">
        <v>326</v>
      </c>
      <c r="I404" s="6">
        <v>463.03000000002794</v>
      </c>
      <c r="J404" s="6">
        <v>203096.46000000005</v>
      </c>
      <c r="K404" s="6">
        <v>54211.479999999749</v>
      </c>
    </row>
    <row r="405" spans="1:11" x14ac:dyDescent="0.25">
      <c r="A405" s="5" t="s">
        <v>822</v>
      </c>
      <c r="B405" s="42">
        <f t="shared" si="6"/>
        <v>203.55949000000007</v>
      </c>
      <c r="C405" s="7" t="s">
        <v>694</v>
      </c>
      <c r="D405" s="7" t="s">
        <v>693</v>
      </c>
      <c r="E405" s="7" t="s">
        <v>829</v>
      </c>
      <c r="F405" s="17">
        <v>200.22836999999998</v>
      </c>
      <c r="G405" s="7" t="s">
        <v>326</v>
      </c>
      <c r="H405" s="7" t="s">
        <v>324</v>
      </c>
      <c r="I405" s="6">
        <v>371.6</v>
      </c>
      <c r="J405" s="6">
        <v>203559.49000000008</v>
      </c>
      <c r="K405" s="6">
        <v>53748.449999999721</v>
      </c>
    </row>
    <row r="406" spans="1:11" x14ac:dyDescent="0.25">
      <c r="A406" s="5" t="s">
        <v>822</v>
      </c>
      <c r="B406" s="42">
        <f t="shared" si="6"/>
        <v>203.9310900000001</v>
      </c>
      <c r="C406" s="7" t="s">
        <v>693</v>
      </c>
      <c r="D406" s="7" t="s">
        <v>692</v>
      </c>
      <c r="E406" s="7" t="s">
        <v>829</v>
      </c>
      <c r="F406" s="17">
        <v>200.71059</v>
      </c>
      <c r="G406" s="7" t="s">
        <v>324</v>
      </c>
      <c r="H406" s="7" t="s">
        <v>322</v>
      </c>
      <c r="I406" s="6">
        <v>544.4</v>
      </c>
      <c r="J406" s="6">
        <v>203931.09000000008</v>
      </c>
      <c r="K406" s="6">
        <v>53376.849999999722</v>
      </c>
    </row>
    <row r="407" spans="1:11" x14ac:dyDescent="0.25">
      <c r="A407" s="5" t="s">
        <v>822</v>
      </c>
      <c r="B407" s="42">
        <f t="shared" si="6"/>
        <v>204.47549000000006</v>
      </c>
      <c r="C407" s="7" t="s">
        <v>692</v>
      </c>
      <c r="D407" s="7" t="s">
        <v>691</v>
      </c>
      <c r="E407" s="7" t="s">
        <v>829</v>
      </c>
      <c r="F407" s="17">
        <v>201.13244</v>
      </c>
      <c r="G407" s="7" t="s">
        <v>322</v>
      </c>
      <c r="H407" s="7" t="s">
        <v>320</v>
      </c>
      <c r="I407" s="6">
        <v>489</v>
      </c>
      <c r="J407" s="6">
        <v>204475.49000000008</v>
      </c>
      <c r="K407" s="6">
        <v>52832.449999999721</v>
      </c>
    </row>
    <row r="408" spans="1:11" x14ac:dyDescent="0.25">
      <c r="A408" s="5" t="s">
        <v>822</v>
      </c>
      <c r="B408" s="42">
        <f t="shared" si="6"/>
        <v>204.96449000000007</v>
      </c>
      <c r="C408" s="7" t="s">
        <v>691</v>
      </c>
      <c r="D408" s="7" t="s">
        <v>690</v>
      </c>
      <c r="E408" s="7" t="s">
        <v>829</v>
      </c>
      <c r="F408" s="17">
        <v>201.66704999999999</v>
      </c>
      <c r="G408" s="7" t="s">
        <v>320</v>
      </c>
      <c r="H408" s="7" t="s">
        <v>318</v>
      </c>
      <c r="I408" s="6">
        <v>549.30999999999995</v>
      </c>
      <c r="J408" s="6">
        <v>204964.49000000008</v>
      </c>
      <c r="K408" s="6">
        <v>52343.449999999721</v>
      </c>
    </row>
    <row r="409" spans="1:11" x14ac:dyDescent="0.25">
      <c r="A409" s="5" t="s">
        <v>822</v>
      </c>
      <c r="B409" s="42">
        <f t="shared" si="6"/>
        <v>205.51380000000009</v>
      </c>
      <c r="C409" s="7" t="s">
        <v>690</v>
      </c>
      <c r="D409" s="7" t="s">
        <v>689</v>
      </c>
      <c r="E409" s="7" t="s">
        <v>829</v>
      </c>
      <c r="F409" s="17">
        <v>202.13369</v>
      </c>
      <c r="G409" s="7" t="s">
        <v>318</v>
      </c>
      <c r="H409" s="7" t="s">
        <v>316</v>
      </c>
      <c r="I409" s="6">
        <v>539.9</v>
      </c>
      <c r="J409" s="6">
        <v>205513.80000000008</v>
      </c>
      <c r="K409" s="6">
        <v>51794.139999999723</v>
      </c>
    </row>
    <row r="410" spans="1:11" x14ac:dyDescent="0.25">
      <c r="A410" s="5" t="s">
        <v>822</v>
      </c>
      <c r="B410" s="42">
        <f t="shared" si="6"/>
        <v>206.05370000000008</v>
      </c>
      <c r="C410" s="7" t="s">
        <v>689</v>
      </c>
      <c r="D410" s="7" t="s">
        <v>688</v>
      </c>
      <c r="E410" s="7" t="s">
        <v>829</v>
      </c>
      <c r="F410" s="17">
        <v>202.60002000000003</v>
      </c>
      <c r="G410" s="7" t="s">
        <v>316</v>
      </c>
      <c r="H410" s="7" t="s">
        <v>314</v>
      </c>
      <c r="I410" s="6">
        <v>506.79</v>
      </c>
      <c r="J410" s="6">
        <v>206053.70000000007</v>
      </c>
      <c r="K410" s="6">
        <v>51254.239999999721</v>
      </c>
    </row>
    <row r="411" spans="1:11" x14ac:dyDescent="0.25">
      <c r="A411" s="5" t="s">
        <v>822</v>
      </c>
      <c r="B411" s="42">
        <f t="shared" si="6"/>
        <v>206.56049000000007</v>
      </c>
      <c r="C411" s="7" t="s">
        <v>688</v>
      </c>
      <c r="D411" s="7" t="s">
        <v>687</v>
      </c>
      <c r="E411" s="7" t="s">
        <v>829</v>
      </c>
      <c r="F411" s="17">
        <v>203.06872000000004</v>
      </c>
      <c r="G411" s="7" t="s">
        <v>314</v>
      </c>
      <c r="H411" s="7" t="s">
        <v>312</v>
      </c>
      <c r="I411" s="6">
        <v>447.79</v>
      </c>
      <c r="J411" s="6">
        <v>206560.49000000008</v>
      </c>
      <c r="K411" s="6">
        <v>50747.449999999721</v>
      </c>
    </row>
    <row r="412" spans="1:11" x14ac:dyDescent="0.25">
      <c r="A412" s="5" t="s">
        <v>822</v>
      </c>
      <c r="B412" s="42">
        <f t="shared" si="6"/>
        <v>207.0082800000001</v>
      </c>
      <c r="C412" s="7" t="s">
        <v>687</v>
      </c>
      <c r="D412" s="7" t="s">
        <v>686</v>
      </c>
      <c r="E412" s="7" t="s">
        <v>829</v>
      </c>
      <c r="F412" s="17">
        <v>203.62883000000002</v>
      </c>
      <c r="G412" s="7" t="s">
        <v>312</v>
      </c>
      <c r="H412" s="7" t="s">
        <v>310</v>
      </c>
      <c r="I412" s="6">
        <v>584.24</v>
      </c>
      <c r="J412" s="6">
        <v>207008.28000000009</v>
      </c>
      <c r="K412" s="6">
        <v>50299.65999999972</v>
      </c>
    </row>
    <row r="413" spans="1:11" x14ac:dyDescent="0.25">
      <c r="A413" s="5" t="s">
        <v>822</v>
      </c>
      <c r="B413" s="42">
        <f t="shared" si="6"/>
        <v>207.59252000000006</v>
      </c>
      <c r="C413" s="7" t="s">
        <v>686</v>
      </c>
      <c r="D413" s="7" t="s">
        <v>685</v>
      </c>
      <c r="E413" s="7" t="s">
        <v>829</v>
      </c>
      <c r="F413" s="17">
        <v>204.19078000000002</v>
      </c>
      <c r="G413" s="7" t="s">
        <v>310</v>
      </c>
      <c r="H413" s="7" t="s">
        <v>308</v>
      </c>
      <c r="I413" s="6">
        <v>511.12</v>
      </c>
      <c r="J413" s="6">
        <v>207592.52000000008</v>
      </c>
      <c r="K413" s="6">
        <v>49715.419999999722</v>
      </c>
    </row>
    <row r="414" spans="1:11" x14ac:dyDescent="0.25">
      <c r="A414" s="5" t="s">
        <v>822</v>
      </c>
      <c r="B414" s="42">
        <f t="shared" si="6"/>
        <v>208.10364000000007</v>
      </c>
      <c r="C414" s="7" t="s">
        <v>685</v>
      </c>
      <c r="D414" s="7" t="s">
        <v>684</v>
      </c>
      <c r="E414" s="7" t="s">
        <v>829</v>
      </c>
      <c r="F414" s="17">
        <v>204.81262000000004</v>
      </c>
      <c r="G414" s="7" t="s">
        <v>308</v>
      </c>
      <c r="H414" s="7" t="s">
        <v>306</v>
      </c>
      <c r="I414" s="6">
        <v>361.23</v>
      </c>
      <c r="J414" s="6">
        <v>208103.64000000007</v>
      </c>
      <c r="K414" s="6">
        <v>49204.299999999719</v>
      </c>
    </row>
    <row r="415" spans="1:11" x14ac:dyDescent="0.25">
      <c r="A415" s="5" t="s">
        <v>822</v>
      </c>
      <c r="B415" s="42">
        <f t="shared" si="6"/>
        <v>208.46487000000008</v>
      </c>
      <c r="C415" s="7" t="s">
        <v>684</v>
      </c>
      <c r="D415" s="7" t="s">
        <v>683</v>
      </c>
      <c r="E415" s="7" t="s">
        <v>829</v>
      </c>
      <c r="F415" s="17">
        <v>205.36471000000003</v>
      </c>
      <c r="G415" s="7" t="s">
        <v>306</v>
      </c>
      <c r="H415" s="7" t="s">
        <v>304</v>
      </c>
      <c r="I415" s="6">
        <v>488.66</v>
      </c>
      <c r="J415" s="6">
        <v>208464.87000000008</v>
      </c>
      <c r="K415" s="6">
        <v>48843.069999999716</v>
      </c>
    </row>
    <row r="416" spans="1:11" x14ac:dyDescent="0.25">
      <c r="A416" s="5" t="s">
        <v>822</v>
      </c>
      <c r="B416" s="42">
        <f t="shared" si="6"/>
        <v>208.95353000000009</v>
      </c>
      <c r="C416" s="7" t="s">
        <v>683</v>
      </c>
      <c r="D416" s="7" t="s">
        <v>682</v>
      </c>
      <c r="E416" s="7" t="s">
        <v>829</v>
      </c>
      <c r="F416" s="17">
        <v>205.82477000000003</v>
      </c>
      <c r="G416" s="7" t="s">
        <v>304</v>
      </c>
      <c r="H416" s="7" t="s">
        <v>302</v>
      </c>
      <c r="I416" s="6">
        <v>530.97</v>
      </c>
      <c r="J416" s="6">
        <v>208953.53000000009</v>
      </c>
      <c r="K416" s="6">
        <v>48354.409999999712</v>
      </c>
    </row>
    <row r="417" spans="1:11" x14ac:dyDescent="0.25">
      <c r="A417" s="5" t="s">
        <v>822</v>
      </c>
      <c r="B417" s="42">
        <f t="shared" si="6"/>
        <v>209.48450000000008</v>
      </c>
      <c r="C417" s="7" t="s">
        <v>682</v>
      </c>
      <c r="D417" s="7" t="s">
        <v>681</v>
      </c>
      <c r="E417" s="7" t="s">
        <v>829</v>
      </c>
      <c r="F417" s="17">
        <v>206.29926</v>
      </c>
      <c r="G417" s="7" t="s">
        <v>302</v>
      </c>
      <c r="H417" s="7" t="s">
        <v>300</v>
      </c>
      <c r="I417" s="6">
        <v>616.12</v>
      </c>
      <c r="J417" s="6">
        <v>209484.50000000009</v>
      </c>
      <c r="K417" s="6">
        <v>47823.439999999711</v>
      </c>
    </row>
    <row r="418" spans="1:11" x14ac:dyDescent="0.25">
      <c r="A418" s="5" t="s">
        <v>822</v>
      </c>
      <c r="B418" s="42">
        <f t="shared" si="6"/>
        <v>210.10062000000008</v>
      </c>
      <c r="C418" s="7" t="s">
        <v>681</v>
      </c>
      <c r="D418" s="7" t="s">
        <v>680</v>
      </c>
      <c r="E418" s="7" t="s">
        <v>829</v>
      </c>
      <c r="F418" s="17">
        <v>206.82421000000002</v>
      </c>
      <c r="G418" s="7" t="s">
        <v>300</v>
      </c>
      <c r="H418" s="7" t="s">
        <v>298</v>
      </c>
      <c r="I418" s="6">
        <v>463.95</v>
      </c>
      <c r="J418" s="6">
        <v>210100.62000000008</v>
      </c>
      <c r="K418" s="6">
        <v>47207.319999999709</v>
      </c>
    </row>
    <row r="419" spans="1:11" x14ac:dyDescent="0.25">
      <c r="A419" s="5" t="s">
        <v>822</v>
      </c>
      <c r="B419" s="42">
        <f t="shared" si="6"/>
        <v>210.56457000000009</v>
      </c>
      <c r="C419" s="7" t="s">
        <v>680</v>
      </c>
      <c r="D419" s="7" t="s">
        <v>679</v>
      </c>
      <c r="E419" s="7" t="s">
        <v>829</v>
      </c>
      <c r="F419" s="17">
        <v>207.29987000000003</v>
      </c>
      <c r="G419" s="7" t="s">
        <v>298</v>
      </c>
      <c r="H419" s="7" t="s">
        <v>296</v>
      </c>
      <c r="I419" s="6">
        <v>439.1</v>
      </c>
      <c r="J419" s="6">
        <v>210564.57000000009</v>
      </c>
      <c r="K419" s="6">
        <v>46743.369999999712</v>
      </c>
    </row>
    <row r="420" spans="1:11" x14ac:dyDescent="0.25">
      <c r="A420" s="5" t="s">
        <v>822</v>
      </c>
      <c r="B420" s="42">
        <f t="shared" si="6"/>
        <v>211.00367000000011</v>
      </c>
      <c r="C420" s="7" t="s">
        <v>679</v>
      </c>
      <c r="D420" s="7" t="s">
        <v>678</v>
      </c>
      <c r="E420" s="7" t="s">
        <v>829</v>
      </c>
      <c r="F420" s="17">
        <v>207.78221000000002</v>
      </c>
      <c r="G420" s="7" t="s">
        <v>296</v>
      </c>
      <c r="H420" s="7" t="s">
        <v>294</v>
      </c>
      <c r="I420" s="6">
        <v>418.99</v>
      </c>
      <c r="J420" s="6">
        <v>211003.6700000001</v>
      </c>
      <c r="K420" s="6">
        <v>46304.269999999713</v>
      </c>
    </row>
    <row r="421" spans="1:11" x14ac:dyDescent="0.25">
      <c r="A421" s="5" t="s">
        <v>822</v>
      </c>
      <c r="B421" s="42">
        <f t="shared" si="6"/>
        <v>211.42266000000009</v>
      </c>
      <c r="C421" s="7" t="s">
        <v>678</v>
      </c>
      <c r="D421" s="7" t="s">
        <v>677</v>
      </c>
      <c r="E421" s="7" t="s">
        <v>829</v>
      </c>
      <c r="F421" s="17">
        <v>208.34638000000001</v>
      </c>
      <c r="G421" s="7" t="s">
        <v>294</v>
      </c>
      <c r="H421" s="7" t="s">
        <v>292</v>
      </c>
      <c r="I421" s="6">
        <v>430.98</v>
      </c>
      <c r="J421" s="6">
        <v>211422.66000000009</v>
      </c>
      <c r="K421" s="6">
        <v>45885.279999999715</v>
      </c>
    </row>
    <row r="422" spans="1:11" x14ac:dyDescent="0.25">
      <c r="A422" s="5" t="s">
        <v>822</v>
      </c>
      <c r="B422" s="42">
        <f t="shared" si="6"/>
        <v>211.8536400000001</v>
      </c>
      <c r="C422" s="7" t="s">
        <v>677</v>
      </c>
      <c r="D422" s="7" t="s">
        <v>676</v>
      </c>
      <c r="E422" s="7" t="s">
        <v>829</v>
      </c>
      <c r="F422" s="17">
        <v>208.76656</v>
      </c>
      <c r="G422" s="7" t="s">
        <v>292</v>
      </c>
      <c r="H422" s="7" t="s">
        <v>290</v>
      </c>
      <c r="I422" s="6">
        <v>443.9</v>
      </c>
      <c r="J422" s="6">
        <v>211853.6400000001</v>
      </c>
      <c r="K422" s="6">
        <v>45454.299999999712</v>
      </c>
    </row>
    <row r="423" spans="1:11" x14ac:dyDescent="0.25">
      <c r="A423" s="5" t="s">
        <v>822</v>
      </c>
      <c r="B423" s="42">
        <f t="shared" si="6"/>
        <v>212.29754000000008</v>
      </c>
      <c r="C423" s="7" t="s">
        <v>676</v>
      </c>
      <c r="D423" s="7" t="s">
        <v>675</v>
      </c>
      <c r="E423" s="7" t="s">
        <v>829</v>
      </c>
      <c r="F423" s="17">
        <v>209.31699</v>
      </c>
      <c r="G423" s="7" t="s">
        <v>290</v>
      </c>
      <c r="H423" s="7" t="s">
        <v>288</v>
      </c>
      <c r="I423" s="6">
        <v>378.29</v>
      </c>
      <c r="J423" s="6">
        <v>212297.5400000001</v>
      </c>
      <c r="K423" s="6">
        <v>45010.39999999971</v>
      </c>
    </row>
    <row r="424" spans="1:11" x14ac:dyDescent="0.25">
      <c r="A424" s="75" t="s">
        <v>822</v>
      </c>
      <c r="B424" s="76">
        <f t="shared" si="6"/>
        <v>212.6758300000001</v>
      </c>
      <c r="C424" s="77" t="s">
        <v>675</v>
      </c>
      <c r="D424" s="77" t="s">
        <v>674</v>
      </c>
      <c r="E424" s="77" t="s">
        <v>830</v>
      </c>
      <c r="F424" s="17">
        <v>209.84530999999998</v>
      </c>
      <c r="G424" s="7" t="s">
        <v>288</v>
      </c>
      <c r="H424" s="7" t="s">
        <v>286</v>
      </c>
      <c r="I424" s="6">
        <v>427.15</v>
      </c>
      <c r="J424" s="6">
        <v>212675.8300000001</v>
      </c>
      <c r="K424" s="6">
        <v>44632.10999999971</v>
      </c>
    </row>
    <row r="425" spans="1:11" x14ac:dyDescent="0.25">
      <c r="A425" s="5" t="s">
        <v>822</v>
      </c>
      <c r="B425" s="42">
        <f t="shared" si="6"/>
        <v>213.10298000000009</v>
      </c>
      <c r="C425" s="7" t="s">
        <v>674</v>
      </c>
      <c r="D425" s="7" t="s">
        <v>673</v>
      </c>
      <c r="E425" s="7" t="s">
        <v>826</v>
      </c>
      <c r="F425" s="17">
        <v>210.38809000000001</v>
      </c>
      <c r="G425" s="7" t="s">
        <v>286</v>
      </c>
      <c r="H425" s="7" t="s">
        <v>284</v>
      </c>
      <c r="I425" s="6">
        <v>611.09</v>
      </c>
      <c r="J425" s="6">
        <v>213102.9800000001</v>
      </c>
      <c r="K425" s="6">
        <v>44204.959999999708</v>
      </c>
    </row>
    <row r="426" spans="1:11" x14ac:dyDescent="0.25">
      <c r="A426" s="5" t="s">
        <v>822</v>
      </c>
      <c r="B426" s="42">
        <f t="shared" si="6"/>
        <v>213.71407000000011</v>
      </c>
      <c r="C426" s="7" t="s">
        <v>673</v>
      </c>
      <c r="D426" s="7" t="s">
        <v>672</v>
      </c>
      <c r="E426" s="7" t="s">
        <v>826</v>
      </c>
      <c r="F426" s="17">
        <v>210.90534</v>
      </c>
      <c r="G426" s="7" t="s">
        <v>284</v>
      </c>
      <c r="H426" s="7" t="s">
        <v>282</v>
      </c>
      <c r="I426" s="6">
        <v>511.21</v>
      </c>
      <c r="J426" s="6">
        <v>213714.07000000009</v>
      </c>
      <c r="K426" s="6">
        <v>43593.869999999712</v>
      </c>
    </row>
    <row r="427" spans="1:11" x14ac:dyDescent="0.25">
      <c r="A427" s="5" t="s">
        <v>822</v>
      </c>
      <c r="B427" s="42">
        <f t="shared" si="6"/>
        <v>214.22528000000008</v>
      </c>
      <c r="C427" s="7" t="s">
        <v>672</v>
      </c>
      <c r="D427" s="7" t="s">
        <v>671</v>
      </c>
      <c r="E427" s="7" t="s">
        <v>826</v>
      </c>
      <c r="F427" s="17">
        <v>211.37620999999999</v>
      </c>
      <c r="G427" s="7" t="s">
        <v>282</v>
      </c>
      <c r="H427" s="7" t="s">
        <v>280</v>
      </c>
      <c r="I427" s="6">
        <v>409.27</v>
      </c>
      <c r="J427" s="6">
        <v>214225.28000000009</v>
      </c>
      <c r="K427" s="6">
        <v>43082.659999999712</v>
      </c>
    </row>
    <row r="428" spans="1:11" x14ac:dyDescent="0.25">
      <c r="A428" s="5" t="s">
        <v>822</v>
      </c>
      <c r="B428" s="42">
        <f t="shared" si="6"/>
        <v>214.63455000000008</v>
      </c>
      <c r="C428" s="7" t="s">
        <v>671</v>
      </c>
      <c r="D428" s="7" t="s">
        <v>670</v>
      </c>
      <c r="E428" s="7" t="s">
        <v>826</v>
      </c>
      <c r="F428" s="17">
        <v>211.89913999999999</v>
      </c>
      <c r="G428" s="7" t="s">
        <v>280</v>
      </c>
      <c r="H428" s="7" t="s">
        <v>278</v>
      </c>
      <c r="I428" s="6">
        <v>463.82</v>
      </c>
      <c r="J428" s="6">
        <v>214634.55000000008</v>
      </c>
      <c r="K428" s="6">
        <v>42673.389999999716</v>
      </c>
    </row>
    <row r="429" spans="1:11" x14ac:dyDescent="0.25">
      <c r="A429" s="5" t="s">
        <v>822</v>
      </c>
      <c r="B429" s="42">
        <f t="shared" si="6"/>
        <v>215.09837000000007</v>
      </c>
      <c r="C429" s="7" t="s">
        <v>670</v>
      </c>
      <c r="D429" s="7" t="s">
        <v>669</v>
      </c>
      <c r="E429" s="7" t="s">
        <v>826</v>
      </c>
      <c r="F429" s="17">
        <v>212.45289</v>
      </c>
      <c r="G429" s="7" t="s">
        <v>278</v>
      </c>
      <c r="H429" s="7" t="s">
        <v>276</v>
      </c>
      <c r="I429" s="6">
        <v>605.99</v>
      </c>
      <c r="J429" s="6">
        <v>215098.37000000008</v>
      </c>
      <c r="K429" s="6">
        <v>42209.569999999716</v>
      </c>
    </row>
    <row r="430" spans="1:11" x14ac:dyDescent="0.25">
      <c r="A430" s="5" t="s">
        <v>822</v>
      </c>
      <c r="B430" s="42">
        <f t="shared" si="6"/>
        <v>215.70436000000007</v>
      </c>
      <c r="C430" s="7" t="s">
        <v>669</v>
      </c>
      <c r="D430" s="7" t="s">
        <v>668</v>
      </c>
      <c r="E430" s="7" t="s">
        <v>826</v>
      </c>
      <c r="F430" s="17">
        <v>212.99409</v>
      </c>
      <c r="G430" s="7" t="s">
        <v>276</v>
      </c>
      <c r="H430" s="7" t="s">
        <v>274</v>
      </c>
      <c r="I430" s="6">
        <v>451.64</v>
      </c>
      <c r="J430" s="6">
        <v>215704.36000000007</v>
      </c>
      <c r="K430" s="6">
        <v>41603.579999999718</v>
      </c>
    </row>
    <row r="431" spans="1:11" x14ac:dyDescent="0.25">
      <c r="A431" s="5" t="s">
        <v>822</v>
      </c>
      <c r="B431" s="42">
        <f t="shared" si="6"/>
        <v>216.15600000000009</v>
      </c>
      <c r="C431" s="7" t="s">
        <v>668</v>
      </c>
      <c r="D431" s="7" t="s">
        <v>667</v>
      </c>
      <c r="E431" s="7" t="s">
        <v>826</v>
      </c>
      <c r="F431" s="17">
        <v>213.52627999999999</v>
      </c>
      <c r="G431" s="7" t="s">
        <v>274</v>
      </c>
      <c r="H431" s="7" t="s">
        <v>272</v>
      </c>
      <c r="I431" s="6">
        <v>403.61</v>
      </c>
      <c r="J431" s="6">
        <v>216156.00000000009</v>
      </c>
      <c r="K431" s="6">
        <v>41151.939999999719</v>
      </c>
    </row>
    <row r="432" spans="1:11" x14ac:dyDescent="0.25">
      <c r="A432" s="5" t="s">
        <v>822</v>
      </c>
      <c r="B432" s="42">
        <f t="shared" si="6"/>
        <v>216.55961000000008</v>
      </c>
      <c r="C432" s="7" t="s">
        <v>667</v>
      </c>
      <c r="D432" s="7" t="s">
        <v>666</v>
      </c>
      <c r="E432" s="7" t="s">
        <v>826</v>
      </c>
      <c r="F432" s="17">
        <v>214.05895000000001</v>
      </c>
      <c r="G432" s="7" t="s">
        <v>272</v>
      </c>
      <c r="H432" s="7" t="s">
        <v>183</v>
      </c>
      <c r="I432" s="6">
        <v>349.83</v>
      </c>
      <c r="J432" s="6">
        <v>216559.61000000007</v>
      </c>
      <c r="K432" s="6">
        <v>40748.329999999718</v>
      </c>
    </row>
    <row r="433" spans="1:11" x14ac:dyDescent="0.25">
      <c r="A433" s="5" t="s">
        <v>822</v>
      </c>
      <c r="B433" s="42">
        <f t="shared" si="6"/>
        <v>216.90944000000007</v>
      </c>
      <c r="C433" s="7" t="s">
        <v>666</v>
      </c>
      <c r="D433" s="7" t="s">
        <v>665</v>
      </c>
      <c r="E433" s="7" t="s">
        <v>826</v>
      </c>
      <c r="F433" s="17">
        <v>214.68938</v>
      </c>
      <c r="G433" s="7" t="s">
        <v>183</v>
      </c>
      <c r="H433" s="7" t="s">
        <v>181</v>
      </c>
      <c r="I433" s="6">
        <v>506.53</v>
      </c>
      <c r="J433" s="6">
        <v>216909.44000000006</v>
      </c>
      <c r="K433" s="6">
        <v>40398.499999999716</v>
      </c>
    </row>
    <row r="434" spans="1:11" x14ac:dyDescent="0.25">
      <c r="A434" s="5" t="s">
        <v>822</v>
      </c>
      <c r="B434" s="42">
        <f t="shared" si="6"/>
        <v>217.41597000000007</v>
      </c>
      <c r="C434" s="7" t="s">
        <v>665</v>
      </c>
      <c r="D434" s="7" t="s">
        <v>664</v>
      </c>
      <c r="E434" s="7" t="s">
        <v>826</v>
      </c>
      <c r="F434" s="17">
        <v>215.22320000000002</v>
      </c>
      <c r="G434" s="7" t="s">
        <v>181</v>
      </c>
      <c r="H434" s="7" t="s">
        <v>179</v>
      </c>
      <c r="I434" s="6">
        <v>513.69000000000005</v>
      </c>
      <c r="J434" s="6">
        <v>217415.97000000006</v>
      </c>
      <c r="K434" s="6">
        <v>39891.969999999717</v>
      </c>
    </row>
    <row r="435" spans="1:11" x14ac:dyDescent="0.25">
      <c r="A435" s="5" t="s">
        <v>822</v>
      </c>
      <c r="B435" s="42">
        <f t="shared" si="6"/>
        <v>217.92966000000007</v>
      </c>
      <c r="C435" s="7" t="s">
        <v>664</v>
      </c>
      <c r="D435" s="7" t="s">
        <v>663</v>
      </c>
      <c r="E435" s="7" t="s">
        <v>826</v>
      </c>
      <c r="F435" s="17">
        <v>215.76257000000001</v>
      </c>
      <c r="G435" s="7" t="s">
        <v>179</v>
      </c>
      <c r="H435" s="7" t="s">
        <v>177</v>
      </c>
      <c r="I435" s="6">
        <v>545.54999999999995</v>
      </c>
      <c r="J435" s="6">
        <v>217929.66000000006</v>
      </c>
      <c r="K435" s="6">
        <v>39378.279999999715</v>
      </c>
    </row>
    <row r="436" spans="1:11" x14ac:dyDescent="0.25">
      <c r="A436" s="5" t="s">
        <v>822</v>
      </c>
      <c r="B436" s="42">
        <f t="shared" si="6"/>
        <v>218.47521000000006</v>
      </c>
      <c r="C436" s="7" t="s">
        <v>663</v>
      </c>
      <c r="D436" s="7" t="s">
        <v>662</v>
      </c>
      <c r="E436" s="7" t="s">
        <v>826</v>
      </c>
      <c r="F436" s="17">
        <v>216.29571000000001</v>
      </c>
      <c r="G436" s="7" t="s">
        <v>177</v>
      </c>
      <c r="H436" s="7" t="s">
        <v>175</v>
      </c>
      <c r="I436" s="6">
        <v>418.66</v>
      </c>
      <c r="J436" s="6">
        <v>218475.21000000005</v>
      </c>
      <c r="K436" s="6">
        <v>38832.729999999712</v>
      </c>
    </row>
    <row r="437" spans="1:11" x14ac:dyDescent="0.25">
      <c r="A437" s="5" t="s">
        <v>822</v>
      </c>
      <c r="B437" s="42">
        <f t="shared" si="6"/>
        <v>218.89387000000005</v>
      </c>
      <c r="C437" s="7" t="s">
        <v>662</v>
      </c>
      <c r="D437" s="7" t="s">
        <v>661</v>
      </c>
      <c r="E437" s="7" t="s">
        <v>826</v>
      </c>
      <c r="F437" s="17">
        <v>216.75548000000001</v>
      </c>
      <c r="G437" s="7" t="s">
        <v>175</v>
      </c>
      <c r="H437" s="7" t="s">
        <v>173</v>
      </c>
      <c r="I437" s="6">
        <v>498.65</v>
      </c>
      <c r="J437" s="6">
        <v>218893.87000000005</v>
      </c>
      <c r="K437" s="6">
        <v>38414.069999999709</v>
      </c>
    </row>
    <row r="438" spans="1:11" x14ac:dyDescent="0.25">
      <c r="A438" s="5" t="s">
        <v>822</v>
      </c>
      <c r="B438" s="42">
        <f t="shared" si="6"/>
        <v>219.39252000000005</v>
      </c>
      <c r="C438" s="7" t="s">
        <v>661</v>
      </c>
      <c r="D438" s="7" t="s">
        <v>660</v>
      </c>
      <c r="E438" s="7" t="s">
        <v>826</v>
      </c>
      <c r="F438" s="17">
        <v>217.20835</v>
      </c>
      <c r="G438" s="7" t="s">
        <v>173</v>
      </c>
      <c r="H438" s="7" t="s">
        <v>171</v>
      </c>
      <c r="I438" s="6">
        <v>347.58</v>
      </c>
      <c r="J438" s="6">
        <v>219392.52000000005</v>
      </c>
      <c r="K438" s="6">
        <v>37915.419999999707</v>
      </c>
    </row>
    <row r="439" spans="1:11" x14ac:dyDescent="0.25">
      <c r="A439" s="5" t="s">
        <v>822</v>
      </c>
      <c r="B439" s="42">
        <f t="shared" si="6"/>
        <v>219.74010000000004</v>
      </c>
      <c r="C439" s="7" t="s">
        <v>660</v>
      </c>
      <c r="D439" s="7" t="s">
        <v>659</v>
      </c>
      <c r="E439" s="7" t="s">
        <v>826</v>
      </c>
      <c r="F439" s="17">
        <v>217.63930999999999</v>
      </c>
      <c r="G439" s="7" t="s">
        <v>171</v>
      </c>
      <c r="H439" s="7" t="s">
        <v>169</v>
      </c>
      <c r="I439" s="6">
        <v>490.59</v>
      </c>
      <c r="J439" s="6">
        <v>219740.10000000003</v>
      </c>
      <c r="K439" s="6">
        <v>37567.839999999705</v>
      </c>
    </row>
    <row r="440" spans="1:11" x14ac:dyDescent="0.25">
      <c r="A440" s="5" t="s">
        <v>822</v>
      </c>
      <c r="B440" s="42">
        <f t="shared" si="6"/>
        <v>220.23069000000004</v>
      </c>
      <c r="C440" s="7" t="s">
        <v>659</v>
      </c>
      <c r="D440" s="7" t="s">
        <v>658</v>
      </c>
      <c r="E440" s="7" t="s">
        <v>826</v>
      </c>
      <c r="F440" s="17">
        <v>218.17966000000001</v>
      </c>
      <c r="G440" s="7" t="s">
        <v>169</v>
      </c>
      <c r="H440" s="7" t="s">
        <v>167</v>
      </c>
      <c r="I440" s="6">
        <v>493.28</v>
      </c>
      <c r="J440" s="6">
        <v>220230.69000000003</v>
      </c>
      <c r="K440" s="6">
        <v>37077.249999999709</v>
      </c>
    </row>
    <row r="441" spans="1:11" x14ac:dyDescent="0.25">
      <c r="A441" s="5" t="s">
        <v>822</v>
      </c>
      <c r="B441" s="42">
        <f t="shared" si="6"/>
        <v>220.72397000000004</v>
      </c>
      <c r="C441" s="7" t="s">
        <v>658</v>
      </c>
      <c r="D441" s="7" t="s">
        <v>657</v>
      </c>
      <c r="E441" s="7" t="s">
        <v>826</v>
      </c>
      <c r="F441" s="17">
        <v>218.72767999999999</v>
      </c>
      <c r="G441" s="7" t="s">
        <v>167</v>
      </c>
      <c r="H441" s="7" t="s">
        <v>165</v>
      </c>
      <c r="I441" s="6">
        <v>470.73</v>
      </c>
      <c r="J441" s="6">
        <v>220723.97000000003</v>
      </c>
      <c r="K441" s="6">
        <v>36583.96999999971</v>
      </c>
    </row>
    <row r="442" spans="1:11" x14ac:dyDescent="0.25">
      <c r="A442" s="5" t="s">
        <v>822</v>
      </c>
      <c r="B442" s="42">
        <f t="shared" si="6"/>
        <v>221.19470000000004</v>
      </c>
      <c r="C442" s="7" t="s">
        <v>657</v>
      </c>
      <c r="D442" s="7" t="s">
        <v>656</v>
      </c>
      <c r="E442" s="7" t="s">
        <v>826</v>
      </c>
      <c r="F442" s="17">
        <v>219.24878000000001</v>
      </c>
      <c r="G442" s="7" t="s">
        <v>165</v>
      </c>
      <c r="H442" s="7" t="s">
        <v>163</v>
      </c>
      <c r="I442" s="6">
        <v>482.65</v>
      </c>
      <c r="J442" s="6">
        <v>221194.70000000004</v>
      </c>
      <c r="K442" s="6">
        <v>36113.239999999707</v>
      </c>
    </row>
    <row r="443" spans="1:11" x14ac:dyDescent="0.25">
      <c r="A443" s="5" t="s">
        <v>822</v>
      </c>
      <c r="B443" s="42">
        <f t="shared" si="6"/>
        <v>221.67735000000005</v>
      </c>
      <c r="C443" s="7" t="s">
        <v>656</v>
      </c>
      <c r="D443" s="7" t="s">
        <v>655</v>
      </c>
      <c r="E443" s="7" t="s">
        <v>826</v>
      </c>
      <c r="F443" s="17">
        <v>219.80315999999999</v>
      </c>
      <c r="G443" s="7" t="s">
        <v>163</v>
      </c>
      <c r="H443" s="7" t="s">
        <v>161</v>
      </c>
      <c r="I443" s="6">
        <v>455.4</v>
      </c>
      <c r="J443" s="6">
        <v>221677.35000000003</v>
      </c>
      <c r="K443" s="6">
        <v>35630.589999999705</v>
      </c>
    </row>
    <row r="444" spans="1:11" x14ac:dyDescent="0.25">
      <c r="A444" s="5" t="s">
        <v>822</v>
      </c>
      <c r="B444" s="42">
        <f t="shared" si="6"/>
        <v>222.13275000000002</v>
      </c>
      <c r="C444" s="7" t="s">
        <v>655</v>
      </c>
      <c r="D444" s="7" t="s">
        <v>654</v>
      </c>
      <c r="E444" s="7" t="s">
        <v>826</v>
      </c>
      <c r="F444" s="17">
        <v>220.43234000000001</v>
      </c>
      <c r="G444" s="7" t="s">
        <v>161</v>
      </c>
      <c r="H444" s="7" t="s">
        <v>159</v>
      </c>
      <c r="I444" s="6">
        <v>618.53</v>
      </c>
      <c r="J444" s="6">
        <v>222132.75000000003</v>
      </c>
      <c r="K444" s="6">
        <v>35175.189999999704</v>
      </c>
    </row>
    <row r="445" spans="1:11" x14ac:dyDescent="0.25">
      <c r="A445" s="5" t="s">
        <v>822</v>
      </c>
      <c r="B445" s="42">
        <f t="shared" si="6"/>
        <v>222.75128000000004</v>
      </c>
      <c r="C445" s="7" t="s">
        <v>654</v>
      </c>
      <c r="D445" s="7" t="s">
        <v>653</v>
      </c>
      <c r="E445" s="7" t="s">
        <v>826</v>
      </c>
      <c r="F445" s="17">
        <v>220.95294000000001</v>
      </c>
      <c r="G445" s="7" t="s">
        <v>159</v>
      </c>
      <c r="H445" s="7" t="s">
        <v>157</v>
      </c>
      <c r="I445" s="6">
        <v>482.87</v>
      </c>
      <c r="J445" s="6">
        <v>222751.28000000003</v>
      </c>
      <c r="K445" s="6">
        <v>34556.659999999705</v>
      </c>
    </row>
    <row r="446" spans="1:11" x14ac:dyDescent="0.25">
      <c r="A446" s="5" t="s">
        <v>822</v>
      </c>
      <c r="B446" s="42">
        <f t="shared" si="6"/>
        <v>223.23415000000003</v>
      </c>
      <c r="C446" s="7" t="s">
        <v>653</v>
      </c>
      <c r="D446" s="7" t="s">
        <v>652</v>
      </c>
      <c r="E446" s="7" t="s">
        <v>826</v>
      </c>
      <c r="F446" s="17">
        <v>221.48910999999998</v>
      </c>
      <c r="G446" s="7" t="s">
        <v>157</v>
      </c>
      <c r="H446" s="7" t="s">
        <v>155</v>
      </c>
      <c r="I446" s="6">
        <v>622.14</v>
      </c>
      <c r="J446" s="6">
        <v>223234.15000000002</v>
      </c>
      <c r="K446" s="6">
        <v>34073.789999999703</v>
      </c>
    </row>
    <row r="447" spans="1:11" x14ac:dyDescent="0.25">
      <c r="A447" s="5" t="s">
        <v>822</v>
      </c>
      <c r="B447" s="42">
        <f t="shared" si="6"/>
        <v>223.85629000000003</v>
      </c>
      <c r="C447" s="7" t="s">
        <v>652</v>
      </c>
      <c r="D447" s="7" t="s">
        <v>651</v>
      </c>
      <c r="E447" s="7" t="s">
        <v>826</v>
      </c>
      <c r="F447" s="17">
        <v>221.98113000000001</v>
      </c>
      <c r="G447" s="7" t="s">
        <v>155</v>
      </c>
      <c r="H447" s="7" t="s">
        <v>153</v>
      </c>
      <c r="I447" s="6">
        <v>390.2</v>
      </c>
      <c r="J447" s="6">
        <v>223856.29000000004</v>
      </c>
      <c r="K447" s="6">
        <v>33451.649999999703</v>
      </c>
    </row>
    <row r="448" spans="1:11" x14ac:dyDescent="0.25">
      <c r="A448" s="5" t="s">
        <v>822</v>
      </c>
      <c r="B448" s="42">
        <f t="shared" si="6"/>
        <v>224.24649000000005</v>
      </c>
      <c r="C448" s="7" t="s">
        <v>651</v>
      </c>
      <c r="D448" s="7" t="s">
        <v>650</v>
      </c>
      <c r="E448" s="7" t="s">
        <v>826</v>
      </c>
      <c r="F448" s="17">
        <v>222.43827999999999</v>
      </c>
      <c r="G448" s="7" t="s">
        <v>153</v>
      </c>
      <c r="H448" s="7" t="s">
        <v>151</v>
      </c>
      <c r="I448" s="6">
        <v>562.9</v>
      </c>
      <c r="J448" s="6">
        <v>224246.49000000005</v>
      </c>
      <c r="K448" s="6">
        <v>33061.449999999706</v>
      </c>
    </row>
    <row r="449" spans="1:11" x14ac:dyDescent="0.25">
      <c r="A449" s="5" t="s">
        <v>822</v>
      </c>
      <c r="B449" s="42">
        <f t="shared" si="6"/>
        <v>224.80939000000004</v>
      </c>
      <c r="C449" s="7" t="s">
        <v>650</v>
      </c>
      <c r="D449" s="7" t="s">
        <v>649</v>
      </c>
      <c r="E449" s="7" t="s">
        <v>826</v>
      </c>
      <c r="F449" s="17">
        <v>222.84450000000001</v>
      </c>
      <c r="G449" s="7" t="s">
        <v>151</v>
      </c>
      <c r="H449" s="7" t="s">
        <v>149</v>
      </c>
      <c r="I449" s="6">
        <v>540.6</v>
      </c>
      <c r="J449" s="6">
        <v>224809.39000000004</v>
      </c>
      <c r="K449" s="6">
        <v>32498.549999999705</v>
      </c>
    </row>
    <row r="450" spans="1:11" x14ac:dyDescent="0.25">
      <c r="A450" s="5" t="s">
        <v>822</v>
      </c>
      <c r="B450" s="42">
        <f t="shared" si="6"/>
        <v>225.34999000000005</v>
      </c>
      <c r="C450" s="7" t="s">
        <v>649</v>
      </c>
      <c r="D450" s="7" t="s">
        <v>648</v>
      </c>
      <c r="E450" s="7" t="s">
        <v>826</v>
      </c>
      <c r="F450" s="17">
        <v>223.40196</v>
      </c>
      <c r="G450" s="7" t="s">
        <v>149</v>
      </c>
      <c r="H450" s="7" t="s">
        <v>147</v>
      </c>
      <c r="I450" s="6">
        <v>428</v>
      </c>
      <c r="J450" s="6">
        <v>225349.99000000005</v>
      </c>
      <c r="K450" s="6">
        <v>31957.949999999706</v>
      </c>
    </row>
    <row r="451" spans="1:11" x14ac:dyDescent="0.25">
      <c r="A451" s="5" t="s">
        <v>822</v>
      </c>
      <c r="B451" s="42">
        <f t="shared" ref="B451:B514" si="7">J451/1000</f>
        <v>225.77799000000005</v>
      </c>
      <c r="C451" s="7" t="s">
        <v>648</v>
      </c>
      <c r="D451" s="7" t="s">
        <v>647</v>
      </c>
      <c r="E451" s="7" t="s">
        <v>826</v>
      </c>
      <c r="F451" s="17">
        <v>224.04345999999998</v>
      </c>
      <c r="G451" s="7" t="s">
        <v>147</v>
      </c>
      <c r="H451" s="7" t="s">
        <v>145</v>
      </c>
      <c r="I451" s="6">
        <v>362.7</v>
      </c>
      <c r="J451" s="6">
        <v>225777.99000000005</v>
      </c>
      <c r="K451" s="6">
        <v>31529.949999999706</v>
      </c>
    </row>
    <row r="452" spans="1:11" x14ac:dyDescent="0.25">
      <c r="A452" s="5" t="s">
        <v>822</v>
      </c>
      <c r="B452" s="42">
        <f t="shared" si="7"/>
        <v>226.14069000000006</v>
      </c>
      <c r="C452" s="7" t="s">
        <v>647</v>
      </c>
      <c r="D452" s="7" t="s">
        <v>646</v>
      </c>
      <c r="E452" s="7" t="s">
        <v>826</v>
      </c>
      <c r="F452" s="17">
        <v>224.52381</v>
      </c>
      <c r="G452" s="7" t="s">
        <v>145</v>
      </c>
      <c r="H452" s="7" t="s">
        <v>143</v>
      </c>
      <c r="I452" s="6">
        <v>400.04</v>
      </c>
      <c r="J452" s="6">
        <v>226140.69000000006</v>
      </c>
      <c r="K452" s="6">
        <v>31167.249999999705</v>
      </c>
    </row>
    <row r="453" spans="1:11" x14ac:dyDescent="0.25">
      <c r="A453" s="5" t="s">
        <v>822</v>
      </c>
      <c r="B453" s="42">
        <f t="shared" si="7"/>
        <v>226.54073000000008</v>
      </c>
      <c r="C453" s="7" t="s">
        <v>646</v>
      </c>
      <c r="D453" s="7" t="s">
        <v>645</v>
      </c>
      <c r="E453" s="7" t="s">
        <v>826</v>
      </c>
      <c r="F453" s="17">
        <v>224.94955999999999</v>
      </c>
      <c r="G453" s="7" t="s">
        <v>143</v>
      </c>
      <c r="H453" s="7" t="s">
        <v>141</v>
      </c>
      <c r="I453" s="6">
        <v>528</v>
      </c>
      <c r="J453" s="6">
        <v>226540.73000000007</v>
      </c>
      <c r="K453" s="6">
        <v>30767.209999999704</v>
      </c>
    </row>
    <row r="454" spans="1:11" x14ac:dyDescent="0.25">
      <c r="A454" s="5" t="s">
        <v>822</v>
      </c>
      <c r="B454" s="42">
        <f t="shared" si="7"/>
        <v>227.06873000000007</v>
      </c>
      <c r="C454" s="7" t="s">
        <v>645</v>
      </c>
      <c r="D454" s="7" t="s">
        <v>644</v>
      </c>
      <c r="E454" s="7" t="s">
        <v>826</v>
      </c>
      <c r="F454" s="17">
        <v>225.42354999999998</v>
      </c>
      <c r="G454" s="7" t="s">
        <v>141</v>
      </c>
      <c r="H454" s="7" t="s">
        <v>139</v>
      </c>
      <c r="I454" s="6">
        <v>534.79999999999995</v>
      </c>
      <c r="J454" s="6">
        <v>227068.73000000007</v>
      </c>
      <c r="K454" s="6">
        <v>30239.209999999704</v>
      </c>
    </row>
    <row r="455" spans="1:11" x14ac:dyDescent="0.25">
      <c r="A455" s="5" t="s">
        <v>822</v>
      </c>
      <c r="B455" s="42">
        <f t="shared" si="7"/>
        <v>227.60353000000006</v>
      </c>
      <c r="C455" s="7" t="s">
        <v>644</v>
      </c>
      <c r="D455" s="7" t="s">
        <v>643</v>
      </c>
      <c r="E455" s="7" t="s">
        <v>826</v>
      </c>
      <c r="F455" s="17">
        <v>225.94800000000001</v>
      </c>
      <c r="G455" s="7" t="s">
        <v>139</v>
      </c>
      <c r="H455" s="7" t="s">
        <v>137</v>
      </c>
      <c r="I455" s="6">
        <v>552.9</v>
      </c>
      <c r="J455" s="6">
        <v>227603.53000000006</v>
      </c>
      <c r="K455" s="6">
        <v>29704.409999999705</v>
      </c>
    </row>
    <row r="456" spans="1:11" x14ac:dyDescent="0.25">
      <c r="A456" s="5" t="s">
        <v>822</v>
      </c>
      <c r="B456" s="42">
        <f t="shared" si="7"/>
        <v>228.15643000000006</v>
      </c>
      <c r="C456" s="7" t="s">
        <v>643</v>
      </c>
      <c r="D456" s="7" t="s">
        <v>642</v>
      </c>
      <c r="E456" s="7" t="s">
        <v>826</v>
      </c>
      <c r="F456" s="17">
        <v>226.42064999999999</v>
      </c>
      <c r="G456" s="7" t="s">
        <v>137</v>
      </c>
      <c r="H456" s="7" t="s">
        <v>135</v>
      </c>
      <c r="I456" s="6">
        <v>634.11</v>
      </c>
      <c r="J456" s="6">
        <v>228156.43000000005</v>
      </c>
      <c r="K456" s="6">
        <v>29151.509999999704</v>
      </c>
    </row>
    <row r="457" spans="1:11" x14ac:dyDescent="0.25">
      <c r="A457" s="5" t="s">
        <v>822</v>
      </c>
      <c r="B457" s="42">
        <f t="shared" si="7"/>
        <v>228.79054000000005</v>
      </c>
      <c r="C457" s="7" t="s">
        <v>642</v>
      </c>
      <c r="D457" s="7" t="s">
        <v>641</v>
      </c>
      <c r="E457" s="7" t="s">
        <v>826</v>
      </c>
      <c r="F457" s="17">
        <v>226.85560000000001</v>
      </c>
      <c r="G457" s="7" t="s">
        <v>135</v>
      </c>
      <c r="H457" s="7" t="s">
        <v>133</v>
      </c>
      <c r="I457" s="6">
        <v>438.81</v>
      </c>
      <c r="J457" s="6">
        <v>228790.54000000004</v>
      </c>
      <c r="K457" s="6">
        <v>28517.399999999703</v>
      </c>
    </row>
    <row r="458" spans="1:11" x14ac:dyDescent="0.25">
      <c r="A458" s="5" t="s">
        <v>822</v>
      </c>
      <c r="B458" s="42">
        <f t="shared" si="7"/>
        <v>229.22935000000004</v>
      </c>
      <c r="C458" s="7" t="s">
        <v>641</v>
      </c>
      <c r="D458" s="7" t="s">
        <v>640</v>
      </c>
      <c r="E458" s="7" t="s">
        <v>826</v>
      </c>
      <c r="F458" s="17">
        <v>227.33505000000002</v>
      </c>
      <c r="G458" s="7" t="s">
        <v>133</v>
      </c>
      <c r="H458" s="7" t="s">
        <v>131</v>
      </c>
      <c r="I458" s="6">
        <v>637.51</v>
      </c>
      <c r="J458" s="6">
        <v>229229.35000000003</v>
      </c>
      <c r="K458" s="6">
        <v>28078.589999999702</v>
      </c>
    </row>
    <row r="459" spans="1:11" x14ac:dyDescent="0.25">
      <c r="A459" s="5" t="s">
        <v>822</v>
      </c>
      <c r="B459" s="42">
        <f t="shared" si="7"/>
        <v>229.86686000000003</v>
      </c>
      <c r="C459" s="7" t="s">
        <v>640</v>
      </c>
      <c r="D459" s="7" t="s">
        <v>639</v>
      </c>
      <c r="E459" s="7" t="s">
        <v>826</v>
      </c>
      <c r="F459" s="17">
        <v>227.85162000000003</v>
      </c>
      <c r="G459" s="7" t="s">
        <v>131</v>
      </c>
      <c r="H459" s="7" t="s">
        <v>129</v>
      </c>
      <c r="I459" s="6">
        <v>445.29</v>
      </c>
      <c r="J459" s="6">
        <v>229866.86000000004</v>
      </c>
      <c r="K459" s="6">
        <v>27441.079999999703</v>
      </c>
    </row>
    <row r="460" spans="1:11" x14ac:dyDescent="0.25">
      <c r="A460" s="5" t="s">
        <v>822</v>
      </c>
      <c r="B460" s="42">
        <f t="shared" si="7"/>
        <v>230.31215000000006</v>
      </c>
      <c r="C460" s="7" t="s">
        <v>639</v>
      </c>
      <c r="D460" s="7" t="s">
        <v>638</v>
      </c>
      <c r="E460" s="7" t="s">
        <v>826</v>
      </c>
      <c r="F460" s="17">
        <v>228.40213000000003</v>
      </c>
      <c r="G460" s="7" t="s">
        <v>129</v>
      </c>
      <c r="H460" s="7" t="s">
        <v>127</v>
      </c>
      <c r="I460" s="6">
        <v>579.79</v>
      </c>
      <c r="J460" s="6">
        <v>230312.15000000005</v>
      </c>
      <c r="K460" s="6">
        <v>26995.789999999703</v>
      </c>
    </row>
    <row r="461" spans="1:11" x14ac:dyDescent="0.25">
      <c r="A461" s="5" t="s">
        <v>822</v>
      </c>
      <c r="B461" s="42">
        <f t="shared" si="7"/>
        <v>230.89194000000006</v>
      </c>
      <c r="C461" s="7" t="s">
        <v>638</v>
      </c>
      <c r="D461" s="7" t="s">
        <v>637</v>
      </c>
      <c r="E461" s="7" t="s">
        <v>826</v>
      </c>
      <c r="F461" s="17">
        <v>228.98160000000004</v>
      </c>
      <c r="G461" s="7" t="s">
        <v>127</v>
      </c>
      <c r="H461" s="7" t="s">
        <v>125</v>
      </c>
      <c r="I461" s="6">
        <v>365.79</v>
      </c>
      <c r="J461" s="6">
        <v>230891.94000000006</v>
      </c>
      <c r="K461" s="6">
        <v>26415.999999999702</v>
      </c>
    </row>
    <row r="462" spans="1:11" x14ac:dyDescent="0.25">
      <c r="A462" s="5" t="s">
        <v>822</v>
      </c>
      <c r="B462" s="42">
        <f t="shared" si="7"/>
        <v>231.25773000000007</v>
      </c>
      <c r="C462" s="7" t="s">
        <v>637</v>
      </c>
      <c r="D462" s="7" t="s">
        <v>636</v>
      </c>
      <c r="E462" s="7" t="s">
        <v>826</v>
      </c>
      <c r="F462" s="17">
        <v>229.49498000000003</v>
      </c>
      <c r="G462" s="7" t="s">
        <v>125</v>
      </c>
      <c r="H462" s="7" t="s">
        <v>123</v>
      </c>
      <c r="I462" s="6">
        <v>497.99</v>
      </c>
      <c r="J462" s="6">
        <v>231257.73000000007</v>
      </c>
      <c r="K462" s="6">
        <v>26050.209999999701</v>
      </c>
    </row>
    <row r="463" spans="1:11" x14ac:dyDescent="0.25">
      <c r="A463" s="5" t="s">
        <v>822</v>
      </c>
      <c r="B463" s="42">
        <f t="shared" si="7"/>
        <v>231.75572000000005</v>
      </c>
      <c r="C463" s="7" t="s">
        <v>636</v>
      </c>
      <c r="D463" s="7" t="s">
        <v>635</v>
      </c>
      <c r="E463" s="7" t="s">
        <v>826</v>
      </c>
      <c r="F463" s="17">
        <v>229.98012000000006</v>
      </c>
      <c r="G463" s="7" t="s">
        <v>123</v>
      </c>
      <c r="H463" s="7" t="s">
        <v>121</v>
      </c>
      <c r="I463" s="6">
        <v>588.70000000000005</v>
      </c>
      <c r="J463" s="6">
        <v>231755.72000000006</v>
      </c>
      <c r="K463" s="6">
        <v>25552.219999999699</v>
      </c>
    </row>
    <row r="464" spans="1:11" x14ac:dyDescent="0.25">
      <c r="A464" s="5" t="s">
        <v>822</v>
      </c>
      <c r="B464" s="42">
        <f t="shared" si="7"/>
        <v>232.34442000000007</v>
      </c>
      <c r="C464" s="7" t="s">
        <v>635</v>
      </c>
      <c r="D464" s="7" t="s">
        <v>634</v>
      </c>
      <c r="E464" s="7" t="s">
        <v>826</v>
      </c>
      <c r="F464" s="17">
        <v>230.48760000000007</v>
      </c>
      <c r="G464" s="7" t="s">
        <v>121</v>
      </c>
      <c r="H464" s="7" t="s">
        <v>119</v>
      </c>
      <c r="I464" s="6">
        <v>458.3</v>
      </c>
      <c r="J464" s="6">
        <v>232344.42000000007</v>
      </c>
      <c r="K464" s="6">
        <v>24963.519999999698</v>
      </c>
    </row>
    <row r="465" spans="1:11" x14ac:dyDescent="0.25">
      <c r="A465" s="5" t="s">
        <v>822</v>
      </c>
      <c r="B465" s="42">
        <f t="shared" si="7"/>
        <v>232.80272000000005</v>
      </c>
      <c r="C465" s="7" t="s">
        <v>634</v>
      </c>
      <c r="D465" s="7" t="s">
        <v>633</v>
      </c>
      <c r="E465" s="7" t="s">
        <v>826</v>
      </c>
      <c r="F465" s="17">
        <v>231.10872000000006</v>
      </c>
      <c r="G465" s="7" t="s">
        <v>119</v>
      </c>
      <c r="H465" s="7" t="s">
        <v>19</v>
      </c>
      <c r="I465" s="6">
        <v>429.65</v>
      </c>
      <c r="J465" s="6">
        <v>232802.72000000006</v>
      </c>
      <c r="K465" s="6">
        <v>24505.219999999699</v>
      </c>
    </row>
    <row r="466" spans="1:11" x14ac:dyDescent="0.25">
      <c r="A466" s="5" t="s">
        <v>822</v>
      </c>
      <c r="B466" s="42">
        <f t="shared" si="7"/>
        <v>233.23237000000006</v>
      </c>
      <c r="C466" s="7" t="s">
        <v>633</v>
      </c>
      <c r="D466" s="7" t="s">
        <v>632</v>
      </c>
      <c r="E466" s="7" t="s">
        <v>826</v>
      </c>
      <c r="F466" s="17">
        <v>231.52362000000005</v>
      </c>
      <c r="G466" s="7" t="s">
        <v>19</v>
      </c>
      <c r="H466" s="7" t="s">
        <v>18</v>
      </c>
      <c r="I466" s="6">
        <v>378.87</v>
      </c>
      <c r="J466" s="6">
        <v>233232.37000000005</v>
      </c>
      <c r="K466" s="6">
        <v>24075.569999999698</v>
      </c>
    </row>
    <row r="467" spans="1:11" x14ac:dyDescent="0.25">
      <c r="A467" s="5" t="s">
        <v>822</v>
      </c>
      <c r="B467" s="42">
        <f t="shared" si="7"/>
        <v>233.61124000000004</v>
      </c>
      <c r="C467" s="7" t="s">
        <v>632</v>
      </c>
      <c r="D467" s="7" t="s">
        <v>631</v>
      </c>
      <c r="E467" s="7" t="s">
        <v>826</v>
      </c>
      <c r="F467" s="17">
        <v>231.99751000000006</v>
      </c>
      <c r="G467" s="7" t="s">
        <v>18</v>
      </c>
      <c r="H467" s="7" t="s">
        <v>115</v>
      </c>
      <c r="I467" s="6">
        <v>580.79</v>
      </c>
      <c r="J467" s="6">
        <v>233611.24000000005</v>
      </c>
      <c r="K467" s="6">
        <v>23696.699999999699</v>
      </c>
    </row>
    <row r="468" spans="1:11" x14ac:dyDescent="0.25">
      <c r="A468" s="5" t="s">
        <v>822</v>
      </c>
      <c r="B468" s="42">
        <f t="shared" si="7"/>
        <v>234.19203000000005</v>
      </c>
      <c r="C468" s="7" t="s">
        <v>631</v>
      </c>
      <c r="D468" s="7" t="s">
        <v>630</v>
      </c>
      <c r="E468" s="7" t="s">
        <v>826</v>
      </c>
      <c r="F468" s="17">
        <v>232.47913000000005</v>
      </c>
      <c r="G468" s="7" t="s">
        <v>115</v>
      </c>
      <c r="H468" s="7" t="s">
        <v>113</v>
      </c>
      <c r="I468" s="6">
        <v>615.73</v>
      </c>
      <c r="J468" s="6">
        <v>234192.03000000006</v>
      </c>
      <c r="K468" s="6">
        <v>23115.909999999698</v>
      </c>
    </row>
    <row r="469" spans="1:11" x14ac:dyDescent="0.25">
      <c r="A469" s="5" t="s">
        <v>822</v>
      </c>
      <c r="B469" s="42">
        <f t="shared" si="7"/>
        <v>234.80776000000006</v>
      </c>
      <c r="C469" s="7" t="s">
        <v>630</v>
      </c>
      <c r="D469" s="7" t="s">
        <v>629</v>
      </c>
      <c r="E469" s="7" t="s">
        <v>826</v>
      </c>
      <c r="F469" s="17">
        <v>232.99426000000005</v>
      </c>
      <c r="G469" s="7" t="s">
        <v>113</v>
      </c>
      <c r="H469" s="7" t="s">
        <v>111</v>
      </c>
      <c r="I469" s="6">
        <v>861.32</v>
      </c>
      <c r="J469" s="6">
        <v>234807.76000000007</v>
      </c>
      <c r="K469" s="6">
        <v>22500.179999999698</v>
      </c>
    </row>
    <row r="470" spans="1:11" x14ac:dyDescent="0.25">
      <c r="A470" s="5" t="s">
        <v>822</v>
      </c>
      <c r="B470" s="42">
        <f t="shared" si="7"/>
        <v>235.66908000000006</v>
      </c>
      <c r="C470" s="7" t="s">
        <v>629</v>
      </c>
      <c r="D470" s="7" t="s">
        <v>628</v>
      </c>
      <c r="E470" s="7" t="s">
        <v>826</v>
      </c>
      <c r="F470" s="17">
        <v>233.53375000000005</v>
      </c>
      <c r="G470" s="7" t="s">
        <v>111</v>
      </c>
      <c r="H470" s="7" t="s">
        <v>109</v>
      </c>
      <c r="I470" s="6">
        <v>336.19999999998254</v>
      </c>
      <c r="J470" s="6">
        <v>235669.08000000007</v>
      </c>
      <c r="K470" s="6">
        <v>21638.859999999699</v>
      </c>
    </row>
    <row r="471" spans="1:11" x14ac:dyDescent="0.25">
      <c r="A471" s="5" t="s">
        <v>822</v>
      </c>
      <c r="B471" s="42">
        <f t="shared" si="7"/>
        <v>236.00528000000006</v>
      </c>
      <c r="C471" s="7" t="s">
        <v>628</v>
      </c>
      <c r="D471" s="7" t="s">
        <v>627</v>
      </c>
      <c r="E471" s="7" t="s">
        <v>826</v>
      </c>
      <c r="F471" s="17">
        <v>234.04961000000009</v>
      </c>
      <c r="G471" s="7" t="s">
        <v>109</v>
      </c>
      <c r="H471" s="7" t="s">
        <v>107</v>
      </c>
      <c r="I471" s="6">
        <v>585.61</v>
      </c>
      <c r="J471" s="6">
        <v>236005.28000000006</v>
      </c>
      <c r="K471" s="6">
        <v>21302.659999999716</v>
      </c>
    </row>
    <row r="472" spans="1:11" x14ac:dyDescent="0.25">
      <c r="A472" s="5" t="s">
        <v>822</v>
      </c>
      <c r="B472" s="42">
        <f t="shared" si="7"/>
        <v>236.59089000000003</v>
      </c>
      <c r="C472" s="7" t="s">
        <v>627</v>
      </c>
      <c r="D472" s="7" t="s">
        <v>626</v>
      </c>
      <c r="E472" s="7" t="s">
        <v>826</v>
      </c>
      <c r="F472" s="17">
        <v>234.59433000000007</v>
      </c>
      <c r="G472" s="7" t="s">
        <v>107</v>
      </c>
      <c r="H472" s="7" t="s">
        <v>105</v>
      </c>
      <c r="I472" s="6">
        <v>528.1</v>
      </c>
      <c r="J472" s="6">
        <v>236590.89000000004</v>
      </c>
      <c r="K472" s="6">
        <v>20717.049999999716</v>
      </c>
    </row>
    <row r="473" spans="1:11" x14ac:dyDescent="0.25">
      <c r="A473" s="5" t="s">
        <v>822</v>
      </c>
      <c r="B473" s="42">
        <f t="shared" si="7"/>
        <v>237.11899000000005</v>
      </c>
      <c r="C473" s="7" t="s">
        <v>626</v>
      </c>
      <c r="D473" s="7" t="s">
        <v>625</v>
      </c>
      <c r="E473" s="7" t="s">
        <v>826</v>
      </c>
      <c r="F473" s="17">
        <v>235.16189000000008</v>
      </c>
      <c r="G473" s="7" t="s">
        <v>105</v>
      </c>
      <c r="H473" s="7" t="s">
        <v>103</v>
      </c>
      <c r="I473" s="6">
        <v>670.58</v>
      </c>
      <c r="J473" s="6">
        <v>237118.99000000005</v>
      </c>
      <c r="K473" s="6">
        <v>20188.949999999717</v>
      </c>
    </row>
    <row r="474" spans="1:11" x14ac:dyDescent="0.25">
      <c r="A474" s="5" t="s">
        <v>822</v>
      </c>
      <c r="B474" s="42">
        <f t="shared" si="7"/>
        <v>237.78957000000003</v>
      </c>
      <c r="C474" s="7" t="s">
        <v>625</v>
      </c>
      <c r="D474" s="7" t="s">
        <v>624</v>
      </c>
      <c r="E474" s="7" t="s">
        <v>826</v>
      </c>
      <c r="F474" s="17">
        <v>235.74211000000008</v>
      </c>
      <c r="G474" s="7" t="s">
        <v>103</v>
      </c>
      <c r="H474" s="7" t="s">
        <v>101</v>
      </c>
      <c r="I474" s="6">
        <v>398.13</v>
      </c>
      <c r="J474" s="6">
        <v>237789.57000000004</v>
      </c>
      <c r="K474" s="6">
        <v>19518.369999999715</v>
      </c>
    </row>
    <row r="475" spans="1:11" x14ac:dyDescent="0.25">
      <c r="A475" s="5" t="s">
        <v>822</v>
      </c>
      <c r="B475" s="42">
        <f t="shared" si="7"/>
        <v>238.18770000000004</v>
      </c>
      <c r="C475" s="7" t="s">
        <v>624</v>
      </c>
      <c r="D475" s="7" t="s">
        <v>623</v>
      </c>
      <c r="E475" s="7" t="s">
        <v>826</v>
      </c>
      <c r="F475" s="17">
        <v>236.23395000000008</v>
      </c>
      <c r="G475" s="7" t="s">
        <v>101</v>
      </c>
      <c r="H475" s="7" t="s">
        <v>99</v>
      </c>
      <c r="I475" s="6">
        <v>603.87999999997555</v>
      </c>
      <c r="J475" s="6">
        <v>238187.70000000004</v>
      </c>
      <c r="K475" s="6">
        <v>19120.239999999714</v>
      </c>
    </row>
    <row r="476" spans="1:11" x14ac:dyDescent="0.25">
      <c r="A476" s="5" t="s">
        <v>822</v>
      </c>
      <c r="B476" s="42">
        <f t="shared" si="7"/>
        <v>238.79158000000001</v>
      </c>
      <c r="C476" s="7" t="s">
        <v>623</v>
      </c>
      <c r="D476" s="7" t="s">
        <v>622</v>
      </c>
      <c r="E476" s="7" t="s">
        <v>826</v>
      </c>
      <c r="F476" s="17">
        <v>236.69367000000008</v>
      </c>
      <c r="G476" s="7" t="s">
        <v>99</v>
      </c>
      <c r="H476" s="7" t="s">
        <v>97</v>
      </c>
      <c r="I476" s="6">
        <v>510.97</v>
      </c>
      <c r="J476" s="6">
        <v>238791.58000000002</v>
      </c>
      <c r="K476" s="6">
        <v>18516.359999999739</v>
      </c>
    </row>
    <row r="477" spans="1:11" x14ac:dyDescent="0.25">
      <c r="A477" s="5" t="s">
        <v>822</v>
      </c>
      <c r="B477" s="42">
        <f t="shared" si="7"/>
        <v>239.30255000000002</v>
      </c>
      <c r="C477" s="7" t="s">
        <v>622</v>
      </c>
      <c r="D477" s="7" t="s">
        <v>621</v>
      </c>
      <c r="E477" s="7" t="s">
        <v>826</v>
      </c>
      <c r="F477" s="17">
        <v>237.22808000000006</v>
      </c>
      <c r="G477" s="7" t="s">
        <v>97</v>
      </c>
      <c r="H477" s="7" t="s">
        <v>95</v>
      </c>
      <c r="I477" s="6">
        <v>848.05</v>
      </c>
      <c r="J477" s="6">
        <v>239302.55000000002</v>
      </c>
      <c r="K477" s="6">
        <v>18005.389999999737</v>
      </c>
    </row>
    <row r="478" spans="1:11" x14ac:dyDescent="0.25">
      <c r="A478" s="5" t="s">
        <v>822</v>
      </c>
      <c r="B478" s="42">
        <f t="shared" si="7"/>
        <v>240.1506</v>
      </c>
      <c r="C478" s="7" t="s">
        <v>621</v>
      </c>
      <c r="D478" s="7" t="s">
        <v>620</v>
      </c>
      <c r="E478" s="7" t="s">
        <v>826</v>
      </c>
      <c r="F478" s="17">
        <v>237.73758000000007</v>
      </c>
      <c r="G478" s="7" t="s">
        <v>95</v>
      </c>
      <c r="H478" s="7" t="s">
        <v>93</v>
      </c>
      <c r="I478" s="6">
        <v>387.51</v>
      </c>
      <c r="J478" s="6">
        <v>240150.6</v>
      </c>
      <c r="K478" s="6">
        <v>17157.339999999738</v>
      </c>
    </row>
    <row r="479" spans="1:11" x14ac:dyDescent="0.25">
      <c r="A479" s="5" t="s">
        <v>822</v>
      </c>
      <c r="B479" s="42">
        <f t="shared" si="7"/>
        <v>240.53811000000002</v>
      </c>
      <c r="C479" s="7" t="s">
        <v>620</v>
      </c>
      <c r="D479" s="7" t="s">
        <v>619</v>
      </c>
      <c r="E479" s="7" t="s">
        <v>826</v>
      </c>
      <c r="F479" s="17">
        <v>238.27932000000007</v>
      </c>
      <c r="G479" s="7" t="s">
        <v>93</v>
      </c>
      <c r="H479" s="7" t="s">
        <v>91</v>
      </c>
      <c r="I479" s="6">
        <v>632.09</v>
      </c>
      <c r="J479" s="6">
        <v>240538.11000000002</v>
      </c>
      <c r="K479" s="6">
        <v>16769.82999999974</v>
      </c>
    </row>
    <row r="480" spans="1:11" x14ac:dyDescent="0.25">
      <c r="A480" s="5" t="s">
        <v>822</v>
      </c>
      <c r="B480" s="42">
        <f t="shared" si="7"/>
        <v>241.17020000000002</v>
      </c>
      <c r="C480" s="7" t="s">
        <v>619</v>
      </c>
      <c r="D480" s="7" t="s">
        <v>618</v>
      </c>
      <c r="E480" s="7" t="s">
        <v>826</v>
      </c>
      <c r="F480" s="17">
        <v>238.83790000000005</v>
      </c>
      <c r="G480" s="7" t="s">
        <v>91</v>
      </c>
      <c r="H480" s="7" t="s">
        <v>89</v>
      </c>
      <c r="I480" s="6">
        <v>295.64</v>
      </c>
      <c r="J480" s="6">
        <v>241170.2</v>
      </c>
      <c r="K480" s="6">
        <v>16137.73999999974</v>
      </c>
    </row>
    <row r="481" spans="1:11" x14ac:dyDescent="0.25">
      <c r="A481" s="5" t="s">
        <v>822</v>
      </c>
      <c r="B481" s="42">
        <f t="shared" si="7"/>
        <v>241.46584000000001</v>
      </c>
      <c r="C481" s="7" t="s">
        <v>618</v>
      </c>
      <c r="D481" s="7" t="s">
        <v>617</v>
      </c>
      <c r="E481" s="7" t="s">
        <v>826</v>
      </c>
      <c r="F481" s="17">
        <v>239.38791000000006</v>
      </c>
      <c r="G481" s="7" t="s">
        <v>89</v>
      </c>
      <c r="H481" s="7" t="s">
        <v>87</v>
      </c>
      <c r="I481" s="6">
        <v>383.58</v>
      </c>
      <c r="J481" s="6">
        <v>241465.84000000003</v>
      </c>
      <c r="K481" s="6">
        <v>15842.09999999974</v>
      </c>
    </row>
    <row r="482" spans="1:11" x14ac:dyDescent="0.25">
      <c r="A482" s="5" t="s">
        <v>822</v>
      </c>
      <c r="B482" s="42">
        <f t="shared" si="7"/>
        <v>241.84942000000001</v>
      </c>
      <c r="C482" s="7" t="s">
        <v>617</v>
      </c>
      <c r="D482" s="7" t="s">
        <v>616</v>
      </c>
      <c r="E482" s="7" t="s">
        <v>826</v>
      </c>
      <c r="F482" s="17">
        <v>239.91483000000008</v>
      </c>
      <c r="G482" s="7" t="s">
        <v>87</v>
      </c>
      <c r="H482" s="7" t="s">
        <v>85</v>
      </c>
      <c r="I482" s="6">
        <v>331.64</v>
      </c>
      <c r="J482" s="6">
        <v>241849.42</v>
      </c>
      <c r="K482" s="6">
        <v>15458.51999999974</v>
      </c>
    </row>
    <row r="483" spans="1:11" x14ac:dyDescent="0.25">
      <c r="A483" s="5" t="s">
        <v>822</v>
      </c>
      <c r="B483" s="42">
        <f t="shared" si="7"/>
        <v>242.18106000000003</v>
      </c>
      <c r="C483" s="7" t="s">
        <v>616</v>
      </c>
      <c r="D483" s="7" t="s">
        <v>615</v>
      </c>
      <c r="E483" s="7" t="s">
        <v>826</v>
      </c>
      <c r="F483" s="17">
        <v>240.38582000000005</v>
      </c>
      <c r="G483" s="7" t="s">
        <v>85</v>
      </c>
      <c r="H483" s="7" t="s">
        <v>83</v>
      </c>
      <c r="I483" s="6">
        <v>434.08</v>
      </c>
      <c r="J483" s="6">
        <v>242181.06000000003</v>
      </c>
      <c r="K483" s="6">
        <v>15126.879999999741</v>
      </c>
    </row>
    <row r="484" spans="1:11" x14ac:dyDescent="0.25">
      <c r="A484" s="5" t="s">
        <v>822</v>
      </c>
      <c r="B484" s="42">
        <f t="shared" si="7"/>
        <v>242.61514000000003</v>
      </c>
      <c r="C484" s="7" t="s">
        <v>615</v>
      </c>
      <c r="D484" s="7" t="s">
        <v>614</v>
      </c>
      <c r="E484" s="7" t="s">
        <v>826</v>
      </c>
      <c r="F484" s="17">
        <v>240.90642000000008</v>
      </c>
      <c r="G484" s="7" t="s">
        <v>83</v>
      </c>
      <c r="H484" s="7" t="s">
        <v>81</v>
      </c>
      <c r="I484" s="6">
        <v>348.1</v>
      </c>
      <c r="J484" s="6">
        <v>242615.14</v>
      </c>
      <c r="K484" s="6">
        <v>14692.799999999741</v>
      </c>
    </row>
    <row r="485" spans="1:11" x14ac:dyDescent="0.25">
      <c r="A485" s="5" t="s">
        <v>822</v>
      </c>
      <c r="B485" s="42">
        <f t="shared" si="7"/>
        <v>242.96324000000001</v>
      </c>
      <c r="C485" s="7" t="s">
        <v>614</v>
      </c>
      <c r="D485" s="7" t="s">
        <v>613</v>
      </c>
      <c r="E485" s="7" t="s">
        <v>826</v>
      </c>
      <c r="F485" s="17">
        <v>241.37022000000005</v>
      </c>
      <c r="G485" s="7" t="s">
        <v>81</v>
      </c>
      <c r="H485" s="7" t="s">
        <v>79</v>
      </c>
      <c r="I485" s="6">
        <v>501.65</v>
      </c>
      <c r="J485" s="6">
        <v>242963.24000000002</v>
      </c>
      <c r="K485" s="6">
        <v>14344.699999999741</v>
      </c>
    </row>
    <row r="486" spans="1:11" x14ac:dyDescent="0.25">
      <c r="A486" s="5" t="s">
        <v>822</v>
      </c>
      <c r="B486" s="42">
        <f t="shared" si="7"/>
        <v>243.46489000000003</v>
      </c>
      <c r="C486" s="7" t="s">
        <v>613</v>
      </c>
      <c r="D486" s="7" t="s">
        <v>612</v>
      </c>
      <c r="E486" s="7" t="s">
        <v>826</v>
      </c>
      <c r="F486" s="17">
        <v>241.91705000000005</v>
      </c>
      <c r="G486" s="7" t="s">
        <v>79</v>
      </c>
      <c r="H486" s="7" t="s">
        <v>77</v>
      </c>
      <c r="I486" s="6">
        <v>586</v>
      </c>
      <c r="J486" s="6">
        <v>243464.89</v>
      </c>
      <c r="K486" s="6">
        <v>13843.049999999741</v>
      </c>
    </row>
    <row r="487" spans="1:11" x14ac:dyDescent="0.25">
      <c r="A487" s="5" t="s">
        <v>822</v>
      </c>
      <c r="B487" s="42">
        <f t="shared" si="7"/>
        <v>244.05089000000001</v>
      </c>
      <c r="C487" s="7" t="s">
        <v>612</v>
      </c>
      <c r="D487" s="7" t="s">
        <v>611</v>
      </c>
      <c r="E487" s="7" t="s">
        <v>826</v>
      </c>
      <c r="F487" s="17">
        <v>242.43573000000004</v>
      </c>
      <c r="G487" s="7" t="s">
        <v>77</v>
      </c>
      <c r="H487" s="7" t="s">
        <v>75</v>
      </c>
      <c r="I487" s="6">
        <v>623.58000000000004</v>
      </c>
      <c r="J487" s="6">
        <v>244050.89</v>
      </c>
      <c r="K487" s="6">
        <v>13257.049999999741</v>
      </c>
    </row>
    <row r="488" spans="1:11" x14ac:dyDescent="0.25">
      <c r="A488" s="5" t="s">
        <v>822</v>
      </c>
      <c r="B488" s="42">
        <f t="shared" si="7"/>
        <v>244.67447000000001</v>
      </c>
      <c r="C488" s="7" t="s">
        <v>611</v>
      </c>
      <c r="D488" s="7" t="s">
        <v>610</v>
      </c>
      <c r="E488" s="7" t="s">
        <v>826</v>
      </c>
      <c r="F488" s="17">
        <v>242.93812000000003</v>
      </c>
      <c r="G488" s="7" t="s">
        <v>75</v>
      </c>
      <c r="H488" s="7" t="s">
        <v>73</v>
      </c>
      <c r="I488" s="6">
        <v>566.5</v>
      </c>
      <c r="J488" s="6">
        <v>244674.47</v>
      </c>
      <c r="K488" s="6">
        <v>12633.469999999741</v>
      </c>
    </row>
    <row r="489" spans="1:11" x14ac:dyDescent="0.25">
      <c r="A489" s="5" t="s">
        <v>822</v>
      </c>
      <c r="B489" s="42">
        <f t="shared" si="7"/>
        <v>245.24097</v>
      </c>
      <c r="C489" s="7" t="s">
        <v>610</v>
      </c>
      <c r="D489" s="7" t="s">
        <v>609</v>
      </c>
      <c r="E489" s="7" t="s">
        <v>826</v>
      </c>
      <c r="F489" s="17">
        <v>243.56261000000001</v>
      </c>
      <c r="G489" s="7" t="s">
        <v>73</v>
      </c>
      <c r="H489" s="7" t="s">
        <v>71</v>
      </c>
      <c r="I489" s="6">
        <v>504.5</v>
      </c>
      <c r="J489" s="6">
        <v>245240.97</v>
      </c>
      <c r="K489" s="6">
        <v>12066.969999999741</v>
      </c>
    </row>
    <row r="490" spans="1:11" x14ac:dyDescent="0.25">
      <c r="A490" s="5" t="s">
        <v>822</v>
      </c>
      <c r="B490" s="42">
        <f t="shared" si="7"/>
        <v>245.74547000000001</v>
      </c>
      <c r="C490" s="7" t="s">
        <v>609</v>
      </c>
      <c r="D490" s="7" t="s">
        <v>608</v>
      </c>
      <c r="E490" s="7" t="s">
        <v>826</v>
      </c>
      <c r="F490" s="17">
        <v>244.07034000000002</v>
      </c>
      <c r="G490" s="7" t="s">
        <v>71</v>
      </c>
      <c r="H490" s="7" t="s">
        <v>69</v>
      </c>
      <c r="I490" s="6">
        <v>528.25</v>
      </c>
      <c r="J490" s="6">
        <v>245745.47</v>
      </c>
      <c r="K490" s="6">
        <v>11562.469999999741</v>
      </c>
    </row>
    <row r="491" spans="1:11" x14ac:dyDescent="0.25">
      <c r="A491" s="5" t="s">
        <v>822</v>
      </c>
      <c r="B491" s="42">
        <f t="shared" si="7"/>
        <v>246.27372</v>
      </c>
      <c r="C491" s="7" t="s">
        <v>608</v>
      </c>
      <c r="D491" s="7" t="s">
        <v>607</v>
      </c>
      <c r="E491" s="7" t="s">
        <v>826</v>
      </c>
      <c r="F491" s="17">
        <v>244.62987000000001</v>
      </c>
      <c r="G491" s="7" t="s">
        <v>69</v>
      </c>
      <c r="H491" s="7" t="s">
        <v>67</v>
      </c>
      <c r="I491" s="6">
        <v>499.95</v>
      </c>
      <c r="J491" s="6">
        <v>246273.72</v>
      </c>
      <c r="K491" s="6">
        <v>11034.219999999741</v>
      </c>
    </row>
    <row r="492" spans="1:11" x14ac:dyDescent="0.25">
      <c r="A492" s="5" t="s">
        <v>822</v>
      </c>
      <c r="B492" s="42">
        <f t="shared" si="7"/>
        <v>246.77367000000001</v>
      </c>
      <c r="C492" s="7" t="s">
        <v>607</v>
      </c>
      <c r="D492" s="7" t="s">
        <v>606</v>
      </c>
      <c r="E492" s="7" t="s">
        <v>826</v>
      </c>
      <c r="F492" s="17">
        <v>245.14181000000002</v>
      </c>
      <c r="G492" s="7" t="s">
        <v>67</v>
      </c>
      <c r="H492" s="7" t="s">
        <v>65</v>
      </c>
      <c r="I492" s="6">
        <v>542.94000000000005</v>
      </c>
      <c r="J492" s="6">
        <v>246773.67</v>
      </c>
      <c r="K492" s="6">
        <v>10534.26999999974</v>
      </c>
    </row>
    <row r="493" spans="1:11" x14ac:dyDescent="0.25">
      <c r="A493" s="5" t="s">
        <v>822</v>
      </c>
      <c r="B493" s="42">
        <f t="shared" si="7"/>
        <v>247.31661000000003</v>
      </c>
      <c r="C493" s="7" t="s">
        <v>606</v>
      </c>
      <c r="D493" s="7" t="s">
        <v>605</v>
      </c>
      <c r="E493" s="7" t="s">
        <v>826</v>
      </c>
      <c r="F493" s="17">
        <v>245.58947000000003</v>
      </c>
      <c r="G493" s="7" t="s">
        <v>65</v>
      </c>
      <c r="H493" s="7" t="s">
        <v>63</v>
      </c>
      <c r="I493" s="6">
        <v>351.42</v>
      </c>
      <c r="J493" s="6">
        <v>247316.61000000002</v>
      </c>
      <c r="K493" s="6">
        <v>9991.3299999997398</v>
      </c>
    </row>
    <row r="494" spans="1:11" x14ac:dyDescent="0.25">
      <c r="A494" s="5" t="s">
        <v>822</v>
      </c>
      <c r="B494" s="42">
        <f t="shared" si="7"/>
        <v>247.66803000000002</v>
      </c>
      <c r="C494" s="7" t="s">
        <v>605</v>
      </c>
      <c r="D494" s="7" t="s">
        <v>604</v>
      </c>
      <c r="E494" s="7" t="s">
        <v>826</v>
      </c>
      <c r="F494" s="17">
        <v>246.13837000000004</v>
      </c>
      <c r="G494" s="7" t="s">
        <v>63</v>
      </c>
      <c r="H494" s="7" t="s">
        <v>61</v>
      </c>
      <c r="I494" s="6">
        <v>636.72</v>
      </c>
      <c r="J494" s="6">
        <v>247668.03000000003</v>
      </c>
      <c r="K494" s="6">
        <v>9639.9099999997397</v>
      </c>
    </row>
    <row r="495" spans="1:11" x14ac:dyDescent="0.25">
      <c r="A495" s="5" t="s">
        <v>822</v>
      </c>
      <c r="B495" s="42">
        <f t="shared" si="7"/>
        <v>248.30475000000004</v>
      </c>
      <c r="C495" s="7" t="s">
        <v>604</v>
      </c>
      <c r="D495" s="7" t="s">
        <v>603</v>
      </c>
      <c r="E495" s="7" t="s">
        <v>826</v>
      </c>
      <c r="F495" s="17">
        <v>246.6147</v>
      </c>
      <c r="G495" s="7" t="s">
        <v>61</v>
      </c>
      <c r="H495" s="7" t="s">
        <v>59</v>
      </c>
      <c r="I495" s="6">
        <v>753.37</v>
      </c>
      <c r="J495" s="6">
        <v>248304.75000000003</v>
      </c>
      <c r="K495" s="6">
        <v>9003.1899999997404</v>
      </c>
    </row>
    <row r="496" spans="1:11" x14ac:dyDescent="0.25">
      <c r="A496" s="5" t="s">
        <v>822</v>
      </c>
      <c r="B496" s="42">
        <f t="shared" si="7"/>
        <v>249.05812000000003</v>
      </c>
      <c r="C496" s="7" t="s">
        <v>603</v>
      </c>
      <c r="D496" s="7" t="s">
        <v>602</v>
      </c>
      <c r="E496" s="7" t="s">
        <v>826</v>
      </c>
      <c r="F496" s="17">
        <v>247.13007000000002</v>
      </c>
      <c r="G496" s="7" t="s">
        <v>59</v>
      </c>
      <c r="H496" s="7" t="s">
        <v>57</v>
      </c>
      <c r="I496" s="6">
        <v>579.61</v>
      </c>
      <c r="J496" s="6">
        <v>249058.12000000002</v>
      </c>
      <c r="K496" s="6">
        <v>8249.8199999997396</v>
      </c>
    </row>
    <row r="497" spans="1:11" x14ac:dyDescent="0.25">
      <c r="A497" s="5" t="s">
        <v>822</v>
      </c>
      <c r="B497" s="42">
        <f t="shared" si="7"/>
        <v>249.63773</v>
      </c>
      <c r="C497" s="7" t="s">
        <v>602</v>
      </c>
      <c r="D497" s="7" t="s">
        <v>601</v>
      </c>
      <c r="E497" s="7" t="s">
        <v>826</v>
      </c>
      <c r="F497" s="17">
        <v>247.61129</v>
      </c>
      <c r="G497" s="7" t="s">
        <v>57</v>
      </c>
      <c r="H497" s="7" t="s">
        <v>55</v>
      </c>
      <c r="I497" s="6">
        <v>366.89</v>
      </c>
      <c r="J497" s="6">
        <v>249637.73</v>
      </c>
      <c r="K497" s="6">
        <v>7670.2099999997399</v>
      </c>
    </row>
    <row r="498" spans="1:11" x14ac:dyDescent="0.25">
      <c r="A498" s="5" t="s">
        <v>822</v>
      </c>
      <c r="B498" s="42">
        <f t="shared" si="7"/>
        <v>250.00462000000002</v>
      </c>
      <c r="C498" s="7" t="s">
        <v>601</v>
      </c>
      <c r="D498" s="7" t="s">
        <v>600</v>
      </c>
      <c r="E498" s="7" t="s">
        <v>826</v>
      </c>
      <c r="F498" s="17">
        <v>248.13938000000002</v>
      </c>
      <c r="G498" s="7" t="s">
        <v>55</v>
      </c>
      <c r="H498" s="7" t="s">
        <v>53</v>
      </c>
      <c r="I498" s="6">
        <v>349.36</v>
      </c>
      <c r="J498" s="6">
        <v>250004.62000000002</v>
      </c>
      <c r="K498" s="6">
        <v>7303.3199999997396</v>
      </c>
    </row>
    <row r="499" spans="1:11" x14ac:dyDescent="0.25">
      <c r="A499" s="5" t="s">
        <v>822</v>
      </c>
      <c r="B499" s="42">
        <f t="shared" si="7"/>
        <v>250.35398000000001</v>
      </c>
      <c r="C499" s="7" t="s">
        <v>600</v>
      </c>
      <c r="D499" s="7" t="s">
        <v>599</v>
      </c>
      <c r="E499" s="7" t="s">
        <v>826</v>
      </c>
      <c r="F499" s="17">
        <v>248.68673000000001</v>
      </c>
      <c r="G499" s="7" t="s">
        <v>53</v>
      </c>
      <c r="H499" s="7" t="s">
        <v>51</v>
      </c>
      <c r="I499" s="6">
        <v>405.33</v>
      </c>
      <c r="J499" s="6">
        <v>250353.98</v>
      </c>
      <c r="K499" s="6">
        <v>6953.9599999997399</v>
      </c>
    </row>
    <row r="500" spans="1:11" x14ac:dyDescent="0.25">
      <c r="A500" s="5" t="s">
        <v>822</v>
      </c>
      <c r="B500" s="42">
        <f t="shared" si="7"/>
        <v>250.75931</v>
      </c>
      <c r="C500" s="7" t="s">
        <v>599</v>
      </c>
      <c r="D500" s="7" t="s">
        <v>598</v>
      </c>
      <c r="E500" s="7" t="s">
        <v>826</v>
      </c>
      <c r="F500" s="17">
        <v>249.25165000000001</v>
      </c>
      <c r="G500" s="7" t="s">
        <v>51</v>
      </c>
      <c r="H500" s="7" t="s">
        <v>49</v>
      </c>
      <c r="I500" s="6">
        <v>431.26</v>
      </c>
      <c r="J500" s="6">
        <v>250759.31</v>
      </c>
      <c r="K500" s="6">
        <v>6548.62999999974</v>
      </c>
    </row>
    <row r="501" spans="1:11" x14ac:dyDescent="0.25">
      <c r="A501" s="5" t="s">
        <v>822</v>
      </c>
      <c r="B501" s="42">
        <f t="shared" si="7"/>
        <v>251.19057000000001</v>
      </c>
      <c r="C501" s="7" t="s">
        <v>598</v>
      </c>
      <c r="D501" s="7" t="s">
        <v>597</v>
      </c>
      <c r="E501" s="7" t="s">
        <v>826</v>
      </c>
      <c r="F501" s="17">
        <v>249.76593000000003</v>
      </c>
      <c r="G501" s="7" t="s">
        <v>49</v>
      </c>
      <c r="H501" s="7" t="s">
        <v>47</v>
      </c>
      <c r="I501" s="6">
        <v>421.44</v>
      </c>
      <c r="J501" s="6">
        <v>251190.57</v>
      </c>
      <c r="K501" s="6">
        <v>6117.3699999997398</v>
      </c>
    </row>
    <row r="502" spans="1:11" x14ac:dyDescent="0.25">
      <c r="A502" s="5" t="s">
        <v>822</v>
      </c>
      <c r="B502" s="42">
        <f t="shared" si="7"/>
        <v>251.61201</v>
      </c>
      <c r="C502" s="7" t="s">
        <v>597</v>
      </c>
      <c r="D502" s="7" t="s">
        <v>596</v>
      </c>
      <c r="E502" s="7" t="s">
        <v>826</v>
      </c>
      <c r="F502" s="17">
        <v>250.24510000000004</v>
      </c>
      <c r="G502" s="7" t="s">
        <v>47</v>
      </c>
      <c r="H502" s="7" t="s">
        <v>45</v>
      </c>
      <c r="I502" s="6">
        <v>438.9</v>
      </c>
      <c r="J502" s="6">
        <v>251612.01</v>
      </c>
      <c r="K502" s="6">
        <v>5695.9299999997402</v>
      </c>
    </row>
    <row r="503" spans="1:11" x14ac:dyDescent="0.25">
      <c r="A503" s="5" t="s">
        <v>822</v>
      </c>
      <c r="B503" s="42">
        <f t="shared" si="7"/>
        <v>252.05091000000002</v>
      </c>
      <c r="C503" s="7" t="s">
        <v>596</v>
      </c>
      <c r="D503" s="7" t="s">
        <v>595</v>
      </c>
      <c r="E503" s="7" t="s">
        <v>826</v>
      </c>
      <c r="F503" s="17">
        <v>250.78694000000004</v>
      </c>
      <c r="G503" s="7" t="s">
        <v>45</v>
      </c>
      <c r="H503" s="7" t="s">
        <v>43</v>
      </c>
      <c r="I503" s="6">
        <v>710.54</v>
      </c>
      <c r="J503" s="6">
        <v>252050.91</v>
      </c>
      <c r="K503" s="6">
        <v>5257.0299999997405</v>
      </c>
    </row>
    <row r="504" spans="1:11" x14ac:dyDescent="0.25">
      <c r="A504" s="5" t="s">
        <v>822</v>
      </c>
      <c r="B504" s="42">
        <f t="shared" si="7"/>
        <v>252.76145000000002</v>
      </c>
      <c r="C504" s="7" t="s">
        <v>595</v>
      </c>
      <c r="D504" s="7" t="s">
        <v>594</v>
      </c>
      <c r="E504" s="7" t="s">
        <v>826</v>
      </c>
      <c r="F504" s="17">
        <v>251.33425000000003</v>
      </c>
      <c r="G504" s="7" t="s">
        <v>43</v>
      </c>
      <c r="H504" s="7" t="s">
        <v>41</v>
      </c>
      <c r="I504" s="6">
        <v>550.08000000000004</v>
      </c>
      <c r="J504" s="6">
        <v>252761.45</v>
      </c>
      <c r="K504" s="6">
        <v>4546.4899999997406</v>
      </c>
    </row>
    <row r="505" spans="1:11" x14ac:dyDescent="0.25">
      <c r="A505" s="5" t="s">
        <v>822</v>
      </c>
      <c r="B505" s="42">
        <f t="shared" si="7"/>
        <v>253.31153</v>
      </c>
      <c r="C505" s="7" t="s">
        <v>594</v>
      </c>
      <c r="D505" s="7" t="s">
        <v>593</v>
      </c>
      <c r="E505" s="7" t="s">
        <v>826</v>
      </c>
      <c r="F505" s="17">
        <v>251.93681000000004</v>
      </c>
      <c r="G505" s="7" t="s">
        <v>41</v>
      </c>
      <c r="H505" s="7" t="s">
        <v>39</v>
      </c>
      <c r="I505" s="6">
        <v>531.66999999999996</v>
      </c>
      <c r="J505" s="6">
        <v>253311.53</v>
      </c>
      <c r="K505" s="6">
        <v>3996.4099999997406</v>
      </c>
    </row>
    <row r="506" spans="1:11" x14ac:dyDescent="0.25">
      <c r="A506" s="5" t="s">
        <v>822</v>
      </c>
      <c r="B506" s="42">
        <f t="shared" si="7"/>
        <v>253.84320000000002</v>
      </c>
      <c r="C506" s="7" t="s">
        <v>593</v>
      </c>
      <c r="D506" s="7" t="s">
        <v>592</v>
      </c>
      <c r="E506" s="7" t="s">
        <v>826</v>
      </c>
      <c r="F506" s="17">
        <v>252.45021000000003</v>
      </c>
      <c r="G506" s="7" t="s">
        <v>39</v>
      </c>
      <c r="H506" s="7" t="s">
        <v>37</v>
      </c>
      <c r="I506" s="6">
        <v>224.89</v>
      </c>
      <c r="J506" s="6">
        <v>253843.20000000001</v>
      </c>
      <c r="K506" s="6">
        <v>3464.7399999997406</v>
      </c>
    </row>
    <row r="507" spans="1:11" x14ac:dyDescent="0.25">
      <c r="A507" s="5" t="s">
        <v>822</v>
      </c>
      <c r="B507" s="42">
        <f t="shared" si="7"/>
        <v>254.06809000000001</v>
      </c>
      <c r="C507" s="7" t="s">
        <v>592</v>
      </c>
      <c r="D507" s="7" t="s">
        <v>591</v>
      </c>
      <c r="E507" s="7" t="s">
        <v>826</v>
      </c>
      <c r="F507" s="17">
        <v>252.97882000000001</v>
      </c>
      <c r="G507" s="7" t="s">
        <v>37</v>
      </c>
      <c r="H507" s="7" t="s">
        <v>35</v>
      </c>
      <c r="I507" s="6">
        <v>388.89</v>
      </c>
      <c r="J507" s="6">
        <v>254068.09000000003</v>
      </c>
      <c r="K507" s="6">
        <v>3239.8499999997407</v>
      </c>
    </row>
    <row r="508" spans="1:11" x14ac:dyDescent="0.25">
      <c r="A508" s="5" t="s">
        <v>822</v>
      </c>
      <c r="B508" s="42">
        <f t="shared" si="7"/>
        <v>254.45698000000004</v>
      </c>
      <c r="C508" s="7" t="s">
        <v>591</v>
      </c>
      <c r="D508" s="7" t="s">
        <v>590</v>
      </c>
      <c r="E508" s="7" t="s">
        <v>826</v>
      </c>
      <c r="F508" s="17">
        <v>253.49811000000003</v>
      </c>
      <c r="G508" s="7" t="s">
        <v>35</v>
      </c>
      <c r="H508" s="7" t="s">
        <v>33</v>
      </c>
      <c r="I508" s="6">
        <v>628.97</v>
      </c>
      <c r="J508" s="6">
        <v>254456.98000000004</v>
      </c>
      <c r="K508" s="6">
        <v>2850.9599999997408</v>
      </c>
    </row>
    <row r="509" spans="1:11" x14ac:dyDescent="0.25">
      <c r="A509" s="5" t="s">
        <v>822</v>
      </c>
      <c r="B509" s="42">
        <f t="shared" si="7"/>
        <v>255.08595000000005</v>
      </c>
      <c r="C509" s="7" t="s">
        <v>590</v>
      </c>
      <c r="D509" s="7" t="s">
        <v>589</v>
      </c>
      <c r="E509" s="7" t="s">
        <v>826</v>
      </c>
      <c r="F509" s="17">
        <v>253.97046000000003</v>
      </c>
      <c r="G509" s="7" t="s">
        <v>33</v>
      </c>
      <c r="H509" s="7" t="s">
        <v>31</v>
      </c>
      <c r="I509" s="6">
        <v>665.05</v>
      </c>
      <c r="J509" s="6">
        <v>255085.95000000004</v>
      </c>
      <c r="K509" s="6">
        <v>2221.9899999997406</v>
      </c>
    </row>
    <row r="510" spans="1:11" x14ac:dyDescent="0.25">
      <c r="A510" s="5" t="s">
        <v>822</v>
      </c>
      <c r="B510" s="42">
        <f t="shared" si="7"/>
        <v>255.75100000000003</v>
      </c>
      <c r="C510" s="7" t="s">
        <v>589</v>
      </c>
      <c r="D510" s="7" t="s">
        <v>588</v>
      </c>
      <c r="E510" s="7" t="s">
        <v>826</v>
      </c>
      <c r="F510" s="17">
        <v>254.51193000000004</v>
      </c>
      <c r="G510" s="7" t="s">
        <v>31</v>
      </c>
      <c r="H510" s="7" t="s">
        <v>29</v>
      </c>
      <c r="I510" s="6">
        <v>618.61</v>
      </c>
      <c r="J510" s="6">
        <v>255751.00000000003</v>
      </c>
      <c r="K510" s="6">
        <v>1556.9399999997406</v>
      </c>
    </row>
    <row r="511" spans="1:11" x14ac:dyDescent="0.25">
      <c r="A511" s="5" t="s">
        <v>822</v>
      </c>
      <c r="B511" s="42">
        <f t="shared" si="7"/>
        <v>256.36961000000002</v>
      </c>
      <c r="C511" s="7" t="s">
        <v>588</v>
      </c>
      <c r="D511" s="7" t="s">
        <v>587</v>
      </c>
      <c r="E511" s="7" t="s">
        <v>826</v>
      </c>
      <c r="F511" s="17">
        <v>255.01393000000002</v>
      </c>
      <c r="G511" s="7" t="s">
        <v>29</v>
      </c>
      <c r="H511" s="7" t="s">
        <v>27</v>
      </c>
      <c r="I511" s="6">
        <v>455.93</v>
      </c>
      <c r="J511" s="6">
        <v>256369.61000000002</v>
      </c>
      <c r="K511" s="6">
        <v>938.32999999974061</v>
      </c>
    </row>
    <row r="512" spans="1:11" x14ac:dyDescent="0.25">
      <c r="A512" s="5" t="s">
        <v>822</v>
      </c>
      <c r="B512" s="42">
        <f t="shared" si="7"/>
        <v>256.82553999999999</v>
      </c>
      <c r="C512" s="7" t="s">
        <v>587</v>
      </c>
      <c r="D512" s="7" t="s">
        <v>586</v>
      </c>
      <c r="E512" s="7" t="s">
        <v>826</v>
      </c>
      <c r="F512" s="17">
        <v>255.46329</v>
      </c>
      <c r="G512" s="7" t="s">
        <v>27</v>
      </c>
      <c r="H512" s="7" t="s">
        <v>25</v>
      </c>
      <c r="I512" s="6">
        <v>158.96</v>
      </c>
      <c r="J512" s="6">
        <v>256825.54</v>
      </c>
      <c r="K512" s="6">
        <v>482.3999999997406</v>
      </c>
    </row>
    <row r="513" spans="1:11" x14ac:dyDescent="0.25">
      <c r="A513" s="5" t="s">
        <v>822</v>
      </c>
      <c r="B513" s="42">
        <f t="shared" si="7"/>
        <v>256.98450000000003</v>
      </c>
      <c r="C513" s="7" t="s">
        <v>586</v>
      </c>
      <c r="D513" s="7" t="s">
        <v>585</v>
      </c>
      <c r="E513" s="7" t="s">
        <v>826</v>
      </c>
      <c r="F513" s="17">
        <v>256.09343999999999</v>
      </c>
      <c r="G513" s="7" t="s">
        <v>25</v>
      </c>
      <c r="H513" s="7" t="s">
        <v>23</v>
      </c>
      <c r="I513" s="6">
        <v>126.12</v>
      </c>
      <c r="J513" s="6">
        <v>256984.5</v>
      </c>
      <c r="K513" s="6">
        <v>323.43999999974062</v>
      </c>
    </row>
    <row r="514" spans="1:11" x14ac:dyDescent="0.25">
      <c r="A514" s="5" t="s">
        <v>822</v>
      </c>
      <c r="B514" s="42">
        <f t="shared" si="7"/>
        <v>257.11061999999998</v>
      </c>
      <c r="C514" s="7" t="s">
        <v>585</v>
      </c>
      <c r="D514" s="7" t="s">
        <v>584</v>
      </c>
      <c r="E514" s="7" t="s">
        <v>826</v>
      </c>
      <c r="F514" s="17">
        <v>256.62437</v>
      </c>
      <c r="G514" s="7" t="s">
        <v>23</v>
      </c>
      <c r="H514" s="7" t="s">
        <v>20</v>
      </c>
      <c r="I514" s="6">
        <v>90.23</v>
      </c>
      <c r="J514" s="6">
        <v>257110.62</v>
      </c>
      <c r="K514" s="6">
        <v>197.31999999974062</v>
      </c>
    </row>
    <row r="515" spans="1:11" x14ac:dyDescent="0.25">
      <c r="A515" s="5" t="s">
        <v>822</v>
      </c>
      <c r="B515" s="42">
        <f>J515/1000</f>
        <v>257.20085</v>
      </c>
      <c r="C515" s="7" t="s">
        <v>584</v>
      </c>
      <c r="D515" s="7" t="s">
        <v>583</v>
      </c>
      <c r="E515" s="7" t="s">
        <v>826</v>
      </c>
      <c r="F515" s="17">
        <v>257.07476000000003</v>
      </c>
      <c r="G515" s="7" t="s">
        <v>20</v>
      </c>
      <c r="H515" s="7" t="s">
        <v>15</v>
      </c>
      <c r="I515" s="6">
        <v>63.09</v>
      </c>
      <c r="J515" s="6">
        <v>257200.85</v>
      </c>
      <c r="K515" s="6">
        <v>107.08999999974061</v>
      </c>
    </row>
    <row r="516" spans="1:11" x14ac:dyDescent="0.25">
      <c r="A516" s="5" t="s">
        <v>822</v>
      </c>
      <c r="B516" s="42">
        <f>J516/1000</f>
        <v>257.26393999999999</v>
      </c>
      <c r="C516" s="7" t="s">
        <v>583</v>
      </c>
      <c r="D516" s="7" t="s">
        <v>14</v>
      </c>
      <c r="E516" s="7" t="s">
        <v>826</v>
      </c>
      <c r="F516" s="17">
        <v>257.24387999999999</v>
      </c>
      <c r="G516" s="7" t="s">
        <v>15</v>
      </c>
      <c r="H516" s="7" t="s">
        <v>821</v>
      </c>
      <c r="I516" s="6">
        <v>44</v>
      </c>
      <c r="J516" s="6">
        <v>257263.94</v>
      </c>
      <c r="K516" s="6">
        <v>43.999999999740609</v>
      </c>
    </row>
    <row r="517" spans="1:11" x14ac:dyDescent="0.25">
      <c r="A517" s="5" t="s">
        <v>822</v>
      </c>
      <c r="B517" s="42">
        <f>J517/1000</f>
        <v>257.30794000000003</v>
      </c>
      <c r="C517" s="7" t="s">
        <v>835</v>
      </c>
      <c r="D517" s="7" t="s">
        <v>22</v>
      </c>
      <c r="E517" s="7" t="s">
        <v>826</v>
      </c>
      <c r="F517" s="17">
        <v>257.30794000000003</v>
      </c>
      <c r="G517" s="7" t="s">
        <v>821</v>
      </c>
      <c r="H517" s="7" t="s">
        <v>22</v>
      </c>
      <c r="J517" s="6">
        <v>257307.94</v>
      </c>
      <c r="K517" s="6">
        <v>-2.5939073111658217E-10</v>
      </c>
    </row>
    <row r="518" spans="1:11" x14ac:dyDescent="0.25">
      <c r="B518" s="5">
        <f>J518/1000</f>
        <v>0.51400000000000001</v>
      </c>
      <c r="I518" s="20">
        <f>SUM(I2:I516)/1000</f>
        <v>257.30794000000003</v>
      </c>
      <c r="J518" s="5">
        <v>514</v>
      </c>
    </row>
  </sheetData>
  <dataValidations count="3"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C00-000000000000}">
      <formula1>0</formula1>
      <formula2>50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C00-000001000000}">
      <formula1>0</formula1>
      <formula2>60</formula2>
    </dataValidation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C00-000002000000}">
      <formula1>0</formula1>
      <formula2>30</formula2>
    </dataValidation>
  </dataValidation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3"/>
  <dimension ref="A1:O495"/>
  <sheetViews>
    <sheetView workbookViewId="0">
      <selection activeCell="D11" sqref="D11"/>
    </sheetView>
  </sheetViews>
  <sheetFormatPr defaultRowHeight="15" x14ac:dyDescent="0.25"/>
  <cols>
    <col min="1" max="1" width="32" style="27" bestFit="1" customWidth="1"/>
    <col min="2" max="2" width="12.28515625" style="27" customWidth="1"/>
    <col min="3" max="3" width="25.85546875" style="28" bestFit="1" customWidth="1"/>
    <col min="4" max="4" width="21.85546875" style="28" customWidth="1"/>
    <col min="5" max="5" width="7.140625" style="28" bestFit="1" customWidth="1"/>
    <col min="6" max="6" width="13.140625" style="28" customWidth="1"/>
    <col min="7" max="8" width="25.85546875" style="28" customWidth="1"/>
    <col min="9" max="9" width="30.28515625" style="27" customWidth="1"/>
    <col min="10" max="10" width="26.28515625" style="27" customWidth="1"/>
    <col min="11" max="11" width="24.5703125" style="27" customWidth="1"/>
    <col min="12" max="12" width="5" bestFit="1" customWidth="1"/>
    <col min="13" max="13" width="23.7109375" bestFit="1" customWidth="1"/>
    <col min="14" max="14" width="14.85546875" bestFit="1" customWidth="1"/>
    <col min="257" max="257" width="32" bestFit="1" customWidth="1"/>
    <col min="258" max="258" width="32" customWidth="1"/>
    <col min="259" max="260" width="25.85546875" bestFit="1" customWidth="1"/>
    <col min="261" max="261" width="25.85546875" customWidth="1"/>
    <col min="262" max="263" width="25.85546875" bestFit="1" customWidth="1"/>
    <col min="264" max="264" width="30.28515625" bestFit="1" customWidth="1"/>
    <col min="265" max="265" width="26.28515625" bestFit="1" customWidth="1"/>
    <col min="266" max="266" width="24.5703125" bestFit="1" customWidth="1"/>
    <col min="268" max="268" width="25.85546875" bestFit="1" customWidth="1"/>
    <col min="513" max="513" width="32" bestFit="1" customWidth="1"/>
    <col min="514" max="514" width="32" customWidth="1"/>
    <col min="515" max="516" width="25.85546875" bestFit="1" customWidth="1"/>
    <col min="517" max="517" width="25.85546875" customWidth="1"/>
    <col min="518" max="519" width="25.85546875" bestFit="1" customWidth="1"/>
    <col min="520" max="520" width="30.28515625" bestFit="1" customWidth="1"/>
    <col min="521" max="521" width="26.28515625" bestFit="1" customWidth="1"/>
    <col min="522" max="522" width="24.5703125" bestFit="1" customWidth="1"/>
    <col min="524" max="524" width="25.85546875" bestFit="1" customWidth="1"/>
    <col min="769" max="769" width="32" bestFit="1" customWidth="1"/>
    <col min="770" max="770" width="32" customWidth="1"/>
    <col min="771" max="772" width="25.85546875" bestFit="1" customWidth="1"/>
    <col min="773" max="773" width="25.85546875" customWidth="1"/>
    <col min="774" max="775" width="25.85546875" bestFit="1" customWidth="1"/>
    <col min="776" max="776" width="30.28515625" bestFit="1" customWidth="1"/>
    <col min="777" max="777" width="26.28515625" bestFit="1" customWidth="1"/>
    <col min="778" max="778" width="24.5703125" bestFit="1" customWidth="1"/>
    <col min="780" max="780" width="25.85546875" bestFit="1" customWidth="1"/>
    <col min="1025" max="1025" width="32" bestFit="1" customWidth="1"/>
    <col min="1026" max="1026" width="32" customWidth="1"/>
    <col min="1027" max="1028" width="25.85546875" bestFit="1" customWidth="1"/>
    <col min="1029" max="1029" width="25.85546875" customWidth="1"/>
    <col min="1030" max="1031" width="25.85546875" bestFit="1" customWidth="1"/>
    <col min="1032" max="1032" width="30.28515625" bestFit="1" customWidth="1"/>
    <col min="1033" max="1033" width="26.28515625" bestFit="1" customWidth="1"/>
    <col min="1034" max="1034" width="24.5703125" bestFit="1" customWidth="1"/>
    <col min="1036" max="1036" width="25.85546875" bestFit="1" customWidth="1"/>
    <col min="1281" max="1281" width="32" bestFit="1" customWidth="1"/>
    <col min="1282" max="1282" width="32" customWidth="1"/>
    <col min="1283" max="1284" width="25.85546875" bestFit="1" customWidth="1"/>
    <col min="1285" max="1285" width="25.85546875" customWidth="1"/>
    <col min="1286" max="1287" width="25.85546875" bestFit="1" customWidth="1"/>
    <col min="1288" max="1288" width="30.28515625" bestFit="1" customWidth="1"/>
    <col min="1289" max="1289" width="26.28515625" bestFit="1" customWidth="1"/>
    <col min="1290" max="1290" width="24.5703125" bestFit="1" customWidth="1"/>
    <col min="1292" max="1292" width="25.85546875" bestFit="1" customWidth="1"/>
    <col min="1537" max="1537" width="32" bestFit="1" customWidth="1"/>
    <col min="1538" max="1538" width="32" customWidth="1"/>
    <col min="1539" max="1540" width="25.85546875" bestFit="1" customWidth="1"/>
    <col min="1541" max="1541" width="25.85546875" customWidth="1"/>
    <col min="1542" max="1543" width="25.85546875" bestFit="1" customWidth="1"/>
    <col min="1544" max="1544" width="30.28515625" bestFit="1" customWidth="1"/>
    <col min="1545" max="1545" width="26.28515625" bestFit="1" customWidth="1"/>
    <col min="1546" max="1546" width="24.5703125" bestFit="1" customWidth="1"/>
    <col min="1548" max="1548" width="25.85546875" bestFit="1" customWidth="1"/>
    <col min="1793" max="1793" width="32" bestFit="1" customWidth="1"/>
    <col min="1794" max="1794" width="32" customWidth="1"/>
    <col min="1795" max="1796" width="25.85546875" bestFit="1" customWidth="1"/>
    <col min="1797" max="1797" width="25.85546875" customWidth="1"/>
    <col min="1798" max="1799" width="25.85546875" bestFit="1" customWidth="1"/>
    <col min="1800" max="1800" width="30.28515625" bestFit="1" customWidth="1"/>
    <col min="1801" max="1801" width="26.28515625" bestFit="1" customWidth="1"/>
    <col min="1802" max="1802" width="24.5703125" bestFit="1" customWidth="1"/>
    <col min="1804" max="1804" width="25.85546875" bestFit="1" customWidth="1"/>
    <col min="2049" max="2049" width="32" bestFit="1" customWidth="1"/>
    <col min="2050" max="2050" width="32" customWidth="1"/>
    <col min="2051" max="2052" width="25.85546875" bestFit="1" customWidth="1"/>
    <col min="2053" max="2053" width="25.85546875" customWidth="1"/>
    <col min="2054" max="2055" width="25.85546875" bestFit="1" customWidth="1"/>
    <col min="2056" max="2056" width="30.28515625" bestFit="1" customWidth="1"/>
    <col min="2057" max="2057" width="26.28515625" bestFit="1" customWidth="1"/>
    <col min="2058" max="2058" width="24.5703125" bestFit="1" customWidth="1"/>
    <col min="2060" max="2060" width="25.85546875" bestFit="1" customWidth="1"/>
    <col min="2305" max="2305" width="32" bestFit="1" customWidth="1"/>
    <col min="2306" max="2306" width="32" customWidth="1"/>
    <col min="2307" max="2308" width="25.85546875" bestFit="1" customWidth="1"/>
    <col min="2309" max="2309" width="25.85546875" customWidth="1"/>
    <col min="2310" max="2311" width="25.85546875" bestFit="1" customWidth="1"/>
    <col min="2312" max="2312" width="30.28515625" bestFit="1" customWidth="1"/>
    <col min="2313" max="2313" width="26.28515625" bestFit="1" customWidth="1"/>
    <col min="2314" max="2314" width="24.5703125" bestFit="1" customWidth="1"/>
    <col min="2316" max="2316" width="25.85546875" bestFit="1" customWidth="1"/>
    <col min="2561" max="2561" width="32" bestFit="1" customWidth="1"/>
    <col min="2562" max="2562" width="32" customWidth="1"/>
    <col min="2563" max="2564" width="25.85546875" bestFit="1" customWidth="1"/>
    <col min="2565" max="2565" width="25.85546875" customWidth="1"/>
    <col min="2566" max="2567" width="25.85546875" bestFit="1" customWidth="1"/>
    <col min="2568" max="2568" width="30.28515625" bestFit="1" customWidth="1"/>
    <col min="2569" max="2569" width="26.28515625" bestFit="1" customWidth="1"/>
    <col min="2570" max="2570" width="24.5703125" bestFit="1" customWidth="1"/>
    <col min="2572" max="2572" width="25.85546875" bestFit="1" customWidth="1"/>
    <col min="2817" max="2817" width="32" bestFit="1" customWidth="1"/>
    <col min="2818" max="2818" width="32" customWidth="1"/>
    <col min="2819" max="2820" width="25.85546875" bestFit="1" customWidth="1"/>
    <col min="2821" max="2821" width="25.85546875" customWidth="1"/>
    <col min="2822" max="2823" width="25.85546875" bestFit="1" customWidth="1"/>
    <col min="2824" max="2824" width="30.28515625" bestFit="1" customWidth="1"/>
    <col min="2825" max="2825" width="26.28515625" bestFit="1" customWidth="1"/>
    <col min="2826" max="2826" width="24.5703125" bestFit="1" customWidth="1"/>
    <col min="2828" max="2828" width="25.85546875" bestFit="1" customWidth="1"/>
    <col min="3073" max="3073" width="32" bestFit="1" customWidth="1"/>
    <col min="3074" max="3074" width="32" customWidth="1"/>
    <col min="3075" max="3076" width="25.85546875" bestFit="1" customWidth="1"/>
    <col min="3077" max="3077" width="25.85546875" customWidth="1"/>
    <col min="3078" max="3079" width="25.85546875" bestFit="1" customWidth="1"/>
    <col min="3080" max="3080" width="30.28515625" bestFit="1" customWidth="1"/>
    <col min="3081" max="3081" width="26.28515625" bestFit="1" customWidth="1"/>
    <col min="3082" max="3082" width="24.5703125" bestFit="1" customWidth="1"/>
    <col min="3084" max="3084" width="25.85546875" bestFit="1" customWidth="1"/>
    <col min="3329" max="3329" width="32" bestFit="1" customWidth="1"/>
    <col min="3330" max="3330" width="32" customWidth="1"/>
    <col min="3331" max="3332" width="25.85546875" bestFit="1" customWidth="1"/>
    <col min="3333" max="3333" width="25.85546875" customWidth="1"/>
    <col min="3334" max="3335" width="25.85546875" bestFit="1" customWidth="1"/>
    <col min="3336" max="3336" width="30.28515625" bestFit="1" customWidth="1"/>
    <col min="3337" max="3337" width="26.28515625" bestFit="1" customWidth="1"/>
    <col min="3338" max="3338" width="24.5703125" bestFit="1" customWidth="1"/>
    <col min="3340" max="3340" width="25.85546875" bestFit="1" customWidth="1"/>
    <col min="3585" max="3585" width="32" bestFit="1" customWidth="1"/>
    <col min="3586" max="3586" width="32" customWidth="1"/>
    <col min="3587" max="3588" width="25.85546875" bestFit="1" customWidth="1"/>
    <col min="3589" max="3589" width="25.85546875" customWidth="1"/>
    <col min="3590" max="3591" width="25.85546875" bestFit="1" customWidth="1"/>
    <col min="3592" max="3592" width="30.28515625" bestFit="1" customWidth="1"/>
    <col min="3593" max="3593" width="26.28515625" bestFit="1" customWidth="1"/>
    <col min="3594" max="3594" width="24.5703125" bestFit="1" customWidth="1"/>
    <col min="3596" max="3596" width="25.85546875" bestFit="1" customWidth="1"/>
    <col min="3841" max="3841" width="32" bestFit="1" customWidth="1"/>
    <col min="3842" max="3842" width="32" customWidth="1"/>
    <col min="3843" max="3844" width="25.85546875" bestFit="1" customWidth="1"/>
    <col min="3845" max="3845" width="25.85546875" customWidth="1"/>
    <col min="3846" max="3847" width="25.85546875" bestFit="1" customWidth="1"/>
    <col min="3848" max="3848" width="30.28515625" bestFit="1" customWidth="1"/>
    <col min="3849" max="3849" width="26.28515625" bestFit="1" customWidth="1"/>
    <col min="3850" max="3850" width="24.5703125" bestFit="1" customWidth="1"/>
    <col min="3852" max="3852" width="25.85546875" bestFit="1" customWidth="1"/>
    <col min="4097" max="4097" width="32" bestFit="1" customWidth="1"/>
    <col min="4098" max="4098" width="32" customWidth="1"/>
    <col min="4099" max="4100" width="25.85546875" bestFit="1" customWidth="1"/>
    <col min="4101" max="4101" width="25.85546875" customWidth="1"/>
    <col min="4102" max="4103" width="25.85546875" bestFit="1" customWidth="1"/>
    <col min="4104" max="4104" width="30.28515625" bestFit="1" customWidth="1"/>
    <col min="4105" max="4105" width="26.28515625" bestFit="1" customWidth="1"/>
    <col min="4106" max="4106" width="24.5703125" bestFit="1" customWidth="1"/>
    <col min="4108" max="4108" width="25.85546875" bestFit="1" customWidth="1"/>
    <col min="4353" max="4353" width="32" bestFit="1" customWidth="1"/>
    <col min="4354" max="4354" width="32" customWidth="1"/>
    <col min="4355" max="4356" width="25.85546875" bestFit="1" customWidth="1"/>
    <col min="4357" max="4357" width="25.85546875" customWidth="1"/>
    <col min="4358" max="4359" width="25.85546875" bestFit="1" customWidth="1"/>
    <col min="4360" max="4360" width="30.28515625" bestFit="1" customWidth="1"/>
    <col min="4361" max="4361" width="26.28515625" bestFit="1" customWidth="1"/>
    <col min="4362" max="4362" width="24.5703125" bestFit="1" customWidth="1"/>
    <col min="4364" max="4364" width="25.85546875" bestFit="1" customWidth="1"/>
    <col min="4609" max="4609" width="32" bestFit="1" customWidth="1"/>
    <col min="4610" max="4610" width="32" customWidth="1"/>
    <col min="4611" max="4612" width="25.85546875" bestFit="1" customWidth="1"/>
    <col min="4613" max="4613" width="25.85546875" customWidth="1"/>
    <col min="4614" max="4615" width="25.85546875" bestFit="1" customWidth="1"/>
    <col min="4616" max="4616" width="30.28515625" bestFit="1" customWidth="1"/>
    <col min="4617" max="4617" width="26.28515625" bestFit="1" customWidth="1"/>
    <col min="4618" max="4618" width="24.5703125" bestFit="1" customWidth="1"/>
    <col min="4620" max="4620" width="25.85546875" bestFit="1" customWidth="1"/>
    <col min="4865" max="4865" width="32" bestFit="1" customWidth="1"/>
    <col min="4866" max="4866" width="32" customWidth="1"/>
    <col min="4867" max="4868" width="25.85546875" bestFit="1" customWidth="1"/>
    <col min="4869" max="4869" width="25.85546875" customWidth="1"/>
    <col min="4870" max="4871" width="25.85546875" bestFit="1" customWidth="1"/>
    <col min="4872" max="4872" width="30.28515625" bestFit="1" customWidth="1"/>
    <col min="4873" max="4873" width="26.28515625" bestFit="1" customWidth="1"/>
    <col min="4874" max="4874" width="24.5703125" bestFit="1" customWidth="1"/>
    <col min="4876" max="4876" width="25.85546875" bestFit="1" customWidth="1"/>
    <col min="5121" max="5121" width="32" bestFit="1" customWidth="1"/>
    <col min="5122" max="5122" width="32" customWidth="1"/>
    <col min="5123" max="5124" width="25.85546875" bestFit="1" customWidth="1"/>
    <col min="5125" max="5125" width="25.85546875" customWidth="1"/>
    <col min="5126" max="5127" width="25.85546875" bestFit="1" customWidth="1"/>
    <col min="5128" max="5128" width="30.28515625" bestFit="1" customWidth="1"/>
    <col min="5129" max="5129" width="26.28515625" bestFit="1" customWidth="1"/>
    <col min="5130" max="5130" width="24.5703125" bestFit="1" customWidth="1"/>
    <col min="5132" max="5132" width="25.85546875" bestFit="1" customWidth="1"/>
    <col min="5377" max="5377" width="32" bestFit="1" customWidth="1"/>
    <col min="5378" max="5378" width="32" customWidth="1"/>
    <col min="5379" max="5380" width="25.85546875" bestFit="1" customWidth="1"/>
    <col min="5381" max="5381" width="25.85546875" customWidth="1"/>
    <col min="5382" max="5383" width="25.85546875" bestFit="1" customWidth="1"/>
    <col min="5384" max="5384" width="30.28515625" bestFit="1" customWidth="1"/>
    <col min="5385" max="5385" width="26.28515625" bestFit="1" customWidth="1"/>
    <col min="5386" max="5386" width="24.5703125" bestFit="1" customWidth="1"/>
    <col min="5388" max="5388" width="25.85546875" bestFit="1" customWidth="1"/>
    <col min="5633" max="5633" width="32" bestFit="1" customWidth="1"/>
    <col min="5634" max="5634" width="32" customWidth="1"/>
    <col min="5635" max="5636" width="25.85546875" bestFit="1" customWidth="1"/>
    <col min="5637" max="5637" width="25.85546875" customWidth="1"/>
    <col min="5638" max="5639" width="25.85546875" bestFit="1" customWidth="1"/>
    <col min="5640" max="5640" width="30.28515625" bestFit="1" customWidth="1"/>
    <col min="5641" max="5641" width="26.28515625" bestFit="1" customWidth="1"/>
    <col min="5642" max="5642" width="24.5703125" bestFit="1" customWidth="1"/>
    <col min="5644" max="5644" width="25.85546875" bestFit="1" customWidth="1"/>
    <col min="5889" max="5889" width="32" bestFit="1" customWidth="1"/>
    <col min="5890" max="5890" width="32" customWidth="1"/>
    <col min="5891" max="5892" width="25.85546875" bestFit="1" customWidth="1"/>
    <col min="5893" max="5893" width="25.85546875" customWidth="1"/>
    <col min="5894" max="5895" width="25.85546875" bestFit="1" customWidth="1"/>
    <col min="5896" max="5896" width="30.28515625" bestFit="1" customWidth="1"/>
    <col min="5897" max="5897" width="26.28515625" bestFit="1" customWidth="1"/>
    <col min="5898" max="5898" width="24.5703125" bestFit="1" customWidth="1"/>
    <col min="5900" max="5900" width="25.85546875" bestFit="1" customWidth="1"/>
    <col min="6145" max="6145" width="32" bestFit="1" customWidth="1"/>
    <col min="6146" max="6146" width="32" customWidth="1"/>
    <col min="6147" max="6148" width="25.85546875" bestFit="1" customWidth="1"/>
    <col min="6149" max="6149" width="25.85546875" customWidth="1"/>
    <col min="6150" max="6151" width="25.85546875" bestFit="1" customWidth="1"/>
    <col min="6152" max="6152" width="30.28515625" bestFit="1" customWidth="1"/>
    <col min="6153" max="6153" width="26.28515625" bestFit="1" customWidth="1"/>
    <col min="6154" max="6154" width="24.5703125" bestFit="1" customWidth="1"/>
    <col min="6156" max="6156" width="25.85546875" bestFit="1" customWidth="1"/>
    <col min="6401" max="6401" width="32" bestFit="1" customWidth="1"/>
    <col min="6402" max="6402" width="32" customWidth="1"/>
    <col min="6403" max="6404" width="25.85546875" bestFit="1" customWidth="1"/>
    <col min="6405" max="6405" width="25.85546875" customWidth="1"/>
    <col min="6406" max="6407" width="25.85546875" bestFit="1" customWidth="1"/>
    <col min="6408" max="6408" width="30.28515625" bestFit="1" customWidth="1"/>
    <col min="6409" max="6409" width="26.28515625" bestFit="1" customWidth="1"/>
    <col min="6410" max="6410" width="24.5703125" bestFit="1" customWidth="1"/>
    <col min="6412" max="6412" width="25.85546875" bestFit="1" customWidth="1"/>
    <col min="6657" max="6657" width="32" bestFit="1" customWidth="1"/>
    <col min="6658" max="6658" width="32" customWidth="1"/>
    <col min="6659" max="6660" width="25.85546875" bestFit="1" customWidth="1"/>
    <col min="6661" max="6661" width="25.85546875" customWidth="1"/>
    <col min="6662" max="6663" width="25.85546875" bestFit="1" customWidth="1"/>
    <col min="6664" max="6664" width="30.28515625" bestFit="1" customWidth="1"/>
    <col min="6665" max="6665" width="26.28515625" bestFit="1" customWidth="1"/>
    <col min="6666" max="6666" width="24.5703125" bestFit="1" customWidth="1"/>
    <col min="6668" max="6668" width="25.85546875" bestFit="1" customWidth="1"/>
    <col min="6913" max="6913" width="32" bestFit="1" customWidth="1"/>
    <col min="6914" max="6914" width="32" customWidth="1"/>
    <col min="6915" max="6916" width="25.85546875" bestFit="1" customWidth="1"/>
    <col min="6917" max="6917" width="25.85546875" customWidth="1"/>
    <col min="6918" max="6919" width="25.85546875" bestFit="1" customWidth="1"/>
    <col min="6920" max="6920" width="30.28515625" bestFit="1" customWidth="1"/>
    <col min="6921" max="6921" width="26.28515625" bestFit="1" customWidth="1"/>
    <col min="6922" max="6922" width="24.5703125" bestFit="1" customWidth="1"/>
    <col min="6924" max="6924" width="25.85546875" bestFit="1" customWidth="1"/>
    <col min="7169" max="7169" width="32" bestFit="1" customWidth="1"/>
    <col min="7170" max="7170" width="32" customWidth="1"/>
    <col min="7171" max="7172" width="25.85546875" bestFit="1" customWidth="1"/>
    <col min="7173" max="7173" width="25.85546875" customWidth="1"/>
    <col min="7174" max="7175" width="25.85546875" bestFit="1" customWidth="1"/>
    <col min="7176" max="7176" width="30.28515625" bestFit="1" customWidth="1"/>
    <col min="7177" max="7177" width="26.28515625" bestFit="1" customWidth="1"/>
    <col min="7178" max="7178" width="24.5703125" bestFit="1" customWidth="1"/>
    <col min="7180" max="7180" width="25.85546875" bestFit="1" customWidth="1"/>
    <col min="7425" max="7425" width="32" bestFit="1" customWidth="1"/>
    <col min="7426" max="7426" width="32" customWidth="1"/>
    <col min="7427" max="7428" width="25.85546875" bestFit="1" customWidth="1"/>
    <col min="7429" max="7429" width="25.85546875" customWidth="1"/>
    <col min="7430" max="7431" width="25.85546875" bestFit="1" customWidth="1"/>
    <col min="7432" max="7432" width="30.28515625" bestFit="1" customWidth="1"/>
    <col min="7433" max="7433" width="26.28515625" bestFit="1" customWidth="1"/>
    <col min="7434" max="7434" width="24.5703125" bestFit="1" customWidth="1"/>
    <col min="7436" max="7436" width="25.85546875" bestFit="1" customWidth="1"/>
    <col min="7681" max="7681" width="32" bestFit="1" customWidth="1"/>
    <col min="7682" max="7682" width="32" customWidth="1"/>
    <col min="7683" max="7684" width="25.85546875" bestFit="1" customWidth="1"/>
    <col min="7685" max="7685" width="25.85546875" customWidth="1"/>
    <col min="7686" max="7687" width="25.85546875" bestFit="1" customWidth="1"/>
    <col min="7688" max="7688" width="30.28515625" bestFit="1" customWidth="1"/>
    <col min="7689" max="7689" width="26.28515625" bestFit="1" customWidth="1"/>
    <col min="7690" max="7690" width="24.5703125" bestFit="1" customWidth="1"/>
    <col min="7692" max="7692" width="25.85546875" bestFit="1" customWidth="1"/>
    <col min="7937" max="7937" width="32" bestFit="1" customWidth="1"/>
    <col min="7938" max="7938" width="32" customWidth="1"/>
    <col min="7939" max="7940" width="25.85546875" bestFit="1" customWidth="1"/>
    <col min="7941" max="7941" width="25.85546875" customWidth="1"/>
    <col min="7942" max="7943" width="25.85546875" bestFit="1" customWidth="1"/>
    <col min="7944" max="7944" width="30.28515625" bestFit="1" customWidth="1"/>
    <col min="7945" max="7945" width="26.28515625" bestFit="1" customWidth="1"/>
    <col min="7946" max="7946" width="24.5703125" bestFit="1" customWidth="1"/>
    <col min="7948" max="7948" width="25.85546875" bestFit="1" customWidth="1"/>
    <col min="8193" max="8193" width="32" bestFit="1" customWidth="1"/>
    <col min="8194" max="8194" width="32" customWidth="1"/>
    <col min="8195" max="8196" width="25.85546875" bestFit="1" customWidth="1"/>
    <col min="8197" max="8197" width="25.85546875" customWidth="1"/>
    <col min="8198" max="8199" width="25.85546875" bestFit="1" customWidth="1"/>
    <col min="8200" max="8200" width="30.28515625" bestFit="1" customWidth="1"/>
    <col min="8201" max="8201" width="26.28515625" bestFit="1" customWidth="1"/>
    <col min="8202" max="8202" width="24.5703125" bestFit="1" customWidth="1"/>
    <col min="8204" max="8204" width="25.85546875" bestFit="1" customWidth="1"/>
    <col min="8449" max="8449" width="32" bestFit="1" customWidth="1"/>
    <col min="8450" max="8450" width="32" customWidth="1"/>
    <col min="8451" max="8452" width="25.85546875" bestFit="1" customWidth="1"/>
    <col min="8453" max="8453" width="25.85546875" customWidth="1"/>
    <col min="8454" max="8455" width="25.85546875" bestFit="1" customWidth="1"/>
    <col min="8456" max="8456" width="30.28515625" bestFit="1" customWidth="1"/>
    <col min="8457" max="8457" width="26.28515625" bestFit="1" customWidth="1"/>
    <col min="8458" max="8458" width="24.5703125" bestFit="1" customWidth="1"/>
    <col min="8460" max="8460" width="25.85546875" bestFit="1" customWidth="1"/>
    <col min="8705" max="8705" width="32" bestFit="1" customWidth="1"/>
    <col min="8706" max="8706" width="32" customWidth="1"/>
    <col min="8707" max="8708" width="25.85546875" bestFit="1" customWidth="1"/>
    <col min="8709" max="8709" width="25.85546875" customWidth="1"/>
    <col min="8710" max="8711" width="25.85546875" bestFit="1" customWidth="1"/>
    <col min="8712" max="8712" width="30.28515625" bestFit="1" customWidth="1"/>
    <col min="8713" max="8713" width="26.28515625" bestFit="1" customWidth="1"/>
    <col min="8714" max="8714" width="24.5703125" bestFit="1" customWidth="1"/>
    <col min="8716" max="8716" width="25.85546875" bestFit="1" customWidth="1"/>
    <col min="8961" max="8961" width="32" bestFit="1" customWidth="1"/>
    <col min="8962" max="8962" width="32" customWidth="1"/>
    <col min="8963" max="8964" width="25.85546875" bestFit="1" customWidth="1"/>
    <col min="8965" max="8965" width="25.85546875" customWidth="1"/>
    <col min="8966" max="8967" width="25.85546875" bestFit="1" customWidth="1"/>
    <col min="8968" max="8968" width="30.28515625" bestFit="1" customWidth="1"/>
    <col min="8969" max="8969" width="26.28515625" bestFit="1" customWidth="1"/>
    <col min="8970" max="8970" width="24.5703125" bestFit="1" customWidth="1"/>
    <col min="8972" max="8972" width="25.85546875" bestFit="1" customWidth="1"/>
    <col min="9217" max="9217" width="32" bestFit="1" customWidth="1"/>
    <col min="9218" max="9218" width="32" customWidth="1"/>
    <col min="9219" max="9220" width="25.85546875" bestFit="1" customWidth="1"/>
    <col min="9221" max="9221" width="25.85546875" customWidth="1"/>
    <col min="9222" max="9223" width="25.85546875" bestFit="1" customWidth="1"/>
    <col min="9224" max="9224" width="30.28515625" bestFit="1" customWidth="1"/>
    <col min="9225" max="9225" width="26.28515625" bestFit="1" customWidth="1"/>
    <col min="9226" max="9226" width="24.5703125" bestFit="1" customWidth="1"/>
    <col min="9228" max="9228" width="25.85546875" bestFit="1" customWidth="1"/>
    <col min="9473" max="9473" width="32" bestFit="1" customWidth="1"/>
    <col min="9474" max="9474" width="32" customWidth="1"/>
    <col min="9475" max="9476" width="25.85546875" bestFit="1" customWidth="1"/>
    <col min="9477" max="9477" width="25.85546875" customWidth="1"/>
    <col min="9478" max="9479" width="25.85546875" bestFit="1" customWidth="1"/>
    <col min="9480" max="9480" width="30.28515625" bestFit="1" customWidth="1"/>
    <col min="9481" max="9481" width="26.28515625" bestFit="1" customWidth="1"/>
    <col min="9482" max="9482" width="24.5703125" bestFit="1" customWidth="1"/>
    <col min="9484" max="9484" width="25.85546875" bestFit="1" customWidth="1"/>
    <col min="9729" max="9729" width="32" bestFit="1" customWidth="1"/>
    <col min="9730" max="9730" width="32" customWidth="1"/>
    <col min="9731" max="9732" width="25.85546875" bestFit="1" customWidth="1"/>
    <col min="9733" max="9733" width="25.85546875" customWidth="1"/>
    <col min="9734" max="9735" width="25.85546875" bestFit="1" customWidth="1"/>
    <col min="9736" max="9736" width="30.28515625" bestFit="1" customWidth="1"/>
    <col min="9737" max="9737" width="26.28515625" bestFit="1" customWidth="1"/>
    <col min="9738" max="9738" width="24.5703125" bestFit="1" customWidth="1"/>
    <col min="9740" max="9740" width="25.85546875" bestFit="1" customWidth="1"/>
    <col min="9985" max="9985" width="32" bestFit="1" customWidth="1"/>
    <col min="9986" max="9986" width="32" customWidth="1"/>
    <col min="9987" max="9988" width="25.85546875" bestFit="1" customWidth="1"/>
    <col min="9989" max="9989" width="25.85546875" customWidth="1"/>
    <col min="9990" max="9991" width="25.85546875" bestFit="1" customWidth="1"/>
    <col min="9992" max="9992" width="30.28515625" bestFit="1" customWidth="1"/>
    <col min="9993" max="9993" width="26.28515625" bestFit="1" customWidth="1"/>
    <col min="9994" max="9994" width="24.5703125" bestFit="1" customWidth="1"/>
    <col min="9996" max="9996" width="25.85546875" bestFit="1" customWidth="1"/>
    <col min="10241" max="10241" width="32" bestFit="1" customWidth="1"/>
    <col min="10242" max="10242" width="32" customWidth="1"/>
    <col min="10243" max="10244" width="25.85546875" bestFit="1" customWidth="1"/>
    <col min="10245" max="10245" width="25.85546875" customWidth="1"/>
    <col min="10246" max="10247" width="25.85546875" bestFit="1" customWidth="1"/>
    <col min="10248" max="10248" width="30.28515625" bestFit="1" customWidth="1"/>
    <col min="10249" max="10249" width="26.28515625" bestFit="1" customWidth="1"/>
    <col min="10250" max="10250" width="24.5703125" bestFit="1" customWidth="1"/>
    <col min="10252" max="10252" width="25.85546875" bestFit="1" customWidth="1"/>
    <col min="10497" max="10497" width="32" bestFit="1" customWidth="1"/>
    <col min="10498" max="10498" width="32" customWidth="1"/>
    <col min="10499" max="10500" width="25.85546875" bestFit="1" customWidth="1"/>
    <col min="10501" max="10501" width="25.85546875" customWidth="1"/>
    <col min="10502" max="10503" width="25.85546875" bestFit="1" customWidth="1"/>
    <col min="10504" max="10504" width="30.28515625" bestFit="1" customWidth="1"/>
    <col min="10505" max="10505" width="26.28515625" bestFit="1" customWidth="1"/>
    <col min="10506" max="10506" width="24.5703125" bestFit="1" customWidth="1"/>
    <col min="10508" max="10508" width="25.85546875" bestFit="1" customWidth="1"/>
    <col min="10753" max="10753" width="32" bestFit="1" customWidth="1"/>
    <col min="10754" max="10754" width="32" customWidth="1"/>
    <col min="10755" max="10756" width="25.85546875" bestFit="1" customWidth="1"/>
    <col min="10757" max="10757" width="25.85546875" customWidth="1"/>
    <col min="10758" max="10759" width="25.85546875" bestFit="1" customWidth="1"/>
    <col min="10760" max="10760" width="30.28515625" bestFit="1" customWidth="1"/>
    <col min="10761" max="10761" width="26.28515625" bestFit="1" customWidth="1"/>
    <col min="10762" max="10762" width="24.5703125" bestFit="1" customWidth="1"/>
    <col min="10764" max="10764" width="25.85546875" bestFit="1" customWidth="1"/>
    <col min="11009" max="11009" width="32" bestFit="1" customWidth="1"/>
    <col min="11010" max="11010" width="32" customWidth="1"/>
    <col min="11011" max="11012" width="25.85546875" bestFit="1" customWidth="1"/>
    <col min="11013" max="11013" width="25.85546875" customWidth="1"/>
    <col min="11014" max="11015" width="25.85546875" bestFit="1" customWidth="1"/>
    <col min="11016" max="11016" width="30.28515625" bestFit="1" customWidth="1"/>
    <col min="11017" max="11017" width="26.28515625" bestFit="1" customWidth="1"/>
    <col min="11018" max="11018" width="24.5703125" bestFit="1" customWidth="1"/>
    <col min="11020" max="11020" width="25.85546875" bestFit="1" customWidth="1"/>
    <col min="11265" max="11265" width="32" bestFit="1" customWidth="1"/>
    <col min="11266" max="11266" width="32" customWidth="1"/>
    <col min="11267" max="11268" width="25.85546875" bestFit="1" customWidth="1"/>
    <col min="11269" max="11269" width="25.85546875" customWidth="1"/>
    <col min="11270" max="11271" width="25.85546875" bestFit="1" customWidth="1"/>
    <col min="11272" max="11272" width="30.28515625" bestFit="1" customWidth="1"/>
    <col min="11273" max="11273" width="26.28515625" bestFit="1" customWidth="1"/>
    <col min="11274" max="11274" width="24.5703125" bestFit="1" customWidth="1"/>
    <col min="11276" max="11276" width="25.85546875" bestFit="1" customWidth="1"/>
    <col min="11521" max="11521" width="32" bestFit="1" customWidth="1"/>
    <col min="11522" max="11522" width="32" customWidth="1"/>
    <col min="11523" max="11524" width="25.85546875" bestFit="1" customWidth="1"/>
    <col min="11525" max="11525" width="25.85546875" customWidth="1"/>
    <col min="11526" max="11527" width="25.85546875" bestFit="1" customWidth="1"/>
    <col min="11528" max="11528" width="30.28515625" bestFit="1" customWidth="1"/>
    <col min="11529" max="11529" width="26.28515625" bestFit="1" customWidth="1"/>
    <col min="11530" max="11530" width="24.5703125" bestFit="1" customWidth="1"/>
    <col min="11532" max="11532" width="25.85546875" bestFit="1" customWidth="1"/>
    <col min="11777" max="11777" width="32" bestFit="1" customWidth="1"/>
    <col min="11778" max="11778" width="32" customWidth="1"/>
    <col min="11779" max="11780" width="25.85546875" bestFit="1" customWidth="1"/>
    <col min="11781" max="11781" width="25.85546875" customWidth="1"/>
    <col min="11782" max="11783" width="25.85546875" bestFit="1" customWidth="1"/>
    <col min="11784" max="11784" width="30.28515625" bestFit="1" customWidth="1"/>
    <col min="11785" max="11785" width="26.28515625" bestFit="1" customWidth="1"/>
    <col min="11786" max="11786" width="24.5703125" bestFit="1" customWidth="1"/>
    <col min="11788" max="11788" width="25.85546875" bestFit="1" customWidth="1"/>
    <col min="12033" max="12033" width="32" bestFit="1" customWidth="1"/>
    <col min="12034" max="12034" width="32" customWidth="1"/>
    <col min="12035" max="12036" width="25.85546875" bestFit="1" customWidth="1"/>
    <col min="12037" max="12037" width="25.85546875" customWidth="1"/>
    <col min="12038" max="12039" width="25.85546875" bestFit="1" customWidth="1"/>
    <col min="12040" max="12040" width="30.28515625" bestFit="1" customWidth="1"/>
    <col min="12041" max="12041" width="26.28515625" bestFit="1" customWidth="1"/>
    <col min="12042" max="12042" width="24.5703125" bestFit="1" customWidth="1"/>
    <col min="12044" max="12044" width="25.85546875" bestFit="1" customWidth="1"/>
    <col min="12289" max="12289" width="32" bestFit="1" customWidth="1"/>
    <col min="12290" max="12290" width="32" customWidth="1"/>
    <col min="12291" max="12292" width="25.85546875" bestFit="1" customWidth="1"/>
    <col min="12293" max="12293" width="25.85546875" customWidth="1"/>
    <col min="12294" max="12295" width="25.85546875" bestFit="1" customWidth="1"/>
    <col min="12296" max="12296" width="30.28515625" bestFit="1" customWidth="1"/>
    <col min="12297" max="12297" width="26.28515625" bestFit="1" customWidth="1"/>
    <col min="12298" max="12298" width="24.5703125" bestFit="1" customWidth="1"/>
    <col min="12300" max="12300" width="25.85546875" bestFit="1" customWidth="1"/>
    <col min="12545" max="12545" width="32" bestFit="1" customWidth="1"/>
    <col min="12546" max="12546" width="32" customWidth="1"/>
    <col min="12547" max="12548" width="25.85546875" bestFit="1" customWidth="1"/>
    <col min="12549" max="12549" width="25.85546875" customWidth="1"/>
    <col min="12550" max="12551" width="25.85546875" bestFit="1" customWidth="1"/>
    <col min="12552" max="12552" width="30.28515625" bestFit="1" customWidth="1"/>
    <col min="12553" max="12553" width="26.28515625" bestFit="1" customWidth="1"/>
    <col min="12554" max="12554" width="24.5703125" bestFit="1" customWidth="1"/>
    <col min="12556" max="12556" width="25.85546875" bestFit="1" customWidth="1"/>
    <col min="12801" max="12801" width="32" bestFit="1" customWidth="1"/>
    <col min="12802" max="12802" width="32" customWidth="1"/>
    <col min="12803" max="12804" width="25.85546875" bestFit="1" customWidth="1"/>
    <col min="12805" max="12805" width="25.85546875" customWidth="1"/>
    <col min="12806" max="12807" width="25.85546875" bestFit="1" customWidth="1"/>
    <col min="12808" max="12808" width="30.28515625" bestFit="1" customWidth="1"/>
    <col min="12809" max="12809" width="26.28515625" bestFit="1" customWidth="1"/>
    <col min="12810" max="12810" width="24.5703125" bestFit="1" customWidth="1"/>
    <col min="12812" max="12812" width="25.85546875" bestFit="1" customWidth="1"/>
    <col min="13057" max="13057" width="32" bestFit="1" customWidth="1"/>
    <col min="13058" max="13058" width="32" customWidth="1"/>
    <col min="13059" max="13060" width="25.85546875" bestFit="1" customWidth="1"/>
    <col min="13061" max="13061" width="25.85546875" customWidth="1"/>
    <col min="13062" max="13063" width="25.85546875" bestFit="1" customWidth="1"/>
    <col min="13064" max="13064" width="30.28515625" bestFit="1" customWidth="1"/>
    <col min="13065" max="13065" width="26.28515625" bestFit="1" customWidth="1"/>
    <col min="13066" max="13066" width="24.5703125" bestFit="1" customWidth="1"/>
    <col min="13068" max="13068" width="25.85546875" bestFit="1" customWidth="1"/>
    <col min="13313" max="13313" width="32" bestFit="1" customWidth="1"/>
    <col min="13314" max="13314" width="32" customWidth="1"/>
    <col min="13315" max="13316" width="25.85546875" bestFit="1" customWidth="1"/>
    <col min="13317" max="13317" width="25.85546875" customWidth="1"/>
    <col min="13318" max="13319" width="25.85546875" bestFit="1" customWidth="1"/>
    <col min="13320" max="13320" width="30.28515625" bestFit="1" customWidth="1"/>
    <col min="13321" max="13321" width="26.28515625" bestFit="1" customWidth="1"/>
    <col min="13322" max="13322" width="24.5703125" bestFit="1" customWidth="1"/>
    <col min="13324" max="13324" width="25.85546875" bestFit="1" customWidth="1"/>
    <col min="13569" max="13569" width="32" bestFit="1" customWidth="1"/>
    <col min="13570" max="13570" width="32" customWidth="1"/>
    <col min="13571" max="13572" width="25.85546875" bestFit="1" customWidth="1"/>
    <col min="13573" max="13573" width="25.85546875" customWidth="1"/>
    <col min="13574" max="13575" width="25.85546875" bestFit="1" customWidth="1"/>
    <col min="13576" max="13576" width="30.28515625" bestFit="1" customWidth="1"/>
    <col min="13577" max="13577" width="26.28515625" bestFit="1" customWidth="1"/>
    <col min="13578" max="13578" width="24.5703125" bestFit="1" customWidth="1"/>
    <col min="13580" max="13580" width="25.85546875" bestFit="1" customWidth="1"/>
    <col min="13825" max="13825" width="32" bestFit="1" customWidth="1"/>
    <col min="13826" max="13826" width="32" customWidth="1"/>
    <col min="13827" max="13828" width="25.85546875" bestFit="1" customWidth="1"/>
    <col min="13829" max="13829" width="25.85546875" customWidth="1"/>
    <col min="13830" max="13831" width="25.85546875" bestFit="1" customWidth="1"/>
    <col min="13832" max="13832" width="30.28515625" bestFit="1" customWidth="1"/>
    <col min="13833" max="13833" width="26.28515625" bestFit="1" customWidth="1"/>
    <col min="13834" max="13834" width="24.5703125" bestFit="1" customWidth="1"/>
    <col min="13836" max="13836" width="25.85546875" bestFit="1" customWidth="1"/>
    <col min="14081" max="14081" width="32" bestFit="1" customWidth="1"/>
    <col min="14082" max="14082" width="32" customWidth="1"/>
    <col min="14083" max="14084" width="25.85546875" bestFit="1" customWidth="1"/>
    <col min="14085" max="14085" width="25.85546875" customWidth="1"/>
    <col min="14086" max="14087" width="25.85546875" bestFit="1" customWidth="1"/>
    <col min="14088" max="14088" width="30.28515625" bestFit="1" customWidth="1"/>
    <col min="14089" max="14089" width="26.28515625" bestFit="1" customWidth="1"/>
    <col min="14090" max="14090" width="24.5703125" bestFit="1" customWidth="1"/>
    <col min="14092" max="14092" width="25.85546875" bestFit="1" customWidth="1"/>
    <col min="14337" max="14337" width="32" bestFit="1" customWidth="1"/>
    <col min="14338" max="14338" width="32" customWidth="1"/>
    <col min="14339" max="14340" width="25.85546875" bestFit="1" customWidth="1"/>
    <col min="14341" max="14341" width="25.85546875" customWidth="1"/>
    <col min="14342" max="14343" width="25.85546875" bestFit="1" customWidth="1"/>
    <col min="14344" max="14344" width="30.28515625" bestFit="1" customWidth="1"/>
    <col min="14345" max="14345" width="26.28515625" bestFit="1" customWidth="1"/>
    <col min="14346" max="14346" width="24.5703125" bestFit="1" customWidth="1"/>
    <col min="14348" max="14348" width="25.85546875" bestFit="1" customWidth="1"/>
    <col min="14593" max="14593" width="32" bestFit="1" customWidth="1"/>
    <col min="14594" max="14594" width="32" customWidth="1"/>
    <col min="14595" max="14596" width="25.85546875" bestFit="1" customWidth="1"/>
    <col min="14597" max="14597" width="25.85546875" customWidth="1"/>
    <col min="14598" max="14599" width="25.85546875" bestFit="1" customWidth="1"/>
    <col min="14600" max="14600" width="30.28515625" bestFit="1" customWidth="1"/>
    <col min="14601" max="14601" width="26.28515625" bestFit="1" customWidth="1"/>
    <col min="14602" max="14602" width="24.5703125" bestFit="1" customWidth="1"/>
    <col min="14604" max="14604" width="25.85546875" bestFit="1" customWidth="1"/>
    <col min="14849" max="14849" width="32" bestFit="1" customWidth="1"/>
    <col min="14850" max="14850" width="32" customWidth="1"/>
    <col min="14851" max="14852" width="25.85546875" bestFit="1" customWidth="1"/>
    <col min="14853" max="14853" width="25.85546875" customWidth="1"/>
    <col min="14854" max="14855" width="25.85546875" bestFit="1" customWidth="1"/>
    <col min="14856" max="14856" width="30.28515625" bestFit="1" customWidth="1"/>
    <col min="14857" max="14857" width="26.28515625" bestFit="1" customWidth="1"/>
    <col min="14858" max="14858" width="24.5703125" bestFit="1" customWidth="1"/>
    <col min="14860" max="14860" width="25.85546875" bestFit="1" customWidth="1"/>
    <col min="15105" max="15105" width="32" bestFit="1" customWidth="1"/>
    <col min="15106" max="15106" width="32" customWidth="1"/>
    <col min="15107" max="15108" width="25.85546875" bestFit="1" customWidth="1"/>
    <col min="15109" max="15109" width="25.85546875" customWidth="1"/>
    <col min="15110" max="15111" width="25.85546875" bestFit="1" customWidth="1"/>
    <col min="15112" max="15112" width="30.28515625" bestFit="1" customWidth="1"/>
    <col min="15113" max="15113" width="26.28515625" bestFit="1" customWidth="1"/>
    <col min="15114" max="15114" width="24.5703125" bestFit="1" customWidth="1"/>
    <col min="15116" max="15116" width="25.85546875" bestFit="1" customWidth="1"/>
    <col min="15361" max="15361" width="32" bestFit="1" customWidth="1"/>
    <col min="15362" max="15362" width="32" customWidth="1"/>
    <col min="15363" max="15364" width="25.85546875" bestFit="1" customWidth="1"/>
    <col min="15365" max="15365" width="25.85546875" customWidth="1"/>
    <col min="15366" max="15367" width="25.85546875" bestFit="1" customWidth="1"/>
    <col min="15368" max="15368" width="30.28515625" bestFit="1" customWidth="1"/>
    <col min="15369" max="15369" width="26.28515625" bestFit="1" customWidth="1"/>
    <col min="15370" max="15370" width="24.5703125" bestFit="1" customWidth="1"/>
    <col min="15372" max="15372" width="25.85546875" bestFit="1" customWidth="1"/>
    <col min="15617" max="15617" width="32" bestFit="1" customWidth="1"/>
    <col min="15618" max="15618" width="32" customWidth="1"/>
    <col min="15619" max="15620" width="25.85546875" bestFit="1" customWidth="1"/>
    <col min="15621" max="15621" width="25.85546875" customWidth="1"/>
    <col min="15622" max="15623" width="25.85546875" bestFit="1" customWidth="1"/>
    <col min="15624" max="15624" width="30.28515625" bestFit="1" customWidth="1"/>
    <col min="15625" max="15625" width="26.28515625" bestFit="1" customWidth="1"/>
    <col min="15626" max="15626" width="24.5703125" bestFit="1" customWidth="1"/>
    <col min="15628" max="15628" width="25.85546875" bestFit="1" customWidth="1"/>
    <col min="15873" max="15873" width="32" bestFit="1" customWidth="1"/>
    <col min="15874" max="15874" width="32" customWidth="1"/>
    <col min="15875" max="15876" width="25.85546875" bestFit="1" customWidth="1"/>
    <col min="15877" max="15877" width="25.85546875" customWidth="1"/>
    <col min="15878" max="15879" width="25.85546875" bestFit="1" customWidth="1"/>
    <col min="15880" max="15880" width="30.28515625" bestFit="1" customWidth="1"/>
    <col min="15881" max="15881" width="26.28515625" bestFit="1" customWidth="1"/>
    <col min="15882" max="15882" width="24.5703125" bestFit="1" customWidth="1"/>
    <col min="15884" max="15884" width="25.85546875" bestFit="1" customWidth="1"/>
    <col min="16129" max="16129" width="32" bestFit="1" customWidth="1"/>
    <col min="16130" max="16130" width="32" customWidth="1"/>
    <col min="16131" max="16132" width="25.85546875" bestFit="1" customWidth="1"/>
    <col min="16133" max="16133" width="25.85546875" customWidth="1"/>
    <col min="16134" max="16135" width="25.85546875" bestFit="1" customWidth="1"/>
    <col min="16136" max="16136" width="30.28515625" bestFit="1" customWidth="1"/>
    <col min="16137" max="16137" width="26.28515625" bestFit="1" customWidth="1"/>
    <col min="16138" max="16138" width="24.5703125" bestFit="1" customWidth="1"/>
    <col min="16140" max="16140" width="25.85546875" bestFit="1" customWidth="1"/>
  </cols>
  <sheetData>
    <row r="1" spans="1:15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123</v>
      </c>
      <c r="N1" s="3"/>
      <c r="O1" s="41" t="s">
        <v>185</v>
      </c>
    </row>
    <row r="2" spans="1:15" x14ac:dyDescent="0.25">
      <c r="A2" s="5" t="s">
        <v>823</v>
      </c>
      <c r="B2" s="6">
        <f>J2/1000</f>
        <v>0</v>
      </c>
      <c r="C2" s="7" t="s">
        <v>835</v>
      </c>
      <c r="D2" s="7" t="s">
        <v>15</v>
      </c>
      <c r="E2" s="7" t="s">
        <v>826</v>
      </c>
      <c r="F2" s="8">
        <v>0</v>
      </c>
      <c r="G2" s="7" t="s">
        <v>824</v>
      </c>
      <c r="H2" s="7" t="s">
        <v>607</v>
      </c>
      <c r="I2" s="6">
        <v>34</v>
      </c>
      <c r="J2" s="6">
        <v>0</v>
      </c>
      <c r="K2" s="35">
        <v>248567.06000000008</v>
      </c>
      <c r="L2" s="38"/>
      <c r="M2" s="37" t="str">
        <f>VLOOKUP($M1,B2:D493,2)</f>
        <v>TORRE 234</v>
      </c>
      <c r="N2" s="37" t="str">
        <f>VLOOKUP($M1,B2:D493,3)</f>
        <v>TORRE 235</v>
      </c>
      <c r="O2" s="37" t="str">
        <f>VLOOKUP($M1,$B2:$E493,4)</f>
        <v>ACB</v>
      </c>
    </row>
    <row r="3" spans="1:15" x14ac:dyDescent="0.25">
      <c r="A3" s="5" t="s">
        <v>823</v>
      </c>
      <c r="B3" s="6">
        <f t="shared" ref="B3:B66" si="0">J3/1000</f>
        <v>3.4000000000000002E-2</v>
      </c>
      <c r="C3" s="7" t="s">
        <v>15</v>
      </c>
      <c r="D3" s="7" t="s">
        <v>20</v>
      </c>
      <c r="E3" s="7" t="s">
        <v>826</v>
      </c>
      <c r="F3" s="8">
        <v>0.11200000000005872</v>
      </c>
      <c r="G3" s="7" t="s">
        <v>607</v>
      </c>
      <c r="H3" s="7" t="s">
        <v>608</v>
      </c>
      <c r="I3" s="6">
        <v>100.81</v>
      </c>
      <c r="J3" s="6">
        <v>34</v>
      </c>
      <c r="K3" s="6">
        <v>248533.06000000008</v>
      </c>
      <c r="L3" s="37"/>
      <c r="M3" s="11" t="s">
        <v>858</v>
      </c>
      <c r="N3" s="11" t="s">
        <v>870</v>
      </c>
    </row>
    <row r="4" spans="1:15" x14ac:dyDescent="0.25">
      <c r="A4" s="5" t="s">
        <v>823</v>
      </c>
      <c r="B4" s="6">
        <f t="shared" si="0"/>
        <v>0.13481000000000001</v>
      </c>
      <c r="C4" s="7" t="s">
        <v>20</v>
      </c>
      <c r="D4" s="7" t="s">
        <v>23</v>
      </c>
      <c r="E4" s="7" t="s">
        <v>826</v>
      </c>
      <c r="F4" s="8">
        <v>0.26888000000005874</v>
      </c>
      <c r="G4" s="7" t="s">
        <v>608</v>
      </c>
      <c r="H4" s="7" t="s">
        <v>609</v>
      </c>
      <c r="I4" s="6">
        <v>152.69999999999999</v>
      </c>
      <c r="J4" s="6">
        <v>134.81</v>
      </c>
      <c r="K4" s="6">
        <v>248432.25000000009</v>
      </c>
      <c r="M4" s="37" t="s">
        <v>858</v>
      </c>
    </row>
    <row r="5" spans="1:15" x14ac:dyDescent="0.25">
      <c r="A5" s="5" t="s">
        <v>823</v>
      </c>
      <c r="B5" s="6">
        <f t="shared" si="0"/>
        <v>0.28750999999999999</v>
      </c>
      <c r="C5" s="7" t="s">
        <v>23</v>
      </c>
      <c r="D5" s="7" t="s">
        <v>25</v>
      </c>
      <c r="E5" s="7" t="s">
        <v>826</v>
      </c>
      <c r="F5" s="8">
        <v>0.52746000000005866</v>
      </c>
      <c r="G5" s="7" t="s">
        <v>609</v>
      </c>
      <c r="H5" s="7" t="s">
        <v>610</v>
      </c>
      <c r="I5" s="6">
        <v>1042.75</v>
      </c>
      <c r="J5" s="6">
        <v>287.51</v>
      </c>
      <c r="K5" s="6">
        <v>248279.55000000008</v>
      </c>
    </row>
    <row r="6" spans="1:15" x14ac:dyDescent="0.25">
      <c r="A6" s="5" t="s">
        <v>823</v>
      </c>
      <c r="B6" s="6">
        <f t="shared" si="0"/>
        <v>1.33026</v>
      </c>
      <c r="C6" s="7" t="s">
        <v>25</v>
      </c>
      <c r="D6" s="7" t="s">
        <v>27</v>
      </c>
      <c r="E6" s="7" t="s">
        <v>826</v>
      </c>
      <c r="F6" s="8">
        <v>0.98846000000005874</v>
      </c>
      <c r="G6" s="7" t="s">
        <v>610</v>
      </c>
      <c r="H6" s="7" t="s">
        <v>611</v>
      </c>
      <c r="I6" s="6">
        <v>542.35</v>
      </c>
      <c r="J6" s="6">
        <v>1330.26</v>
      </c>
      <c r="K6" s="6">
        <v>247236.80000000008</v>
      </c>
    </row>
    <row r="7" spans="1:15" x14ac:dyDescent="0.25">
      <c r="A7" s="5" t="s">
        <v>823</v>
      </c>
      <c r="B7" s="6">
        <f t="shared" si="0"/>
        <v>1.8726100000000001</v>
      </c>
      <c r="C7" s="7" t="s">
        <v>27</v>
      </c>
      <c r="D7" s="7" t="s">
        <v>29</v>
      </c>
      <c r="E7" s="7" t="s">
        <v>826</v>
      </c>
      <c r="F7" s="8">
        <v>1.4684600000000587</v>
      </c>
      <c r="G7" s="7" t="s">
        <v>611</v>
      </c>
      <c r="H7" s="7" t="s">
        <v>612</v>
      </c>
      <c r="I7" s="6">
        <v>309</v>
      </c>
      <c r="J7" s="6">
        <v>1872.6100000000001</v>
      </c>
      <c r="K7" s="6">
        <v>246694.45000000007</v>
      </c>
    </row>
    <row r="8" spans="1:15" x14ac:dyDescent="0.25">
      <c r="A8" s="5" t="s">
        <v>823</v>
      </c>
      <c r="B8" s="6">
        <f t="shared" si="0"/>
        <v>2.18161</v>
      </c>
      <c r="C8" s="7" t="s">
        <v>29</v>
      </c>
      <c r="D8" s="7" t="s">
        <v>31</v>
      </c>
      <c r="E8" s="7" t="s">
        <v>826</v>
      </c>
      <c r="F8" s="8">
        <v>2.0334600000000589</v>
      </c>
      <c r="G8" s="7" t="s">
        <v>612</v>
      </c>
      <c r="H8" s="7" t="s">
        <v>613</v>
      </c>
      <c r="I8" s="6">
        <v>773.57</v>
      </c>
      <c r="J8" s="6">
        <v>2181.61</v>
      </c>
      <c r="K8" s="6">
        <v>246385.45000000007</v>
      </c>
    </row>
    <row r="9" spans="1:15" x14ac:dyDescent="0.25">
      <c r="A9" s="5" t="s">
        <v>823</v>
      </c>
      <c r="B9" s="6">
        <f t="shared" si="0"/>
        <v>2.9551800000000004</v>
      </c>
      <c r="C9" s="7" t="s">
        <v>31</v>
      </c>
      <c r="D9" s="7" t="s">
        <v>33</v>
      </c>
      <c r="E9" s="7" t="s">
        <v>826</v>
      </c>
      <c r="F9" s="8">
        <v>2.4741100000000587</v>
      </c>
      <c r="G9" s="7" t="s">
        <v>613</v>
      </c>
      <c r="H9" s="7" t="s">
        <v>614</v>
      </c>
      <c r="I9" s="6">
        <v>506.43</v>
      </c>
      <c r="J9" s="6">
        <v>2955.1800000000003</v>
      </c>
      <c r="K9" s="6">
        <v>245611.88000000006</v>
      </c>
    </row>
    <row r="10" spans="1:15" x14ac:dyDescent="0.25">
      <c r="A10" s="5" t="s">
        <v>823</v>
      </c>
      <c r="B10" s="6">
        <f t="shared" si="0"/>
        <v>3.4616100000000003</v>
      </c>
      <c r="C10" s="7" t="s">
        <v>33</v>
      </c>
      <c r="D10" s="7" t="s">
        <v>35</v>
      </c>
      <c r="E10" s="7" t="s">
        <v>826</v>
      </c>
      <c r="F10" s="8">
        <v>3.0213900000000589</v>
      </c>
      <c r="G10" s="7" t="s">
        <v>614</v>
      </c>
      <c r="H10" s="7" t="s">
        <v>615</v>
      </c>
      <c r="I10" s="6">
        <v>830</v>
      </c>
      <c r="J10" s="6">
        <v>3461.61</v>
      </c>
      <c r="K10" s="6">
        <v>245105.45000000007</v>
      </c>
    </row>
    <row r="11" spans="1:15" x14ac:dyDescent="0.25">
      <c r="A11" s="5" t="s">
        <v>823</v>
      </c>
      <c r="B11" s="6">
        <f t="shared" si="0"/>
        <v>4.2916100000000004</v>
      </c>
      <c r="C11" s="7" t="s">
        <v>35</v>
      </c>
      <c r="D11" s="7" t="s">
        <v>37</v>
      </c>
      <c r="E11" s="7" t="s">
        <v>826</v>
      </c>
      <c r="F11" s="8">
        <v>3.5816400000000588</v>
      </c>
      <c r="G11" s="7" t="s">
        <v>615</v>
      </c>
      <c r="H11" s="7" t="s">
        <v>616</v>
      </c>
      <c r="I11" s="6">
        <v>309.12</v>
      </c>
      <c r="J11" s="6">
        <v>4291.6100000000006</v>
      </c>
      <c r="K11" s="6">
        <v>244275.45000000007</v>
      </c>
    </row>
    <row r="12" spans="1:15" x14ac:dyDescent="0.25">
      <c r="A12" s="5" t="s">
        <v>823</v>
      </c>
      <c r="B12" s="6">
        <f t="shared" si="0"/>
        <v>4.6007300000000004</v>
      </c>
      <c r="C12" s="7" t="s">
        <v>37</v>
      </c>
      <c r="D12" s="7" t="s">
        <v>39</v>
      </c>
      <c r="E12" s="7" t="s">
        <v>826</v>
      </c>
      <c r="F12" s="8">
        <v>4.0098700000000589</v>
      </c>
      <c r="G12" s="7" t="s">
        <v>616</v>
      </c>
      <c r="H12" s="7" t="s">
        <v>617</v>
      </c>
      <c r="I12" s="6">
        <v>730.89</v>
      </c>
      <c r="J12" s="6">
        <v>4600.7300000000005</v>
      </c>
      <c r="K12" s="6">
        <v>243966.33000000007</v>
      </c>
    </row>
    <row r="13" spans="1:15" x14ac:dyDescent="0.25">
      <c r="A13" s="5" t="s">
        <v>823</v>
      </c>
      <c r="B13" s="6">
        <f t="shared" si="0"/>
        <v>5.3316200000000009</v>
      </c>
      <c r="C13" s="7" t="s">
        <v>39</v>
      </c>
      <c r="D13" s="7" t="s">
        <v>41</v>
      </c>
      <c r="E13" s="7" t="s">
        <v>826</v>
      </c>
      <c r="F13" s="8">
        <v>4.4698700000000589</v>
      </c>
      <c r="G13" s="7" t="s">
        <v>617</v>
      </c>
      <c r="H13" s="7" t="s">
        <v>618</v>
      </c>
      <c r="I13" s="6">
        <v>381.01</v>
      </c>
      <c r="J13" s="6">
        <v>5331.6200000000008</v>
      </c>
      <c r="K13" s="6">
        <v>243235.44000000006</v>
      </c>
    </row>
    <row r="14" spans="1:15" x14ac:dyDescent="0.25">
      <c r="A14" s="5" t="s">
        <v>823</v>
      </c>
      <c r="B14" s="6">
        <f t="shared" si="0"/>
        <v>5.7126300000000008</v>
      </c>
      <c r="C14" s="7" t="s">
        <v>41</v>
      </c>
      <c r="D14" s="7" t="s">
        <v>43</v>
      </c>
      <c r="E14" s="7" t="s">
        <v>826</v>
      </c>
      <c r="F14" s="8">
        <v>5.0948700000000589</v>
      </c>
      <c r="G14" s="7" t="s">
        <v>618</v>
      </c>
      <c r="H14" s="7" t="s">
        <v>619</v>
      </c>
      <c r="I14" s="6">
        <v>289</v>
      </c>
      <c r="J14" s="6">
        <v>5712.630000000001</v>
      </c>
      <c r="K14" s="6">
        <v>242854.43000000005</v>
      </c>
    </row>
    <row r="15" spans="1:15" x14ac:dyDescent="0.25">
      <c r="A15" s="5" t="s">
        <v>823</v>
      </c>
      <c r="B15" s="6">
        <f t="shared" si="0"/>
        <v>6.0016300000000014</v>
      </c>
      <c r="C15" s="7" t="s">
        <v>43</v>
      </c>
      <c r="D15" s="7" t="s">
        <v>45</v>
      </c>
      <c r="E15" s="7" t="s">
        <v>826</v>
      </c>
      <c r="F15" s="8">
        <v>5.6648700000000591</v>
      </c>
      <c r="G15" s="7" t="s">
        <v>619</v>
      </c>
      <c r="H15" s="7" t="s">
        <v>620</v>
      </c>
      <c r="I15" s="6">
        <v>450</v>
      </c>
      <c r="J15" s="6">
        <v>6001.630000000001</v>
      </c>
      <c r="K15" s="6">
        <v>242565.43000000005</v>
      </c>
    </row>
    <row r="16" spans="1:15" x14ac:dyDescent="0.25">
      <c r="A16" s="5" t="s">
        <v>823</v>
      </c>
      <c r="B16" s="6">
        <f t="shared" si="0"/>
        <v>6.4516300000000006</v>
      </c>
      <c r="C16" s="7" t="s">
        <v>45</v>
      </c>
      <c r="D16" s="7" t="s">
        <v>47</v>
      </c>
      <c r="E16" s="7" t="s">
        <v>826</v>
      </c>
      <c r="F16" s="8">
        <v>6.2184300000000583</v>
      </c>
      <c r="G16" s="7" t="s">
        <v>620</v>
      </c>
      <c r="H16" s="7" t="s">
        <v>621</v>
      </c>
      <c r="I16" s="6">
        <v>455.64</v>
      </c>
      <c r="J16" s="6">
        <v>6451.630000000001</v>
      </c>
      <c r="K16" s="6">
        <v>242115.43000000005</v>
      </c>
    </row>
    <row r="17" spans="1:11" x14ac:dyDescent="0.25">
      <c r="A17" s="5" t="s">
        <v>823</v>
      </c>
      <c r="B17" s="6">
        <f t="shared" si="0"/>
        <v>6.9072700000000014</v>
      </c>
      <c r="C17" s="7" t="s">
        <v>47</v>
      </c>
      <c r="D17" s="7" t="s">
        <v>49</v>
      </c>
      <c r="E17" s="7" t="s">
        <v>826</v>
      </c>
      <c r="F17" s="8">
        <v>6.9098700000000592</v>
      </c>
      <c r="G17" s="7" t="s">
        <v>621</v>
      </c>
      <c r="H17" s="7" t="s">
        <v>622</v>
      </c>
      <c r="I17" s="6">
        <v>612.69000000000005</v>
      </c>
      <c r="J17" s="6">
        <v>6907.2700000000013</v>
      </c>
      <c r="K17" s="6">
        <v>241659.79000000004</v>
      </c>
    </row>
    <row r="18" spans="1:11" x14ac:dyDescent="0.25">
      <c r="A18" s="5" t="s">
        <v>823</v>
      </c>
      <c r="B18" s="6">
        <f t="shared" si="0"/>
        <v>7.5199600000000011</v>
      </c>
      <c r="C18" s="7" t="s">
        <v>49</v>
      </c>
      <c r="D18" s="7" t="s">
        <v>51</v>
      </c>
      <c r="E18" s="7" t="s">
        <v>826</v>
      </c>
      <c r="F18" s="8">
        <v>7.4991300000000596</v>
      </c>
      <c r="G18" s="7" t="s">
        <v>622</v>
      </c>
      <c r="H18" s="7" t="s">
        <v>623</v>
      </c>
      <c r="I18" s="6">
        <v>942.87</v>
      </c>
      <c r="J18" s="6">
        <v>7519.9600000000009</v>
      </c>
      <c r="K18" s="6">
        <v>241047.10000000003</v>
      </c>
    </row>
    <row r="19" spans="1:11" x14ac:dyDescent="0.25">
      <c r="A19" s="5" t="s">
        <v>823</v>
      </c>
      <c r="B19" s="6">
        <f t="shared" si="0"/>
        <v>8.4628300000000021</v>
      </c>
      <c r="C19" s="7" t="s">
        <v>51</v>
      </c>
      <c r="D19" s="7" t="s">
        <v>53</v>
      </c>
      <c r="E19" s="7" t="s">
        <v>826</v>
      </c>
      <c r="F19" s="8">
        <v>7.8498700000000587</v>
      </c>
      <c r="G19" s="7" t="s">
        <v>623</v>
      </c>
      <c r="H19" s="7" t="s">
        <v>624</v>
      </c>
      <c r="I19" s="6">
        <v>320</v>
      </c>
      <c r="J19" s="6">
        <v>8462.8300000000017</v>
      </c>
      <c r="K19" s="6">
        <v>240104.23000000004</v>
      </c>
    </row>
    <row r="20" spans="1:11" x14ac:dyDescent="0.25">
      <c r="A20" s="5" t="s">
        <v>823</v>
      </c>
      <c r="B20" s="6">
        <f t="shared" si="0"/>
        <v>8.7828300000000024</v>
      </c>
      <c r="C20" s="7" t="s">
        <v>53</v>
      </c>
      <c r="D20" s="7" t="s">
        <v>55</v>
      </c>
      <c r="E20" s="7" t="s">
        <v>826</v>
      </c>
      <c r="F20" s="8">
        <v>8.5898700000000598</v>
      </c>
      <c r="G20" s="7" t="s">
        <v>624</v>
      </c>
      <c r="H20" s="7" t="s">
        <v>625</v>
      </c>
      <c r="I20" s="6">
        <v>895</v>
      </c>
      <c r="J20" s="6">
        <v>8782.8300000000017</v>
      </c>
      <c r="K20" s="6">
        <v>239784.23000000004</v>
      </c>
    </row>
    <row r="21" spans="1:11" x14ac:dyDescent="0.25">
      <c r="A21" s="5" t="s">
        <v>823</v>
      </c>
      <c r="B21" s="6">
        <f t="shared" si="0"/>
        <v>9.6778300000000019</v>
      </c>
      <c r="C21" s="7" t="s">
        <v>55</v>
      </c>
      <c r="D21" s="7" t="s">
        <v>57</v>
      </c>
      <c r="E21" s="7" t="s">
        <v>826</v>
      </c>
      <c r="F21" s="8">
        <v>9.1148700000000584</v>
      </c>
      <c r="G21" s="7" t="s">
        <v>625</v>
      </c>
      <c r="H21" s="7" t="s">
        <v>626</v>
      </c>
      <c r="I21" s="6">
        <v>266.12</v>
      </c>
      <c r="J21" s="6">
        <v>9677.8300000000017</v>
      </c>
      <c r="K21" s="6">
        <v>238889.23000000004</v>
      </c>
    </row>
    <row r="22" spans="1:11" x14ac:dyDescent="0.25">
      <c r="A22" s="5" t="s">
        <v>823</v>
      </c>
      <c r="B22" s="6">
        <f t="shared" si="0"/>
        <v>9.9439500000000027</v>
      </c>
      <c r="C22" s="7" t="s">
        <v>57</v>
      </c>
      <c r="D22" s="7" t="s">
        <v>59</v>
      </c>
      <c r="E22" s="7" t="s">
        <v>826</v>
      </c>
      <c r="F22" s="8">
        <v>9.7190600000000593</v>
      </c>
      <c r="G22" s="7" t="s">
        <v>626</v>
      </c>
      <c r="H22" s="7" t="s">
        <v>627</v>
      </c>
      <c r="I22" s="6">
        <v>843.19</v>
      </c>
      <c r="J22" s="6">
        <v>9943.9500000000025</v>
      </c>
      <c r="K22" s="6">
        <v>238623.11000000004</v>
      </c>
    </row>
    <row r="23" spans="1:11" x14ac:dyDescent="0.25">
      <c r="A23" s="5" t="s">
        <v>823</v>
      </c>
      <c r="B23" s="6">
        <f t="shared" si="0"/>
        <v>10.787140000000003</v>
      </c>
      <c r="C23" s="7" t="s">
        <v>59</v>
      </c>
      <c r="D23" s="7" t="s">
        <v>61</v>
      </c>
      <c r="E23" s="7" t="s">
        <v>826</v>
      </c>
      <c r="F23" s="8">
        <v>10.289870000000059</v>
      </c>
      <c r="G23" s="7" t="s">
        <v>627</v>
      </c>
      <c r="H23" s="7" t="s">
        <v>628</v>
      </c>
      <c r="I23" s="6">
        <v>291.08</v>
      </c>
      <c r="J23" s="6">
        <v>10787.140000000003</v>
      </c>
      <c r="K23" s="6">
        <v>237779.92000000004</v>
      </c>
    </row>
    <row r="24" spans="1:11" x14ac:dyDescent="0.25">
      <c r="A24" s="5" t="s">
        <v>823</v>
      </c>
      <c r="B24" s="6">
        <f t="shared" si="0"/>
        <v>11.078220000000004</v>
      </c>
      <c r="C24" s="7" t="s">
        <v>61</v>
      </c>
      <c r="D24" s="7" t="s">
        <v>63</v>
      </c>
      <c r="E24" s="7" t="s">
        <v>826</v>
      </c>
      <c r="F24" s="8">
        <v>10.63487000000006</v>
      </c>
      <c r="G24" s="7" t="s">
        <v>628</v>
      </c>
      <c r="H24" s="7" t="s">
        <v>629</v>
      </c>
      <c r="I24" s="6">
        <v>750.37</v>
      </c>
      <c r="J24" s="6">
        <v>11078.220000000003</v>
      </c>
      <c r="K24" s="6">
        <v>237488.84000000005</v>
      </c>
    </row>
    <row r="25" spans="1:11" x14ac:dyDescent="0.25">
      <c r="A25" s="5" t="s">
        <v>823</v>
      </c>
      <c r="B25" s="6">
        <f t="shared" si="0"/>
        <v>11.828590000000004</v>
      </c>
      <c r="C25" s="7" t="s">
        <v>63</v>
      </c>
      <c r="D25" s="7" t="s">
        <v>65</v>
      </c>
      <c r="E25" s="7" t="s">
        <v>826</v>
      </c>
      <c r="F25" s="8">
        <v>11.02074000000006</v>
      </c>
      <c r="G25" s="7" t="s">
        <v>629</v>
      </c>
      <c r="H25" s="7" t="s">
        <v>630</v>
      </c>
      <c r="I25" s="6">
        <v>645.45000000000005</v>
      </c>
      <c r="J25" s="6">
        <v>11828.590000000004</v>
      </c>
      <c r="K25" s="6">
        <v>236738.47000000006</v>
      </c>
    </row>
    <row r="26" spans="1:11" x14ac:dyDescent="0.25">
      <c r="A26" s="5" t="s">
        <v>823</v>
      </c>
      <c r="B26" s="6">
        <f t="shared" si="0"/>
        <v>12.474040000000004</v>
      </c>
      <c r="C26" s="7" t="s">
        <v>65</v>
      </c>
      <c r="D26" s="7" t="s">
        <v>67</v>
      </c>
      <c r="E26" s="7" t="s">
        <v>826</v>
      </c>
      <c r="F26" s="8">
        <v>11.62074000000006</v>
      </c>
      <c r="G26" s="7" t="s">
        <v>630</v>
      </c>
      <c r="H26" s="7" t="s">
        <v>631</v>
      </c>
      <c r="I26" s="6">
        <v>433.78</v>
      </c>
      <c r="J26" s="6">
        <v>12474.040000000005</v>
      </c>
      <c r="K26" s="6">
        <v>236093.02000000005</v>
      </c>
    </row>
    <row r="27" spans="1:11" x14ac:dyDescent="0.25">
      <c r="A27" s="5" t="s">
        <v>823</v>
      </c>
      <c r="B27" s="6">
        <f t="shared" si="0"/>
        <v>12.907820000000005</v>
      </c>
      <c r="C27" s="7" t="s">
        <v>67</v>
      </c>
      <c r="D27" s="7" t="s">
        <v>69</v>
      </c>
      <c r="E27" s="7" t="s">
        <v>826</v>
      </c>
      <c r="F27" s="8">
        <v>12.31574000000006</v>
      </c>
      <c r="G27" s="7" t="s">
        <v>631</v>
      </c>
      <c r="H27" s="7" t="s">
        <v>632</v>
      </c>
      <c r="I27" s="6">
        <v>270</v>
      </c>
      <c r="J27" s="6">
        <v>12907.820000000005</v>
      </c>
      <c r="K27" s="6">
        <v>235659.24000000005</v>
      </c>
    </row>
    <row r="28" spans="1:11" x14ac:dyDescent="0.25">
      <c r="A28" s="5" t="s">
        <v>823</v>
      </c>
      <c r="B28" s="6">
        <f t="shared" si="0"/>
        <v>13.177820000000006</v>
      </c>
      <c r="C28" s="7" t="s">
        <v>69</v>
      </c>
      <c r="D28" s="7" t="s">
        <v>71</v>
      </c>
      <c r="E28" s="7" t="s">
        <v>826</v>
      </c>
      <c r="F28" s="8">
        <v>12.695740000000059</v>
      </c>
      <c r="G28" s="7" t="s">
        <v>632</v>
      </c>
      <c r="H28" s="7" t="s">
        <v>633</v>
      </c>
      <c r="I28" s="6">
        <v>320</v>
      </c>
      <c r="J28" s="6">
        <v>13177.820000000005</v>
      </c>
      <c r="K28" s="6">
        <v>235389.24000000005</v>
      </c>
    </row>
    <row r="29" spans="1:11" x14ac:dyDescent="0.25">
      <c r="A29" s="5" t="s">
        <v>823</v>
      </c>
      <c r="B29" s="6">
        <f t="shared" si="0"/>
        <v>13.497820000000004</v>
      </c>
      <c r="C29" s="7" t="s">
        <v>71</v>
      </c>
      <c r="D29" s="7" t="s">
        <v>73</v>
      </c>
      <c r="E29" s="7" t="s">
        <v>826</v>
      </c>
      <c r="F29" s="8">
        <v>13.420740000000059</v>
      </c>
      <c r="G29" s="7" t="s">
        <v>633</v>
      </c>
      <c r="H29" s="7" t="s">
        <v>634</v>
      </c>
      <c r="I29" s="6">
        <v>520</v>
      </c>
      <c r="J29" s="6">
        <v>13497.820000000005</v>
      </c>
      <c r="K29" s="6">
        <v>235069.24000000005</v>
      </c>
    </row>
    <row r="30" spans="1:11" x14ac:dyDescent="0.25">
      <c r="A30" s="5" t="s">
        <v>823</v>
      </c>
      <c r="B30" s="6">
        <f t="shared" si="0"/>
        <v>14.017820000000006</v>
      </c>
      <c r="C30" s="7" t="s">
        <v>73</v>
      </c>
      <c r="D30" s="7" t="s">
        <v>75</v>
      </c>
      <c r="E30" s="7" t="s">
        <v>826</v>
      </c>
      <c r="F30" s="8">
        <v>13.83465000000006</v>
      </c>
      <c r="G30" s="7" t="s">
        <v>634</v>
      </c>
      <c r="H30" s="7" t="s">
        <v>635</v>
      </c>
      <c r="I30" s="6">
        <v>465</v>
      </c>
      <c r="J30" s="6">
        <v>14017.820000000005</v>
      </c>
      <c r="K30" s="6">
        <v>234549.24000000005</v>
      </c>
    </row>
    <row r="31" spans="1:11" x14ac:dyDescent="0.25">
      <c r="A31" s="5" t="s">
        <v>823</v>
      </c>
      <c r="B31" s="6">
        <f t="shared" si="0"/>
        <v>14.482820000000006</v>
      </c>
      <c r="C31" s="7" t="s">
        <v>75</v>
      </c>
      <c r="D31" s="7" t="s">
        <v>77</v>
      </c>
      <c r="E31" s="7" t="s">
        <v>826</v>
      </c>
      <c r="F31" s="8">
        <v>14.26668000000006</v>
      </c>
      <c r="G31" s="7" t="s">
        <v>635</v>
      </c>
      <c r="H31" s="7" t="s">
        <v>636</v>
      </c>
      <c r="I31" s="6">
        <v>865</v>
      </c>
      <c r="J31" s="6">
        <v>14482.820000000005</v>
      </c>
      <c r="K31" s="6">
        <v>234084.24000000005</v>
      </c>
    </row>
    <row r="32" spans="1:11" x14ac:dyDescent="0.25">
      <c r="A32" s="5" t="s">
        <v>823</v>
      </c>
      <c r="B32" s="6">
        <f t="shared" si="0"/>
        <v>15.347820000000006</v>
      </c>
      <c r="C32" s="7" t="s">
        <v>77</v>
      </c>
      <c r="D32" s="7" t="s">
        <v>79</v>
      </c>
      <c r="E32" s="7" t="s">
        <v>826</v>
      </c>
      <c r="F32" s="8">
        <v>14.839210000000062</v>
      </c>
      <c r="G32" s="7" t="s">
        <v>636</v>
      </c>
      <c r="H32" s="7" t="s">
        <v>637</v>
      </c>
      <c r="I32" s="6">
        <v>927.9</v>
      </c>
      <c r="J32" s="6">
        <v>15347.820000000005</v>
      </c>
      <c r="K32" s="6">
        <v>233219.24000000005</v>
      </c>
    </row>
    <row r="33" spans="1:11" x14ac:dyDescent="0.25">
      <c r="A33" s="5" t="s">
        <v>823</v>
      </c>
      <c r="B33" s="6">
        <f t="shared" si="0"/>
        <v>16.275720000000003</v>
      </c>
      <c r="C33" s="7" t="s">
        <v>79</v>
      </c>
      <c r="D33" s="7" t="s">
        <v>81</v>
      </c>
      <c r="E33" s="7" t="s">
        <v>826</v>
      </c>
      <c r="F33" s="8">
        <v>15.309210000000061</v>
      </c>
      <c r="G33" s="7" t="s">
        <v>637</v>
      </c>
      <c r="H33" s="7" t="s">
        <v>638</v>
      </c>
      <c r="I33" s="6">
        <v>620</v>
      </c>
      <c r="J33" s="6">
        <v>16275.720000000005</v>
      </c>
      <c r="K33" s="6">
        <v>232291.34000000005</v>
      </c>
    </row>
    <row r="34" spans="1:11" x14ac:dyDescent="0.25">
      <c r="A34" s="5" t="s">
        <v>823</v>
      </c>
      <c r="B34" s="6">
        <f t="shared" si="0"/>
        <v>16.895720000000004</v>
      </c>
      <c r="C34" s="7" t="s">
        <v>81</v>
      </c>
      <c r="D34" s="7" t="s">
        <v>83</v>
      </c>
      <c r="E34" s="7" t="s">
        <v>826</v>
      </c>
      <c r="F34" s="8">
        <v>15.809210000000061</v>
      </c>
      <c r="G34" s="7" t="s">
        <v>638</v>
      </c>
      <c r="H34" s="7" t="s">
        <v>639</v>
      </c>
      <c r="I34" s="6">
        <v>215</v>
      </c>
      <c r="J34" s="6">
        <v>16895.720000000005</v>
      </c>
      <c r="K34" s="6">
        <v>231671.34000000005</v>
      </c>
    </row>
    <row r="35" spans="1:11" x14ac:dyDescent="0.25">
      <c r="A35" s="5" t="s">
        <v>823</v>
      </c>
      <c r="B35" s="6">
        <f t="shared" si="0"/>
        <v>17.110720000000004</v>
      </c>
      <c r="C35" s="7" t="s">
        <v>83</v>
      </c>
      <c r="D35" s="7" t="s">
        <v>85</v>
      </c>
      <c r="E35" s="7" t="s">
        <v>826</v>
      </c>
      <c r="F35" s="8">
        <v>16.154210000000059</v>
      </c>
      <c r="G35" s="7" t="s">
        <v>639</v>
      </c>
      <c r="H35" s="7" t="s">
        <v>640</v>
      </c>
      <c r="I35" s="6">
        <v>702.13</v>
      </c>
      <c r="J35" s="6">
        <v>17110.720000000005</v>
      </c>
      <c r="K35" s="6">
        <v>231456.34000000005</v>
      </c>
    </row>
    <row r="36" spans="1:11" x14ac:dyDescent="0.25">
      <c r="A36" s="5" t="s">
        <v>823</v>
      </c>
      <c r="B36" s="6">
        <f t="shared" si="0"/>
        <v>17.812850000000005</v>
      </c>
      <c r="C36" s="7" t="s">
        <v>85</v>
      </c>
      <c r="D36" s="7" t="s">
        <v>87</v>
      </c>
      <c r="E36" s="7" t="s">
        <v>826</v>
      </c>
      <c r="F36" s="8">
        <v>16.75921000000006</v>
      </c>
      <c r="G36" s="7" t="s">
        <v>640</v>
      </c>
      <c r="H36" s="7" t="s">
        <v>641</v>
      </c>
      <c r="I36" s="6">
        <v>435</v>
      </c>
      <c r="J36" s="6">
        <v>17812.850000000006</v>
      </c>
      <c r="K36" s="6">
        <v>230754.21000000005</v>
      </c>
    </row>
    <row r="37" spans="1:11" x14ac:dyDescent="0.25">
      <c r="A37" s="5" t="s">
        <v>823</v>
      </c>
      <c r="B37" s="6">
        <f t="shared" si="0"/>
        <v>18.247850000000007</v>
      </c>
      <c r="C37" s="7" t="s">
        <v>87</v>
      </c>
      <c r="D37" s="7" t="s">
        <v>89</v>
      </c>
      <c r="E37" s="7" t="s">
        <v>826</v>
      </c>
      <c r="F37" s="8">
        <v>17.32921000000006</v>
      </c>
      <c r="G37" s="7" t="s">
        <v>641</v>
      </c>
      <c r="H37" s="7" t="s">
        <v>642</v>
      </c>
      <c r="I37" s="6">
        <v>312.79000000000002</v>
      </c>
      <c r="J37" s="6">
        <v>18247.850000000006</v>
      </c>
      <c r="K37" s="6">
        <v>230319.21000000005</v>
      </c>
    </row>
    <row r="38" spans="1:11" x14ac:dyDescent="0.25">
      <c r="A38" s="5" t="s">
        <v>823</v>
      </c>
      <c r="B38" s="6">
        <f t="shared" si="0"/>
        <v>18.560640000000006</v>
      </c>
      <c r="C38" s="7" t="s">
        <v>89</v>
      </c>
      <c r="D38" s="7" t="s">
        <v>91</v>
      </c>
      <c r="E38" s="7" t="s">
        <v>826</v>
      </c>
      <c r="F38" s="8">
        <v>17.959210000000063</v>
      </c>
      <c r="G38" s="7" t="s">
        <v>642</v>
      </c>
      <c r="H38" s="7" t="s">
        <v>643</v>
      </c>
      <c r="I38" s="6">
        <v>448.58</v>
      </c>
      <c r="J38" s="6">
        <v>18560.640000000007</v>
      </c>
      <c r="K38" s="6">
        <v>230006.42000000004</v>
      </c>
    </row>
    <row r="39" spans="1:11" x14ac:dyDescent="0.25">
      <c r="A39" s="5" t="s">
        <v>823</v>
      </c>
      <c r="B39" s="6">
        <f t="shared" si="0"/>
        <v>19.00922000000001</v>
      </c>
      <c r="C39" s="7" t="s">
        <v>91</v>
      </c>
      <c r="D39" s="7" t="s">
        <v>93</v>
      </c>
      <c r="E39" s="7" t="s">
        <v>826</v>
      </c>
      <c r="F39" s="8">
        <v>18.464210000000062</v>
      </c>
      <c r="G39" s="7" t="s">
        <v>643</v>
      </c>
      <c r="H39" s="7" t="s">
        <v>644</v>
      </c>
      <c r="I39" s="6">
        <v>544.33000000000004</v>
      </c>
      <c r="J39" s="6">
        <v>19009.220000000008</v>
      </c>
      <c r="K39" s="6">
        <v>229557.84000000005</v>
      </c>
    </row>
    <row r="40" spans="1:11" x14ac:dyDescent="0.25">
      <c r="A40" s="5" t="s">
        <v>823</v>
      </c>
      <c r="B40" s="6">
        <f t="shared" si="0"/>
        <v>19.553550000000008</v>
      </c>
      <c r="C40" s="7" t="s">
        <v>93</v>
      </c>
      <c r="D40" s="7" t="s">
        <v>95</v>
      </c>
      <c r="E40" s="7" t="s">
        <v>826</v>
      </c>
      <c r="F40" s="8">
        <v>18.949210000000061</v>
      </c>
      <c r="G40" s="7" t="s">
        <v>644</v>
      </c>
      <c r="H40" s="7" t="s">
        <v>645</v>
      </c>
      <c r="I40" s="6">
        <v>460.04</v>
      </c>
      <c r="J40" s="6">
        <v>19553.55000000001</v>
      </c>
      <c r="K40" s="6">
        <v>229013.51000000007</v>
      </c>
    </row>
    <row r="41" spans="1:11" x14ac:dyDescent="0.25">
      <c r="A41" s="5" t="s">
        <v>823</v>
      </c>
      <c r="B41" s="6">
        <f t="shared" si="0"/>
        <v>20.013590000000011</v>
      </c>
      <c r="C41" s="7" t="s">
        <v>95</v>
      </c>
      <c r="D41" s="7" t="s">
        <v>97</v>
      </c>
      <c r="E41" s="7" t="s">
        <v>826</v>
      </c>
      <c r="F41" s="8">
        <v>19.469210000000061</v>
      </c>
      <c r="G41" s="7" t="s">
        <v>645</v>
      </c>
      <c r="H41" s="7" t="s">
        <v>646</v>
      </c>
      <c r="I41" s="6">
        <v>467.12</v>
      </c>
      <c r="J41" s="6">
        <v>20013.590000000011</v>
      </c>
      <c r="K41" s="6">
        <v>228553.47000000006</v>
      </c>
    </row>
    <row r="42" spans="1:11" x14ac:dyDescent="0.25">
      <c r="A42" s="5" t="s">
        <v>823</v>
      </c>
      <c r="B42" s="6">
        <f t="shared" si="0"/>
        <v>20.480710000000009</v>
      </c>
      <c r="C42" s="7" t="s">
        <v>97</v>
      </c>
      <c r="D42" s="7" t="s">
        <v>99</v>
      </c>
      <c r="E42" s="7" t="s">
        <v>826</v>
      </c>
      <c r="F42" s="8">
        <v>19.950410000000062</v>
      </c>
      <c r="G42" s="7" t="s">
        <v>646</v>
      </c>
      <c r="H42" s="7" t="s">
        <v>647</v>
      </c>
      <c r="I42" s="6">
        <v>420</v>
      </c>
      <c r="J42" s="6">
        <v>20480.71000000001</v>
      </c>
      <c r="K42" s="6">
        <v>228086.35000000006</v>
      </c>
    </row>
    <row r="43" spans="1:11" x14ac:dyDescent="0.25">
      <c r="A43" s="5" t="s">
        <v>823</v>
      </c>
      <c r="B43" s="6">
        <f t="shared" si="0"/>
        <v>20.900710000000011</v>
      </c>
      <c r="C43" s="7" t="s">
        <v>99</v>
      </c>
      <c r="D43" s="7" t="s">
        <v>101</v>
      </c>
      <c r="E43" s="7" t="s">
        <v>826</v>
      </c>
      <c r="F43" s="8">
        <v>20.348090000000063</v>
      </c>
      <c r="G43" s="7" t="s">
        <v>647</v>
      </c>
      <c r="H43" s="7" t="s">
        <v>648</v>
      </c>
      <c r="I43" s="6">
        <v>360</v>
      </c>
      <c r="J43" s="6">
        <v>20900.71000000001</v>
      </c>
      <c r="K43" s="6">
        <v>227666.35000000006</v>
      </c>
    </row>
    <row r="44" spans="1:11" x14ac:dyDescent="0.25">
      <c r="A44" s="5" t="s">
        <v>823</v>
      </c>
      <c r="B44" s="6">
        <f t="shared" si="0"/>
        <v>21.26071000000001</v>
      </c>
      <c r="C44" s="7" t="s">
        <v>101</v>
      </c>
      <c r="D44" s="7" t="s">
        <v>103</v>
      </c>
      <c r="E44" s="7" t="s">
        <v>826</v>
      </c>
      <c r="F44" s="8">
        <v>20.858010000000061</v>
      </c>
      <c r="G44" s="7" t="s">
        <v>648</v>
      </c>
      <c r="H44" s="7" t="s">
        <v>649</v>
      </c>
      <c r="I44" s="6">
        <v>655</v>
      </c>
      <c r="J44" s="6">
        <v>21260.71000000001</v>
      </c>
      <c r="K44" s="6">
        <v>227306.35000000006</v>
      </c>
    </row>
    <row r="45" spans="1:11" x14ac:dyDescent="0.25">
      <c r="A45" s="5" t="s">
        <v>823</v>
      </c>
      <c r="B45" s="6">
        <f t="shared" si="0"/>
        <v>21.915710000000011</v>
      </c>
      <c r="C45" s="7" t="s">
        <v>103</v>
      </c>
      <c r="D45" s="7" t="s">
        <v>105</v>
      </c>
      <c r="E45" s="7" t="s">
        <v>826</v>
      </c>
      <c r="F45" s="8">
        <v>21.36901000000006</v>
      </c>
      <c r="G45" s="7" t="s">
        <v>649</v>
      </c>
      <c r="H45" s="7" t="s">
        <v>650</v>
      </c>
      <c r="I45" s="6">
        <v>540</v>
      </c>
      <c r="J45" s="6">
        <v>21915.71000000001</v>
      </c>
      <c r="K45" s="6">
        <v>226651.35000000006</v>
      </c>
    </row>
    <row r="46" spans="1:11" x14ac:dyDescent="0.25">
      <c r="A46" s="5" t="s">
        <v>823</v>
      </c>
      <c r="B46" s="6">
        <f t="shared" si="0"/>
        <v>22.45571000000001</v>
      </c>
      <c r="C46" s="7" t="s">
        <v>105</v>
      </c>
      <c r="D46" s="7" t="s">
        <v>107</v>
      </c>
      <c r="E46" s="7" t="s">
        <v>826</v>
      </c>
      <c r="F46" s="8">
        <v>22.074010000000062</v>
      </c>
      <c r="G46" s="7" t="s">
        <v>650</v>
      </c>
      <c r="H46" s="7" t="s">
        <v>651</v>
      </c>
      <c r="I46" s="6">
        <v>435.55</v>
      </c>
      <c r="J46" s="6">
        <v>22455.71000000001</v>
      </c>
      <c r="K46" s="6">
        <v>226111.35000000006</v>
      </c>
    </row>
    <row r="47" spans="1:11" x14ac:dyDescent="0.25">
      <c r="A47" s="5" t="s">
        <v>823</v>
      </c>
      <c r="B47" s="6">
        <f t="shared" si="0"/>
        <v>22.89126000000001</v>
      </c>
      <c r="C47" s="7" t="s">
        <v>107</v>
      </c>
      <c r="D47" s="7" t="s">
        <v>109</v>
      </c>
      <c r="E47" s="7" t="s">
        <v>826</v>
      </c>
      <c r="F47" s="8">
        <v>22.699010000000062</v>
      </c>
      <c r="G47" s="7" t="s">
        <v>651</v>
      </c>
      <c r="H47" s="7" t="s">
        <v>652</v>
      </c>
      <c r="I47" s="6">
        <v>469.31</v>
      </c>
      <c r="J47" s="6">
        <v>22891.260000000009</v>
      </c>
      <c r="K47" s="6">
        <v>225675.80000000008</v>
      </c>
    </row>
    <row r="48" spans="1:11" x14ac:dyDescent="0.25">
      <c r="A48" s="5" t="s">
        <v>823</v>
      </c>
      <c r="B48" s="6">
        <f t="shared" si="0"/>
        <v>23.36057000000001</v>
      </c>
      <c r="C48" s="7" t="s">
        <v>109</v>
      </c>
      <c r="D48" s="7" t="s">
        <v>111</v>
      </c>
      <c r="E48" s="7" t="s">
        <v>826</v>
      </c>
      <c r="F48" s="8">
        <v>23.36901000000006</v>
      </c>
      <c r="G48" s="7" t="s">
        <v>652</v>
      </c>
      <c r="H48" s="7" t="s">
        <v>653</v>
      </c>
      <c r="I48" s="6">
        <v>350</v>
      </c>
      <c r="J48" s="6">
        <v>23360.570000000011</v>
      </c>
      <c r="K48" s="6">
        <v>225206.49000000008</v>
      </c>
    </row>
    <row r="49" spans="1:11" x14ac:dyDescent="0.25">
      <c r="A49" s="5" t="s">
        <v>823</v>
      </c>
      <c r="B49" s="6">
        <f t="shared" si="0"/>
        <v>23.710570000000011</v>
      </c>
      <c r="C49" s="7" t="s">
        <v>111</v>
      </c>
      <c r="D49" s="7" t="s">
        <v>113</v>
      </c>
      <c r="E49" s="7" t="s">
        <v>826</v>
      </c>
      <c r="F49" s="8">
        <v>23.739010000000061</v>
      </c>
      <c r="G49" s="7" t="s">
        <v>653</v>
      </c>
      <c r="H49" s="7" t="s">
        <v>654</v>
      </c>
      <c r="I49" s="6">
        <v>430</v>
      </c>
      <c r="J49" s="6">
        <v>23710.570000000011</v>
      </c>
      <c r="K49" s="6">
        <v>224856.49000000008</v>
      </c>
    </row>
    <row r="50" spans="1:11" x14ac:dyDescent="0.25">
      <c r="A50" s="5" t="s">
        <v>823</v>
      </c>
      <c r="B50" s="6">
        <f t="shared" si="0"/>
        <v>24.140570000000011</v>
      </c>
      <c r="C50" s="7" t="s">
        <v>113</v>
      </c>
      <c r="D50" s="7" t="s">
        <v>115</v>
      </c>
      <c r="E50" s="7" t="s">
        <v>826</v>
      </c>
      <c r="F50" s="8">
        <v>24.227550000000061</v>
      </c>
      <c r="G50" s="7" t="s">
        <v>654</v>
      </c>
      <c r="H50" s="7" t="s">
        <v>655</v>
      </c>
      <c r="I50" s="6">
        <v>320</v>
      </c>
      <c r="J50" s="6">
        <v>24140.570000000011</v>
      </c>
      <c r="K50" s="6">
        <v>224426.49000000008</v>
      </c>
    </row>
    <row r="51" spans="1:11" x14ac:dyDescent="0.25">
      <c r="A51" s="5" t="s">
        <v>823</v>
      </c>
      <c r="B51" s="6">
        <f t="shared" si="0"/>
        <v>24.460570000000011</v>
      </c>
      <c r="C51" s="7" t="s">
        <v>115</v>
      </c>
      <c r="D51" s="7" t="s">
        <v>18</v>
      </c>
      <c r="E51" s="7" t="s">
        <v>826</v>
      </c>
      <c r="F51" s="8">
        <v>24.749010000000059</v>
      </c>
      <c r="G51" s="7" t="s">
        <v>655</v>
      </c>
      <c r="H51" s="7" t="s">
        <v>656</v>
      </c>
      <c r="I51" s="6">
        <v>410</v>
      </c>
      <c r="J51" s="6">
        <v>24460.570000000011</v>
      </c>
      <c r="K51" s="6">
        <v>224106.49000000008</v>
      </c>
    </row>
    <row r="52" spans="1:11" x14ac:dyDescent="0.25">
      <c r="A52" s="5" t="s">
        <v>823</v>
      </c>
      <c r="B52" s="6">
        <f t="shared" si="0"/>
        <v>24.870570000000011</v>
      </c>
      <c r="C52" s="7" t="s">
        <v>18</v>
      </c>
      <c r="D52" s="7" t="s">
        <v>19</v>
      </c>
      <c r="E52" s="7" t="s">
        <v>826</v>
      </c>
      <c r="F52" s="8">
        <v>25.219010000000061</v>
      </c>
      <c r="G52" s="7" t="s">
        <v>656</v>
      </c>
      <c r="H52" s="7" t="s">
        <v>657</v>
      </c>
      <c r="I52" s="6">
        <v>570</v>
      </c>
      <c r="J52" s="6">
        <v>24870.570000000011</v>
      </c>
      <c r="K52" s="6">
        <v>223696.49000000008</v>
      </c>
    </row>
    <row r="53" spans="1:11" x14ac:dyDescent="0.25">
      <c r="A53" s="5" t="s">
        <v>823</v>
      </c>
      <c r="B53" s="6">
        <f t="shared" si="0"/>
        <v>25.440570000000012</v>
      </c>
      <c r="C53" s="7" t="s">
        <v>19</v>
      </c>
      <c r="D53" s="7" t="s">
        <v>119</v>
      </c>
      <c r="E53" s="7" t="s">
        <v>826</v>
      </c>
      <c r="F53" s="8">
        <v>25.739010000000061</v>
      </c>
      <c r="G53" s="7" t="s">
        <v>657</v>
      </c>
      <c r="H53" s="7" t="s">
        <v>658</v>
      </c>
      <c r="I53" s="6">
        <v>365</v>
      </c>
      <c r="J53" s="6">
        <v>25440.570000000011</v>
      </c>
      <c r="K53" s="6">
        <v>223126.49000000008</v>
      </c>
    </row>
    <row r="54" spans="1:11" x14ac:dyDescent="0.25">
      <c r="A54" s="5" t="s">
        <v>823</v>
      </c>
      <c r="B54" s="6">
        <f t="shared" si="0"/>
        <v>25.80557000000001</v>
      </c>
      <c r="C54" s="7" t="s">
        <v>119</v>
      </c>
      <c r="D54" s="7" t="s">
        <v>121</v>
      </c>
      <c r="E54" s="7" t="s">
        <v>826</v>
      </c>
      <c r="F54" s="8">
        <v>26.22401000000006</v>
      </c>
      <c r="G54" s="7" t="s">
        <v>658</v>
      </c>
      <c r="H54" s="7" t="s">
        <v>659</v>
      </c>
      <c r="I54" s="6">
        <v>255</v>
      </c>
      <c r="J54" s="6">
        <v>25805.570000000011</v>
      </c>
      <c r="K54" s="6">
        <v>222761.49000000008</v>
      </c>
    </row>
    <row r="55" spans="1:11" x14ac:dyDescent="0.25">
      <c r="A55" s="5" t="s">
        <v>823</v>
      </c>
      <c r="B55" s="6">
        <f t="shared" si="0"/>
        <v>26.060570000000009</v>
      </c>
      <c r="C55" s="7" t="s">
        <v>121</v>
      </c>
      <c r="D55" s="7" t="s">
        <v>123</v>
      </c>
      <c r="E55" s="7" t="s">
        <v>826</v>
      </c>
      <c r="F55" s="8">
        <v>26.789010000000061</v>
      </c>
      <c r="G55" s="7" t="s">
        <v>659</v>
      </c>
      <c r="H55" s="7" t="s">
        <v>660</v>
      </c>
      <c r="I55" s="6">
        <v>570</v>
      </c>
      <c r="J55" s="6">
        <v>26060.570000000011</v>
      </c>
      <c r="K55" s="6">
        <v>222506.49000000008</v>
      </c>
    </row>
    <row r="56" spans="1:11" x14ac:dyDescent="0.25">
      <c r="A56" s="5" t="s">
        <v>823</v>
      </c>
      <c r="B56" s="6">
        <f t="shared" si="0"/>
        <v>26.630570000000009</v>
      </c>
      <c r="C56" s="7" t="s">
        <v>123</v>
      </c>
      <c r="D56" s="7" t="s">
        <v>125</v>
      </c>
      <c r="E56" s="7" t="s">
        <v>826</v>
      </c>
      <c r="F56" s="8">
        <v>27.389720000000061</v>
      </c>
      <c r="G56" s="7" t="s">
        <v>660</v>
      </c>
      <c r="H56" s="7" t="s">
        <v>661</v>
      </c>
      <c r="I56" s="6">
        <v>329.47</v>
      </c>
      <c r="J56" s="6">
        <v>26630.570000000011</v>
      </c>
      <c r="K56" s="6">
        <v>221936.49000000008</v>
      </c>
    </row>
    <row r="57" spans="1:11" x14ac:dyDescent="0.25">
      <c r="A57" s="5" t="s">
        <v>823</v>
      </c>
      <c r="B57" s="6">
        <f t="shared" si="0"/>
        <v>26.960040000000014</v>
      </c>
      <c r="C57" s="7" t="s">
        <v>125</v>
      </c>
      <c r="D57" s="7" t="s">
        <v>127</v>
      </c>
      <c r="E57" s="7" t="s">
        <v>826</v>
      </c>
      <c r="F57" s="8">
        <v>27.90972000000006</v>
      </c>
      <c r="G57" s="7" t="s">
        <v>661</v>
      </c>
      <c r="H57" s="7" t="s">
        <v>662</v>
      </c>
      <c r="I57" s="6">
        <v>444.18</v>
      </c>
      <c r="J57" s="6">
        <v>26960.040000000012</v>
      </c>
      <c r="K57" s="6">
        <v>221607.02000000008</v>
      </c>
    </row>
    <row r="58" spans="1:11" x14ac:dyDescent="0.25">
      <c r="A58" s="5" t="s">
        <v>823</v>
      </c>
      <c r="B58" s="6">
        <f t="shared" si="0"/>
        <v>27.404220000000013</v>
      </c>
      <c r="C58" s="7" t="s">
        <v>127</v>
      </c>
      <c r="D58" s="7" t="s">
        <v>129</v>
      </c>
      <c r="E58" s="7" t="s">
        <v>826</v>
      </c>
      <c r="F58" s="8">
        <v>28.419720000000058</v>
      </c>
      <c r="G58" s="7" t="s">
        <v>662</v>
      </c>
      <c r="H58" s="7" t="s">
        <v>663</v>
      </c>
      <c r="I58" s="6">
        <v>425.82</v>
      </c>
      <c r="J58" s="6">
        <v>27404.220000000012</v>
      </c>
      <c r="K58" s="6">
        <v>221162.84000000008</v>
      </c>
    </row>
    <row r="59" spans="1:11" x14ac:dyDescent="0.25">
      <c r="A59" s="5" t="s">
        <v>823</v>
      </c>
      <c r="B59" s="6">
        <f t="shared" si="0"/>
        <v>27.830040000000011</v>
      </c>
      <c r="C59" s="7" t="s">
        <v>129</v>
      </c>
      <c r="D59" s="7" t="s">
        <v>131</v>
      </c>
      <c r="E59" s="7" t="s">
        <v>826</v>
      </c>
      <c r="F59" s="8">
        <v>28.944720000000061</v>
      </c>
      <c r="G59" s="7" t="s">
        <v>663</v>
      </c>
      <c r="H59" s="7" t="s">
        <v>664</v>
      </c>
      <c r="I59" s="6">
        <v>505</v>
      </c>
      <c r="J59" s="6">
        <v>27830.040000000012</v>
      </c>
      <c r="K59" s="6">
        <v>220737.02000000008</v>
      </c>
    </row>
    <row r="60" spans="1:11" x14ac:dyDescent="0.25">
      <c r="A60" s="5" t="s">
        <v>823</v>
      </c>
      <c r="B60" s="6">
        <f t="shared" si="0"/>
        <v>28.335040000000014</v>
      </c>
      <c r="C60" s="7" t="s">
        <v>131</v>
      </c>
      <c r="D60" s="7" t="s">
        <v>133</v>
      </c>
      <c r="E60" s="7" t="s">
        <v>826</v>
      </c>
      <c r="F60" s="8">
        <v>29.35616000000006</v>
      </c>
      <c r="G60" s="7" t="s">
        <v>664</v>
      </c>
      <c r="H60" s="7" t="s">
        <v>665</v>
      </c>
      <c r="I60" s="6">
        <v>650</v>
      </c>
      <c r="J60" s="6">
        <v>28335.040000000012</v>
      </c>
      <c r="K60" s="6">
        <v>220232.02000000008</v>
      </c>
    </row>
    <row r="61" spans="1:11" x14ac:dyDescent="0.25">
      <c r="A61" s="5" t="s">
        <v>823</v>
      </c>
      <c r="B61" s="6">
        <f t="shared" si="0"/>
        <v>28.985040000000012</v>
      </c>
      <c r="C61" s="7" t="s">
        <v>133</v>
      </c>
      <c r="D61" s="7" t="s">
        <v>135</v>
      </c>
      <c r="E61" s="7" t="s">
        <v>826</v>
      </c>
      <c r="F61" s="8">
        <v>29.74972000000006</v>
      </c>
      <c r="G61" s="7" t="s">
        <v>665</v>
      </c>
      <c r="H61" s="7" t="s">
        <v>666</v>
      </c>
      <c r="I61" s="6">
        <v>520</v>
      </c>
      <c r="J61" s="6">
        <v>28985.040000000012</v>
      </c>
      <c r="K61" s="6">
        <v>219582.02000000008</v>
      </c>
    </row>
    <row r="62" spans="1:11" x14ac:dyDescent="0.25">
      <c r="A62" s="5" t="s">
        <v>823</v>
      </c>
      <c r="B62" s="6">
        <f t="shared" si="0"/>
        <v>29.505040000000012</v>
      </c>
      <c r="C62" s="7" t="s">
        <v>135</v>
      </c>
      <c r="D62" s="7" t="s">
        <v>137</v>
      </c>
      <c r="E62" s="7" t="s">
        <v>826</v>
      </c>
      <c r="F62" s="8">
        <v>30.15972000000006</v>
      </c>
      <c r="G62" s="7" t="s">
        <v>666</v>
      </c>
      <c r="H62" s="7" t="s">
        <v>667</v>
      </c>
      <c r="I62" s="6">
        <v>405</v>
      </c>
      <c r="J62" s="6">
        <v>29505.040000000012</v>
      </c>
      <c r="K62" s="6">
        <v>219062.02000000008</v>
      </c>
    </row>
    <row r="63" spans="1:11" x14ac:dyDescent="0.25">
      <c r="A63" s="5" t="s">
        <v>823</v>
      </c>
      <c r="B63" s="6">
        <f t="shared" si="0"/>
        <v>29.910040000000013</v>
      </c>
      <c r="C63" s="7" t="s">
        <v>137</v>
      </c>
      <c r="D63" s="7" t="s">
        <v>139</v>
      </c>
      <c r="E63" s="7" t="s">
        <v>826</v>
      </c>
      <c r="F63" s="8">
        <v>30.524720000000059</v>
      </c>
      <c r="G63" s="7" t="s">
        <v>667</v>
      </c>
      <c r="H63" s="7" t="s">
        <v>668</v>
      </c>
      <c r="I63" s="6">
        <v>445</v>
      </c>
      <c r="J63" s="6">
        <v>29910.040000000012</v>
      </c>
      <c r="K63" s="6">
        <v>218657.02000000008</v>
      </c>
    </row>
    <row r="64" spans="1:11" x14ac:dyDescent="0.25">
      <c r="A64" s="5" t="s">
        <v>823</v>
      </c>
      <c r="B64" s="6">
        <f t="shared" si="0"/>
        <v>30.355040000000013</v>
      </c>
      <c r="C64" s="7" t="s">
        <v>139</v>
      </c>
      <c r="D64" s="7" t="s">
        <v>141</v>
      </c>
      <c r="E64" s="7" t="s">
        <v>826</v>
      </c>
      <c r="F64" s="8">
        <v>31.178580000000061</v>
      </c>
      <c r="G64" s="7" t="s">
        <v>668</v>
      </c>
      <c r="H64" s="7" t="s">
        <v>669</v>
      </c>
      <c r="I64" s="6">
        <v>385</v>
      </c>
      <c r="J64" s="6">
        <v>30355.040000000012</v>
      </c>
      <c r="K64" s="6">
        <v>218212.02000000008</v>
      </c>
    </row>
    <row r="65" spans="1:11" x14ac:dyDescent="0.25">
      <c r="A65" s="5" t="s">
        <v>823</v>
      </c>
      <c r="B65" s="6">
        <f t="shared" si="0"/>
        <v>30.740040000000011</v>
      </c>
      <c r="C65" s="7" t="s">
        <v>141</v>
      </c>
      <c r="D65" s="7" t="s">
        <v>143</v>
      </c>
      <c r="E65" s="7" t="s">
        <v>826</v>
      </c>
      <c r="F65" s="8">
        <v>31.62718000000006</v>
      </c>
      <c r="G65" s="7" t="s">
        <v>669</v>
      </c>
      <c r="H65" s="7" t="s">
        <v>670</v>
      </c>
      <c r="I65" s="6">
        <v>615</v>
      </c>
      <c r="J65" s="6">
        <v>30740.040000000012</v>
      </c>
      <c r="K65" s="6">
        <v>217827.02000000008</v>
      </c>
    </row>
    <row r="66" spans="1:11" x14ac:dyDescent="0.25">
      <c r="A66" s="5" t="s">
        <v>823</v>
      </c>
      <c r="B66" s="6">
        <f t="shared" si="0"/>
        <v>31.355040000000013</v>
      </c>
      <c r="C66" s="7" t="s">
        <v>143</v>
      </c>
      <c r="D66" s="7" t="s">
        <v>145</v>
      </c>
      <c r="E66" s="7" t="s">
        <v>826</v>
      </c>
      <c r="F66" s="8">
        <v>32.009830000000058</v>
      </c>
      <c r="G66" s="7" t="s">
        <v>670</v>
      </c>
      <c r="H66" s="7" t="s">
        <v>671</v>
      </c>
      <c r="I66" s="6">
        <v>410</v>
      </c>
      <c r="J66" s="6">
        <v>31355.040000000012</v>
      </c>
      <c r="K66" s="6">
        <v>217212.02000000008</v>
      </c>
    </row>
    <row r="67" spans="1:11" x14ac:dyDescent="0.25">
      <c r="A67" s="5" t="s">
        <v>823</v>
      </c>
      <c r="B67" s="6">
        <f t="shared" ref="B67:B130" si="1">J67/1000</f>
        <v>31.765040000000013</v>
      </c>
      <c r="C67" s="7" t="s">
        <v>145</v>
      </c>
      <c r="D67" s="7" t="s">
        <v>147</v>
      </c>
      <c r="E67" s="7" t="s">
        <v>826</v>
      </c>
      <c r="F67" s="8">
        <v>32.779830000000061</v>
      </c>
      <c r="G67" s="7" t="s">
        <v>671</v>
      </c>
      <c r="H67" s="7" t="s">
        <v>672</v>
      </c>
      <c r="I67" s="6">
        <v>443.4</v>
      </c>
      <c r="J67" s="6">
        <v>31765.040000000012</v>
      </c>
      <c r="K67" s="6">
        <v>216802.02000000008</v>
      </c>
    </row>
    <row r="68" spans="1:11" x14ac:dyDescent="0.25">
      <c r="A68" s="5" t="s">
        <v>823</v>
      </c>
      <c r="B68" s="6">
        <f t="shared" si="1"/>
        <v>32.20844000000001</v>
      </c>
      <c r="C68" s="7" t="s">
        <v>147</v>
      </c>
      <c r="D68" s="7" t="s">
        <v>149</v>
      </c>
      <c r="E68" s="7" t="s">
        <v>826</v>
      </c>
      <c r="F68" s="8">
        <v>33.404830000000061</v>
      </c>
      <c r="G68" s="7" t="s">
        <v>672</v>
      </c>
      <c r="H68" s="7" t="s">
        <v>673</v>
      </c>
      <c r="I68" s="6">
        <v>585</v>
      </c>
      <c r="J68" s="6">
        <v>32208.440000000013</v>
      </c>
      <c r="K68" s="6">
        <v>216358.62000000008</v>
      </c>
    </row>
    <row r="69" spans="1:11" x14ac:dyDescent="0.25">
      <c r="A69" s="5" t="s">
        <v>823</v>
      </c>
      <c r="B69" s="6">
        <f t="shared" si="1"/>
        <v>32.793440000000018</v>
      </c>
      <c r="C69" s="7" t="s">
        <v>149</v>
      </c>
      <c r="D69" s="7" t="s">
        <v>151</v>
      </c>
      <c r="E69" s="7" t="s">
        <v>826</v>
      </c>
      <c r="F69" s="8">
        <v>33.88983000000006</v>
      </c>
      <c r="G69" s="7" t="s">
        <v>673</v>
      </c>
      <c r="H69" s="7" t="s">
        <v>674</v>
      </c>
      <c r="I69" s="6">
        <v>580</v>
      </c>
      <c r="J69" s="6">
        <v>32793.440000000017</v>
      </c>
      <c r="K69" s="6">
        <v>215773.62000000008</v>
      </c>
    </row>
    <row r="70" spans="1:11" x14ac:dyDescent="0.25">
      <c r="A70" s="5" t="s">
        <v>823</v>
      </c>
      <c r="B70" s="6">
        <f t="shared" si="1"/>
        <v>33.373440000000016</v>
      </c>
      <c r="C70" s="7" t="s">
        <v>151</v>
      </c>
      <c r="D70" s="7" t="s">
        <v>153</v>
      </c>
      <c r="E70" s="7" t="s">
        <v>826</v>
      </c>
      <c r="F70" s="8">
        <v>34.38609000000006</v>
      </c>
      <c r="G70" s="7" t="s">
        <v>674</v>
      </c>
      <c r="H70" s="7" t="s">
        <v>675</v>
      </c>
      <c r="I70" s="6">
        <v>530</v>
      </c>
      <c r="J70" s="6">
        <v>33373.440000000017</v>
      </c>
      <c r="K70" s="6">
        <v>215193.62000000008</v>
      </c>
    </row>
    <row r="71" spans="1:11" x14ac:dyDescent="0.25">
      <c r="A71" s="5" t="s">
        <v>823</v>
      </c>
      <c r="B71" s="6">
        <f t="shared" si="1"/>
        <v>33.903440000000018</v>
      </c>
      <c r="C71" s="7" t="s">
        <v>153</v>
      </c>
      <c r="D71" s="7" t="s">
        <v>155</v>
      </c>
      <c r="E71" s="7" t="s">
        <v>826</v>
      </c>
      <c r="F71" s="8">
        <v>35.073870000000063</v>
      </c>
      <c r="G71" s="7" t="s">
        <v>675</v>
      </c>
      <c r="H71" s="7" t="s">
        <v>676</v>
      </c>
      <c r="I71" s="6">
        <v>440</v>
      </c>
      <c r="J71" s="6">
        <v>33903.440000000017</v>
      </c>
      <c r="K71" s="6">
        <v>214663.62000000008</v>
      </c>
    </row>
    <row r="72" spans="1:11" x14ac:dyDescent="0.25">
      <c r="A72" s="5" t="s">
        <v>823</v>
      </c>
      <c r="B72" s="6">
        <f t="shared" si="1"/>
        <v>34.343440000000015</v>
      </c>
      <c r="C72" s="7" t="s">
        <v>155</v>
      </c>
      <c r="D72" s="7" t="s">
        <v>157</v>
      </c>
      <c r="E72" s="7" t="s">
        <v>826</v>
      </c>
      <c r="F72" s="8">
        <v>35.729810000000064</v>
      </c>
      <c r="G72" s="7" t="s">
        <v>676</v>
      </c>
      <c r="H72" s="7" t="s">
        <v>677</v>
      </c>
      <c r="I72" s="6">
        <v>425</v>
      </c>
      <c r="J72" s="6">
        <v>34343.440000000017</v>
      </c>
      <c r="K72" s="6">
        <v>214223.62000000008</v>
      </c>
    </row>
    <row r="73" spans="1:11" x14ac:dyDescent="0.25">
      <c r="A73" s="5" t="s">
        <v>823</v>
      </c>
      <c r="B73" s="6">
        <f t="shared" si="1"/>
        <v>34.76844000000002</v>
      </c>
      <c r="C73" s="7" t="s">
        <v>157</v>
      </c>
      <c r="D73" s="7" t="s">
        <v>159</v>
      </c>
      <c r="E73" s="7" t="s">
        <v>826</v>
      </c>
      <c r="F73" s="8">
        <v>36.159750000000066</v>
      </c>
      <c r="G73" s="7" t="s">
        <v>677</v>
      </c>
      <c r="H73" s="7" t="s">
        <v>678</v>
      </c>
      <c r="I73" s="6">
        <v>575</v>
      </c>
      <c r="J73" s="6">
        <v>34768.440000000017</v>
      </c>
      <c r="K73" s="6">
        <v>213798.62000000008</v>
      </c>
    </row>
    <row r="74" spans="1:11" x14ac:dyDescent="0.25">
      <c r="A74" s="5" t="s">
        <v>823</v>
      </c>
      <c r="B74" s="6">
        <f t="shared" si="1"/>
        <v>35.343440000000015</v>
      </c>
      <c r="C74" s="7" t="s">
        <v>159</v>
      </c>
      <c r="D74" s="7" t="s">
        <v>161</v>
      </c>
      <c r="E74" s="7" t="s">
        <v>826</v>
      </c>
      <c r="F74" s="8">
        <v>36.884750000000068</v>
      </c>
      <c r="G74" s="7" t="s">
        <v>678</v>
      </c>
      <c r="H74" s="7" t="s">
        <v>679</v>
      </c>
      <c r="I74" s="6">
        <v>795</v>
      </c>
      <c r="J74" s="6">
        <v>35343.440000000017</v>
      </c>
      <c r="K74" s="6">
        <v>213223.62000000008</v>
      </c>
    </row>
    <row r="75" spans="1:11" x14ac:dyDescent="0.25">
      <c r="A75" s="5" t="s">
        <v>823</v>
      </c>
      <c r="B75" s="6">
        <f t="shared" si="1"/>
        <v>36.138440000000017</v>
      </c>
      <c r="C75" s="7" t="s">
        <v>161</v>
      </c>
      <c r="D75" s="7" t="s">
        <v>163</v>
      </c>
      <c r="E75" s="7" t="s">
        <v>826</v>
      </c>
      <c r="F75" s="8">
        <v>37.209750000000064</v>
      </c>
      <c r="G75" s="7" t="s">
        <v>679</v>
      </c>
      <c r="H75" s="7" t="s">
        <v>680</v>
      </c>
      <c r="I75" s="6">
        <v>495.91</v>
      </c>
      <c r="J75" s="6">
        <v>36138.440000000017</v>
      </c>
      <c r="K75" s="6">
        <v>212428.62000000008</v>
      </c>
    </row>
    <row r="76" spans="1:11" x14ac:dyDescent="0.25">
      <c r="A76" s="5" t="s">
        <v>823</v>
      </c>
      <c r="B76" s="6">
        <f t="shared" si="1"/>
        <v>36.634350000000019</v>
      </c>
      <c r="C76" s="7" t="s">
        <v>163</v>
      </c>
      <c r="D76" s="7" t="s">
        <v>165</v>
      </c>
      <c r="E76" s="7" t="s">
        <v>826</v>
      </c>
      <c r="F76" s="8">
        <v>37.713750000000068</v>
      </c>
      <c r="G76" s="7" t="s">
        <v>680</v>
      </c>
      <c r="H76" s="7" t="s">
        <v>681</v>
      </c>
      <c r="I76" s="6">
        <v>544.09</v>
      </c>
      <c r="J76" s="6">
        <v>36634.35000000002</v>
      </c>
      <c r="K76" s="6">
        <v>211932.71000000008</v>
      </c>
    </row>
    <row r="77" spans="1:11" x14ac:dyDescent="0.25">
      <c r="A77" s="5" t="s">
        <v>823</v>
      </c>
      <c r="B77" s="6">
        <f t="shared" si="1"/>
        <v>37.178440000000016</v>
      </c>
      <c r="C77" s="7" t="s">
        <v>165</v>
      </c>
      <c r="D77" s="7" t="s">
        <v>167</v>
      </c>
      <c r="E77" s="7" t="s">
        <v>826</v>
      </c>
      <c r="F77" s="8">
        <v>38.199750000000066</v>
      </c>
      <c r="G77" s="7" t="s">
        <v>681</v>
      </c>
      <c r="H77" s="7" t="s">
        <v>682</v>
      </c>
      <c r="I77" s="6">
        <v>804.94</v>
      </c>
      <c r="J77" s="6">
        <v>37178.440000000017</v>
      </c>
      <c r="K77" s="6">
        <v>211388.62000000008</v>
      </c>
    </row>
    <row r="78" spans="1:11" x14ac:dyDescent="0.25">
      <c r="A78" s="5" t="s">
        <v>823</v>
      </c>
      <c r="B78" s="6">
        <f t="shared" si="1"/>
        <v>37.983380000000018</v>
      </c>
      <c r="C78" s="7" t="s">
        <v>167</v>
      </c>
      <c r="D78" s="7" t="s">
        <v>169</v>
      </c>
      <c r="E78" s="7" t="s">
        <v>826</v>
      </c>
      <c r="F78" s="8">
        <v>38.684750000000065</v>
      </c>
      <c r="G78" s="7" t="s">
        <v>682</v>
      </c>
      <c r="H78" s="7" t="s">
        <v>683</v>
      </c>
      <c r="I78" s="6">
        <v>524.72</v>
      </c>
      <c r="J78" s="6">
        <v>37983.380000000019</v>
      </c>
      <c r="K78" s="6">
        <v>210583.68000000008</v>
      </c>
    </row>
    <row r="79" spans="1:11" x14ac:dyDescent="0.25">
      <c r="A79" s="5" t="s">
        <v>823</v>
      </c>
      <c r="B79" s="6">
        <f t="shared" si="1"/>
        <v>38.50810000000002</v>
      </c>
      <c r="C79" s="7" t="s">
        <v>169</v>
      </c>
      <c r="D79" s="7" t="s">
        <v>171</v>
      </c>
      <c r="E79" s="7" t="s">
        <v>826</v>
      </c>
      <c r="F79" s="8">
        <v>39.119750000000067</v>
      </c>
      <c r="G79" s="7" t="s">
        <v>683</v>
      </c>
      <c r="H79" s="7" t="s">
        <v>684</v>
      </c>
      <c r="I79" s="6">
        <v>705</v>
      </c>
      <c r="J79" s="6">
        <v>38508.10000000002</v>
      </c>
      <c r="K79" s="6">
        <v>210058.96000000008</v>
      </c>
    </row>
    <row r="80" spans="1:11" x14ac:dyDescent="0.25">
      <c r="A80" s="5" t="s">
        <v>823</v>
      </c>
      <c r="B80" s="6">
        <f t="shared" si="1"/>
        <v>39.213100000000018</v>
      </c>
      <c r="C80" s="7" t="s">
        <v>171</v>
      </c>
      <c r="D80" s="7" t="s">
        <v>173</v>
      </c>
      <c r="E80" s="7" t="s">
        <v>826</v>
      </c>
      <c r="F80" s="8">
        <v>39.563170000000063</v>
      </c>
      <c r="G80" s="7" t="s">
        <v>684</v>
      </c>
      <c r="H80" s="7" t="s">
        <v>685</v>
      </c>
      <c r="I80" s="6">
        <v>680</v>
      </c>
      <c r="J80" s="6">
        <v>39213.10000000002</v>
      </c>
      <c r="K80" s="6">
        <v>209353.96000000008</v>
      </c>
    </row>
    <row r="81" spans="1:11" x14ac:dyDescent="0.25">
      <c r="A81" s="5" t="s">
        <v>823</v>
      </c>
      <c r="B81" s="6">
        <f t="shared" si="1"/>
        <v>39.893100000000018</v>
      </c>
      <c r="C81" s="7" t="s">
        <v>173</v>
      </c>
      <c r="D81" s="7" t="s">
        <v>175</v>
      </c>
      <c r="E81" s="7" t="s">
        <v>826</v>
      </c>
      <c r="F81" s="8">
        <v>40.025740000000063</v>
      </c>
      <c r="G81" s="7" t="s">
        <v>685</v>
      </c>
      <c r="H81" s="7" t="s">
        <v>686</v>
      </c>
      <c r="I81" s="6">
        <v>390</v>
      </c>
      <c r="J81" s="6">
        <v>39893.10000000002</v>
      </c>
      <c r="K81" s="6">
        <v>208673.96000000008</v>
      </c>
    </row>
    <row r="82" spans="1:11" x14ac:dyDescent="0.25">
      <c r="A82" s="5" t="s">
        <v>823</v>
      </c>
      <c r="B82" s="6">
        <f t="shared" si="1"/>
        <v>40.283100000000019</v>
      </c>
      <c r="C82" s="7" t="s">
        <v>175</v>
      </c>
      <c r="D82" s="7" t="s">
        <v>177</v>
      </c>
      <c r="E82" s="7" t="s">
        <v>826</v>
      </c>
      <c r="F82" s="8">
        <v>40.519780000000061</v>
      </c>
      <c r="G82" s="7" t="s">
        <v>686</v>
      </c>
      <c r="H82" s="7" t="s">
        <v>687</v>
      </c>
      <c r="I82" s="6">
        <v>390.07</v>
      </c>
      <c r="J82" s="6">
        <v>40283.10000000002</v>
      </c>
      <c r="K82" s="6">
        <v>208283.96000000008</v>
      </c>
    </row>
    <row r="83" spans="1:11" x14ac:dyDescent="0.25">
      <c r="A83" s="5" t="s">
        <v>823</v>
      </c>
      <c r="B83" s="6">
        <f t="shared" si="1"/>
        <v>40.67317000000002</v>
      </c>
      <c r="C83" s="7" t="s">
        <v>177</v>
      </c>
      <c r="D83" s="7" t="s">
        <v>179</v>
      </c>
      <c r="E83" s="7" t="s">
        <v>826</v>
      </c>
      <c r="F83" s="8">
        <v>41.069780000000065</v>
      </c>
      <c r="G83" s="7" t="s">
        <v>687</v>
      </c>
      <c r="H83" s="7" t="s">
        <v>688</v>
      </c>
      <c r="I83" s="6">
        <v>674.8</v>
      </c>
      <c r="J83" s="6">
        <v>40673.17000000002</v>
      </c>
      <c r="K83" s="6">
        <v>207893.89000000007</v>
      </c>
    </row>
    <row r="84" spans="1:11" x14ac:dyDescent="0.25">
      <c r="A84" s="5" t="s">
        <v>823</v>
      </c>
      <c r="B84" s="6">
        <f t="shared" si="1"/>
        <v>41.347970000000025</v>
      </c>
      <c r="C84" s="7" t="s">
        <v>179</v>
      </c>
      <c r="D84" s="7" t="s">
        <v>181</v>
      </c>
      <c r="E84" s="7" t="s">
        <v>826</v>
      </c>
      <c r="F84" s="8">
        <v>41.679780000000065</v>
      </c>
      <c r="G84" s="7" t="s">
        <v>688</v>
      </c>
      <c r="H84" s="7" t="s">
        <v>689</v>
      </c>
      <c r="I84" s="6">
        <v>465</v>
      </c>
      <c r="J84" s="6">
        <v>41347.970000000023</v>
      </c>
      <c r="K84" s="6">
        <v>207219.09000000008</v>
      </c>
    </row>
    <row r="85" spans="1:11" x14ac:dyDescent="0.25">
      <c r="A85" s="5" t="s">
        <v>823</v>
      </c>
      <c r="B85" s="6">
        <f t="shared" si="1"/>
        <v>41.812970000000021</v>
      </c>
      <c r="C85" s="7" t="s">
        <v>181</v>
      </c>
      <c r="D85" s="7" t="s">
        <v>183</v>
      </c>
      <c r="E85" s="7" t="s">
        <v>827</v>
      </c>
      <c r="F85" s="8">
        <v>42.099780000000067</v>
      </c>
      <c r="G85" s="7" t="s">
        <v>689</v>
      </c>
      <c r="H85" s="7" t="s">
        <v>690</v>
      </c>
      <c r="I85" s="6">
        <v>580</v>
      </c>
      <c r="J85" s="6">
        <v>41812.970000000023</v>
      </c>
      <c r="K85" s="6">
        <v>206754.09000000008</v>
      </c>
    </row>
    <row r="86" spans="1:11" x14ac:dyDescent="0.25">
      <c r="A86" s="5" t="s">
        <v>823</v>
      </c>
      <c r="B86" s="6">
        <f t="shared" si="1"/>
        <v>42.39297000000002</v>
      </c>
      <c r="C86" s="7" t="s">
        <v>183</v>
      </c>
      <c r="D86" s="7" t="s">
        <v>272</v>
      </c>
      <c r="E86" s="7" t="s">
        <v>0</v>
      </c>
      <c r="F86" s="8">
        <v>42.565700000000064</v>
      </c>
      <c r="G86" s="7" t="s">
        <v>690</v>
      </c>
      <c r="H86" s="7" t="s">
        <v>691</v>
      </c>
      <c r="I86" s="6">
        <v>365</v>
      </c>
      <c r="J86" s="6">
        <v>42392.970000000023</v>
      </c>
      <c r="K86" s="6">
        <v>206174.09000000008</v>
      </c>
    </row>
    <row r="87" spans="1:11" x14ac:dyDescent="0.25">
      <c r="A87" s="5" t="s">
        <v>823</v>
      </c>
      <c r="B87" s="6">
        <f t="shared" si="1"/>
        <v>42.757970000000022</v>
      </c>
      <c r="C87" s="7" t="s">
        <v>272</v>
      </c>
      <c r="D87" s="7" t="s">
        <v>274</v>
      </c>
      <c r="E87" s="7" t="s">
        <v>0</v>
      </c>
      <c r="F87" s="8">
        <v>42.909780000000062</v>
      </c>
      <c r="G87" s="7" t="s">
        <v>691</v>
      </c>
      <c r="H87" s="7" t="s">
        <v>692</v>
      </c>
      <c r="I87" s="6">
        <v>519.6</v>
      </c>
      <c r="J87" s="6">
        <v>42757.970000000023</v>
      </c>
      <c r="K87" s="6">
        <v>205809.09000000008</v>
      </c>
    </row>
    <row r="88" spans="1:11" x14ac:dyDescent="0.25">
      <c r="A88" s="5" t="s">
        <v>823</v>
      </c>
      <c r="B88" s="6">
        <f t="shared" si="1"/>
        <v>43.277570000000019</v>
      </c>
      <c r="C88" s="7" t="s">
        <v>274</v>
      </c>
      <c r="D88" s="7" t="s">
        <v>276</v>
      </c>
      <c r="E88" s="7" t="s">
        <v>0</v>
      </c>
      <c r="F88" s="8">
        <v>43.239780000000067</v>
      </c>
      <c r="G88" s="7" t="s">
        <v>692</v>
      </c>
      <c r="H88" s="7" t="s">
        <v>693</v>
      </c>
      <c r="I88" s="6">
        <v>555.22</v>
      </c>
      <c r="J88" s="6">
        <v>43277.570000000022</v>
      </c>
      <c r="K88" s="6">
        <v>205289.49000000008</v>
      </c>
    </row>
    <row r="89" spans="1:11" x14ac:dyDescent="0.25">
      <c r="A89" s="5" t="s">
        <v>823</v>
      </c>
      <c r="B89" s="6">
        <f t="shared" si="1"/>
        <v>43.832790000000024</v>
      </c>
      <c r="C89" s="7" t="s">
        <v>276</v>
      </c>
      <c r="D89" s="7" t="s">
        <v>278</v>
      </c>
      <c r="E89" s="7" t="s">
        <v>0</v>
      </c>
      <c r="F89" s="8">
        <v>43.628280000000068</v>
      </c>
      <c r="G89" s="7" t="s">
        <v>693</v>
      </c>
      <c r="H89" s="7" t="s">
        <v>694</v>
      </c>
      <c r="I89" s="6">
        <v>365</v>
      </c>
      <c r="J89" s="6">
        <v>43832.790000000023</v>
      </c>
      <c r="K89" s="6">
        <v>204734.27000000008</v>
      </c>
    </row>
    <row r="90" spans="1:11" x14ac:dyDescent="0.25">
      <c r="A90" s="5" t="s">
        <v>823</v>
      </c>
      <c r="B90" s="6">
        <f t="shared" si="1"/>
        <v>44.197790000000026</v>
      </c>
      <c r="C90" s="7" t="s">
        <v>278</v>
      </c>
      <c r="D90" s="7" t="s">
        <v>280</v>
      </c>
      <c r="E90" s="7" t="s">
        <v>0</v>
      </c>
      <c r="F90" s="8">
        <v>44.214780000000061</v>
      </c>
      <c r="G90" s="7" t="s">
        <v>694</v>
      </c>
      <c r="H90" s="7" t="s">
        <v>695</v>
      </c>
      <c r="I90" s="6">
        <v>805</v>
      </c>
      <c r="J90" s="6">
        <v>44197.790000000023</v>
      </c>
      <c r="K90" s="6">
        <v>204369.27000000008</v>
      </c>
    </row>
    <row r="91" spans="1:11" x14ac:dyDescent="0.25">
      <c r="A91" s="5" t="s">
        <v>823</v>
      </c>
      <c r="B91" s="6">
        <f t="shared" si="1"/>
        <v>45.002790000000026</v>
      </c>
      <c r="C91" s="7" t="s">
        <v>280</v>
      </c>
      <c r="D91" s="7" t="s">
        <v>282</v>
      </c>
      <c r="E91" s="7" t="s">
        <v>0</v>
      </c>
      <c r="F91" s="8">
        <v>44.734780000000065</v>
      </c>
      <c r="G91" s="7" t="s">
        <v>695</v>
      </c>
      <c r="H91" s="7" t="s">
        <v>696</v>
      </c>
      <c r="I91" s="6">
        <v>334.19</v>
      </c>
      <c r="J91" s="6">
        <v>45002.790000000023</v>
      </c>
      <c r="K91" s="6">
        <v>203564.27000000008</v>
      </c>
    </row>
    <row r="92" spans="1:11" x14ac:dyDescent="0.25">
      <c r="A92" s="5" t="s">
        <v>823</v>
      </c>
      <c r="B92" s="6">
        <f t="shared" si="1"/>
        <v>45.336980000000025</v>
      </c>
      <c r="C92" s="7" t="s">
        <v>282</v>
      </c>
      <c r="D92" s="7" t="s">
        <v>284</v>
      </c>
      <c r="E92" s="7" t="s">
        <v>0</v>
      </c>
      <c r="F92" s="8">
        <v>45.319420000000065</v>
      </c>
      <c r="G92" s="7" t="s">
        <v>696</v>
      </c>
      <c r="H92" s="7" t="s">
        <v>188</v>
      </c>
      <c r="I92" s="6">
        <v>285.73</v>
      </c>
      <c r="J92" s="6">
        <v>45336.980000000025</v>
      </c>
      <c r="K92" s="6">
        <v>203230.08000000007</v>
      </c>
    </row>
    <row r="93" spans="1:11" x14ac:dyDescent="0.25">
      <c r="A93" s="5" t="s">
        <v>823</v>
      </c>
      <c r="B93" s="6">
        <f t="shared" si="1"/>
        <v>45.622710000000026</v>
      </c>
      <c r="C93" s="7" t="s">
        <v>284</v>
      </c>
      <c r="D93" s="7" t="s">
        <v>286</v>
      </c>
      <c r="E93" s="7" t="s">
        <v>0</v>
      </c>
      <c r="F93" s="8">
        <v>45.814760000000064</v>
      </c>
      <c r="G93" s="7" t="s">
        <v>188</v>
      </c>
      <c r="H93" s="7" t="s">
        <v>189</v>
      </c>
      <c r="I93" s="6">
        <v>1074.58</v>
      </c>
      <c r="J93" s="6">
        <v>45622.710000000028</v>
      </c>
      <c r="K93" s="6">
        <v>202944.35000000006</v>
      </c>
    </row>
    <row r="94" spans="1:11" x14ac:dyDescent="0.25">
      <c r="A94" s="5" t="s">
        <v>823</v>
      </c>
      <c r="B94" s="6">
        <f t="shared" si="1"/>
        <v>46.697290000000031</v>
      </c>
      <c r="C94" s="7" t="s">
        <v>286</v>
      </c>
      <c r="D94" s="7" t="s">
        <v>288</v>
      </c>
      <c r="E94" s="7" t="s">
        <v>0</v>
      </c>
      <c r="F94" s="8">
        <v>46.287760000000063</v>
      </c>
      <c r="G94" s="7" t="s">
        <v>189</v>
      </c>
      <c r="H94" s="7" t="s">
        <v>190</v>
      </c>
      <c r="I94" s="6">
        <v>363.66</v>
      </c>
      <c r="J94" s="6">
        <v>46697.29000000003</v>
      </c>
      <c r="K94" s="6">
        <v>201869.77000000008</v>
      </c>
    </row>
    <row r="95" spans="1:11" x14ac:dyDescent="0.25">
      <c r="A95" s="5" t="s">
        <v>823</v>
      </c>
      <c r="B95" s="6">
        <f t="shared" si="1"/>
        <v>47.060950000000034</v>
      </c>
      <c r="C95" s="7" t="s">
        <v>288</v>
      </c>
      <c r="D95" s="7" t="s">
        <v>290</v>
      </c>
      <c r="E95" s="7" t="s">
        <v>0</v>
      </c>
      <c r="F95" s="8">
        <v>46.639730000000064</v>
      </c>
      <c r="G95" s="7" t="s">
        <v>190</v>
      </c>
      <c r="H95" s="7" t="s">
        <v>191</v>
      </c>
      <c r="I95" s="6">
        <v>559.91999999999996</v>
      </c>
      <c r="J95" s="6">
        <v>47060.950000000033</v>
      </c>
      <c r="K95" s="6">
        <v>201506.11000000007</v>
      </c>
    </row>
    <row r="96" spans="1:11" x14ac:dyDescent="0.25">
      <c r="A96" s="5" t="s">
        <v>823</v>
      </c>
      <c r="B96" s="6">
        <f t="shared" si="1"/>
        <v>47.620870000000032</v>
      </c>
      <c r="C96" s="7" t="s">
        <v>290</v>
      </c>
      <c r="D96" s="7" t="s">
        <v>292</v>
      </c>
      <c r="E96" s="7" t="s">
        <v>0</v>
      </c>
      <c r="F96" s="8">
        <v>47.174020000000063</v>
      </c>
      <c r="G96" s="7" t="s">
        <v>191</v>
      </c>
      <c r="H96" s="7" t="s">
        <v>192</v>
      </c>
      <c r="I96" s="6">
        <v>905</v>
      </c>
      <c r="J96" s="6">
        <v>47620.870000000032</v>
      </c>
      <c r="K96" s="6">
        <v>200946.19000000006</v>
      </c>
    </row>
    <row r="97" spans="1:11" x14ac:dyDescent="0.25">
      <c r="A97" s="5" t="s">
        <v>823</v>
      </c>
      <c r="B97" s="6">
        <f t="shared" si="1"/>
        <v>48.525870000000033</v>
      </c>
      <c r="C97" s="7" t="s">
        <v>292</v>
      </c>
      <c r="D97" s="7" t="s">
        <v>294</v>
      </c>
      <c r="E97" s="7" t="s">
        <v>0</v>
      </c>
      <c r="F97" s="8">
        <v>47.601810000000064</v>
      </c>
      <c r="G97" s="7" t="s">
        <v>192</v>
      </c>
      <c r="H97" s="7" t="s">
        <v>193</v>
      </c>
      <c r="I97" s="6">
        <v>520.22</v>
      </c>
      <c r="J97" s="6">
        <v>48525.870000000032</v>
      </c>
      <c r="K97" s="6">
        <v>200041.19000000006</v>
      </c>
    </row>
    <row r="98" spans="1:11" x14ac:dyDescent="0.25">
      <c r="A98" s="5" t="s">
        <v>823</v>
      </c>
      <c r="B98" s="6">
        <f t="shared" si="1"/>
        <v>49.046090000000035</v>
      </c>
      <c r="C98" s="7" t="s">
        <v>294</v>
      </c>
      <c r="D98" s="7" t="s">
        <v>296</v>
      </c>
      <c r="E98" s="7" t="s">
        <v>0</v>
      </c>
      <c r="F98" s="8">
        <v>48.239730000000058</v>
      </c>
      <c r="G98" s="7" t="s">
        <v>193</v>
      </c>
      <c r="H98" s="7" t="s">
        <v>194</v>
      </c>
      <c r="I98" s="6">
        <v>244.72</v>
      </c>
      <c r="J98" s="6">
        <v>49046.090000000033</v>
      </c>
      <c r="K98" s="6">
        <v>199520.97000000006</v>
      </c>
    </row>
    <row r="99" spans="1:11" x14ac:dyDescent="0.25">
      <c r="A99" s="5" t="s">
        <v>823</v>
      </c>
      <c r="B99" s="6">
        <f t="shared" si="1"/>
        <v>49.290810000000036</v>
      </c>
      <c r="C99" s="7" t="s">
        <v>296</v>
      </c>
      <c r="D99" s="7" t="s">
        <v>298</v>
      </c>
      <c r="E99" s="7" t="s">
        <v>0</v>
      </c>
      <c r="F99" s="8">
        <v>48.799730000000061</v>
      </c>
      <c r="G99" s="7" t="s">
        <v>194</v>
      </c>
      <c r="H99" s="7" t="s">
        <v>195</v>
      </c>
      <c r="I99" s="6">
        <v>555</v>
      </c>
      <c r="J99" s="6">
        <v>49290.810000000034</v>
      </c>
      <c r="K99" s="6">
        <v>199276.25000000006</v>
      </c>
    </row>
    <row r="100" spans="1:11" x14ac:dyDescent="0.25">
      <c r="A100" s="5" t="s">
        <v>823</v>
      </c>
      <c r="B100" s="6">
        <f t="shared" si="1"/>
        <v>49.845810000000036</v>
      </c>
      <c r="C100" s="7" t="s">
        <v>298</v>
      </c>
      <c r="D100" s="7" t="s">
        <v>300</v>
      </c>
      <c r="E100" s="7" t="s">
        <v>0</v>
      </c>
      <c r="F100" s="8">
        <v>49.756970000000059</v>
      </c>
      <c r="G100" s="7" t="s">
        <v>195</v>
      </c>
      <c r="H100" s="7" t="s">
        <v>196</v>
      </c>
      <c r="I100" s="6">
        <v>765</v>
      </c>
      <c r="J100" s="6">
        <v>49845.810000000034</v>
      </c>
      <c r="K100" s="6">
        <v>198721.25000000006</v>
      </c>
    </row>
    <row r="101" spans="1:11" x14ac:dyDescent="0.25">
      <c r="A101" s="5" t="s">
        <v>823</v>
      </c>
      <c r="B101" s="6">
        <f t="shared" si="1"/>
        <v>50.610810000000036</v>
      </c>
      <c r="C101" s="7" t="s">
        <v>300</v>
      </c>
      <c r="D101" s="7" t="s">
        <v>302</v>
      </c>
      <c r="E101" s="7" t="s">
        <v>0</v>
      </c>
      <c r="F101" s="8">
        <v>50.389730000000064</v>
      </c>
      <c r="G101" s="7" t="s">
        <v>196</v>
      </c>
      <c r="H101" s="7" t="s">
        <v>197</v>
      </c>
      <c r="I101" s="6">
        <v>910</v>
      </c>
      <c r="J101" s="6">
        <v>50610.810000000034</v>
      </c>
      <c r="K101" s="6">
        <v>197956.25000000006</v>
      </c>
    </row>
    <row r="102" spans="1:11" x14ac:dyDescent="0.25">
      <c r="A102" s="5" t="s">
        <v>823</v>
      </c>
      <c r="B102" s="6">
        <f t="shared" si="1"/>
        <v>51.520810000000033</v>
      </c>
      <c r="C102" s="7" t="s">
        <v>302</v>
      </c>
      <c r="D102" s="7" t="s">
        <v>304</v>
      </c>
      <c r="E102" s="7" t="s">
        <v>0</v>
      </c>
      <c r="F102" s="8">
        <v>51.014730000000064</v>
      </c>
      <c r="G102" s="7" t="s">
        <v>197</v>
      </c>
      <c r="H102" s="7" t="s">
        <v>198</v>
      </c>
      <c r="I102" s="6">
        <v>410</v>
      </c>
      <c r="J102" s="6">
        <v>51520.810000000034</v>
      </c>
      <c r="K102" s="6">
        <v>197046.25000000006</v>
      </c>
    </row>
    <row r="103" spans="1:11" x14ac:dyDescent="0.25">
      <c r="A103" s="5" t="s">
        <v>823</v>
      </c>
      <c r="B103" s="6">
        <f t="shared" si="1"/>
        <v>51.930810000000037</v>
      </c>
      <c r="C103" s="7" t="s">
        <v>304</v>
      </c>
      <c r="D103" s="7" t="s">
        <v>306</v>
      </c>
      <c r="E103" s="7" t="s">
        <v>0</v>
      </c>
      <c r="F103" s="8">
        <v>51.324730000000059</v>
      </c>
      <c r="G103" s="7" t="s">
        <v>198</v>
      </c>
      <c r="H103" s="7" t="s">
        <v>199</v>
      </c>
      <c r="I103" s="6">
        <v>811.21</v>
      </c>
      <c r="J103" s="6">
        <v>51930.810000000034</v>
      </c>
      <c r="K103" s="6">
        <v>196636.25000000006</v>
      </c>
    </row>
    <row r="104" spans="1:11" x14ac:dyDescent="0.25">
      <c r="A104" s="5" t="s">
        <v>823</v>
      </c>
      <c r="B104" s="6">
        <f t="shared" si="1"/>
        <v>52.742020000000032</v>
      </c>
      <c r="C104" s="7" t="s">
        <v>306</v>
      </c>
      <c r="D104" s="7" t="s">
        <v>308</v>
      </c>
      <c r="E104" s="7" t="s">
        <v>0</v>
      </c>
      <c r="F104" s="8">
        <v>51.866100000000067</v>
      </c>
      <c r="G104" s="7" t="s">
        <v>199</v>
      </c>
      <c r="H104" s="7" t="s">
        <v>200</v>
      </c>
      <c r="I104" s="6">
        <v>973.91</v>
      </c>
      <c r="J104" s="6">
        <v>52742.020000000033</v>
      </c>
      <c r="K104" s="6">
        <v>195825.04000000007</v>
      </c>
    </row>
    <row r="105" spans="1:11" x14ac:dyDescent="0.25">
      <c r="A105" s="5" t="s">
        <v>823</v>
      </c>
      <c r="B105" s="6">
        <f t="shared" si="1"/>
        <v>53.715930000000036</v>
      </c>
      <c r="C105" s="7" t="s">
        <v>308</v>
      </c>
      <c r="D105" s="7" t="s">
        <v>310</v>
      </c>
      <c r="E105" s="7" t="s">
        <v>0</v>
      </c>
      <c r="F105" s="8">
        <v>52.306100000000065</v>
      </c>
      <c r="G105" s="7" t="s">
        <v>200</v>
      </c>
      <c r="H105" s="7" t="s">
        <v>201</v>
      </c>
      <c r="I105" s="6">
        <v>569.66999999999996</v>
      </c>
      <c r="J105" s="6">
        <v>53715.930000000037</v>
      </c>
      <c r="K105" s="6">
        <v>194851.13000000006</v>
      </c>
    </row>
    <row r="106" spans="1:11" x14ac:dyDescent="0.25">
      <c r="A106" s="5" t="s">
        <v>823</v>
      </c>
      <c r="B106" s="6">
        <f t="shared" si="1"/>
        <v>54.285600000000038</v>
      </c>
      <c r="C106" s="7" t="s">
        <v>310</v>
      </c>
      <c r="D106" s="7" t="s">
        <v>312</v>
      </c>
      <c r="E106" s="7" t="s">
        <v>0</v>
      </c>
      <c r="F106" s="8">
        <v>52.731100000000062</v>
      </c>
      <c r="G106" s="7" t="s">
        <v>201</v>
      </c>
      <c r="H106" s="7" t="s">
        <v>202</v>
      </c>
      <c r="I106" s="6">
        <v>500.35</v>
      </c>
      <c r="J106" s="6">
        <v>54285.600000000035</v>
      </c>
      <c r="K106" s="6">
        <v>194281.46000000005</v>
      </c>
    </row>
    <row r="107" spans="1:11" x14ac:dyDescent="0.25">
      <c r="A107" s="5" t="s">
        <v>823</v>
      </c>
      <c r="B107" s="6">
        <f t="shared" si="1"/>
        <v>54.785950000000035</v>
      </c>
      <c r="C107" s="7" t="s">
        <v>312</v>
      </c>
      <c r="D107" s="7" t="s">
        <v>314</v>
      </c>
      <c r="E107" s="7" t="s">
        <v>0</v>
      </c>
      <c r="F107" s="8">
        <v>53.126100000000065</v>
      </c>
      <c r="G107" s="7" t="s">
        <v>202</v>
      </c>
      <c r="H107" s="7" t="s">
        <v>203</v>
      </c>
      <c r="I107" s="6">
        <v>630</v>
      </c>
      <c r="J107" s="6">
        <v>54785.950000000033</v>
      </c>
      <c r="K107" s="6">
        <v>193781.11000000004</v>
      </c>
    </row>
    <row r="108" spans="1:11" x14ac:dyDescent="0.25">
      <c r="A108" s="5" t="s">
        <v>823</v>
      </c>
      <c r="B108" s="6">
        <f t="shared" si="1"/>
        <v>55.415950000000031</v>
      </c>
      <c r="C108" s="7" t="s">
        <v>314</v>
      </c>
      <c r="D108" s="7" t="s">
        <v>316</v>
      </c>
      <c r="E108" s="7" t="s">
        <v>0</v>
      </c>
      <c r="F108" s="8">
        <v>53.543100000000067</v>
      </c>
      <c r="G108" s="7" t="s">
        <v>203</v>
      </c>
      <c r="H108" s="7" t="s">
        <v>204</v>
      </c>
      <c r="I108" s="6">
        <v>430</v>
      </c>
      <c r="J108" s="6">
        <v>55415.950000000033</v>
      </c>
      <c r="K108" s="6">
        <v>193151.11000000004</v>
      </c>
    </row>
    <row r="109" spans="1:11" x14ac:dyDescent="0.25">
      <c r="A109" s="5" t="s">
        <v>823</v>
      </c>
      <c r="B109" s="6">
        <f t="shared" si="1"/>
        <v>55.84595000000003</v>
      </c>
      <c r="C109" s="7" t="s">
        <v>316</v>
      </c>
      <c r="D109" s="7" t="s">
        <v>318</v>
      </c>
      <c r="E109" s="7" t="s">
        <v>0</v>
      </c>
      <c r="F109" s="8">
        <v>54.104100000000066</v>
      </c>
      <c r="G109" s="7" t="s">
        <v>204</v>
      </c>
      <c r="H109" s="7" t="s">
        <v>205</v>
      </c>
      <c r="I109" s="6">
        <v>585</v>
      </c>
      <c r="J109" s="6">
        <v>55845.950000000033</v>
      </c>
      <c r="K109" s="6">
        <v>192721.11000000004</v>
      </c>
    </row>
    <row r="110" spans="1:11" x14ac:dyDescent="0.25">
      <c r="A110" s="5" t="s">
        <v>823</v>
      </c>
      <c r="B110" s="6">
        <f t="shared" si="1"/>
        <v>56.430950000000031</v>
      </c>
      <c r="C110" s="7" t="s">
        <v>318</v>
      </c>
      <c r="D110" s="7" t="s">
        <v>320</v>
      </c>
      <c r="E110" s="7" t="s">
        <v>0</v>
      </c>
      <c r="F110" s="8">
        <v>54.456100000000063</v>
      </c>
      <c r="G110" s="7" t="s">
        <v>205</v>
      </c>
      <c r="H110" s="7" t="s">
        <v>206</v>
      </c>
      <c r="I110" s="6">
        <v>410</v>
      </c>
      <c r="J110" s="6">
        <v>56430.950000000033</v>
      </c>
      <c r="K110" s="6">
        <v>192136.11000000004</v>
      </c>
    </row>
    <row r="111" spans="1:11" x14ac:dyDescent="0.25">
      <c r="A111" s="5" t="s">
        <v>823</v>
      </c>
      <c r="B111" s="6">
        <f t="shared" si="1"/>
        <v>56.840950000000035</v>
      </c>
      <c r="C111" s="7" t="s">
        <v>320</v>
      </c>
      <c r="D111" s="7" t="s">
        <v>322</v>
      </c>
      <c r="E111" s="7" t="s">
        <v>0</v>
      </c>
      <c r="F111" s="8">
        <v>54.981100000000062</v>
      </c>
      <c r="G111" s="7" t="s">
        <v>206</v>
      </c>
      <c r="H111" s="7" t="s">
        <v>207</v>
      </c>
      <c r="I111" s="6">
        <v>590</v>
      </c>
      <c r="J111" s="6">
        <v>56840.950000000033</v>
      </c>
      <c r="K111" s="6">
        <v>191726.11000000004</v>
      </c>
    </row>
    <row r="112" spans="1:11" x14ac:dyDescent="0.25">
      <c r="A112" s="5" t="s">
        <v>823</v>
      </c>
      <c r="B112" s="6">
        <f t="shared" si="1"/>
        <v>57.430950000000031</v>
      </c>
      <c r="C112" s="7" t="s">
        <v>322</v>
      </c>
      <c r="D112" s="7" t="s">
        <v>324</v>
      </c>
      <c r="E112" s="7" t="s">
        <v>0</v>
      </c>
      <c r="F112" s="8">
        <v>55.496100000000062</v>
      </c>
      <c r="G112" s="7" t="s">
        <v>207</v>
      </c>
      <c r="H112" s="7" t="s">
        <v>208</v>
      </c>
      <c r="I112" s="6">
        <v>430</v>
      </c>
      <c r="J112" s="6">
        <v>57430.950000000033</v>
      </c>
      <c r="K112" s="6">
        <v>191136.11000000004</v>
      </c>
    </row>
    <row r="113" spans="1:11" x14ac:dyDescent="0.25">
      <c r="A113" s="5" t="s">
        <v>823</v>
      </c>
      <c r="B113" s="6">
        <f t="shared" si="1"/>
        <v>57.860950000000031</v>
      </c>
      <c r="C113" s="7" t="s">
        <v>324</v>
      </c>
      <c r="D113" s="7" t="s">
        <v>326</v>
      </c>
      <c r="E113" s="7" t="s">
        <v>0</v>
      </c>
      <c r="F113" s="8">
        <v>55.911100000000062</v>
      </c>
      <c r="G113" s="7" t="s">
        <v>208</v>
      </c>
      <c r="H113" s="7" t="s">
        <v>209</v>
      </c>
      <c r="I113" s="6">
        <v>574.38</v>
      </c>
      <c r="J113" s="6">
        <v>57860.950000000033</v>
      </c>
      <c r="K113" s="6">
        <v>190706.11000000004</v>
      </c>
    </row>
    <row r="114" spans="1:11" x14ac:dyDescent="0.25">
      <c r="A114" s="5" t="s">
        <v>823</v>
      </c>
      <c r="B114" s="6">
        <f t="shared" si="1"/>
        <v>58.435330000000029</v>
      </c>
      <c r="C114" s="7" t="s">
        <v>326</v>
      </c>
      <c r="D114" s="7" t="s">
        <v>328</v>
      </c>
      <c r="E114" s="7" t="s">
        <v>0</v>
      </c>
      <c r="F114" s="8">
        <v>56.268970000000067</v>
      </c>
      <c r="G114" s="7" t="s">
        <v>209</v>
      </c>
      <c r="H114" s="7" t="s">
        <v>210</v>
      </c>
      <c r="I114" s="6">
        <v>353.45</v>
      </c>
      <c r="J114" s="6">
        <v>58435.330000000031</v>
      </c>
      <c r="K114" s="6">
        <v>190131.73000000004</v>
      </c>
    </row>
    <row r="115" spans="1:11" x14ac:dyDescent="0.25">
      <c r="A115" s="5" t="s">
        <v>823</v>
      </c>
      <c r="B115" s="6">
        <f t="shared" si="1"/>
        <v>58.788780000000031</v>
      </c>
      <c r="C115" s="7" t="s">
        <v>328</v>
      </c>
      <c r="D115" s="7" t="s">
        <v>330</v>
      </c>
      <c r="E115" s="7" t="s">
        <v>0</v>
      </c>
      <c r="F115" s="8">
        <v>56.711640000000067</v>
      </c>
      <c r="G115" s="7" t="s">
        <v>210</v>
      </c>
      <c r="H115" s="7" t="s">
        <v>211</v>
      </c>
      <c r="I115" s="6">
        <v>589.79</v>
      </c>
      <c r="J115" s="6">
        <v>58788.780000000028</v>
      </c>
      <c r="K115" s="6">
        <v>189778.28000000003</v>
      </c>
    </row>
    <row r="116" spans="1:11" x14ac:dyDescent="0.25">
      <c r="A116" s="5" t="s">
        <v>823</v>
      </c>
      <c r="B116" s="6">
        <f t="shared" si="1"/>
        <v>59.378570000000032</v>
      </c>
      <c r="C116" s="7" t="s">
        <v>330</v>
      </c>
      <c r="D116" s="7" t="s">
        <v>332</v>
      </c>
      <c r="E116" s="7" t="s">
        <v>0</v>
      </c>
      <c r="F116" s="8">
        <v>57.315470000000069</v>
      </c>
      <c r="G116" s="7" t="s">
        <v>211</v>
      </c>
      <c r="H116" s="7" t="s">
        <v>212</v>
      </c>
      <c r="I116" s="6">
        <v>619.94000000000005</v>
      </c>
      <c r="J116" s="6">
        <v>59378.570000000029</v>
      </c>
      <c r="K116" s="6">
        <v>189188.49000000002</v>
      </c>
    </row>
    <row r="117" spans="1:11" x14ac:dyDescent="0.25">
      <c r="A117" s="5" t="s">
        <v>823</v>
      </c>
      <c r="B117" s="6">
        <f t="shared" si="1"/>
        <v>59.998510000000032</v>
      </c>
      <c r="C117" s="7" t="s">
        <v>332</v>
      </c>
      <c r="D117" s="7" t="s">
        <v>334</v>
      </c>
      <c r="E117" s="7" t="s">
        <v>0</v>
      </c>
      <c r="F117" s="8">
        <v>57.786100000000062</v>
      </c>
      <c r="G117" s="7" t="s">
        <v>212</v>
      </c>
      <c r="H117" s="7" t="s">
        <v>213</v>
      </c>
      <c r="I117" s="6">
        <v>559.54999999999995</v>
      </c>
      <c r="J117" s="6">
        <v>59998.510000000031</v>
      </c>
      <c r="K117" s="6">
        <v>188568.55000000002</v>
      </c>
    </row>
    <row r="118" spans="1:11" x14ac:dyDescent="0.25">
      <c r="A118" s="5" t="s">
        <v>823</v>
      </c>
      <c r="B118" s="6">
        <f t="shared" si="1"/>
        <v>60.558060000000033</v>
      </c>
      <c r="C118" s="7" t="s">
        <v>334</v>
      </c>
      <c r="D118" s="7" t="s">
        <v>336</v>
      </c>
      <c r="E118" s="7" t="s">
        <v>0</v>
      </c>
      <c r="F118" s="8">
        <v>58.366100000000067</v>
      </c>
      <c r="G118" s="7" t="s">
        <v>213</v>
      </c>
      <c r="H118" s="7" t="s">
        <v>214</v>
      </c>
      <c r="I118" s="6">
        <v>641.04</v>
      </c>
      <c r="J118" s="6">
        <v>60558.060000000034</v>
      </c>
      <c r="K118" s="6">
        <v>188009.00000000003</v>
      </c>
    </row>
    <row r="119" spans="1:11" x14ac:dyDescent="0.25">
      <c r="A119" s="5" t="s">
        <v>823</v>
      </c>
      <c r="B119" s="6">
        <f t="shared" si="1"/>
        <v>61.199100000000037</v>
      </c>
      <c r="C119" s="7" t="s">
        <v>336</v>
      </c>
      <c r="D119" s="7" t="s">
        <v>338</v>
      </c>
      <c r="E119" s="7" t="s">
        <v>0</v>
      </c>
      <c r="F119" s="8">
        <v>58.821100000000065</v>
      </c>
      <c r="G119" s="7" t="s">
        <v>214</v>
      </c>
      <c r="H119" s="7" t="s">
        <v>215</v>
      </c>
      <c r="I119" s="6">
        <v>524.73</v>
      </c>
      <c r="J119" s="6">
        <v>61199.100000000035</v>
      </c>
      <c r="K119" s="6">
        <v>187367.96000000002</v>
      </c>
    </row>
    <row r="120" spans="1:11" x14ac:dyDescent="0.25">
      <c r="A120" s="5" t="s">
        <v>823</v>
      </c>
      <c r="B120" s="6">
        <f t="shared" si="1"/>
        <v>61.723830000000035</v>
      </c>
      <c r="C120" s="7" t="s">
        <v>338</v>
      </c>
      <c r="D120" s="7" t="s">
        <v>340</v>
      </c>
      <c r="E120" s="7" t="s">
        <v>0</v>
      </c>
      <c r="F120" s="8">
        <v>59.276100000000064</v>
      </c>
      <c r="G120" s="7" t="s">
        <v>215</v>
      </c>
      <c r="H120" s="7" t="s">
        <v>216</v>
      </c>
      <c r="I120" s="6">
        <v>610.17999999999995</v>
      </c>
      <c r="J120" s="6">
        <v>61723.830000000038</v>
      </c>
      <c r="K120" s="6">
        <v>186843.23</v>
      </c>
    </row>
    <row r="121" spans="1:11" x14ac:dyDescent="0.25">
      <c r="A121" s="5" t="s">
        <v>823</v>
      </c>
      <c r="B121" s="6">
        <f t="shared" si="1"/>
        <v>62.334010000000042</v>
      </c>
      <c r="C121" s="7" t="s">
        <v>340</v>
      </c>
      <c r="D121" s="7" t="s">
        <v>342</v>
      </c>
      <c r="E121" s="7" t="s">
        <v>0</v>
      </c>
      <c r="F121" s="8">
        <v>59.616100000000067</v>
      </c>
      <c r="G121" s="7" t="s">
        <v>216</v>
      </c>
      <c r="H121" s="7" t="s">
        <v>217</v>
      </c>
      <c r="I121" s="6">
        <v>534.91999999999996</v>
      </c>
      <c r="J121" s="6">
        <v>62334.010000000038</v>
      </c>
      <c r="K121" s="6">
        <v>186233.05000000002</v>
      </c>
    </row>
    <row r="122" spans="1:11" x14ac:dyDescent="0.25">
      <c r="A122" s="5" t="s">
        <v>823</v>
      </c>
      <c r="B122" s="6">
        <f t="shared" si="1"/>
        <v>62.868930000000034</v>
      </c>
      <c r="C122" s="7" t="s">
        <v>342</v>
      </c>
      <c r="D122" s="7" t="s">
        <v>344</v>
      </c>
      <c r="E122" s="7" t="s">
        <v>0</v>
      </c>
      <c r="F122" s="8">
        <v>60.146100000000061</v>
      </c>
      <c r="G122" s="7" t="s">
        <v>217</v>
      </c>
      <c r="H122" s="7" t="s">
        <v>218</v>
      </c>
      <c r="I122" s="6">
        <v>449.91</v>
      </c>
      <c r="J122" s="6">
        <v>62868.930000000037</v>
      </c>
      <c r="K122" s="6">
        <v>185698.13</v>
      </c>
    </row>
    <row r="123" spans="1:11" x14ac:dyDescent="0.25">
      <c r="A123" s="5" t="s">
        <v>823</v>
      </c>
      <c r="B123" s="6">
        <f t="shared" si="1"/>
        <v>63.318840000000037</v>
      </c>
      <c r="C123" s="7" t="s">
        <v>344</v>
      </c>
      <c r="D123" s="7" t="s">
        <v>346</v>
      </c>
      <c r="E123" s="7" t="s">
        <v>0</v>
      </c>
      <c r="F123" s="8">
        <v>60.621100000000062</v>
      </c>
      <c r="G123" s="7" t="s">
        <v>218</v>
      </c>
      <c r="H123" s="7" t="s">
        <v>219</v>
      </c>
      <c r="I123" s="6">
        <v>494.87</v>
      </c>
      <c r="J123" s="6">
        <v>63318.84000000004</v>
      </c>
      <c r="K123" s="6">
        <v>185248.22</v>
      </c>
    </row>
    <row r="124" spans="1:11" x14ac:dyDescent="0.25">
      <c r="A124" s="5" t="s">
        <v>823</v>
      </c>
      <c r="B124" s="6">
        <f t="shared" si="1"/>
        <v>63.813710000000043</v>
      </c>
      <c r="C124" s="7" t="s">
        <v>346</v>
      </c>
      <c r="D124" s="7" t="s">
        <v>348</v>
      </c>
      <c r="E124" s="7" t="s">
        <v>0</v>
      </c>
      <c r="F124" s="8">
        <v>61.082780000000064</v>
      </c>
      <c r="G124" s="7" t="s">
        <v>219</v>
      </c>
      <c r="H124" s="7" t="s">
        <v>220</v>
      </c>
      <c r="I124" s="6">
        <v>564.91999999999996</v>
      </c>
      <c r="J124" s="6">
        <v>63813.710000000043</v>
      </c>
      <c r="K124" s="6">
        <v>184753.35</v>
      </c>
    </row>
    <row r="125" spans="1:11" x14ac:dyDescent="0.25">
      <c r="A125" s="5" t="s">
        <v>823</v>
      </c>
      <c r="B125" s="6">
        <f t="shared" si="1"/>
        <v>64.378630000000044</v>
      </c>
      <c r="C125" s="7" t="s">
        <v>348</v>
      </c>
      <c r="D125" s="7" t="s">
        <v>350</v>
      </c>
      <c r="E125" s="7" t="s">
        <v>0</v>
      </c>
      <c r="F125" s="8">
        <v>61.681100000000065</v>
      </c>
      <c r="G125" s="7" t="s">
        <v>220</v>
      </c>
      <c r="H125" s="7" t="s">
        <v>221</v>
      </c>
      <c r="I125" s="6">
        <v>500</v>
      </c>
      <c r="J125" s="6">
        <v>64378.630000000041</v>
      </c>
      <c r="K125" s="6">
        <v>184188.43</v>
      </c>
    </row>
    <row r="126" spans="1:11" x14ac:dyDescent="0.25">
      <c r="A126" s="5" t="s">
        <v>823</v>
      </c>
      <c r="B126" s="6">
        <f t="shared" si="1"/>
        <v>64.878630000000044</v>
      </c>
      <c r="C126" s="7" t="s">
        <v>350</v>
      </c>
      <c r="D126" s="7" t="s">
        <v>352</v>
      </c>
      <c r="E126" s="7" t="s">
        <v>0</v>
      </c>
      <c r="F126" s="8">
        <v>62.171100000000067</v>
      </c>
      <c r="G126" s="7" t="s">
        <v>221</v>
      </c>
      <c r="H126" s="7" t="s">
        <v>222</v>
      </c>
      <c r="I126" s="6">
        <v>549.96</v>
      </c>
      <c r="J126" s="6">
        <v>64878.630000000041</v>
      </c>
      <c r="K126" s="6">
        <v>183688.43</v>
      </c>
    </row>
    <row r="127" spans="1:11" x14ac:dyDescent="0.25">
      <c r="A127" s="5" t="s">
        <v>823</v>
      </c>
      <c r="B127" s="6">
        <f t="shared" si="1"/>
        <v>65.428590000000042</v>
      </c>
      <c r="C127" s="7" t="s">
        <v>352</v>
      </c>
      <c r="D127" s="7" t="s">
        <v>354</v>
      </c>
      <c r="E127" s="7" t="s">
        <v>0</v>
      </c>
      <c r="F127" s="8">
        <v>62.63430000000006</v>
      </c>
      <c r="G127" s="7" t="s">
        <v>222</v>
      </c>
      <c r="H127" s="7" t="s">
        <v>223</v>
      </c>
      <c r="I127" s="6">
        <v>450</v>
      </c>
      <c r="J127" s="6">
        <v>65428.59000000004</v>
      </c>
      <c r="K127" s="6">
        <v>183138.47</v>
      </c>
    </row>
    <row r="128" spans="1:11" x14ac:dyDescent="0.25">
      <c r="A128" s="5" t="s">
        <v>823</v>
      </c>
      <c r="B128" s="6">
        <f t="shared" si="1"/>
        <v>65.878590000000045</v>
      </c>
      <c r="C128" s="7" t="s">
        <v>354</v>
      </c>
      <c r="D128" s="7" t="s">
        <v>356</v>
      </c>
      <c r="E128" s="7" t="s">
        <v>0</v>
      </c>
      <c r="F128" s="8">
        <v>63.024300000000061</v>
      </c>
      <c r="G128" s="7" t="s">
        <v>223</v>
      </c>
      <c r="H128" s="7" t="s">
        <v>224</v>
      </c>
      <c r="I128" s="6">
        <v>530</v>
      </c>
      <c r="J128" s="6">
        <v>65878.59000000004</v>
      </c>
      <c r="K128" s="6">
        <v>182688.47</v>
      </c>
    </row>
    <row r="129" spans="1:11" x14ac:dyDescent="0.25">
      <c r="A129" s="5" t="s">
        <v>823</v>
      </c>
      <c r="B129" s="6">
        <f t="shared" si="1"/>
        <v>66.408590000000046</v>
      </c>
      <c r="C129" s="7" t="s">
        <v>356</v>
      </c>
      <c r="D129" s="7" t="s">
        <v>358</v>
      </c>
      <c r="E129" s="7" t="s">
        <v>0</v>
      </c>
      <c r="F129" s="8">
        <v>63.364300000000064</v>
      </c>
      <c r="G129" s="7" t="s">
        <v>224</v>
      </c>
      <c r="H129" s="7" t="s">
        <v>225</v>
      </c>
      <c r="I129" s="6">
        <v>664.9</v>
      </c>
      <c r="J129" s="6">
        <v>66408.59000000004</v>
      </c>
      <c r="K129" s="6">
        <v>182158.47</v>
      </c>
    </row>
    <row r="130" spans="1:11" x14ac:dyDescent="0.25">
      <c r="A130" s="5" t="s">
        <v>823</v>
      </c>
      <c r="B130" s="6">
        <f t="shared" si="1"/>
        <v>67.073490000000035</v>
      </c>
      <c r="C130" s="7" t="s">
        <v>358</v>
      </c>
      <c r="D130" s="7" t="s">
        <v>360</v>
      </c>
      <c r="E130" s="7" t="s">
        <v>0</v>
      </c>
      <c r="F130" s="8">
        <v>63.861300000000064</v>
      </c>
      <c r="G130" s="7" t="s">
        <v>225</v>
      </c>
      <c r="H130" s="7" t="s">
        <v>226</v>
      </c>
      <c r="I130" s="6">
        <v>574.94000000000005</v>
      </c>
      <c r="J130" s="6">
        <v>67073.490000000034</v>
      </c>
      <c r="K130" s="6">
        <v>181493.57</v>
      </c>
    </row>
    <row r="131" spans="1:11" x14ac:dyDescent="0.25">
      <c r="A131" s="5" t="s">
        <v>823</v>
      </c>
      <c r="B131" s="6">
        <f t="shared" ref="B131:B194" si="2">J131/1000</f>
        <v>67.648430000000033</v>
      </c>
      <c r="C131" s="7" t="s">
        <v>360</v>
      </c>
      <c r="D131" s="7" t="s">
        <v>362</v>
      </c>
      <c r="E131" s="7" t="s">
        <v>0</v>
      </c>
      <c r="F131" s="8">
        <v>64.384300000000067</v>
      </c>
      <c r="G131" s="7" t="s">
        <v>226</v>
      </c>
      <c r="H131" s="7" t="s">
        <v>227</v>
      </c>
      <c r="I131" s="6">
        <v>619.88</v>
      </c>
      <c r="J131" s="6">
        <v>67648.430000000037</v>
      </c>
      <c r="K131" s="6">
        <v>180918.63</v>
      </c>
    </row>
    <row r="132" spans="1:11" x14ac:dyDescent="0.25">
      <c r="A132" s="5" t="s">
        <v>823</v>
      </c>
      <c r="B132" s="6">
        <f t="shared" si="2"/>
        <v>68.268310000000042</v>
      </c>
      <c r="C132" s="7" t="s">
        <v>362</v>
      </c>
      <c r="D132" s="7" t="s">
        <v>364</v>
      </c>
      <c r="E132" s="7" t="s">
        <v>0</v>
      </c>
      <c r="F132" s="8">
        <v>64.854300000000066</v>
      </c>
      <c r="G132" s="7" t="s">
        <v>227</v>
      </c>
      <c r="H132" s="7" t="s">
        <v>228</v>
      </c>
      <c r="I132" s="6">
        <v>480</v>
      </c>
      <c r="J132" s="6">
        <v>68268.310000000041</v>
      </c>
      <c r="K132" s="6">
        <v>180298.75</v>
      </c>
    </row>
    <row r="133" spans="1:11" x14ac:dyDescent="0.25">
      <c r="A133" s="5" t="s">
        <v>823</v>
      </c>
      <c r="B133" s="6">
        <f t="shared" si="2"/>
        <v>68.748310000000046</v>
      </c>
      <c r="C133" s="7" t="s">
        <v>364</v>
      </c>
      <c r="D133" s="7" t="s">
        <v>366</v>
      </c>
      <c r="E133" s="7" t="s">
        <v>0</v>
      </c>
      <c r="F133" s="8">
        <v>65.20430000000006</v>
      </c>
      <c r="G133" s="7" t="s">
        <v>228</v>
      </c>
      <c r="H133" s="7" t="s">
        <v>229</v>
      </c>
      <c r="I133" s="6">
        <v>479.94</v>
      </c>
      <c r="J133" s="6">
        <v>68748.310000000041</v>
      </c>
      <c r="K133" s="6">
        <v>179818.75</v>
      </c>
    </row>
    <row r="134" spans="1:11" x14ac:dyDescent="0.25">
      <c r="A134" s="5" t="s">
        <v>823</v>
      </c>
      <c r="B134" s="6">
        <f t="shared" si="2"/>
        <v>69.228250000000045</v>
      </c>
      <c r="C134" s="7" t="s">
        <v>366</v>
      </c>
      <c r="D134" s="7" t="s">
        <v>368</v>
      </c>
      <c r="E134" s="7" t="s">
        <v>0</v>
      </c>
      <c r="F134" s="8">
        <v>65.754300000000057</v>
      </c>
      <c r="G134" s="7" t="s">
        <v>229</v>
      </c>
      <c r="H134" s="7" t="s">
        <v>230</v>
      </c>
      <c r="I134" s="6">
        <v>507.55</v>
      </c>
      <c r="J134" s="6">
        <v>69228.250000000044</v>
      </c>
      <c r="K134" s="6">
        <v>179338.81</v>
      </c>
    </row>
    <row r="135" spans="1:11" x14ac:dyDescent="0.25">
      <c r="A135" s="5" t="s">
        <v>823</v>
      </c>
      <c r="B135" s="6">
        <f t="shared" si="2"/>
        <v>69.73580000000004</v>
      </c>
      <c r="C135" s="7" t="s">
        <v>368</v>
      </c>
      <c r="D135" s="7" t="s">
        <v>370</v>
      </c>
      <c r="E135" s="7" t="s">
        <v>0</v>
      </c>
      <c r="F135" s="8">
        <v>66.234300000000061</v>
      </c>
      <c r="G135" s="7" t="s">
        <v>230</v>
      </c>
      <c r="H135" s="7" t="s">
        <v>231</v>
      </c>
      <c r="I135" s="6">
        <v>620.45000000000005</v>
      </c>
      <c r="J135" s="6">
        <v>69735.800000000047</v>
      </c>
      <c r="K135" s="6">
        <v>178831.26</v>
      </c>
    </row>
    <row r="136" spans="1:11" x14ac:dyDescent="0.25">
      <c r="A136" s="5" t="s">
        <v>823</v>
      </c>
      <c r="B136" s="6">
        <f t="shared" si="2"/>
        <v>70.356250000000045</v>
      </c>
      <c r="C136" s="7" t="s">
        <v>370</v>
      </c>
      <c r="D136" s="7" t="s">
        <v>372</v>
      </c>
      <c r="E136" s="7" t="s">
        <v>0</v>
      </c>
      <c r="F136" s="8">
        <v>66.754300000000057</v>
      </c>
      <c r="G136" s="7" t="s">
        <v>231</v>
      </c>
      <c r="H136" s="7" t="s">
        <v>232</v>
      </c>
      <c r="I136" s="6">
        <v>572.51</v>
      </c>
      <c r="J136" s="6">
        <v>70356.250000000044</v>
      </c>
      <c r="K136" s="6">
        <v>178210.81</v>
      </c>
    </row>
    <row r="137" spans="1:11" x14ac:dyDescent="0.25">
      <c r="A137" s="5" t="s">
        <v>823</v>
      </c>
      <c r="B137" s="6">
        <f t="shared" si="2"/>
        <v>70.92876000000004</v>
      </c>
      <c r="C137" s="7" t="s">
        <v>372</v>
      </c>
      <c r="D137" s="7" t="s">
        <v>374</v>
      </c>
      <c r="E137" s="7" t="s">
        <v>0</v>
      </c>
      <c r="F137" s="8">
        <v>67.17175000000006</v>
      </c>
      <c r="G137" s="7" t="s">
        <v>232</v>
      </c>
      <c r="H137" s="7" t="s">
        <v>233</v>
      </c>
      <c r="I137" s="6">
        <v>535</v>
      </c>
      <c r="J137" s="6">
        <v>70928.760000000038</v>
      </c>
      <c r="K137" s="6">
        <v>177638.3</v>
      </c>
    </row>
    <row r="138" spans="1:11" x14ac:dyDescent="0.25">
      <c r="A138" s="5" t="s">
        <v>823</v>
      </c>
      <c r="B138" s="6">
        <f t="shared" si="2"/>
        <v>71.463760000000036</v>
      </c>
      <c r="C138" s="7" t="s">
        <v>374</v>
      </c>
      <c r="D138" s="7" t="s">
        <v>376</v>
      </c>
      <c r="E138" s="7" t="s">
        <v>0</v>
      </c>
      <c r="F138" s="8">
        <v>67.644300000000058</v>
      </c>
      <c r="G138" s="7" t="s">
        <v>233</v>
      </c>
      <c r="H138" s="7" t="s">
        <v>234</v>
      </c>
      <c r="I138" s="6">
        <v>420.64</v>
      </c>
      <c r="J138" s="6">
        <v>71463.760000000038</v>
      </c>
      <c r="K138" s="6">
        <v>177103.3</v>
      </c>
    </row>
    <row r="139" spans="1:11" x14ac:dyDescent="0.25">
      <c r="A139" s="5" t="s">
        <v>823</v>
      </c>
      <c r="B139" s="6">
        <f t="shared" si="2"/>
        <v>71.884400000000042</v>
      </c>
      <c r="C139" s="7" t="s">
        <v>376</v>
      </c>
      <c r="D139" s="7" t="s">
        <v>378</v>
      </c>
      <c r="E139" s="7" t="s">
        <v>0</v>
      </c>
      <c r="F139" s="8">
        <v>68.044300000000064</v>
      </c>
      <c r="G139" s="7" t="s">
        <v>234</v>
      </c>
      <c r="H139" s="7" t="s">
        <v>235</v>
      </c>
      <c r="I139" s="6">
        <v>569.9</v>
      </c>
      <c r="J139" s="6">
        <v>71884.400000000038</v>
      </c>
      <c r="K139" s="6">
        <v>176682.65999999997</v>
      </c>
    </row>
    <row r="140" spans="1:11" x14ac:dyDescent="0.25">
      <c r="A140" s="5" t="s">
        <v>823</v>
      </c>
      <c r="B140" s="6">
        <f t="shared" si="2"/>
        <v>72.454300000000032</v>
      </c>
      <c r="C140" s="7" t="s">
        <v>378</v>
      </c>
      <c r="D140" s="7" t="s">
        <v>380</v>
      </c>
      <c r="E140" s="7" t="s">
        <v>0</v>
      </c>
      <c r="F140" s="8">
        <v>68.514300000000063</v>
      </c>
      <c r="G140" s="7" t="s">
        <v>235</v>
      </c>
      <c r="H140" s="7" t="s">
        <v>236</v>
      </c>
      <c r="I140" s="6">
        <v>630.04</v>
      </c>
      <c r="J140" s="6">
        <v>72454.300000000032</v>
      </c>
      <c r="K140" s="6">
        <v>176112.75999999998</v>
      </c>
    </row>
    <row r="141" spans="1:11" x14ac:dyDescent="0.25">
      <c r="A141" s="5" t="s">
        <v>823</v>
      </c>
      <c r="B141" s="6">
        <f t="shared" si="2"/>
        <v>73.084340000000026</v>
      </c>
      <c r="C141" s="7" t="s">
        <v>380</v>
      </c>
      <c r="D141" s="7" t="s">
        <v>382</v>
      </c>
      <c r="E141" s="7" t="s">
        <v>0</v>
      </c>
      <c r="F141" s="8">
        <v>69.044300000000064</v>
      </c>
      <c r="G141" s="7" t="s">
        <v>236</v>
      </c>
      <c r="H141" s="7" t="s">
        <v>237</v>
      </c>
      <c r="I141" s="6">
        <v>370.2</v>
      </c>
      <c r="J141" s="6">
        <v>73084.340000000026</v>
      </c>
      <c r="K141" s="6">
        <v>175482.71999999997</v>
      </c>
    </row>
    <row r="142" spans="1:11" x14ac:dyDescent="0.25">
      <c r="A142" s="5" t="s">
        <v>823</v>
      </c>
      <c r="B142" s="6">
        <f t="shared" si="2"/>
        <v>73.454540000000023</v>
      </c>
      <c r="C142" s="7" t="s">
        <v>382</v>
      </c>
      <c r="D142" s="7" t="s">
        <v>384</v>
      </c>
      <c r="E142" s="7" t="s">
        <v>0</v>
      </c>
      <c r="F142" s="8">
        <v>69.45430000000006</v>
      </c>
      <c r="G142" s="7" t="s">
        <v>237</v>
      </c>
      <c r="H142" s="7" t="s">
        <v>238</v>
      </c>
      <c r="I142" s="6">
        <v>656.31</v>
      </c>
      <c r="J142" s="6">
        <v>73454.540000000023</v>
      </c>
      <c r="K142" s="6">
        <v>175112.51999999996</v>
      </c>
    </row>
    <row r="143" spans="1:11" x14ac:dyDescent="0.25">
      <c r="A143" s="5" t="s">
        <v>823</v>
      </c>
      <c r="B143" s="6">
        <f t="shared" si="2"/>
        <v>74.110850000000013</v>
      </c>
      <c r="C143" s="7" t="s">
        <v>384</v>
      </c>
      <c r="D143" s="7" t="s">
        <v>386</v>
      </c>
      <c r="E143" s="7" t="s">
        <v>0</v>
      </c>
      <c r="F143" s="8">
        <v>69.929300000000055</v>
      </c>
      <c r="G143" s="7" t="s">
        <v>238</v>
      </c>
      <c r="H143" s="7" t="s">
        <v>239</v>
      </c>
      <c r="I143" s="6">
        <v>657.35</v>
      </c>
      <c r="J143" s="6">
        <v>74110.85000000002</v>
      </c>
      <c r="K143" s="6">
        <v>174456.20999999996</v>
      </c>
    </row>
    <row r="144" spans="1:11" x14ac:dyDescent="0.25">
      <c r="A144" s="5" t="s">
        <v>823</v>
      </c>
      <c r="B144" s="6">
        <f t="shared" si="2"/>
        <v>74.768200000000022</v>
      </c>
      <c r="C144" s="7" t="s">
        <v>386</v>
      </c>
      <c r="D144" s="7" t="s">
        <v>388</v>
      </c>
      <c r="E144" s="7" t="s">
        <v>0</v>
      </c>
      <c r="F144" s="8">
        <v>70.424300000000059</v>
      </c>
      <c r="G144" s="7" t="s">
        <v>239</v>
      </c>
      <c r="H144" s="7" t="s">
        <v>240</v>
      </c>
      <c r="I144" s="6">
        <v>541.41999999999996</v>
      </c>
      <c r="J144" s="6">
        <v>74768.200000000026</v>
      </c>
      <c r="K144" s="6">
        <v>173798.85999999996</v>
      </c>
    </row>
    <row r="145" spans="1:11" x14ac:dyDescent="0.25">
      <c r="A145" s="5" t="s">
        <v>823</v>
      </c>
      <c r="B145" s="6">
        <f t="shared" si="2"/>
        <v>75.309620000000024</v>
      </c>
      <c r="C145" s="7" t="s">
        <v>388</v>
      </c>
      <c r="D145" s="7" t="s">
        <v>390</v>
      </c>
      <c r="E145" s="7" t="s">
        <v>0</v>
      </c>
      <c r="F145" s="8">
        <v>70.944300000000055</v>
      </c>
      <c r="G145" s="7" t="s">
        <v>240</v>
      </c>
      <c r="H145" s="7" t="s">
        <v>241</v>
      </c>
      <c r="I145" s="6">
        <v>286.5</v>
      </c>
      <c r="J145" s="6">
        <v>75309.620000000024</v>
      </c>
      <c r="K145" s="6">
        <v>173257.43999999994</v>
      </c>
    </row>
    <row r="146" spans="1:11" x14ac:dyDescent="0.25">
      <c r="A146" s="5" t="s">
        <v>823</v>
      </c>
      <c r="B146" s="6">
        <f t="shared" si="2"/>
        <v>75.596120000000028</v>
      </c>
      <c r="C146" s="7" t="s">
        <v>390</v>
      </c>
      <c r="D146" s="7" t="s">
        <v>392</v>
      </c>
      <c r="E146" s="7" t="s">
        <v>0</v>
      </c>
      <c r="F146" s="8">
        <v>71.474300000000056</v>
      </c>
      <c r="G146" s="7" t="s">
        <v>241</v>
      </c>
      <c r="H146" s="7" t="s">
        <v>242</v>
      </c>
      <c r="I146" s="6">
        <v>363.44</v>
      </c>
      <c r="J146" s="6">
        <v>75596.120000000024</v>
      </c>
      <c r="K146" s="6">
        <v>172970.93999999994</v>
      </c>
    </row>
    <row r="147" spans="1:11" x14ac:dyDescent="0.25">
      <c r="A147" s="5" t="s">
        <v>823</v>
      </c>
      <c r="B147" s="6">
        <f t="shared" si="2"/>
        <v>75.959560000000025</v>
      </c>
      <c r="C147" s="7" t="s">
        <v>392</v>
      </c>
      <c r="D147" s="7" t="s">
        <v>394</v>
      </c>
      <c r="E147" s="7" t="s">
        <v>0</v>
      </c>
      <c r="F147" s="8">
        <v>72.069300000000055</v>
      </c>
      <c r="G147" s="7" t="s">
        <v>242</v>
      </c>
      <c r="H147" s="7" t="s">
        <v>243</v>
      </c>
      <c r="I147" s="6">
        <v>384.98</v>
      </c>
      <c r="J147" s="6">
        <v>75959.560000000027</v>
      </c>
      <c r="K147" s="6">
        <v>172607.49999999994</v>
      </c>
    </row>
    <row r="148" spans="1:11" x14ac:dyDescent="0.25">
      <c r="A148" s="5" t="s">
        <v>823</v>
      </c>
      <c r="B148" s="6">
        <f t="shared" si="2"/>
        <v>76.344540000000023</v>
      </c>
      <c r="C148" s="7" t="s">
        <v>394</v>
      </c>
      <c r="D148" s="7" t="s">
        <v>396</v>
      </c>
      <c r="E148" s="7" t="s">
        <v>0</v>
      </c>
      <c r="F148" s="8">
        <v>72.569300000000055</v>
      </c>
      <c r="G148" s="7" t="s">
        <v>243</v>
      </c>
      <c r="H148" s="7" t="s">
        <v>244</v>
      </c>
      <c r="I148" s="6">
        <v>439.97</v>
      </c>
      <c r="J148" s="6">
        <v>76344.540000000023</v>
      </c>
      <c r="K148" s="6">
        <v>172222.51999999993</v>
      </c>
    </row>
    <row r="149" spans="1:11" x14ac:dyDescent="0.25">
      <c r="A149" s="5" t="s">
        <v>823</v>
      </c>
      <c r="B149" s="6">
        <f t="shared" si="2"/>
        <v>76.784510000000026</v>
      </c>
      <c r="C149" s="7" t="s">
        <v>396</v>
      </c>
      <c r="D149" s="7" t="s">
        <v>398</v>
      </c>
      <c r="E149" s="7" t="s">
        <v>0</v>
      </c>
      <c r="F149" s="8">
        <v>73.164300000000054</v>
      </c>
      <c r="G149" s="7" t="s">
        <v>244</v>
      </c>
      <c r="H149" s="7" t="s">
        <v>245</v>
      </c>
      <c r="I149" s="6">
        <v>404.93</v>
      </c>
      <c r="J149" s="6">
        <v>76784.510000000024</v>
      </c>
      <c r="K149" s="6">
        <v>171782.54999999993</v>
      </c>
    </row>
    <row r="150" spans="1:11" x14ac:dyDescent="0.25">
      <c r="A150" s="5" t="s">
        <v>823</v>
      </c>
      <c r="B150" s="6">
        <f t="shared" si="2"/>
        <v>77.189440000000019</v>
      </c>
      <c r="C150" s="7" t="s">
        <v>398</v>
      </c>
      <c r="D150" s="7" t="s">
        <v>400</v>
      </c>
      <c r="E150" s="7" t="s">
        <v>0</v>
      </c>
      <c r="F150" s="8">
        <v>73.634300000000067</v>
      </c>
      <c r="G150" s="7" t="s">
        <v>245</v>
      </c>
      <c r="H150" s="7" t="s">
        <v>246</v>
      </c>
      <c r="I150" s="6">
        <v>485.09</v>
      </c>
      <c r="J150" s="6">
        <v>77189.440000000017</v>
      </c>
      <c r="K150" s="6">
        <v>171377.61999999994</v>
      </c>
    </row>
    <row r="151" spans="1:11" x14ac:dyDescent="0.25">
      <c r="A151" s="5" t="s">
        <v>823</v>
      </c>
      <c r="B151" s="6">
        <f t="shared" si="2"/>
        <v>77.674530000000019</v>
      </c>
      <c r="C151" s="7" t="s">
        <v>400</v>
      </c>
      <c r="D151" s="7" t="s">
        <v>402</v>
      </c>
      <c r="E151" s="7" t="s">
        <v>0</v>
      </c>
      <c r="F151" s="8">
        <v>74.089300000000065</v>
      </c>
      <c r="G151" s="7" t="s">
        <v>246</v>
      </c>
      <c r="H151" s="7" t="s">
        <v>247</v>
      </c>
      <c r="I151" s="6">
        <v>559.92999999999995</v>
      </c>
      <c r="J151" s="6">
        <v>77674.530000000013</v>
      </c>
      <c r="K151" s="6">
        <v>170892.52999999994</v>
      </c>
    </row>
    <row r="152" spans="1:11" x14ac:dyDescent="0.25">
      <c r="A152" s="5" t="s">
        <v>823</v>
      </c>
      <c r="B152" s="6">
        <f t="shared" si="2"/>
        <v>78.234460000000013</v>
      </c>
      <c r="C152" s="7" t="s">
        <v>402</v>
      </c>
      <c r="D152" s="7" t="s">
        <v>404</v>
      </c>
      <c r="E152" s="7" t="s">
        <v>0</v>
      </c>
      <c r="F152" s="8">
        <v>74.514300000000063</v>
      </c>
      <c r="G152" s="7" t="s">
        <v>247</v>
      </c>
      <c r="H152" s="7" t="s">
        <v>248</v>
      </c>
      <c r="I152" s="6">
        <v>630.02</v>
      </c>
      <c r="J152" s="6">
        <v>78234.460000000006</v>
      </c>
      <c r="K152" s="6">
        <v>170332.59999999995</v>
      </c>
    </row>
    <row r="153" spans="1:11" x14ac:dyDescent="0.25">
      <c r="A153" s="5" t="s">
        <v>823</v>
      </c>
      <c r="B153" s="6">
        <f t="shared" si="2"/>
        <v>78.864480000000015</v>
      </c>
      <c r="C153" s="7" t="s">
        <v>404</v>
      </c>
      <c r="D153" s="7" t="s">
        <v>406</v>
      </c>
      <c r="E153" s="7" t="s">
        <v>0</v>
      </c>
      <c r="F153" s="8">
        <v>74.949300000000065</v>
      </c>
      <c r="G153" s="7" t="s">
        <v>248</v>
      </c>
      <c r="H153" s="7" t="s">
        <v>249</v>
      </c>
      <c r="I153" s="6">
        <v>310.07</v>
      </c>
      <c r="J153" s="6">
        <v>78864.48000000001</v>
      </c>
      <c r="K153" s="6">
        <v>169702.57999999996</v>
      </c>
    </row>
    <row r="154" spans="1:11" x14ac:dyDescent="0.25">
      <c r="A154" s="5" t="s">
        <v>823</v>
      </c>
      <c r="B154" s="6">
        <f t="shared" si="2"/>
        <v>79.174550000000011</v>
      </c>
      <c r="C154" s="7" t="s">
        <v>406</v>
      </c>
      <c r="D154" s="7" t="s">
        <v>408</v>
      </c>
      <c r="E154" s="7" t="s">
        <v>0</v>
      </c>
      <c r="F154" s="8">
        <v>75.559300000000064</v>
      </c>
      <c r="G154" s="7" t="s">
        <v>249</v>
      </c>
      <c r="H154" s="7" t="s">
        <v>250</v>
      </c>
      <c r="I154" s="6">
        <v>719.92</v>
      </c>
      <c r="J154" s="6">
        <v>79174.550000000017</v>
      </c>
      <c r="K154" s="6">
        <v>169392.50999999995</v>
      </c>
    </row>
    <row r="155" spans="1:11" x14ac:dyDescent="0.25">
      <c r="A155" s="5" t="s">
        <v>823</v>
      </c>
      <c r="B155" s="6">
        <f t="shared" si="2"/>
        <v>79.894470000000013</v>
      </c>
      <c r="C155" s="7" t="s">
        <v>408</v>
      </c>
      <c r="D155" s="7" t="s">
        <v>410</v>
      </c>
      <c r="E155" s="7" t="s">
        <v>0</v>
      </c>
      <c r="F155" s="8">
        <v>76.014300000000063</v>
      </c>
      <c r="G155" s="7" t="s">
        <v>250</v>
      </c>
      <c r="H155" s="7" t="s">
        <v>251</v>
      </c>
      <c r="I155" s="6">
        <v>480.05</v>
      </c>
      <c r="J155" s="6">
        <v>79894.470000000016</v>
      </c>
      <c r="K155" s="6">
        <v>168672.58999999994</v>
      </c>
    </row>
    <row r="156" spans="1:11" x14ac:dyDescent="0.25">
      <c r="A156" s="5" t="s">
        <v>823</v>
      </c>
      <c r="B156" s="6">
        <f t="shared" si="2"/>
        <v>80.374520000000018</v>
      </c>
      <c r="C156" s="7" t="s">
        <v>410</v>
      </c>
      <c r="D156" s="7" t="s">
        <v>412</v>
      </c>
      <c r="E156" s="7" t="s">
        <v>0</v>
      </c>
      <c r="F156" s="8">
        <v>76.469300000000061</v>
      </c>
      <c r="G156" s="7" t="s">
        <v>251</v>
      </c>
      <c r="H156" s="7" t="s">
        <v>252</v>
      </c>
      <c r="I156" s="6">
        <v>479.94</v>
      </c>
      <c r="J156" s="6">
        <v>80374.520000000019</v>
      </c>
      <c r="K156" s="6">
        <v>168192.53999999995</v>
      </c>
    </row>
    <row r="157" spans="1:11" x14ac:dyDescent="0.25">
      <c r="A157" s="5" t="s">
        <v>823</v>
      </c>
      <c r="B157" s="6">
        <f t="shared" si="2"/>
        <v>80.854460000000017</v>
      </c>
      <c r="C157" s="7" t="s">
        <v>412</v>
      </c>
      <c r="D157" s="7" t="s">
        <v>414</v>
      </c>
      <c r="E157" s="7" t="s">
        <v>0</v>
      </c>
      <c r="F157" s="8">
        <v>76.904300000000063</v>
      </c>
      <c r="G157" s="7" t="s">
        <v>252</v>
      </c>
      <c r="H157" s="7" t="s">
        <v>253</v>
      </c>
      <c r="I157" s="6">
        <v>584.98</v>
      </c>
      <c r="J157" s="6">
        <v>80854.460000000021</v>
      </c>
      <c r="K157" s="6">
        <v>167712.59999999995</v>
      </c>
    </row>
    <row r="158" spans="1:11" x14ac:dyDescent="0.25">
      <c r="A158" s="5" t="s">
        <v>823</v>
      </c>
      <c r="B158" s="6">
        <f t="shared" si="2"/>
        <v>81.439440000000019</v>
      </c>
      <c r="C158" s="7" t="s">
        <v>414</v>
      </c>
      <c r="D158" s="7" t="s">
        <v>416</v>
      </c>
      <c r="E158" s="7" t="s">
        <v>0</v>
      </c>
      <c r="F158" s="8">
        <v>77.284300000000059</v>
      </c>
      <c r="G158" s="7" t="s">
        <v>253</v>
      </c>
      <c r="H158" s="7" t="s">
        <v>254</v>
      </c>
      <c r="I158" s="6">
        <v>430.08</v>
      </c>
      <c r="J158" s="6">
        <v>81439.440000000017</v>
      </c>
      <c r="K158" s="6">
        <v>167127.61999999994</v>
      </c>
    </row>
    <row r="159" spans="1:11" x14ac:dyDescent="0.25">
      <c r="A159" s="5" t="s">
        <v>823</v>
      </c>
      <c r="B159" s="6">
        <f t="shared" si="2"/>
        <v>81.869520000000023</v>
      </c>
      <c r="C159" s="7" t="s">
        <v>416</v>
      </c>
      <c r="D159" s="7" t="s">
        <v>418</v>
      </c>
      <c r="E159" s="7" t="s">
        <v>0</v>
      </c>
      <c r="F159" s="8">
        <v>77.929300000000055</v>
      </c>
      <c r="G159" s="7" t="s">
        <v>254</v>
      </c>
      <c r="H159" s="7" t="s">
        <v>255</v>
      </c>
      <c r="I159" s="6">
        <v>689.99</v>
      </c>
      <c r="J159" s="6">
        <v>81869.520000000019</v>
      </c>
      <c r="K159" s="6">
        <v>166697.53999999995</v>
      </c>
    </row>
    <row r="160" spans="1:11" x14ac:dyDescent="0.25">
      <c r="A160" s="5" t="s">
        <v>823</v>
      </c>
      <c r="B160" s="6">
        <f t="shared" si="2"/>
        <v>82.559510000000017</v>
      </c>
      <c r="C160" s="7" t="s">
        <v>418</v>
      </c>
      <c r="D160" s="7" t="s">
        <v>420</v>
      </c>
      <c r="E160" s="7" t="s">
        <v>0</v>
      </c>
      <c r="F160" s="8">
        <v>78.384300000000067</v>
      </c>
      <c r="G160" s="7" t="s">
        <v>255</v>
      </c>
      <c r="H160" s="7" t="s">
        <v>256</v>
      </c>
      <c r="I160" s="6">
        <v>430.02</v>
      </c>
      <c r="J160" s="6">
        <v>82559.510000000024</v>
      </c>
      <c r="K160" s="6">
        <v>166007.54999999996</v>
      </c>
    </row>
    <row r="161" spans="1:11" x14ac:dyDescent="0.25">
      <c r="A161" s="5" t="s">
        <v>823</v>
      </c>
      <c r="B161" s="6">
        <f t="shared" si="2"/>
        <v>82.98953000000003</v>
      </c>
      <c r="C161" s="7" t="s">
        <v>420</v>
      </c>
      <c r="D161" s="7" t="s">
        <v>422</v>
      </c>
      <c r="E161" s="7" t="s">
        <v>0</v>
      </c>
      <c r="F161" s="8">
        <v>78.894300000000058</v>
      </c>
      <c r="G161" s="7" t="s">
        <v>256</v>
      </c>
      <c r="H161" s="7" t="s">
        <v>257</v>
      </c>
      <c r="I161" s="6">
        <v>348.79</v>
      </c>
      <c r="J161" s="6">
        <v>82989.530000000028</v>
      </c>
      <c r="K161" s="6">
        <v>165577.52999999997</v>
      </c>
    </row>
    <row r="162" spans="1:11" x14ac:dyDescent="0.25">
      <c r="A162" s="5" t="s">
        <v>823</v>
      </c>
      <c r="B162" s="6">
        <f t="shared" si="2"/>
        <v>83.338320000000024</v>
      </c>
      <c r="C162" s="7" t="s">
        <v>422</v>
      </c>
      <c r="D162" s="7" t="s">
        <v>424</v>
      </c>
      <c r="E162" s="7" t="s">
        <v>0</v>
      </c>
      <c r="F162" s="8">
        <v>79.469300000000061</v>
      </c>
      <c r="G162" s="7" t="s">
        <v>257</v>
      </c>
      <c r="H162" s="7" t="s">
        <v>258</v>
      </c>
      <c r="I162" s="6">
        <v>354.71</v>
      </c>
      <c r="J162" s="6">
        <v>83338.320000000022</v>
      </c>
      <c r="K162" s="6">
        <v>165228.73999999996</v>
      </c>
    </row>
    <row r="163" spans="1:11" x14ac:dyDescent="0.25">
      <c r="A163" s="5" t="s">
        <v>823</v>
      </c>
      <c r="B163" s="6">
        <f t="shared" si="2"/>
        <v>83.693030000000022</v>
      </c>
      <c r="C163" s="7" t="s">
        <v>424</v>
      </c>
      <c r="D163" s="7" t="s">
        <v>426</v>
      </c>
      <c r="E163" s="7" t="s">
        <v>0</v>
      </c>
      <c r="F163" s="8">
        <v>79.964300000000065</v>
      </c>
      <c r="G163" s="7" t="s">
        <v>258</v>
      </c>
      <c r="H163" s="7" t="s">
        <v>259</v>
      </c>
      <c r="I163" s="6">
        <v>426.44</v>
      </c>
      <c r="J163" s="6">
        <v>83693.030000000028</v>
      </c>
      <c r="K163" s="6">
        <v>164874.02999999997</v>
      </c>
    </row>
    <row r="164" spans="1:11" x14ac:dyDescent="0.25">
      <c r="A164" s="5" t="s">
        <v>823</v>
      </c>
      <c r="B164" s="6">
        <f t="shared" si="2"/>
        <v>84.119470000000035</v>
      </c>
      <c r="C164" s="7" t="s">
        <v>426</v>
      </c>
      <c r="D164" s="7" t="s">
        <v>428</v>
      </c>
      <c r="E164" s="7" t="s">
        <v>0</v>
      </c>
      <c r="F164" s="8">
        <v>80.489300000000057</v>
      </c>
      <c r="G164" s="7" t="s">
        <v>259</v>
      </c>
      <c r="H164" s="7" t="s">
        <v>260</v>
      </c>
      <c r="I164" s="6">
        <v>625.19000000000005</v>
      </c>
      <c r="J164" s="6">
        <v>84119.47000000003</v>
      </c>
      <c r="K164" s="6">
        <v>164447.58999999997</v>
      </c>
    </row>
    <row r="165" spans="1:11" x14ac:dyDescent="0.25">
      <c r="A165" s="5" t="s">
        <v>823</v>
      </c>
      <c r="B165" s="6">
        <f t="shared" si="2"/>
        <v>84.744660000000039</v>
      </c>
      <c r="C165" s="7" t="s">
        <v>428</v>
      </c>
      <c r="D165" s="7" t="s">
        <v>430</v>
      </c>
      <c r="E165" s="7" t="s">
        <v>0</v>
      </c>
      <c r="F165" s="8">
        <v>81.06730000000006</v>
      </c>
      <c r="G165" s="7" t="s">
        <v>260</v>
      </c>
      <c r="H165" s="7" t="s">
        <v>261</v>
      </c>
      <c r="I165" s="6">
        <v>466.23</v>
      </c>
      <c r="J165" s="6">
        <v>84744.660000000033</v>
      </c>
      <c r="K165" s="6">
        <v>163822.39999999997</v>
      </c>
    </row>
    <row r="166" spans="1:11" x14ac:dyDescent="0.25">
      <c r="A166" s="5" t="s">
        <v>823</v>
      </c>
      <c r="B166" s="6">
        <f t="shared" si="2"/>
        <v>85.210890000000035</v>
      </c>
      <c r="C166" s="7" t="s">
        <v>430</v>
      </c>
      <c r="D166" s="7" t="s">
        <v>432</v>
      </c>
      <c r="E166" s="7" t="s">
        <v>0</v>
      </c>
      <c r="F166" s="8">
        <v>81.369300000000067</v>
      </c>
      <c r="G166" s="7" t="s">
        <v>261</v>
      </c>
      <c r="H166" s="7" t="s">
        <v>262</v>
      </c>
      <c r="I166" s="6">
        <v>659.88</v>
      </c>
      <c r="J166" s="6">
        <v>85210.890000000029</v>
      </c>
      <c r="K166" s="6">
        <v>163356.16999999995</v>
      </c>
    </row>
    <row r="167" spans="1:11" x14ac:dyDescent="0.25">
      <c r="A167" s="5" t="s">
        <v>823</v>
      </c>
      <c r="B167" s="6">
        <f t="shared" si="2"/>
        <v>85.870770000000036</v>
      </c>
      <c r="C167" s="7" t="s">
        <v>432</v>
      </c>
      <c r="D167" s="7" t="s">
        <v>434</v>
      </c>
      <c r="E167" s="7" t="s">
        <v>0</v>
      </c>
      <c r="F167" s="8">
        <v>81.884300000000067</v>
      </c>
      <c r="G167" s="7" t="s">
        <v>262</v>
      </c>
      <c r="H167" s="7" t="s">
        <v>263</v>
      </c>
      <c r="I167" s="6">
        <v>562.41</v>
      </c>
      <c r="J167" s="6">
        <v>85870.770000000033</v>
      </c>
      <c r="K167" s="6">
        <v>162696.28999999995</v>
      </c>
    </row>
    <row r="168" spans="1:11" x14ac:dyDescent="0.25">
      <c r="A168" s="5" t="s">
        <v>823</v>
      </c>
      <c r="B168" s="6">
        <f t="shared" si="2"/>
        <v>86.433180000000036</v>
      </c>
      <c r="C168" s="7" t="s">
        <v>434</v>
      </c>
      <c r="D168" s="7" t="s">
        <v>436</v>
      </c>
      <c r="E168" s="7" t="s">
        <v>0</v>
      </c>
      <c r="F168" s="8">
        <v>82.354300000000066</v>
      </c>
      <c r="G168" s="7" t="s">
        <v>263</v>
      </c>
      <c r="H168" s="7" t="s">
        <v>264</v>
      </c>
      <c r="I168" s="6">
        <v>235.89</v>
      </c>
      <c r="J168" s="6">
        <v>86433.180000000037</v>
      </c>
      <c r="K168" s="6">
        <v>162133.87999999995</v>
      </c>
    </row>
    <row r="169" spans="1:11" x14ac:dyDescent="0.25">
      <c r="A169" s="5" t="s">
        <v>823</v>
      </c>
      <c r="B169" s="6">
        <f t="shared" si="2"/>
        <v>86.669070000000033</v>
      </c>
      <c r="C169" s="7" t="s">
        <v>436</v>
      </c>
      <c r="D169" s="7" t="s">
        <v>438</v>
      </c>
      <c r="E169" s="7" t="s">
        <v>0</v>
      </c>
      <c r="F169" s="8">
        <v>82.817500000000052</v>
      </c>
      <c r="G169" s="7" t="s">
        <v>264</v>
      </c>
      <c r="H169" s="7" t="s">
        <v>265</v>
      </c>
      <c r="I169" s="6">
        <v>356.34</v>
      </c>
      <c r="J169" s="6">
        <v>86669.070000000036</v>
      </c>
      <c r="K169" s="6">
        <v>161897.98999999993</v>
      </c>
    </row>
    <row r="170" spans="1:11" x14ac:dyDescent="0.25">
      <c r="A170" s="5" t="s">
        <v>823</v>
      </c>
      <c r="B170" s="6">
        <f t="shared" si="2"/>
        <v>87.025410000000036</v>
      </c>
      <c r="C170" s="7" t="s">
        <v>438</v>
      </c>
      <c r="D170" s="7" t="s">
        <v>440</v>
      </c>
      <c r="E170" s="7" t="s">
        <v>0</v>
      </c>
      <c r="F170" s="8">
        <v>83.212500000000063</v>
      </c>
      <c r="G170" s="7" t="s">
        <v>265</v>
      </c>
      <c r="H170" s="7" t="s">
        <v>266</v>
      </c>
      <c r="I170" s="6">
        <v>540.04</v>
      </c>
      <c r="J170" s="6">
        <v>87025.410000000033</v>
      </c>
      <c r="K170" s="6">
        <v>161541.64999999994</v>
      </c>
    </row>
    <row r="171" spans="1:11" x14ac:dyDescent="0.25">
      <c r="A171" s="5" t="s">
        <v>823</v>
      </c>
      <c r="B171" s="6">
        <f t="shared" si="2"/>
        <v>87.565450000000027</v>
      </c>
      <c r="C171" s="7" t="s">
        <v>440</v>
      </c>
      <c r="D171" s="7" t="s">
        <v>442</v>
      </c>
      <c r="E171" s="7" t="s">
        <v>0</v>
      </c>
      <c r="F171" s="8">
        <v>83.607500000000059</v>
      </c>
      <c r="G171" s="7" t="s">
        <v>266</v>
      </c>
      <c r="H171" s="7" t="s">
        <v>267</v>
      </c>
      <c r="I171" s="6">
        <v>529.91</v>
      </c>
      <c r="J171" s="6">
        <v>87565.450000000026</v>
      </c>
      <c r="K171" s="6">
        <v>161001.60999999993</v>
      </c>
    </row>
    <row r="172" spans="1:11" x14ac:dyDescent="0.25">
      <c r="A172" s="5" t="s">
        <v>823</v>
      </c>
      <c r="B172" s="6">
        <f t="shared" si="2"/>
        <v>88.095360000000028</v>
      </c>
      <c r="C172" s="7" t="s">
        <v>442</v>
      </c>
      <c r="D172" s="7" t="s">
        <v>444</v>
      </c>
      <c r="E172" s="7" t="s">
        <v>0</v>
      </c>
      <c r="F172" s="8">
        <v>84.207500000000053</v>
      </c>
      <c r="G172" s="7" t="s">
        <v>267</v>
      </c>
      <c r="H172" s="7" t="s">
        <v>268</v>
      </c>
      <c r="I172" s="6">
        <v>479.82</v>
      </c>
      <c r="J172" s="6">
        <v>88095.36000000003</v>
      </c>
      <c r="K172" s="6">
        <v>160471.69999999992</v>
      </c>
    </row>
    <row r="173" spans="1:11" x14ac:dyDescent="0.25">
      <c r="A173" s="5" t="s">
        <v>823</v>
      </c>
      <c r="B173" s="6">
        <f t="shared" si="2"/>
        <v>88.575180000000032</v>
      </c>
      <c r="C173" s="7" t="s">
        <v>444</v>
      </c>
      <c r="D173" s="7" t="s">
        <v>446</v>
      </c>
      <c r="E173" s="7" t="s">
        <v>0</v>
      </c>
      <c r="F173" s="8">
        <v>84.421500000000052</v>
      </c>
      <c r="G173" s="7" t="s">
        <v>268</v>
      </c>
      <c r="H173" s="7" t="s">
        <v>269</v>
      </c>
      <c r="I173" s="6">
        <v>545.04999999999995</v>
      </c>
      <c r="J173" s="6">
        <v>88575.180000000037</v>
      </c>
      <c r="K173" s="6">
        <v>159991.87999999992</v>
      </c>
    </row>
    <row r="174" spans="1:11" x14ac:dyDescent="0.25">
      <c r="A174" s="5" t="s">
        <v>823</v>
      </c>
      <c r="B174" s="6">
        <f t="shared" si="2"/>
        <v>89.120230000000035</v>
      </c>
      <c r="C174" s="7" t="s">
        <v>446</v>
      </c>
      <c r="D174" s="7" t="s">
        <v>448</v>
      </c>
      <c r="E174" s="7" t="s">
        <v>0</v>
      </c>
      <c r="F174" s="8">
        <v>84.952500000000057</v>
      </c>
      <c r="G174" s="7" t="s">
        <v>269</v>
      </c>
      <c r="H174" s="7" t="s">
        <v>270</v>
      </c>
      <c r="I174" s="6">
        <v>404.87</v>
      </c>
      <c r="J174" s="6">
        <v>89120.23000000004</v>
      </c>
      <c r="K174" s="6">
        <v>159446.82999999993</v>
      </c>
    </row>
    <row r="175" spans="1:11" x14ac:dyDescent="0.25">
      <c r="A175" s="5" t="s">
        <v>823</v>
      </c>
      <c r="B175" s="6">
        <f t="shared" si="2"/>
        <v>89.525100000000037</v>
      </c>
      <c r="C175" s="7" t="s">
        <v>448</v>
      </c>
      <c r="D175" s="7" t="s">
        <v>450</v>
      </c>
      <c r="E175" s="7" t="s">
        <v>0</v>
      </c>
      <c r="F175" s="8">
        <v>85.372500000000059</v>
      </c>
      <c r="G175" s="7" t="s">
        <v>270</v>
      </c>
      <c r="H175" s="7" t="s">
        <v>271</v>
      </c>
      <c r="I175" s="6">
        <v>844.65</v>
      </c>
      <c r="J175" s="6">
        <v>89525.100000000035</v>
      </c>
      <c r="K175" s="6">
        <v>159041.95999999993</v>
      </c>
    </row>
    <row r="176" spans="1:11" x14ac:dyDescent="0.25">
      <c r="A176" s="5" t="s">
        <v>823</v>
      </c>
      <c r="B176" s="6">
        <f t="shared" si="2"/>
        <v>90.369750000000025</v>
      </c>
      <c r="C176" s="7" t="s">
        <v>450</v>
      </c>
      <c r="D176" s="7" t="s">
        <v>452</v>
      </c>
      <c r="E176" s="7" t="s">
        <v>0</v>
      </c>
      <c r="F176" s="8">
        <v>85.785500000000056</v>
      </c>
      <c r="G176" s="7" t="s">
        <v>271</v>
      </c>
      <c r="H176" s="7" t="s">
        <v>273</v>
      </c>
      <c r="I176" s="6">
        <v>445.61</v>
      </c>
      <c r="J176" s="6">
        <v>90369.750000000029</v>
      </c>
      <c r="K176" s="6">
        <v>158197.30999999994</v>
      </c>
    </row>
    <row r="177" spans="1:11" x14ac:dyDescent="0.25">
      <c r="A177" s="5" t="s">
        <v>823</v>
      </c>
      <c r="B177" s="6">
        <f t="shared" si="2"/>
        <v>90.815360000000027</v>
      </c>
      <c r="C177" s="7" t="s">
        <v>452</v>
      </c>
      <c r="D177" s="7" t="s">
        <v>454</v>
      </c>
      <c r="E177" s="7" t="s">
        <v>0</v>
      </c>
      <c r="F177" s="8">
        <v>86.372500000000059</v>
      </c>
      <c r="G177" s="7" t="s">
        <v>273</v>
      </c>
      <c r="H177" s="7" t="s">
        <v>275</v>
      </c>
      <c r="I177" s="6">
        <v>271.87</v>
      </c>
      <c r="J177" s="6">
        <v>90815.36000000003</v>
      </c>
      <c r="K177" s="6">
        <v>157751.69999999995</v>
      </c>
    </row>
    <row r="178" spans="1:11" x14ac:dyDescent="0.25">
      <c r="A178" s="5" t="s">
        <v>823</v>
      </c>
      <c r="B178" s="6">
        <f t="shared" si="2"/>
        <v>91.087230000000019</v>
      </c>
      <c r="C178" s="7" t="s">
        <v>454</v>
      </c>
      <c r="D178" s="7" t="s">
        <v>456</v>
      </c>
      <c r="E178" s="7" t="s">
        <v>0</v>
      </c>
      <c r="F178" s="8">
        <v>86.834500000000062</v>
      </c>
      <c r="G178" s="7" t="s">
        <v>275</v>
      </c>
      <c r="H178" s="7" t="s">
        <v>277</v>
      </c>
      <c r="I178" s="6">
        <v>864.33</v>
      </c>
      <c r="J178" s="6">
        <v>91087.230000000025</v>
      </c>
      <c r="K178" s="6">
        <v>157479.82999999996</v>
      </c>
    </row>
    <row r="179" spans="1:11" x14ac:dyDescent="0.25">
      <c r="A179" s="5" t="s">
        <v>823</v>
      </c>
      <c r="B179" s="6">
        <f t="shared" si="2"/>
        <v>91.951560000000029</v>
      </c>
      <c r="C179" s="7" t="s">
        <v>456</v>
      </c>
      <c r="D179" s="7" t="s">
        <v>458</v>
      </c>
      <c r="E179" s="7" t="s">
        <v>0</v>
      </c>
      <c r="F179" s="8">
        <v>87.209620000000058</v>
      </c>
      <c r="G179" s="7" t="s">
        <v>277</v>
      </c>
      <c r="H179" s="7" t="s">
        <v>279</v>
      </c>
      <c r="I179" s="6">
        <v>520</v>
      </c>
      <c r="J179" s="6">
        <v>91951.560000000027</v>
      </c>
      <c r="K179" s="6">
        <v>156615.49999999997</v>
      </c>
    </row>
    <row r="180" spans="1:11" x14ac:dyDescent="0.25">
      <c r="A180" s="5" t="s">
        <v>823</v>
      </c>
      <c r="B180" s="6">
        <f t="shared" si="2"/>
        <v>92.471560000000025</v>
      </c>
      <c r="C180" s="7" t="s">
        <v>458</v>
      </c>
      <c r="D180" s="7" t="s">
        <v>460</v>
      </c>
      <c r="E180" s="7" t="s">
        <v>0</v>
      </c>
      <c r="F180" s="8">
        <v>87.62962000000006</v>
      </c>
      <c r="G180" s="7" t="s">
        <v>279</v>
      </c>
      <c r="H180" s="7" t="s">
        <v>281</v>
      </c>
      <c r="I180" s="6">
        <v>511.6</v>
      </c>
      <c r="J180" s="6">
        <v>92471.560000000027</v>
      </c>
      <c r="K180" s="6">
        <v>156095.49999999997</v>
      </c>
    </row>
    <row r="181" spans="1:11" x14ac:dyDescent="0.25">
      <c r="A181" s="5" t="s">
        <v>823</v>
      </c>
      <c r="B181" s="6">
        <f t="shared" si="2"/>
        <v>92.983160000000026</v>
      </c>
      <c r="C181" s="7" t="s">
        <v>460</v>
      </c>
      <c r="D181" s="7" t="s">
        <v>462</v>
      </c>
      <c r="E181" s="7" t="s">
        <v>0</v>
      </c>
      <c r="F181" s="8">
        <v>87.979620000000054</v>
      </c>
      <c r="G181" s="7" t="s">
        <v>281</v>
      </c>
      <c r="H181" s="7" t="s">
        <v>283</v>
      </c>
      <c r="I181" s="6">
        <v>483.4</v>
      </c>
      <c r="J181" s="6">
        <v>92983.160000000033</v>
      </c>
      <c r="K181" s="6">
        <v>155583.89999999997</v>
      </c>
    </row>
    <row r="182" spans="1:11" x14ac:dyDescent="0.25">
      <c r="A182" s="5" t="s">
        <v>823</v>
      </c>
      <c r="B182" s="6">
        <f t="shared" si="2"/>
        <v>93.46656000000003</v>
      </c>
      <c r="C182" s="7" t="s">
        <v>462</v>
      </c>
      <c r="D182" s="7" t="s">
        <v>464</v>
      </c>
      <c r="E182" s="7" t="s">
        <v>0</v>
      </c>
      <c r="F182" s="8">
        <v>88.274620000000056</v>
      </c>
      <c r="G182" s="7" t="s">
        <v>283</v>
      </c>
      <c r="H182" s="7" t="s">
        <v>285</v>
      </c>
      <c r="I182" s="6">
        <v>484.9</v>
      </c>
      <c r="J182" s="6">
        <v>93466.560000000027</v>
      </c>
      <c r="K182" s="6">
        <v>155100.49999999997</v>
      </c>
    </row>
    <row r="183" spans="1:11" x14ac:dyDescent="0.25">
      <c r="A183" s="5" t="s">
        <v>823</v>
      </c>
      <c r="B183" s="6">
        <f t="shared" si="2"/>
        <v>93.951460000000026</v>
      </c>
      <c r="C183" s="7" t="s">
        <v>464</v>
      </c>
      <c r="D183" s="7" t="s">
        <v>466</v>
      </c>
      <c r="E183" s="7" t="s">
        <v>0</v>
      </c>
      <c r="F183" s="8">
        <v>88.724620000000058</v>
      </c>
      <c r="G183" s="7" t="s">
        <v>285</v>
      </c>
      <c r="H183" s="7" t="s">
        <v>287</v>
      </c>
      <c r="I183" s="6">
        <v>534.98</v>
      </c>
      <c r="J183" s="6">
        <v>93951.460000000021</v>
      </c>
      <c r="K183" s="6">
        <v>154615.59999999998</v>
      </c>
    </row>
    <row r="184" spans="1:11" x14ac:dyDescent="0.25">
      <c r="A184" s="5" t="s">
        <v>823</v>
      </c>
      <c r="B184" s="6">
        <f t="shared" si="2"/>
        <v>94.486440000000016</v>
      </c>
      <c r="C184" s="7" t="s">
        <v>466</v>
      </c>
      <c r="D184" s="7" t="s">
        <v>468</v>
      </c>
      <c r="E184" s="7" t="s">
        <v>0</v>
      </c>
      <c r="F184" s="8">
        <v>89.204620000000048</v>
      </c>
      <c r="G184" s="7" t="s">
        <v>287</v>
      </c>
      <c r="H184" s="7" t="s">
        <v>289</v>
      </c>
      <c r="I184" s="6">
        <v>604.91999999999996</v>
      </c>
      <c r="J184" s="6">
        <v>94486.440000000017</v>
      </c>
      <c r="K184" s="6">
        <v>154080.61999999997</v>
      </c>
    </row>
    <row r="185" spans="1:11" x14ac:dyDescent="0.25">
      <c r="A185" s="5" t="s">
        <v>823</v>
      </c>
      <c r="B185" s="6">
        <f t="shared" si="2"/>
        <v>95.091360000000009</v>
      </c>
      <c r="C185" s="7" t="s">
        <v>468</v>
      </c>
      <c r="D185" s="7" t="s">
        <v>470</v>
      </c>
      <c r="E185" s="7" t="s">
        <v>0</v>
      </c>
      <c r="F185" s="8">
        <v>89.619620000000054</v>
      </c>
      <c r="G185" s="7" t="s">
        <v>289</v>
      </c>
      <c r="H185" s="7" t="s">
        <v>291</v>
      </c>
      <c r="I185" s="6">
        <v>534.79999999999995</v>
      </c>
      <c r="J185" s="6">
        <v>95091.360000000015</v>
      </c>
      <c r="K185" s="6">
        <v>153475.69999999995</v>
      </c>
    </row>
    <row r="186" spans="1:11" x14ac:dyDescent="0.25">
      <c r="A186" s="5" t="s">
        <v>823</v>
      </c>
      <c r="B186" s="6">
        <f t="shared" si="2"/>
        <v>95.626160000000013</v>
      </c>
      <c r="C186" s="7" t="s">
        <v>470</v>
      </c>
      <c r="D186" s="7" t="s">
        <v>472</v>
      </c>
      <c r="E186" s="7" t="s">
        <v>0</v>
      </c>
      <c r="F186" s="8">
        <v>89.979620000000054</v>
      </c>
      <c r="G186" s="7" t="s">
        <v>291</v>
      </c>
      <c r="H186" s="7" t="s">
        <v>293</v>
      </c>
      <c r="I186" s="6">
        <v>540.28</v>
      </c>
      <c r="J186" s="6">
        <v>95626.160000000018</v>
      </c>
      <c r="K186" s="6">
        <v>152940.89999999997</v>
      </c>
    </row>
    <row r="187" spans="1:11" x14ac:dyDescent="0.25">
      <c r="A187" s="5" t="s">
        <v>823</v>
      </c>
      <c r="B187" s="6">
        <f t="shared" si="2"/>
        <v>96.166440000000023</v>
      </c>
      <c r="C187" s="7" t="s">
        <v>472</v>
      </c>
      <c r="D187" s="7" t="s">
        <v>474</v>
      </c>
      <c r="E187" s="7" t="s">
        <v>0</v>
      </c>
      <c r="F187" s="8">
        <v>90.51462000000005</v>
      </c>
      <c r="G187" s="7" t="s">
        <v>293</v>
      </c>
      <c r="H187" s="7" t="s">
        <v>295</v>
      </c>
      <c r="I187" s="6">
        <v>579.9</v>
      </c>
      <c r="J187" s="6">
        <v>96166.440000000017</v>
      </c>
      <c r="K187" s="6">
        <v>152400.61999999997</v>
      </c>
    </row>
    <row r="188" spans="1:11" x14ac:dyDescent="0.25">
      <c r="A188" s="5" t="s">
        <v>823</v>
      </c>
      <c r="B188" s="6">
        <f t="shared" si="2"/>
        <v>96.746340000000018</v>
      </c>
      <c r="C188" s="7" t="s">
        <v>474</v>
      </c>
      <c r="D188" s="7" t="s">
        <v>476</v>
      </c>
      <c r="E188" s="7" t="s">
        <v>0</v>
      </c>
      <c r="F188" s="8">
        <v>91.179620000000057</v>
      </c>
      <c r="G188" s="7" t="s">
        <v>295</v>
      </c>
      <c r="H188" s="7" t="s">
        <v>297</v>
      </c>
      <c r="I188" s="6">
        <v>595</v>
      </c>
      <c r="J188" s="6">
        <v>96746.340000000011</v>
      </c>
      <c r="K188" s="6">
        <v>151820.71999999997</v>
      </c>
    </row>
    <row r="189" spans="1:11" x14ac:dyDescent="0.25">
      <c r="A189" s="5" t="s">
        <v>823</v>
      </c>
      <c r="B189" s="6">
        <f t="shared" si="2"/>
        <v>97.341340000000017</v>
      </c>
      <c r="C189" s="7" t="s">
        <v>476</v>
      </c>
      <c r="D189" s="7" t="s">
        <v>478</v>
      </c>
      <c r="E189" s="7" t="s">
        <v>0</v>
      </c>
      <c r="F189" s="8">
        <v>91.62462000000005</v>
      </c>
      <c r="G189" s="7" t="s">
        <v>297</v>
      </c>
      <c r="H189" s="7" t="s">
        <v>299</v>
      </c>
      <c r="I189" s="6">
        <v>564.80999999999995</v>
      </c>
      <c r="J189" s="6">
        <v>97341.340000000011</v>
      </c>
      <c r="K189" s="6">
        <v>151225.71999999997</v>
      </c>
    </row>
    <row r="190" spans="1:11" x14ac:dyDescent="0.25">
      <c r="A190" s="5" t="s">
        <v>823</v>
      </c>
      <c r="B190" s="6">
        <f t="shared" si="2"/>
        <v>97.906150000000011</v>
      </c>
      <c r="C190" s="7" t="s">
        <v>478</v>
      </c>
      <c r="D190" s="7" t="s">
        <v>480</v>
      </c>
      <c r="E190" s="7" t="s">
        <v>0</v>
      </c>
      <c r="F190" s="8">
        <v>91.929620000000057</v>
      </c>
      <c r="G190" s="7" t="s">
        <v>299</v>
      </c>
      <c r="H190" s="7" t="s">
        <v>301</v>
      </c>
      <c r="I190" s="6">
        <v>335.05</v>
      </c>
      <c r="J190" s="6">
        <v>97906.150000000009</v>
      </c>
      <c r="K190" s="6">
        <v>150660.90999999997</v>
      </c>
    </row>
    <row r="191" spans="1:11" x14ac:dyDescent="0.25">
      <c r="A191" s="5" t="s">
        <v>823</v>
      </c>
      <c r="B191" s="6">
        <f t="shared" si="2"/>
        <v>98.241200000000006</v>
      </c>
      <c r="C191" s="7" t="s">
        <v>480</v>
      </c>
      <c r="D191" s="7" t="s">
        <v>482</v>
      </c>
      <c r="E191" s="7" t="s">
        <v>0</v>
      </c>
      <c r="F191" s="8">
        <v>92.574620000000053</v>
      </c>
      <c r="G191" s="7" t="s">
        <v>301</v>
      </c>
      <c r="H191" s="7" t="s">
        <v>303</v>
      </c>
      <c r="I191" s="6">
        <v>554.03</v>
      </c>
      <c r="J191" s="6">
        <v>98241.200000000012</v>
      </c>
      <c r="K191" s="6">
        <v>150325.85999999999</v>
      </c>
    </row>
    <row r="192" spans="1:11" x14ac:dyDescent="0.25">
      <c r="A192" s="5" t="s">
        <v>823</v>
      </c>
      <c r="B192" s="6">
        <f t="shared" si="2"/>
        <v>98.795230000000004</v>
      </c>
      <c r="C192" s="7" t="s">
        <v>482</v>
      </c>
      <c r="D192" s="7" t="s">
        <v>484</v>
      </c>
      <c r="E192" s="7" t="s">
        <v>0</v>
      </c>
      <c r="F192" s="8">
        <v>93.134620000000055</v>
      </c>
      <c r="G192" s="7" t="s">
        <v>303</v>
      </c>
      <c r="H192" s="7" t="s">
        <v>305</v>
      </c>
      <c r="I192" s="6">
        <v>445.99</v>
      </c>
      <c r="J192" s="6">
        <v>98795.23000000001</v>
      </c>
      <c r="K192" s="6">
        <v>149771.82999999999</v>
      </c>
    </row>
    <row r="193" spans="1:11" x14ac:dyDescent="0.25">
      <c r="A193" s="5" t="s">
        <v>823</v>
      </c>
      <c r="B193" s="6">
        <f t="shared" si="2"/>
        <v>99.241220000000013</v>
      </c>
      <c r="C193" s="7" t="s">
        <v>484</v>
      </c>
      <c r="D193" s="7" t="s">
        <v>486</v>
      </c>
      <c r="E193" s="7" t="s">
        <v>0</v>
      </c>
      <c r="F193" s="8">
        <v>93.664620000000056</v>
      </c>
      <c r="G193" s="7" t="s">
        <v>305</v>
      </c>
      <c r="H193" s="7" t="s">
        <v>307</v>
      </c>
      <c r="I193" s="6">
        <v>637.33000000000004</v>
      </c>
      <c r="J193" s="6">
        <v>99241.220000000016</v>
      </c>
      <c r="K193" s="6">
        <v>149325.84</v>
      </c>
    </row>
    <row r="194" spans="1:11" x14ac:dyDescent="0.25">
      <c r="A194" s="5" t="s">
        <v>823</v>
      </c>
      <c r="B194" s="6">
        <f t="shared" si="2"/>
        <v>99.878550000000018</v>
      </c>
      <c r="C194" s="7" t="s">
        <v>486</v>
      </c>
      <c r="D194" s="7" t="s">
        <v>488</v>
      </c>
      <c r="E194" s="7" t="s">
        <v>0</v>
      </c>
      <c r="F194" s="8">
        <v>94.094620000000049</v>
      </c>
      <c r="G194" s="7" t="s">
        <v>307</v>
      </c>
      <c r="H194" s="7" t="s">
        <v>309</v>
      </c>
      <c r="I194" s="6">
        <v>652.54999999999995</v>
      </c>
      <c r="J194" s="6">
        <v>99878.550000000017</v>
      </c>
      <c r="K194" s="6">
        <v>148688.51</v>
      </c>
    </row>
    <row r="195" spans="1:11" x14ac:dyDescent="0.25">
      <c r="A195" s="5" t="s">
        <v>823</v>
      </c>
      <c r="B195" s="6">
        <f t="shared" ref="B195:B258" si="3">J195/1000</f>
        <v>100.53110000000002</v>
      </c>
      <c r="C195" s="7" t="s">
        <v>488</v>
      </c>
      <c r="D195" s="7" t="s">
        <v>490</v>
      </c>
      <c r="E195" s="7" t="s">
        <v>0</v>
      </c>
      <c r="F195" s="8">
        <v>94.704620000000048</v>
      </c>
      <c r="G195" s="7" t="s">
        <v>309</v>
      </c>
      <c r="H195" s="7" t="s">
        <v>311</v>
      </c>
      <c r="I195" s="6">
        <v>454.97</v>
      </c>
      <c r="J195" s="6">
        <v>100531.10000000002</v>
      </c>
      <c r="K195" s="6">
        <v>148035.96000000002</v>
      </c>
    </row>
    <row r="196" spans="1:11" x14ac:dyDescent="0.25">
      <c r="A196" s="5" t="s">
        <v>823</v>
      </c>
      <c r="B196" s="6">
        <f t="shared" si="3"/>
        <v>100.98607000000003</v>
      </c>
      <c r="C196" s="7" t="s">
        <v>490</v>
      </c>
      <c r="D196" s="7" t="s">
        <v>492</v>
      </c>
      <c r="E196" s="7" t="s">
        <v>0</v>
      </c>
      <c r="F196" s="8">
        <v>95.029620000000051</v>
      </c>
      <c r="G196" s="7" t="s">
        <v>311</v>
      </c>
      <c r="H196" s="7" t="s">
        <v>313</v>
      </c>
      <c r="I196" s="6">
        <v>512.28</v>
      </c>
      <c r="J196" s="6">
        <v>100986.07000000002</v>
      </c>
      <c r="K196" s="6">
        <v>147580.99000000002</v>
      </c>
    </row>
    <row r="197" spans="1:11" x14ac:dyDescent="0.25">
      <c r="A197" s="5" t="s">
        <v>823</v>
      </c>
      <c r="B197" s="6">
        <f t="shared" si="3"/>
        <v>101.49835000000002</v>
      </c>
      <c r="C197" s="7" t="s">
        <v>492</v>
      </c>
      <c r="D197" s="7" t="s">
        <v>494</v>
      </c>
      <c r="E197" s="7" t="s">
        <v>0</v>
      </c>
      <c r="F197" s="8">
        <v>95.569620000000057</v>
      </c>
      <c r="G197" s="7" t="s">
        <v>313</v>
      </c>
      <c r="H197" s="7" t="s">
        <v>315</v>
      </c>
      <c r="I197" s="6">
        <v>542.71</v>
      </c>
      <c r="J197" s="6">
        <v>101498.35000000002</v>
      </c>
      <c r="K197" s="6">
        <v>147068.71000000002</v>
      </c>
    </row>
    <row r="198" spans="1:11" x14ac:dyDescent="0.25">
      <c r="A198" s="5" t="s">
        <v>823</v>
      </c>
      <c r="B198" s="6">
        <f t="shared" si="3"/>
        <v>102.04106000000003</v>
      </c>
      <c r="C198" s="7" t="s">
        <v>494</v>
      </c>
      <c r="D198" s="7" t="s">
        <v>496</v>
      </c>
      <c r="E198" s="7" t="s">
        <v>0</v>
      </c>
      <c r="F198" s="8">
        <v>96.143620000000055</v>
      </c>
      <c r="G198" s="7" t="s">
        <v>315</v>
      </c>
      <c r="H198" s="7" t="s">
        <v>317</v>
      </c>
      <c r="I198" s="6">
        <v>434.9</v>
      </c>
      <c r="J198" s="6">
        <v>102041.06000000003</v>
      </c>
      <c r="K198" s="6">
        <v>146526.00000000003</v>
      </c>
    </row>
    <row r="199" spans="1:11" x14ac:dyDescent="0.25">
      <c r="A199" s="5" t="s">
        <v>823</v>
      </c>
      <c r="B199" s="6">
        <f t="shared" si="3"/>
        <v>102.47596000000001</v>
      </c>
      <c r="C199" s="7" t="s">
        <v>496</v>
      </c>
      <c r="D199" s="7" t="s">
        <v>498</v>
      </c>
      <c r="E199" s="7" t="s">
        <v>0</v>
      </c>
      <c r="F199" s="8">
        <v>96.633720000000054</v>
      </c>
      <c r="G199" s="7" t="s">
        <v>317</v>
      </c>
      <c r="H199" s="7" t="s">
        <v>319</v>
      </c>
      <c r="I199" s="6">
        <v>355.02</v>
      </c>
      <c r="J199" s="6">
        <v>102475.96000000002</v>
      </c>
      <c r="K199" s="6">
        <v>146091.10000000003</v>
      </c>
    </row>
    <row r="200" spans="1:11" x14ac:dyDescent="0.25">
      <c r="A200" s="5" t="s">
        <v>823</v>
      </c>
      <c r="B200" s="6">
        <f t="shared" si="3"/>
        <v>102.83098000000003</v>
      </c>
      <c r="C200" s="7" t="s">
        <v>498</v>
      </c>
      <c r="D200" s="7" t="s">
        <v>500</v>
      </c>
      <c r="E200" s="7" t="s">
        <v>0</v>
      </c>
      <c r="F200" s="8">
        <v>97.193720000000056</v>
      </c>
      <c r="G200" s="7" t="s">
        <v>319</v>
      </c>
      <c r="H200" s="7" t="s">
        <v>321</v>
      </c>
      <c r="I200" s="6">
        <v>705.7</v>
      </c>
      <c r="J200" s="6">
        <v>102830.98000000003</v>
      </c>
      <c r="K200" s="6">
        <v>145736.08000000005</v>
      </c>
    </row>
    <row r="201" spans="1:11" x14ac:dyDescent="0.25">
      <c r="A201" s="5" t="s">
        <v>823</v>
      </c>
      <c r="B201" s="6">
        <f t="shared" si="3"/>
        <v>103.53668000000002</v>
      </c>
      <c r="C201" s="7" t="s">
        <v>500</v>
      </c>
      <c r="D201" s="7" t="s">
        <v>502</v>
      </c>
      <c r="E201" s="7" t="s">
        <v>0</v>
      </c>
      <c r="F201" s="8">
        <v>97.80576700000006</v>
      </c>
      <c r="G201" s="7" t="s">
        <v>321</v>
      </c>
      <c r="H201" s="7" t="s">
        <v>323</v>
      </c>
      <c r="I201" s="6">
        <v>591.83000000000004</v>
      </c>
      <c r="J201" s="6">
        <v>103536.68000000002</v>
      </c>
      <c r="K201" s="6">
        <v>145030.38000000003</v>
      </c>
    </row>
    <row r="202" spans="1:11" x14ac:dyDescent="0.25">
      <c r="A202" s="5" t="s">
        <v>823</v>
      </c>
      <c r="B202" s="6">
        <f t="shared" si="3"/>
        <v>104.12851000000002</v>
      </c>
      <c r="C202" s="7" t="s">
        <v>502</v>
      </c>
      <c r="D202" s="7" t="s">
        <v>503</v>
      </c>
      <c r="E202" s="7" t="s">
        <v>0</v>
      </c>
      <c r="F202" s="8">
        <v>98.133720000000054</v>
      </c>
      <c r="G202" s="7" t="s">
        <v>323</v>
      </c>
      <c r="H202" s="7" t="s">
        <v>325</v>
      </c>
      <c r="I202" s="6">
        <v>707.18</v>
      </c>
      <c r="J202" s="6">
        <v>104128.51000000002</v>
      </c>
      <c r="K202" s="6">
        <v>144438.55000000005</v>
      </c>
    </row>
    <row r="203" spans="1:11" x14ac:dyDescent="0.25">
      <c r="A203" s="5" t="s">
        <v>823</v>
      </c>
      <c r="B203" s="6">
        <f t="shared" si="3"/>
        <v>104.83569000000001</v>
      </c>
      <c r="C203" s="7" t="s">
        <v>503</v>
      </c>
      <c r="D203" s="7" t="s">
        <v>501</v>
      </c>
      <c r="E203" s="7" t="s">
        <v>0</v>
      </c>
      <c r="F203" s="8">
        <v>98.668720000000064</v>
      </c>
      <c r="G203" s="7" t="s">
        <v>325</v>
      </c>
      <c r="H203" s="7" t="s">
        <v>327</v>
      </c>
      <c r="I203" s="6">
        <v>854.75</v>
      </c>
      <c r="J203" s="6">
        <v>104835.69000000002</v>
      </c>
      <c r="K203" s="6">
        <v>143731.37000000005</v>
      </c>
    </row>
    <row r="204" spans="1:11" x14ac:dyDescent="0.25">
      <c r="A204" s="5" t="s">
        <v>823</v>
      </c>
      <c r="B204" s="6">
        <f t="shared" si="3"/>
        <v>105.69044000000002</v>
      </c>
      <c r="C204" s="7" t="s">
        <v>501</v>
      </c>
      <c r="D204" s="7" t="s">
        <v>499</v>
      </c>
      <c r="E204" s="7" t="s">
        <v>0</v>
      </c>
      <c r="F204" s="8">
        <v>99.098720000000057</v>
      </c>
      <c r="G204" s="7" t="s">
        <v>327</v>
      </c>
      <c r="H204" s="7" t="s">
        <v>329</v>
      </c>
      <c r="I204" s="6">
        <v>769.97</v>
      </c>
      <c r="J204" s="6">
        <v>105690.44000000002</v>
      </c>
      <c r="K204" s="6">
        <v>142876.62000000005</v>
      </c>
    </row>
    <row r="205" spans="1:11" x14ac:dyDescent="0.25">
      <c r="A205" s="5" t="s">
        <v>823</v>
      </c>
      <c r="B205" s="6">
        <f t="shared" si="3"/>
        <v>106.46041000000002</v>
      </c>
      <c r="C205" s="7" t="s">
        <v>499</v>
      </c>
      <c r="D205" s="7" t="s">
        <v>497</v>
      </c>
      <c r="E205" s="7" t="s">
        <v>0</v>
      </c>
      <c r="F205" s="8">
        <v>99.472120000000047</v>
      </c>
      <c r="G205" s="7" t="s">
        <v>329</v>
      </c>
      <c r="H205" s="7" t="s">
        <v>331</v>
      </c>
      <c r="I205" s="6">
        <v>704.98</v>
      </c>
      <c r="J205" s="6">
        <v>106460.41000000002</v>
      </c>
      <c r="K205" s="6">
        <v>142106.65000000005</v>
      </c>
    </row>
    <row r="206" spans="1:11" x14ac:dyDescent="0.25">
      <c r="A206" s="5" t="s">
        <v>823</v>
      </c>
      <c r="B206" s="6">
        <f t="shared" si="3"/>
        <v>107.16539000000002</v>
      </c>
      <c r="C206" s="7" t="s">
        <v>497</v>
      </c>
      <c r="D206" s="7" t="s">
        <v>495</v>
      </c>
      <c r="E206" s="7" t="s">
        <v>0</v>
      </c>
      <c r="F206" s="8">
        <v>99.83782000000005</v>
      </c>
      <c r="G206" s="7" t="s">
        <v>331</v>
      </c>
      <c r="H206" s="7" t="s">
        <v>333</v>
      </c>
      <c r="I206" s="6">
        <v>607.53</v>
      </c>
      <c r="J206" s="6">
        <v>107165.39000000001</v>
      </c>
      <c r="K206" s="6">
        <v>141401.67000000004</v>
      </c>
    </row>
    <row r="207" spans="1:11" x14ac:dyDescent="0.25">
      <c r="A207" s="5" t="s">
        <v>823</v>
      </c>
      <c r="B207" s="6">
        <f t="shared" si="3"/>
        <v>107.77292000000001</v>
      </c>
      <c r="C207" s="7" t="s">
        <v>495</v>
      </c>
      <c r="D207" s="7" t="s">
        <v>493</v>
      </c>
      <c r="E207" s="7" t="s">
        <v>0</v>
      </c>
      <c r="F207" s="8">
        <v>100.26462000000005</v>
      </c>
      <c r="G207" s="7" t="s">
        <v>333</v>
      </c>
      <c r="H207" s="7" t="s">
        <v>335</v>
      </c>
      <c r="I207" s="6">
        <v>367.17</v>
      </c>
      <c r="J207" s="6">
        <v>107772.92000000001</v>
      </c>
      <c r="K207" s="6">
        <v>140794.14000000004</v>
      </c>
    </row>
    <row r="208" spans="1:11" x14ac:dyDescent="0.25">
      <c r="A208" s="5" t="s">
        <v>823</v>
      </c>
      <c r="B208" s="6">
        <f t="shared" si="3"/>
        <v>108.14009000000001</v>
      </c>
      <c r="C208" s="7" t="s">
        <v>493</v>
      </c>
      <c r="D208" s="7" t="s">
        <v>491</v>
      </c>
      <c r="E208" s="7" t="s">
        <v>0</v>
      </c>
      <c r="F208" s="8">
        <v>100.71212000000006</v>
      </c>
      <c r="G208" s="7" t="s">
        <v>335</v>
      </c>
      <c r="H208" s="7" t="s">
        <v>337</v>
      </c>
      <c r="I208" s="6">
        <v>525.03</v>
      </c>
      <c r="J208" s="6">
        <v>108140.09000000001</v>
      </c>
      <c r="K208" s="6">
        <v>140426.97000000003</v>
      </c>
    </row>
    <row r="209" spans="1:11" x14ac:dyDescent="0.25">
      <c r="A209" s="5" t="s">
        <v>823</v>
      </c>
      <c r="B209" s="6">
        <f t="shared" si="3"/>
        <v>108.66512000000002</v>
      </c>
      <c r="C209" s="7" t="s">
        <v>491</v>
      </c>
      <c r="D209" s="7" t="s">
        <v>489</v>
      </c>
      <c r="E209" s="7" t="s">
        <v>0</v>
      </c>
      <c r="F209" s="8">
        <v>101.33712000000006</v>
      </c>
      <c r="G209" s="7" t="s">
        <v>337</v>
      </c>
      <c r="H209" s="7" t="s">
        <v>339</v>
      </c>
      <c r="I209" s="6">
        <v>269.54000000000002</v>
      </c>
      <c r="J209" s="6">
        <v>108665.12000000001</v>
      </c>
      <c r="K209" s="6">
        <v>139901.94000000003</v>
      </c>
    </row>
    <row r="210" spans="1:11" x14ac:dyDescent="0.25">
      <c r="A210" s="5" t="s">
        <v>823</v>
      </c>
      <c r="B210" s="6">
        <f t="shared" si="3"/>
        <v>108.93466000000001</v>
      </c>
      <c r="C210" s="7" t="s">
        <v>489</v>
      </c>
      <c r="D210" s="7" t="s">
        <v>487</v>
      </c>
      <c r="E210" s="7" t="s">
        <v>0</v>
      </c>
      <c r="F210" s="8">
        <v>101.85712000000005</v>
      </c>
      <c r="G210" s="7" t="s">
        <v>339</v>
      </c>
      <c r="H210" s="7" t="s">
        <v>341</v>
      </c>
      <c r="I210" s="6">
        <v>322.14999999999998</v>
      </c>
      <c r="J210" s="6">
        <v>108934.66</v>
      </c>
      <c r="K210" s="6">
        <v>139632.40000000002</v>
      </c>
    </row>
    <row r="211" spans="1:11" x14ac:dyDescent="0.25">
      <c r="A211" s="5" t="s">
        <v>823</v>
      </c>
      <c r="B211" s="6">
        <f t="shared" si="3"/>
        <v>109.25681</v>
      </c>
      <c r="C211" s="7" t="s">
        <v>487</v>
      </c>
      <c r="D211" s="7" t="s">
        <v>485</v>
      </c>
      <c r="E211" s="7" t="s">
        <v>0</v>
      </c>
      <c r="F211" s="8">
        <v>102.32875000000006</v>
      </c>
      <c r="G211" s="7" t="s">
        <v>341</v>
      </c>
      <c r="H211" s="7" t="s">
        <v>343</v>
      </c>
      <c r="I211" s="6">
        <v>924.77</v>
      </c>
      <c r="J211" s="6">
        <v>109256.81</v>
      </c>
      <c r="K211" s="6">
        <v>139310.25000000003</v>
      </c>
    </row>
    <row r="212" spans="1:11" x14ac:dyDescent="0.25">
      <c r="A212" s="5" t="s">
        <v>823</v>
      </c>
      <c r="B212" s="6">
        <f t="shared" si="3"/>
        <v>110.18158</v>
      </c>
      <c r="C212" s="7" t="s">
        <v>485</v>
      </c>
      <c r="D212" s="7" t="s">
        <v>483</v>
      </c>
      <c r="E212" s="7" t="s">
        <v>0</v>
      </c>
      <c r="F212" s="8">
        <v>103.04212000000005</v>
      </c>
      <c r="G212" s="7" t="s">
        <v>343</v>
      </c>
      <c r="H212" s="7" t="s">
        <v>345</v>
      </c>
      <c r="I212" s="6">
        <v>420</v>
      </c>
      <c r="J212" s="6">
        <v>110181.58</v>
      </c>
      <c r="K212" s="6">
        <v>138385.48000000004</v>
      </c>
    </row>
    <row r="213" spans="1:11" x14ac:dyDescent="0.25">
      <c r="A213" s="5" t="s">
        <v>823</v>
      </c>
      <c r="B213" s="6">
        <f t="shared" si="3"/>
        <v>110.60158</v>
      </c>
      <c r="C213" s="7" t="s">
        <v>483</v>
      </c>
      <c r="D213" s="7" t="s">
        <v>481</v>
      </c>
      <c r="E213" s="7" t="s">
        <v>0</v>
      </c>
      <c r="F213" s="8">
        <v>103.63212000000006</v>
      </c>
      <c r="G213" s="7" t="s">
        <v>345</v>
      </c>
      <c r="H213" s="7" t="s">
        <v>347</v>
      </c>
      <c r="I213" s="6">
        <v>710</v>
      </c>
      <c r="J213" s="6">
        <v>110601.58</v>
      </c>
      <c r="K213" s="6">
        <v>137965.48000000004</v>
      </c>
    </row>
    <row r="214" spans="1:11" x14ac:dyDescent="0.25">
      <c r="A214" s="5" t="s">
        <v>823</v>
      </c>
      <c r="B214" s="6">
        <f t="shared" si="3"/>
        <v>111.31158000000001</v>
      </c>
      <c r="C214" s="7" t="s">
        <v>481</v>
      </c>
      <c r="D214" s="7" t="s">
        <v>479</v>
      </c>
      <c r="E214" s="7" t="s">
        <v>0</v>
      </c>
      <c r="F214" s="8">
        <v>104.09712000000005</v>
      </c>
      <c r="G214" s="7" t="s">
        <v>347</v>
      </c>
      <c r="H214" s="7" t="s">
        <v>349</v>
      </c>
      <c r="I214" s="6">
        <v>470</v>
      </c>
      <c r="J214" s="6">
        <v>111311.58</v>
      </c>
      <c r="K214" s="6">
        <v>137255.48000000004</v>
      </c>
    </row>
    <row r="215" spans="1:11" x14ac:dyDescent="0.25">
      <c r="A215" s="5" t="s">
        <v>823</v>
      </c>
      <c r="B215" s="6">
        <f t="shared" si="3"/>
        <v>111.78158000000001</v>
      </c>
      <c r="C215" s="7" t="s">
        <v>479</v>
      </c>
      <c r="D215" s="7" t="s">
        <v>477</v>
      </c>
      <c r="E215" s="7" t="s">
        <v>0</v>
      </c>
      <c r="F215" s="8">
        <v>104.48712000000005</v>
      </c>
      <c r="G215" s="7" t="s">
        <v>349</v>
      </c>
      <c r="H215" s="7" t="s">
        <v>351</v>
      </c>
      <c r="I215" s="6">
        <v>485</v>
      </c>
      <c r="J215" s="6">
        <v>111781.58</v>
      </c>
      <c r="K215" s="6">
        <v>136785.48000000004</v>
      </c>
    </row>
    <row r="216" spans="1:11" x14ac:dyDescent="0.25">
      <c r="A216" s="5" t="s">
        <v>823</v>
      </c>
      <c r="B216" s="6">
        <f t="shared" si="3"/>
        <v>112.26658</v>
      </c>
      <c r="C216" s="7" t="s">
        <v>477</v>
      </c>
      <c r="D216" s="7" t="s">
        <v>475</v>
      </c>
      <c r="E216" s="7" t="s">
        <v>0</v>
      </c>
      <c r="F216" s="8">
        <v>105.07712000000005</v>
      </c>
      <c r="G216" s="7" t="s">
        <v>351</v>
      </c>
      <c r="H216" s="7" t="s">
        <v>353</v>
      </c>
      <c r="I216" s="6">
        <v>500</v>
      </c>
      <c r="J216" s="6">
        <v>112266.58</v>
      </c>
      <c r="K216" s="6">
        <v>136300.48000000004</v>
      </c>
    </row>
    <row r="217" spans="1:11" x14ac:dyDescent="0.25">
      <c r="A217" s="5" t="s">
        <v>823</v>
      </c>
      <c r="B217" s="6">
        <f t="shared" si="3"/>
        <v>112.76658</v>
      </c>
      <c r="C217" s="7" t="s">
        <v>475</v>
      </c>
      <c r="D217" s="7" t="s">
        <v>473</v>
      </c>
      <c r="E217" s="7" t="s">
        <v>0</v>
      </c>
      <c r="F217" s="8">
        <v>105.68712000000005</v>
      </c>
      <c r="G217" s="7" t="s">
        <v>353</v>
      </c>
      <c r="H217" s="7" t="s">
        <v>355</v>
      </c>
      <c r="I217" s="6">
        <v>475</v>
      </c>
      <c r="J217" s="6">
        <v>112766.58</v>
      </c>
      <c r="K217" s="6">
        <v>135800.48000000004</v>
      </c>
    </row>
    <row r="218" spans="1:11" x14ac:dyDescent="0.25">
      <c r="A218" s="5" t="s">
        <v>823</v>
      </c>
      <c r="B218" s="6">
        <f t="shared" si="3"/>
        <v>113.24158</v>
      </c>
      <c r="C218" s="7" t="s">
        <v>473</v>
      </c>
      <c r="D218" s="7" t="s">
        <v>471</v>
      </c>
      <c r="E218" s="7" t="s">
        <v>0</v>
      </c>
      <c r="F218" s="8">
        <v>106.20212000000005</v>
      </c>
      <c r="G218" s="7" t="s">
        <v>355</v>
      </c>
      <c r="H218" s="7" t="s">
        <v>357</v>
      </c>
      <c r="I218" s="6">
        <v>645</v>
      </c>
      <c r="J218" s="6">
        <v>113241.58</v>
      </c>
      <c r="K218" s="6">
        <v>135325.48000000004</v>
      </c>
    </row>
    <row r="219" spans="1:11" x14ac:dyDescent="0.25">
      <c r="A219" s="5" t="s">
        <v>823</v>
      </c>
      <c r="B219" s="6">
        <f t="shared" si="3"/>
        <v>113.88658</v>
      </c>
      <c r="C219" s="7" t="s">
        <v>471</v>
      </c>
      <c r="D219" s="7" t="s">
        <v>469</v>
      </c>
      <c r="E219" s="7" t="s">
        <v>0</v>
      </c>
      <c r="F219" s="8">
        <v>106.55712000000005</v>
      </c>
      <c r="G219" s="7" t="s">
        <v>357</v>
      </c>
      <c r="H219" s="7" t="s">
        <v>359</v>
      </c>
      <c r="I219" s="6">
        <v>510</v>
      </c>
      <c r="J219" s="6">
        <v>113886.58</v>
      </c>
      <c r="K219" s="6">
        <v>134680.48000000004</v>
      </c>
    </row>
    <row r="220" spans="1:11" x14ac:dyDescent="0.25">
      <c r="A220" s="5" t="s">
        <v>823</v>
      </c>
      <c r="B220" s="6">
        <f t="shared" si="3"/>
        <v>114.39658</v>
      </c>
      <c r="C220" s="7" t="s">
        <v>469</v>
      </c>
      <c r="D220" s="7" t="s">
        <v>467</v>
      </c>
      <c r="E220" s="7" t="s">
        <v>0</v>
      </c>
      <c r="F220" s="8">
        <v>106.99712000000005</v>
      </c>
      <c r="G220" s="7" t="s">
        <v>359</v>
      </c>
      <c r="H220" s="7" t="s">
        <v>361</v>
      </c>
      <c r="I220" s="6">
        <v>635</v>
      </c>
      <c r="J220" s="6">
        <v>114396.58</v>
      </c>
      <c r="K220" s="6">
        <v>134170.48000000004</v>
      </c>
    </row>
    <row r="221" spans="1:11" x14ac:dyDescent="0.25">
      <c r="A221" s="5" t="s">
        <v>823</v>
      </c>
      <c r="B221" s="6">
        <f t="shared" si="3"/>
        <v>115.03158000000001</v>
      </c>
      <c r="C221" s="7" t="s">
        <v>467</v>
      </c>
      <c r="D221" s="7" t="s">
        <v>465</v>
      </c>
      <c r="E221" s="7" t="s">
        <v>0</v>
      </c>
      <c r="F221" s="8">
        <v>107.35712000000005</v>
      </c>
      <c r="G221" s="7" t="s">
        <v>361</v>
      </c>
      <c r="H221" s="7" t="s">
        <v>363</v>
      </c>
      <c r="I221" s="6">
        <v>540</v>
      </c>
      <c r="J221" s="6">
        <v>115031.58</v>
      </c>
      <c r="K221" s="6">
        <v>133535.48000000004</v>
      </c>
    </row>
    <row r="222" spans="1:11" x14ac:dyDescent="0.25">
      <c r="A222" s="5" t="s">
        <v>823</v>
      </c>
      <c r="B222" s="6">
        <f t="shared" si="3"/>
        <v>115.57158</v>
      </c>
      <c r="C222" s="7" t="s">
        <v>465</v>
      </c>
      <c r="D222" s="7" t="s">
        <v>463</v>
      </c>
      <c r="E222" s="7" t="s">
        <v>0</v>
      </c>
      <c r="F222" s="8">
        <v>107.85212000000006</v>
      </c>
      <c r="G222" s="7" t="s">
        <v>363</v>
      </c>
      <c r="H222" s="7" t="s">
        <v>365</v>
      </c>
      <c r="I222" s="6">
        <v>645</v>
      </c>
      <c r="J222" s="6">
        <v>115571.58</v>
      </c>
      <c r="K222" s="6">
        <v>132995.48000000004</v>
      </c>
    </row>
    <row r="223" spans="1:11" x14ac:dyDescent="0.25">
      <c r="A223" s="5" t="s">
        <v>823</v>
      </c>
      <c r="B223" s="6">
        <f t="shared" si="3"/>
        <v>116.21658000000001</v>
      </c>
      <c r="C223" s="7" t="s">
        <v>463</v>
      </c>
      <c r="D223" s="7" t="s">
        <v>461</v>
      </c>
      <c r="E223" s="7" t="s">
        <v>0</v>
      </c>
      <c r="F223" s="8">
        <v>108.16212000000006</v>
      </c>
      <c r="G223" s="7" t="s">
        <v>365</v>
      </c>
      <c r="H223" s="7" t="s">
        <v>367</v>
      </c>
      <c r="I223" s="6">
        <v>465</v>
      </c>
      <c r="J223" s="6">
        <v>116216.58</v>
      </c>
      <c r="K223" s="6">
        <v>132350.48000000004</v>
      </c>
    </row>
    <row r="224" spans="1:11" x14ac:dyDescent="0.25">
      <c r="A224" s="5" t="s">
        <v>823</v>
      </c>
      <c r="B224" s="6">
        <f t="shared" si="3"/>
        <v>116.68158</v>
      </c>
      <c r="C224" s="7" t="s">
        <v>461</v>
      </c>
      <c r="D224" s="7" t="s">
        <v>459</v>
      </c>
      <c r="E224" s="7" t="s">
        <v>0</v>
      </c>
      <c r="F224" s="8">
        <v>108.73212000000005</v>
      </c>
      <c r="G224" s="7" t="s">
        <v>367</v>
      </c>
      <c r="H224" s="7" t="s">
        <v>369</v>
      </c>
      <c r="I224" s="6">
        <v>474.08</v>
      </c>
      <c r="J224" s="6">
        <v>116681.58</v>
      </c>
      <c r="K224" s="6">
        <v>131885.48000000004</v>
      </c>
    </row>
    <row r="225" spans="1:11" x14ac:dyDescent="0.25">
      <c r="A225" s="5" t="s">
        <v>823</v>
      </c>
      <c r="B225" s="6">
        <f t="shared" si="3"/>
        <v>117.15566</v>
      </c>
      <c r="C225" s="7" t="s">
        <v>459</v>
      </c>
      <c r="D225" s="7" t="s">
        <v>457</v>
      </c>
      <c r="E225" s="7" t="s">
        <v>0</v>
      </c>
      <c r="F225" s="8">
        <v>109.19212000000006</v>
      </c>
      <c r="G225" s="7" t="s">
        <v>369</v>
      </c>
      <c r="H225" s="7" t="s">
        <v>371</v>
      </c>
      <c r="I225" s="6">
        <v>550</v>
      </c>
      <c r="J225" s="6">
        <v>117155.66</v>
      </c>
      <c r="K225" s="6">
        <v>131411.40000000005</v>
      </c>
    </row>
    <row r="226" spans="1:11" x14ac:dyDescent="0.25">
      <c r="A226" s="5" t="s">
        <v>823</v>
      </c>
      <c r="B226" s="6">
        <f t="shared" si="3"/>
        <v>117.70566000000001</v>
      </c>
      <c r="C226" s="7" t="s">
        <v>457</v>
      </c>
      <c r="D226" s="7" t="s">
        <v>455</v>
      </c>
      <c r="E226" s="7" t="s">
        <v>0</v>
      </c>
      <c r="F226" s="8">
        <v>109.57712000000005</v>
      </c>
      <c r="G226" s="7" t="s">
        <v>371</v>
      </c>
      <c r="H226" s="7" t="s">
        <v>373</v>
      </c>
      <c r="I226" s="6">
        <v>530</v>
      </c>
      <c r="J226" s="6">
        <v>117705.66</v>
      </c>
      <c r="K226" s="6">
        <v>130861.40000000005</v>
      </c>
    </row>
    <row r="227" spans="1:11" x14ac:dyDescent="0.25">
      <c r="A227" s="5" t="s">
        <v>823</v>
      </c>
      <c r="B227" s="6">
        <f t="shared" si="3"/>
        <v>118.23566000000001</v>
      </c>
      <c r="C227" s="7" t="s">
        <v>455</v>
      </c>
      <c r="D227" s="7" t="s">
        <v>453</v>
      </c>
      <c r="E227" s="7" t="s">
        <v>0</v>
      </c>
      <c r="F227" s="8">
        <v>110.05640000000005</v>
      </c>
      <c r="G227" s="7" t="s">
        <v>373</v>
      </c>
      <c r="H227" s="7" t="s">
        <v>375</v>
      </c>
      <c r="I227" s="6">
        <v>500</v>
      </c>
      <c r="J227" s="6">
        <v>118235.66</v>
      </c>
      <c r="K227" s="6">
        <v>130331.40000000005</v>
      </c>
    </row>
    <row r="228" spans="1:11" x14ac:dyDescent="0.25">
      <c r="A228" s="5" t="s">
        <v>823</v>
      </c>
      <c r="B228" s="6">
        <f t="shared" si="3"/>
        <v>118.73566000000001</v>
      </c>
      <c r="C228" s="7" t="s">
        <v>453</v>
      </c>
      <c r="D228" s="7" t="s">
        <v>451</v>
      </c>
      <c r="E228" s="7" t="s">
        <v>0</v>
      </c>
      <c r="F228" s="8">
        <v>110.40712000000005</v>
      </c>
      <c r="G228" s="7" t="s">
        <v>375</v>
      </c>
      <c r="H228" s="7" t="s">
        <v>377</v>
      </c>
      <c r="I228" s="6">
        <v>680</v>
      </c>
      <c r="J228" s="6">
        <v>118735.66</v>
      </c>
      <c r="K228" s="6">
        <v>129831.40000000005</v>
      </c>
    </row>
    <row r="229" spans="1:11" x14ac:dyDescent="0.25">
      <c r="A229" s="5" t="s">
        <v>823</v>
      </c>
      <c r="B229" s="6">
        <f t="shared" si="3"/>
        <v>119.41566</v>
      </c>
      <c r="C229" s="7" t="s">
        <v>451</v>
      </c>
      <c r="D229" s="7" t="s">
        <v>449</v>
      </c>
      <c r="E229" s="7" t="s">
        <v>0</v>
      </c>
      <c r="F229" s="8">
        <v>110.81062000000006</v>
      </c>
      <c r="G229" s="7" t="s">
        <v>377</v>
      </c>
      <c r="H229" s="7" t="s">
        <v>379</v>
      </c>
      <c r="I229" s="6">
        <v>670</v>
      </c>
      <c r="J229" s="6">
        <v>119415.66</v>
      </c>
      <c r="K229" s="6">
        <v>129151.40000000005</v>
      </c>
    </row>
    <row r="230" spans="1:11" x14ac:dyDescent="0.25">
      <c r="A230" s="5" t="s">
        <v>823</v>
      </c>
      <c r="B230" s="6">
        <f t="shared" si="3"/>
        <v>120.08566</v>
      </c>
      <c r="C230" s="7" t="s">
        <v>449</v>
      </c>
      <c r="D230" s="7" t="s">
        <v>447</v>
      </c>
      <c r="E230" s="7" t="s">
        <v>0</v>
      </c>
      <c r="F230" s="8">
        <v>111.28212000000005</v>
      </c>
      <c r="G230" s="7" t="s">
        <v>379</v>
      </c>
      <c r="H230" s="7" t="s">
        <v>381</v>
      </c>
      <c r="I230" s="6">
        <v>390</v>
      </c>
      <c r="J230" s="6">
        <v>120085.66</v>
      </c>
      <c r="K230" s="6">
        <v>128481.40000000005</v>
      </c>
    </row>
    <row r="231" spans="1:11" x14ac:dyDescent="0.25">
      <c r="A231" s="5" t="s">
        <v>823</v>
      </c>
      <c r="B231" s="6">
        <f t="shared" si="3"/>
        <v>120.47566</v>
      </c>
      <c r="C231" s="7" t="s">
        <v>447</v>
      </c>
      <c r="D231" s="7" t="s">
        <v>445</v>
      </c>
      <c r="E231" s="7" t="s">
        <v>0</v>
      </c>
      <c r="F231" s="8">
        <v>111.51493000000005</v>
      </c>
      <c r="G231" s="7" t="s">
        <v>381</v>
      </c>
      <c r="H231" s="7" t="s">
        <v>383</v>
      </c>
      <c r="I231" s="6">
        <v>360</v>
      </c>
      <c r="J231" s="6">
        <v>120475.66</v>
      </c>
      <c r="K231" s="6">
        <v>128091.40000000005</v>
      </c>
    </row>
    <row r="232" spans="1:11" x14ac:dyDescent="0.25">
      <c r="A232" s="5" t="s">
        <v>823</v>
      </c>
      <c r="B232" s="6">
        <f t="shared" si="3"/>
        <v>120.83566</v>
      </c>
      <c r="C232" s="7" t="s">
        <v>445</v>
      </c>
      <c r="D232" s="7" t="s">
        <v>443</v>
      </c>
      <c r="E232" s="7" t="s">
        <v>0</v>
      </c>
      <c r="F232" s="8">
        <v>112.23493000000005</v>
      </c>
      <c r="G232" s="7" t="s">
        <v>383</v>
      </c>
      <c r="H232" s="7" t="s">
        <v>385</v>
      </c>
      <c r="I232" s="6">
        <v>780</v>
      </c>
      <c r="J232" s="6">
        <v>120835.66</v>
      </c>
      <c r="K232" s="6">
        <v>127731.40000000005</v>
      </c>
    </row>
    <row r="233" spans="1:11" x14ac:dyDescent="0.25">
      <c r="A233" s="5" t="s">
        <v>823</v>
      </c>
      <c r="B233" s="6">
        <f t="shared" si="3"/>
        <v>121.61566000000001</v>
      </c>
      <c r="C233" s="7" t="s">
        <v>443</v>
      </c>
      <c r="D233" s="7" t="s">
        <v>441</v>
      </c>
      <c r="E233" s="7" t="s">
        <v>0</v>
      </c>
      <c r="F233" s="8">
        <v>112.90133000000004</v>
      </c>
      <c r="G233" s="7" t="s">
        <v>385</v>
      </c>
      <c r="H233" s="7" t="s">
        <v>387</v>
      </c>
      <c r="I233" s="6">
        <v>395</v>
      </c>
      <c r="J233" s="6">
        <v>121615.66</v>
      </c>
      <c r="K233" s="6">
        <v>126951.40000000005</v>
      </c>
    </row>
    <row r="234" spans="1:11" x14ac:dyDescent="0.25">
      <c r="A234" s="5" t="s">
        <v>823</v>
      </c>
      <c r="B234" s="6">
        <f t="shared" si="3"/>
        <v>122.01066</v>
      </c>
      <c r="C234" s="7" t="s">
        <v>441</v>
      </c>
      <c r="D234" s="7" t="s">
        <v>439</v>
      </c>
      <c r="E234" s="7" t="s">
        <v>0</v>
      </c>
      <c r="F234" s="8">
        <v>113.42493000000005</v>
      </c>
      <c r="G234" s="7" t="s">
        <v>387</v>
      </c>
      <c r="H234" s="7" t="s">
        <v>389</v>
      </c>
      <c r="I234" s="6">
        <v>330</v>
      </c>
      <c r="J234" s="6">
        <v>122010.66</v>
      </c>
      <c r="K234" s="6">
        <v>126556.40000000005</v>
      </c>
    </row>
    <row r="235" spans="1:11" x14ac:dyDescent="0.25">
      <c r="A235" s="5" t="s">
        <v>823</v>
      </c>
      <c r="B235" s="6">
        <f t="shared" si="3"/>
        <v>122.34066</v>
      </c>
      <c r="C235" s="7" t="s">
        <v>439</v>
      </c>
      <c r="D235" s="7" t="s">
        <v>437</v>
      </c>
      <c r="E235" s="7" t="s">
        <v>828</v>
      </c>
      <c r="F235" s="8">
        <v>114.07993000000005</v>
      </c>
      <c r="G235" s="7" t="s">
        <v>389</v>
      </c>
      <c r="H235" s="7" t="s">
        <v>391</v>
      </c>
      <c r="I235" s="6">
        <v>295</v>
      </c>
      <c r="J235" s="6">
        <v>122340.66</v>
      </c>
      <c r="K235" s="6">
        <v>126226.40000000005</v>
      </c>
    </row>
    <row r="236" spans="1:11" x14ac:dyDescent="0.25">
      <c r="A236" s="5" t="s">
        <v>823</v>
      </c>
      <c r="B236" s="6">
        <f t="shared" si="3"/>
        <v>122.63566</v>
      </c>
      <c r="C236" s="7" t="s">
        <v>437</v>
      </c>
      <c r="D236" s="7" t="s">
        <v>435</v>
      </c>
      <c r="E236" s="7" t="s">
        <v>829</v>
      </c>
      <c r="F236" s="8">
        <v>114.69993000000005</v>
      </c>
      <c r="G236" s="7" t="s">
        <v>391</v>
      </c>
      <c r="H236" s="7" t="s">
        <v>393</v>
      </c>
      <c r="I236" s="6">
        <v>721.47</v>
      </c>
      <c r="J236" s="6">
        <v>122635.66</v>
      </c>
      <c r="K236" s="6">
        <v>125931.40000000005</v>
      </c>
    </row>
    <row r="237" spans="1:11" x14ac:dyDescent="0.25">
      <c r="A237" s="5" t="s">
        <v>823</v>
      </c>
      <c r="B237" s="6">
        <f t="shared" si="3"/>
        <v>123.35713</v>
      </c>
      <c r="C237" s="7" t="s">
        <v>435</v>
      </c>
      <c r="D237" s="7" t="s">
        <v>433</v>
      </c>
      <c r="E237" s="7" t="s">
        <v>829</v>
      </c>
      <c r="F237" s="8">
        <v>114.94993000000005</v>
      </c>
      <c r="G237" s="7" t="s">
        <v>393</v>
      </c>
      <c r="H237" s="7" t="s">
        <v>395</v>
      </c>
      <c r="I237" s="6">
        <v>470</v>
      </c>
      <c r="J237" s="6">
        <v>123357.13</v>
      </c>
      <c r="K237" s="6">
        <v>125209.93000000005</v>
      </c>
    </row>
    <row r="238" spans="1:11" x14ac:dyDescent="0.25">
      <c r="A238" s="5" t="s">
        <v>823</v>
      </c>
      <c r="B238" s="6">
        <f t="shared" si="3"/>
        <v>123.82713000000001</v>
      </c>
      <c r="C238" s="7" t="s">
        <v>433</v>
      </c>
      <c r="D238" s="7" t="s">
        <v>431</v>
      </c>
      <c r="E238" s="7" t="s">
        <v>829</v>
      </c>
      <c r="F238" s="8">
        <v>115.46993000000005</v>
      </c>
      <c r="G238" s="7" t="s">
        <v>395</v>
      </c>
      <c r="H238" s="7" t="s">
        <v>397</v>
      </c>
      <c r="I238" s="6">
        <v>310</v>
      </c>
      <c r="J238" s="6">
        <v>123827.13</v>
      </c>
      <c r="K238" s="6">
        <v>124739.93000000005</v>
      </c>
    </row>
    <row r="239" spans="1:11" x14ac:dyDescent="0.25">
      <c r="A239" s="5" t="s">
        <v>823</v>
      </c>
      <c r="B239" s="6">
        <f t="shared" si="3"/>
        <v>124.13713</v>
      </c>
      <c r="C239" s="7" t="s">
        <v>431</v>
      </c>
      <c r="D239" s="7" t="s">
        <v>429</v>
      </c>
      <c r="E239" s="7" t="s">
        <v>829</v>
      </c>
      <c r="F239" s="8">
        <v>116.00493000000004</v>
      </c>
      <c r="G239" s="7" t="s">
        <v>397</v>
      </c>
      <c r="H239" s="7" t="s">
        <v>399</v>
      </c>
      <c r="I239" s="6">
        <v>690</v>
      </c>
      <c r="J239" s="6">
        <v>124137.13</v>
      </c>
      <c r="K239" s="6">
        <v>124429.93000000005</v>
      </c>
    </row>
    <row r="240" spans="1:11" x14ac:dyDescent="0.25">
      <c r="A240" s="5" t="s">
        <v>823</v>
      </c>
      <c r="B240" s="6">
        <f t="shared" si="3"/>
        <v>124.82713000000001</v>
      </c>
      <c r="C240" s="7" t="s">
        <v>429</v>
      </c>
      <c r="D240" s="7" t="s">
        <v>427</v>
      </c>
      <c r="E240" s="7" t="s">
        <v>829</v>
      </c>
      <c r="F240" s="8">
        <v>116.38993000000005</v>
      </c>
      <c r="G240" s="7" t="s">
        <v>399</v>
      </c>
      <c r="H240" s="7" t="s">
        <v>401</v>
      </c>
      <c r="I240" s="6">
        <v>495</v>
      </c>
      <c r="J240" s="6">
        <v>124827.13</v>
      </c>
      <c r="K240" s="6">
        <v>123739.93000000005</v>
      </c>
    </row>
    <row r="241" spans="1:11" x14ac:dyDescent="0.25">
      <c r="A241" s="5" t="s">
        <v>823</v>
      </c>
      <c r="B241" s="6">
        <f t="shared" si="3"/>
        <v>125.32213</v>
      </c>
      <c r="C241" s="7" t="s">
        <v>427</v>
      </c>
      <c r="D241" s="7" t="s">
        <v>425</v>
      </c>
      <c r="E241" s="7" t="s">
        <v>829</v>
      </c>
      <c r="F241" s="8">
        <v>116.81993000000006</v>
      </c>
      <c r="G241" s="7" t="s">
        <v>401</v>
      </c>
      <c r="H241" s="7" t="s">
        <v>403</v>
      </c>
      <c r="I241" s="6">
        <v>675</v>
      </c>
      <c r="J241" s="6">
        <v>125322.13</v>
      </c>
      <c r="K241" s="6">
        <v>123244.93000000005</v>
      </c>
    </row>
    <row r="242" spans="1:11" x14ac:dyDescent="0.25">
      <c r="A242" s="5" t="s">
        <v>823</v>
      </c>
      <c r="B242" s="6">
        <f t="shared" si="3"/>
        <v>125.99713</v>
      </c>
      <c r="C242" s="7" t="s">
        <v>425</v>
      </c>
      <c r="D242" s="7" t="s">
        <v>423</v>
      </c>
      <c r="E242" s="7" t="s">
        <v>829</v>
      </c>
      <c r="F242" s="8">
        <v>117.12493000000005</v>
      </c>
      <c r="G242" s="7" t="s">
        <v>403</v>
      </c>
      <c r="H242" s="7" t="s">
        <v>405</v>
      </c>
      <c r="I242" s="6">
        <v>515</v>
      </c>
      <c r="J242" s="6">
        <v>125997.13</v>
      </c>
      <c r="K242" s="6">
        <v>122569.93000000005</v>
      </c>
    </row>
    <row r="243" spans="1:11" x14ac:dyDescent="0.25">
      <c r="A243" s="5" t="s">
        <v>823</v>
      </c>
      <c r="B243" s="6">
        <f t="shared" si="3"/>
        <v>126.51213</v>
      </c>
      <c r="C243" s="7" t="s">
        <v>423</v>
      </c>
      <c r="D243" s="7" t="s">
        <v>421</v>
      </c>
      <c r="E243" s="7" t="s">
        <v>829</v>
      </c>
      <c r="F243" s="8">
        <v>117.57993000000005</v>
      </c>
      <c r="G243" s="7" t="s">
        <v>405</v>
      </c>
      <c r="H243" s="7" t="s">
        <v>407</v>
      </c>
      <c r="I243" s="6">
        <v>485</v>
      </c>
      <c r="J243" s="6">
        <v>126512.13</v>
      </c>
      <c r="K243" s="6">
        <v>122054.93000000005</v>
      </c>
    </row>
    <row r="244" spans="1:11" x14ac:dyDescent="0.25">
      <c r="A244" s="5" t="s">
        <v>823</v>
      </c>
      <c r="B244" s="6">
        <f t="shared" si="3"/>
        <v>126.99713</v>
      </c>
      <c r="C244" s="7" t="s">
        <v>421</v>
      </c>
      <c r="D244" s="7" t="s">
        <v>419</v>
      </c>
      <c r="E244" s="7" t="s">
        <v>829</v>
      </c>
      <c r="F244" s="8">
        <v>118.12143000000005</v>
      </c>
      <c r="G244" s="7" t="s">
        <v>407</v>
      </c>
      <c r="H244" s="7" t="s">
        <v>409</v>
      </c>
      <c r="I244" s="6">
        <v>285</v>
      </c>
      <c r="J244" s="6">
        <v>126997.13</v>
      </c>
      <c r="K244" s="6">
        <v>121569.93000000005</v>
      </c>
    </row>
    <row r="245" spans="1:11" x14ac:dyDescent="0.25">
      <c r="A245" s="5" t="s">
        <v>823</v>
      </c>
      <c r="B245" s="6">
        <f t="shared" si="3"/>
        <v>127.28213000000001</v>
      </c>
      <c r="C245" s="7" t="s">
        <v>419</v>
      </c>
      <c r="D245" s="7" t="s">
        <v>417</v>
      </c>
      <c r="E245" s="7" t="s">
        <v>829</v>
      </c>
      <c r="F245" s="8">
        <v>118.82493000000005</v>
      </c>
      <c r="G245" s="7" t="s">
        <v>409</v>
      </c>
      <c r="H245" s="7" t="s">
        <v>411</v>
      </c>
      <c r="I245" s="6">
        <v>665</v>
      </c>
      <c r="J245" s="6">
        <v>127282.13</v>
      </c>
      <c r="K245" s="6">
        <v>121284.93000000005</v>
      </c>
    </row>
    <row r="246" spans="1:11" x14ac:dyDescent="0.25">
      <c r="A246" s="5" t="s">
        <v>823</v>
      </c>
      <c r="B246" s="6">
        <f t="shared" si="3"/>
        <v>127.94713</v>
      </c>
      <c r="C246" s="7" t="s">
        <v>417</v>
      </c>
      <c r="D246" s="7" t="s">
        <v>415</v>
      </c>
      <c r="E246" s="7" t="s">
        <v>829</v>
      </c>
      <c r="F246" s="8">
        <v>119.31993000000006</v>
      </c>
      <c r="G246" s="7" t="s">
        <v>411</v>
      </c>
      <c r="H246" s="7" t="s">
        <v>413</v>
      </c>
      <c r="I246" s="6">
        <v>385</v>
      </c>
      <c r="J246" s="6">
        <v>127947.13</v>
      </c>
      <c r="K246" s="6">
        <v>120619.93000000005</v>
      </c>
    </row>
    <row r="247" spans="1:11" x14ac:dyDescent="0.25">
      <c r="A247" s="5" t="s">
        <v>823</v>
      </c>
      <c r="B247" s="6">
        <f t="shared" si="3"/>
        <v>128.33213000000001</v>
      </c>
      <c r="C247" s="7" t="s">
        <v>415</v>
      </c>
      <c r="D247" s="7" t="s">
        <v>413</v>
      </c>
      <c r="E247" s="7" t="s">
        <v>829</v>
      </c>
      <c r="F247" s="8">
        <v>119.81493000000005</v>
      </c>
      <c r="G247" s="7" t="s">
        <v>413</v>
      </c>
      <c r="H247" s="7" t="s">
        <v>415</v>
      </c>
      <c r="I247" s="6">
        <v>420</v>
      </c>
      <c r="J247" s="6">
        <v>128332.13</v>
      </c>
      <c r="K247" s="6">
        <v>120234.93000000005</v>
      </c>
    </row>
    <row r="248" spans="1:11" x14ac:dyDescent="0.25">
      <c r="A248" s="5" t="s">
        <v>823</v>
      </c>
      <c r="B248" s="6">
        <f t="shared" si="3"/>
        <v>128.75212999999999</v>
      </c>
      <c r="C248" s="7" t="s">
        <v>413</v>
      </c>
      <c r="D248" s="7" t="s">
        <v>411</v>
      </c>
      <c r="E248" s="7" t="s">
        <v>829</v>
      </c>
      <c r="F248" s="8">
        <v>120.23493000000005</v>
      </c>
      <c r="G248" s="7" t="s">
        <v>415</v>
      </c>
      <c r="H248" s="7" t="s">
        <v>417</v>
      </c>
      <c r="I248" s="6">
        <v>495</v>
      </c>
      <c r="J248" s="6">
        <v>128752.13</v>
      </c>
      <c r="K248" s="6">
        <v>119814.93000000005</v>
      </c>
    </row>
    <row r="249" spans="1:11" x14ac:dyDescent="0.25">
      <c r="A249" s="5" t="s">
        <v>823</v>
      </c>
      <c r="B249" s="6">
        <f t="shared" si="3"/>
        <v>129.24713</v>
      </c>
      <c r="C249" s="7" t="s">
        <v>411</v>
      </c>
      <c r="D249" s="7" t="s">
        <v>409</v>
      </c>
      <c r="E249" s="7" t="s">
        <v>829</v>
      </c>
      <c r="F249" s="8">
        <v>120.61993000000005</v>
      </c>
      <c r="G249" s="7" t="s">
        <v>417</v>
      </c>
      <c r="H249" s="7" t="s">
        <v>419</v>
      </c>
      <c r="I249" s="6">
        <v>495</v>
      </c>
      <c r="J249" s="6">
        <v>129247.13</v>
      </c>
      <c r="K249" s="6">
        <v>119319.93000000005</v>
      </c>
    </row>
    <row r="250" spans="1:11" x14ac:dyDescent="0.25">
      <c r="A250" s="5" t="s">
        <v>823</v>
      </c>
      <c r="B250" s="6">
        <f t="shared" si="3"/>
        <v>129.74213</v>
      </c>
      <c r="C250" s="7" t="s">
        <v>409</v>
      </c>
      <c r="D250" s="7" t="s">
        <v>407</v>
      </c>
      <c r="E250" s="7" t="s">
        <v>829</v>
      </c>
      <c r="F250" s="8">
        <v>121.28493000000005</v>
      </c>
      <c r="G250" s="7" t="s">
        <v>419</v>
      </c>
      <c r="H250" s="7" t="s">
        <v>421</v>
      </c>
      <c r="I250" s="6">
        <v>703.5</v>
      </c>
      <c r="J250" s="6">
        <v>129742.13</v>
      </c>
      <c r="K250" s="6">
        <v>118824.93000000005</v>
      </c>
    </row>
    <row r="251" spans="1:11" x14ac:dyDescent="0.25">
      <c r="A251" s="5" t="s">
        <v>823</v>
      </c>
      <c r="B251" s="6">
        <f t="shared" si="3"/>
        <v>130.44562999999999</v>
      </c>
      <c r="C251" s="7" t="s">
        <v>407</v>
      </c>
      <c r="D251" s="7" t="s">
        <v>405</v>
      </c>
      <c r="E251" s="7" t="s">
        <v>829</v>
      </c>
      <c r="F251" s="8">
        <v>121.56993000000006</v>
      </c>
      <c r="G251" s="7" t="s">
        <v>421</v>
      </c>
      <c r="H251" s="7" t="s">
        <v>423</v>
      </c>
      <c r="I251" s="6">
        <v>541.5</v>
      </c>
      <c r="J251" s="6">
        <v>130445.63</v>
      </c>
      <c r="K251" s="6">
        <v>118121.43000000005</v>
      </c>
    </row>
    <row r="252" spans="1:11" x14ac:dyDescent="0.25">
      <c r="A252" s="5" t="s">
        <v>823</v>
      </c>
      <c r="B252" s="6">
        <f t="shared" si="3"/>
        <v>130.98713000000001</v>
      </c>
      <c r="C252" s="7" t="s">
        <v>405</v>
      </c>
      <c r="D252" s="7" t="s">
        <v>403</v>
      </c>
      <c r="E252" s="7" t="s">
        <v>829</v>
      </c>
      <c r="F252" s="8">
        <v>122.05493000000006</v>
      </c>
      <c r="G252" s="7" t="s">
        <v>423</v>
      </c>
      <c r="H252" s="7" t="s">
        <v>425</v>
      </c>
      <c r="I252" s="6">
        <v>455</v>
      </c>
      <c r="J252" s="6">
        <v>130987.13</v>
      </c>
      <c r="K252" s="6">
        <v>117579.93000000005</v>
      </c>
    </row>
    <row r="253" spans="1:11" x14ac:dyDescent="0.25">
      <c r="A253" s="5" t="s">
        <v>823</v>
      </c>
      <c r="B253" s="6">
        <f t="shared" si="3"/>
        <v>131.44212999999999</v>
      </c>
      <c r="C253" s="7" t="s">
        <v>403</v>
      </c>
      <c r="D253" s="7" t="s">
        <v>401</v>
      </c>
      <c r="E253" s="7" t="s">
        <v>829</v>
      </c>
      <c r="F253" s="8">
        <v>122.56993000000006</v>
      </c>
      <c r="G253" s="7" t="s">
        <v>425</v>
      </c>
      <c r="H253" s="7" t="s">
        <v>427</v>
      </c>
      <c r="I253" s="6">
        <v>305</v>
      </c>
      <c r="J253" s="6">
        <v>131442.13</v>
      </c>
      <c r="K253" s="6">
        <v>117124.93000000005</v>
      </c>
    </row>
    <row r="254" spans="1:11" x14ac:dyDescent="0.25">
      <c r="A254" s="5" t="s">
        <v>823</v>
      </c>
      <c r="B254" s="6">
        <f t="shared" si="3"/>
        <v>131.74713</v>
      </c>
      <c r="C254" s="7" t="s">
        <v>401</v>
      </c>
      <c r="D254" s="7" t="s">
        <v>399</v>
      </c>
      <c r="E254" s="7" t="s">
        <v>829</v>
      </c>
      <c r="F254" s="8">
        <v>123.24493000000005</v>
      </c>
      <c r="G254" s="7" t="s">
        <v>427</v>
      </c>
      <c r="H254" s="7" t="s">
        <v>429</v>
      </c>
      <c r="I254" s="6">
        <v>430</v>
      </c>
      <c r="J254" s="6">
        <v>131747.13</v>
      </c>
      <c r="K254" s="6">
        <v>116819.93000000005</v>
      </c>
    </row>
    <row r="255" spans="1:11" x14ac:dyDescent="0.25">
      <c r="A255" s="5" t="s">
        <v>823</v>
      </c>
      <c r="B255" s="6">
        <f t="shared" si="3"/>
        <v>132.17713000000001</v>
      </c>
      <c r="C255" s="7" t="s">
        <v>399</v>
      </c>
      <c r="D255" s="7" t="s">
        <v>397</v>
      </c>
      <c r="E255" s="7" t="s">
        <v>829</v>
      </c>
      <c r="F255" s="8">
        <v>123.73993000000006</v>
      </c>
      <c r="G255" s="7" t="s">
        <v>429</v>
      </c>
      <c r="H255" s="7" t="s">
        <v>431</v>
      </c>
      <c r="I255" s="6">
        <v>385</v>
      </c>
      <c r="J255" s="6">
        <v>132177.13</v>
      </c>
      <c r="K255" s="6">
        <v>116389.93000000005</v>
      </c>
    </row>
    <row r="256" spans="1:11" x14ac:dyDescent="0.25">
      <c r="A256" s="5" t="s">
        <v>823</v>
      </c>
      <c r="B256" s="6">
        <f t="shared" si="3"/>
        <v>132.56213</v>
      </c>
      <c r="C256" s="7" t="s">
        <v>397</v>
      </c>
      <c r="D256" s="7" t="s">
        <v>395</v>
      </c>
      <c r="E256" s="7" t="s">
        <v>829</v>
      </c>
      <c r="F256" s="8">
        <v>124.42993000000006</v>
      </c>
      <c r="G256" s="7" t="s">
        <v>431</v>
      </c>
      <c r="H256" s="7" t="s">
        <v>433</v>
      </c>
      <c r="I256" s="6">
        <v>535</v>
      </c>
      <c r="J256" s="6">
        <v>132562.13</v>
      </c>
      <c r="K256" s="6">
        <v>116004.93000000005</v>
      </c>
    </row>
    <row r="257" spans="1:11" x14ac:dyDescent="0.25">
      <c r="A257" s="5" t="s">
        <v>823</v>
      </c>
      <c r="B257" s="6">
        <f t="shared" si="3"/>
        <v>133.09712999999999</v>
      </c>
      <c r="C257" s="7" t="s">
        <v>395</v>
      </c>
      <c r="D257" s="7" t="s">
        <v>393</v>
      </c>
      <c r="E257" s="7" t="s">
        <v>829</v>
      </c>
      <c r="F257" s="8">
        <v>124.73993000000006</v>
      </c>
      <c r="G257" s="7" t="s">
        <v>433</v>
      </c>
      <c r="H257" s="7" t="s">
        <v>435</v>
      </c>
      <c r="I257" s="6">
        <v>520</v>
      </c>
      <c r="J257" s="6">
        <v>133097.13</v>
      </c>
      <c r="K257" s="6">
        <v>115469.93000000005</v>
      </c>
    </row>
    <row r="258" spans="1:11" x14ac:dyDescent="0.25">
      <c r="A258" s="5" t="s">
        <v>823</v>
      </c>
      <c r="B258" s="6">
        <f t="shared" si="3"/>
        <v>133.61713</v>
      </c>
      <c r="C258" s="7" t="s">
        <v>393</v>
      </c>
      <c r="D258" s="7" t="s">
        <v>391</v>
      </c>
      <c r="E258" s="7" t="s">
        <v>829</v>
      </c>
      <c r="F258" s="8">
        <v>125.20993000000006</v>
      </c>
      <c r="G258" s="7" t="s">
        <v>435</v>
      </c>
      <c r="H258" s="7" t="s">
        <v>437</v>
      </c>
      <c r="I258" s="6">
        <v>250</v>
      </c>
      <c r="J258" s="6">
        <v>133617.13</v>
      </c>
      <c r="K258" s="6">
        <v>114949.93000000005</v>
      </c>
    </row>
    <row r="259" spans="1:11" x14ac:dyDescent="0.25">
      <c r="A259" s="5" t="s">
        <v>823</v>
      </c>
      <c r="B259" s="6">
        <f t="shared" ref="B259:B322" si="4">J259/1000</f>
        <v>133.86713</v>
      </c>
      <c r="C259" s="7" t="s">
        <v>391</v>
      </c>
      <c r="D259" s="7" t="s">
        <v>389</v>
      </c>
      <c r="E259" s="7" t="s">
        <v>829</v>
      </c>
      <c r="F259" s="8">
        <v>125.93140000000005</v>
      </c>
      <c r="G259" s="7" t="s">
        <v>437</v>
      </c>
      <c r="H259" s="7" t="s">
        <v>439</v>
      </c>
      <c r="I259" s="6">
        <v>620</v>
      </c>
      <c r="J259" s="6">
        <v>133867.13</v>
      </c>
      <c r="K259" s="6">
        <v>114699.93000000005</v>
      </c>
    </row>
    <row r="260" spans="1:11" x14ac:dyDescent="0.25">
      <c r="A260" s="5" t="s">
        <v>823</v>
      </c>
      <c r="B260" s="6">
        <f t="shared" si="4"/>
        <v>134.48713000000001</v>
      </c>
      <c r="C260" s="7" t="s">
        <v>389</v>
      </c>
      <c r="D260" s="7" t="s">
        <v>387</v>
      </c>
      <c r="E260" s="7" t="s">
        <v>829</v>
      </c>
      <c r="F260" s="8">
        <v>126.22640000000006</v>
      </c>
      <c r="G260" s="7" t="s">
        <v>439</v>
      </c>
      <c r="H260" s="7" t="s">
        <v>441</v>
      </c>
      <c r="I260" s="6">
        <v>655</v>
      </c>
      <c r="J260" s="6">
        <v>134487.13</v>
      </c>
      <c r="K260" s="6">
        <v>114079.93000000005</v>
      </c>
    </row>
    <row r="261" spans="1:11" x14ac:dyDescent="0.25">
      <c r="A261" s="5" t="s">
        <v>823</v>
      </c>
      <c r="B261" s="6">
        <f t="shared" si="4"/>
        <v>135.14213000000001</v>
      </c>
      <c r="C261" s="7" t="s">
        <v>387</v>
      </c>
      <c r="D261" s="7" t="s">
        <v>385</v>
      </c>
      <c r="E261" s="7" t="s">
        <v>829</v>
      </c>
      <c r="F261" s="8">
        <v>126.55640000000005</v>
      </c>
      <c r="G261" s="7" t="s">
        <v>441</v>
      </c>
      <c r="H261" s="7" t="s">
        <v>443</v>
      </c>
      <c r="I261" s="6">
        <v>523.6</v>
      </c>
      <c r="J261" s="6">
        <v>135142.13</v>
      </c>
      <c r="K261" s="6">
        <v>113424.93000000005</v>
      </c>
    </row>
    <row r="262" spans="1:11" x14ac:dyDescent="0.25">
      <c r="A262" s="5" t="s">
        <v>823</v>
      </c>
      <c r="B262" s="6">
        <f t="shared" si="4"/>
        <v>135.66573</v>
      </c>
      <c r="C262" s="7" t="s">
        <v>385</v>
      </c>
      <c r="D262" s="7" t="s">
        <v>383</v>
      </c>
      <c r="E262" s="7" t="s">
        <v>829</v>
      </c>
      <c r="F262" s="8">
        <v>126.95140000000005</v>
      </c>
      <c r="G262" s="7" t="s">
        <v>443</v>
      </c>
      <c r="H262" s="7" t="s">
        <v>445</v>
      </c>
      <c r="I262" s="6">
        <v>666.4</v>
      </c>
      <c r="J262" s="6">
        <v>135665.73000000001</v>
      </c>
      <c r="K262" s="6">
        <v>112901.33000000005</v>
      </c>
    </row>
    <row r="263" spans="1:11" x14ac:dyDescent="0.25">
      <c r="A263" s="5" t="s">
        <v>823</v>
      </c>
      <c r="B263" s="6">
        <f t="shared" si="4"/>
        <v>136.33213000000001</v>
      </c>
      <c r="C263" s="7" t="s">
        <v>383</v>
      </c>
      <c r="D263" s="7" t="s">
        <v>381</v>
      </c>
      <c r="E263" s="7" t="s">
        <v>829</v>
      </c>
      <c r="F263" s="8">
        <v>127.73140000000005</v>
      </c>
      <c r="G263" s="7" t="s">
        <v>445</v>
      </c>
      <c r="H263" s="7" t="s">
        <v>447</v>
      </c>
      <c r="I263" s="6">
        <v>720</v>
      </c>
      <c r="J263" s="6">
        <v>136332.13</v>
      </c>
      <c r="K263" s="6">
        <v>112234.93000000005</v>
      </c>
    </row>
    <row r="264" spans="1:11" x14ac:dyDescent="0.25">
      <c r="A264" s="5" t="s">
        <v>823</v>
      </c>
      <c r="B264" s="6">
        <f t="shared" si="4"/>
        <v>137.05213000000001</v>
      </c>
      <c r="C264" s="7" t="s">
        <v>381</v>
      </c>
      <c r="D264" s="7" t="s">
        <v>379</v>
      </c>
      <c r="E264" s="7" t="s">
        <v>829</v>
      </c>
      <c r="F264" s="8">
        <v>128.09140000000005</v>
      </c>
      <c r="G264" s="7" t="s">
        <v>447</v>
      </c>
      <c r="H264" s="7" t="s">
        <v>449</v>
      </c>
      <c r="I264" s="6">
        <v>232.81</v>
      </c>
      <c r="J264" s="6">
        <v>137052.13</v>
      </c>
      <c r="K264" s="6">
        <v>111514.93000000005</v>
      </c>
    </row>
    <row r="265" spans="1:11" x14ac:dyDescent="0.25">
      <c r="A265" s="5" t="s">
        <v>823</v>
      </c>
      <c r="B265" s="6">
        <f t="shared" si="4"/>
        <v>137.28494000000001</v>
      </c>
      <c r="C265" s="7" t="s">
        <v>379</v>
      </c>
      <c r="D265" s="7" t="s">
        <v>377</v>
      </c>
      <c r="E265" s="7" t="s">
        <v>829</v>
      </c>
      <c r="F265" s="8">
        <v>128.48140000000006</v>
      </c>
      <c r="G265" s="7" t="s">
        <v>449</v>
      </c>
      <c r="H265" s="7" t="s">
        <v>451</v>
      </c>
      <c r="I265" s="6">
        <v>471.5</v>
      </c>
      <c r="J265" s="6">
        <v>137284.94</v>
      </c>
      <c r="K265" s="6">
        <v>111282.12000000005</v>
      </c>
    </row>
    <row r="266" spans="1:11" x14ac:dyDescent="0.25">
      <c r="A266" s="5" t="s">
        <v>823</v>
      </c>
      <c r="B266" s="6">
        <f t="shared" si="4"/>
        <v>137.75644</v>
      </c>
      <c r="C266" s="7" t="s">
        <v>377</v>
      </c>
      <c r="D266" s="7" t="s">
        <v>375</v>
      </c>
      <c r="E266" s="7" t="s">
        <v>829</v>
      </c>
      <c r="F266" s="8">
        <v>129.15140000000005</v>
      </c>
      <c r="G266" s="7" t="s">
        <v>451</v>
      </c>
      <c r="H266" s="7" t="s">
        <v>453</v>
      </c>
      <c r="I266" s="6">
        <v>403.5</v>
      </c>
      <c r="J266" s="6">
        <v>137756.44</v>
      </c>
      <c r="K266" s="6">
        <v>110810.62000000005</v>
      </c>
    </row>
    <row r="267" spans="1:11" x14ac:dyDescent="0.25">
      <c r="A267" s="5" t="s">
        <v>823</v>
      </c>
      <c r="B267" s="6">
        <f t="shared" si="4"/>
        <v>138.15994000000001</v>
      </c>
      <c r="C267" s="7" t="s">
        <v>375</v>
      </c>
      <c r="D267" s="7" t="s">
        <v>373</v>
      </c>
      <c r="E267" s="7" t="s">
        <v>829</v>
      </c>
      <c r="F267" s="8">
        <v>129.83140000000006</v>
      </c>
      <c r="G267" s="7" t="s">
        <v>453</v>
      </c>
      <c r="H267" s="7" t="s">
        <v>455</v>
      </c>
      <c r="I267" s="6">
        <v>350.72</v>
      </c>
      <c r="J267" s="6">
        <v>138159.94</v>
      </c>
      <c r="K267" s="6">
        <v>110407.12000000005</v>
      </c>
    </row>
    <row r="268" spans="1:11" x14ac:dyDescent="0.25">
      <c r="A268" s="5" t="s">
        <v>823</v>
      </c>
      <c r="B268" s="6">
        <f t="shared" si="4"/>
        <v>138.51066</v>
      </c>
      <c r="C268" s="7" t="s">
        <v>373</v>
      </c>
      <c r="D268" s="7" t="s">
        <v>371</v>
      </c>
      <c r="E268" s="7" t="s">
        <v>829</v>
      </c>
      <c r="F268" s="8">
        <v>130.33140000000006</v>
      </c>
      <c r="G268" s="7" t="s">
        <v>455</v>
      </c>
      <c r="H268" s="7" t="s">
        <v>457</v>
      </c>
      <c r="I268" s="6">
        <v>479.28</v>
      </c>
      <c r="J268" s="6">
        <v>138510.66</v>
      </c>
      <c r="K268" s="6">
        <v>110056.40000000005</v>
      </c>
    </row>
    <row r="269" spans="1:11" x14ac:dyDescent="0.25">
      <c r="A269" s="5" t="s">
        <v>823</v>
      </c>
      <c r="B269" s="6">
        <f t="shared" si="4"/>
        <v>138.98993999999999</v>
      </c>
      <c r="C269" s="7" t="s">
        <v>371</v>
      </c>
      <c r="D269" s="7" t="s">
        <v>369</v>
      </c>
      <c r="E269" s="7" t="s">
        <v>829</v>
      </c>
      <c r="F269" s="8">
        <v>130.86140000000006</v>
      </c>
      <c r="G269" s="7" t="s">
        <v>457</v>
      </c>
      <c r="H269" s="7" t="s">
        <v>459</v>
      </c>
      <c r="I269" s="6">
        <v>385</v>
      </c>
      <c r="J269" s="6">
        <v>138989.94</v>
      </c>
      <c r="K269" s="6">
        <v>109577.12000000005</v>
      </c>
    </row>
    <row r="270" spans="1:11" x14ac:dyDescent="0.25">
      <c r="A270" s="5" t="s">
        <v>823</v>
      </c>
      <c r="B270" s="6">
        <f t="shared" si="4"/>
        <v>139.37494000000001</v>
      </c>
      <c r="C270" s="7" t="s">
        <v>369</v>
      </c>
      <c r="D270" s="7" t="s">
        <v>367</v>
      </c>
      <c r="E270" s="7" t="s">
        <v>829</v>
      </c>
      <c r="F270" s="8">
        <v>131.41140000000004</v>
      </c>
      <c r="G270" s="7" t="s">
        <v>459</v>
      </c>
      <c r="H270" s="7" t="s">
        <v>461</v>
      </c>
      <c r="I270" s="6">
        <v>460</v>
      </c>
      <c r="J270" s="6">
        <v>139374.94</v>
      </c>
      <c r="K270" s="6">
        <v>109192.12000000005</v>
      </c>
    </row>
    <row r="271" spans="1:11" x14ac:dyDescent="0.25">
      <c r="A271" s="5" t="s">
        <v>823</v>
      </c>
      <c r="B271" s="6">
        <f t="shared" si="4"/>
        <v>139.83493999999999</v>
      </c>
      <c r="C271" s="7" t="s">
        <v>367</v>
      </c>
      <c r="D271" s="7" t="s">
        <v>365</v>
      </c>
      <c r="E271" s="7" t="s">
        <v>829</v>
      </c>
      <c r="F271" s="8">
        <v>131.88548000000003</v>
      </c>
      <c r="G271" s="7" t="s">
        <v>461</v>
      </c>
      <c r="H271" s="7" t="s">
        <v>463</v>
      </c>
      <c r="I271" s="6">
        <v>570</v>
      </c>
      <c r="J271" s="6">
        <v>139834.94</v>
      </c>
      <c r="K271" s="6">
        <v>108732.12000000005</v>
      </c>
    </row>
    <row r="272" spans="1:11" x14ac:dyDescent="0.25">
      <c r="A272" s="5" t="s">
        <v>823</v>
      </c>
      <c r="B272" s="6">
        <f t="shared" si="4"/>
        <v>140.40494000000001</v>
      </c>
      <c r="C272" s="7" t="s">
        <v>365</v>
      </c>
      <c r="D272" s="7" t="s">
        <v>363</v>
      </c>
      <c r="E272" s="7" t="s">
        <v>829</v>
      </c>
      <c r="F272" s="8">
        <v>132.35048000000003</v>
      </c>
      <c r="G272" s="7" t="s">
        <v>463</v>
      </c>
      <c r="H272" s="7" t="s">
        <v>465</v>
      </c>
      <c r="I272" s="6">
        <v>310</v>
      </c>
      <c r="J272" s="6">
        <v>140404.94</v>
      </c>
      <c r="K272" s="6">
        <v>108162.12000000005</v>
      </c>
    </row>
    <row r="273" spans="1:11" x14ac:dyDescent="0.25">
      <c r="A273" s="5" t="s">
        <v>823</v>
      </c>
      <c r="B273" s="6">
        <f t="shared" si="4"/>
        <v>140.71494000000001</v>
      </c>
      <c r="C273" s="7" t="s">
        <v>363</v>
      </c>
      <c r="D273" s="7" t="s">
        <v>361</v>
      </c>
      <c r="E273" s="7" t="s">
        <v>829</v>
      </c>
      <c r="F273" s="8">
        <v>132.99548000000004</v>
      </c>
      <c r="G273" s="7" t="s">
        <v>465</v>
      </c>
      <c r="H273" s="7" t="s">
        <v>467</v>
      </c>
      <c r="I273" s="6">
        <v>495</v>
      </c>
      <c r="J273" s="6">
        <v>140714.94</v>
      </c>
      <c r="K273" s="6">
        <v>107852.12000000005</v>
      </c>
    </row>
    <row r="274" spans="1:11" x14ac:dyDescent="0.25">
      <c r="A274" s="5" t="s">
        <v>823</v>
      </c>
      <c r="B274" s="6">
        <f t="shared" si="4"/>
        <v>141.20993999999999</v>
      </c>
      <c r="C274" s="7" t="s">
        <v>361</v>
      </c>
      <c r="D274" s="7" t="s">
        <v>359</v>
      </c>
      <c r="E274" s="7" t="s">
        <v>829</v>
      </c>
      <c r="F274" s="8">
        <v>133.53548000000004</v>
      </c>
      <c r="G274" s="7" t="s">
        <v>467</v>
      </c>
      <c r="H274" s="7" t="s">
        <v>469</v>
      </c>
      <c r="I274" s="6">
        <v>360</v>
      </c>
      <c r="J274" s="6">
        <v>141209.94</v>
      </c>
      <c r="K274" s="6">
        <v>107357.12000000005</v>
      </c>
    </row>
    <row r="275" spans="1:11" x14ac:dyDescent="0.25">
      <c r="A275" s="5" t="s">
        <v>823</v>
      </c>
      <c r="B275" s="6">
        <f t="shared" si="4"/>
        <v>141.56994</v>
      </c>
      <c r="C275" s="7" t="s">
        <v>359</v>
      </c>
      <c r="D275" s="7" t="s">
        <v>357</v>
      </c>
      <c r="E275" s="7" t="s">
        <v>829</v>
      </c>
      <c r="F275" s="8">
        <v>134.17048000000003</v>
      </c>
      <c r="G275" s="7" t="s">
        <v>469</v>
      </c>
      <c r="H275" s="7" t="s">
        <v>471</v>
      </c>
      <c r="I275" s="6">
        <v>440</v>
      </c>
      <c r="J275" s="6">
        <v>141569.94</v>
      </c>
      <c r="K275" s="6">
        <v>106997.12000000005</v>
      </c>
    </row>
    <row r="276" spans="1:11" x14ac:dyDescent="0.25">
      <c r="A276" s="5" t="s">
        <v>823</v>
      </c>
      <c r="B276" s="6">
        <f t="shared" si="4"/>
        <v>142.00994</v>
      </c>
      <c r="C276" s="7" t="s">
        <v>357</v>
      </c>
      <c r="D276" s="7" t="s">
        <v>355</v>
      </c>
      <c r="E276" s="7" t="s">
        <v>829</v>
      </c>
      <c r="F276" s="8">
        <v>134.68048000000005</v>
      </c>
      <c r="G276" s="7" t="s">
        <v>471</v>
      </c>
      <c r="H276" s="7" t="s">
        <v>473</v>
      </c>
      <c r="I276" s="6">
        <v>355</v>
      </c>
      <c r="J276" s="6">
        <v>142009.94</v>
      </c>
      <c r="K276" s="6">
        <v>106557.12000000005</v>
      </c>
    </row>
    <row r="277" spans="1:11" x14ac:dyDescent="0.25">
      <c r="A277" s="5" t="s">
        <v>823</v>
      </c>
      <c r="B277" s="6">
        <f t="shared" si="4"/>
        <v>142.36493999999999</v>
      </c>
      <c r="C277" s="7" t="s">
        <v>355</v>
      </c>
      <c r="D277" s="7" t="s">
        <v>353</v>
      </c>
      <c r="E277" s="7" t="s">
        <v>829</v>
      </c>
      <c r="F277" s="8">
        <v>135.32548000000003</v>
      </c>
      <c r="G277" s="7" t="s">
        <v>473</v>
      </c>
      <c r="H277" s="7" t="s">
        <v>475</v>
      </c>
      <c r="I277" s="6">
        <v>515</v>
      </c>
      <c r="J277" s="6">
        <v>142364.94</v>
      </c>
      <c r="K277" s="6">
        <v>106202.12000000005</v>
      </c>
    </row>
    <row r="278" spans="1:11" x14ac:dyDescent="0.25">
      <c r="A278" s="5" t="s">
        <v>823</v>
      </c>
      <c r="B278" s="6">
        <f t="shared" si="4"/>
        <v>142.87994</v>
      </c>
      <c r="C278" s="7" t="s">
        <v>353</v>
      </c>
      <c r="D278" s="7" t="s">
        <v>351</v>
      </c>
      <c r="E278" s="7" t="s">
        <v>829</v>
      </c>
      <c r="F278" s="8">
        <v>135.80048000000005</v>
      </c>
      <c r="G278" s="7" t="s">
        <v>475</v>
      </c>
      <c r="H278" s="7" t="s">
        <v>477</v>
      </c>
      <c r="I278" s="6">
        <v>610</v>
      </c>
      <c r="J278" s="6">
        <v>142879.94</v>
      </c>
      <c r="K278" s="6">
        <v>105687.12000000005</v>
      </c>
    </row>
    <row r="279" spans="1:11" x14ac:dyDescent="0.25">
      <c r="A279" s="5" t="s">
        <v>823</v>
      </c>
      <c r="B279" s="6">
        <f t="shared" si="4"/>
        <v>143.48993999999999</v>
      </c>
      <c r="C279" s="7" t="s">
        <v>351</v>
      </c>
      <c r="D279" s="7" t="s">
        <v>349</v>
      </c>
      <c r="E279" s="7" t="s">
        <v>829</v>
      </c>
      <c r="F279" s="8">
        <v>136.30048000000005</v>
      </c>
      <c r="G279" s="7" t="s">
        <v>477</v>
      </c>
      <c r="H279" s="7" t="s">
        <v>479</v>
      </c>
      <c r="I279" s="6">
        <v>590</v>
      </c>
      <c r="J279" s="6">
        <v>143489.94</v>
      </c>
      <c r="K279" s="6">
        <v>105077.12000000005</v>
      </c>
    </row>
    <row r="280" spans="1:11" x14ac:dyDescent="0.25">
      <c r="A280" s="5" t="s">
        <v>823</v>
      </c>
      <c r="B280" s="6">
        <f t="shared" si="4"/>
        <v>144.07993999999999</v>
      </c>
      <c r="C280" s="7" t="s">
        <v>349</v>
      </c>
      <c r="D280" s="7" t="s">
        <v>347</v>
      </c>
      <c r="E280" s="7" t="s">
        <v>829</v>
      </c>
      <c r="F280" s="8">
        <v>136.78548000000004</v>
      </c>
      <c r="G280" s="7" t="s">
        <v>479</v>
      </c>
      <c r="H280" s="7" t="s">
        <v>481</v>
      </c>
      <c r="I280" s="6">
        <v>390</v>
      </c>
      <c r="J280" s="6">
        <v>144079.94</v>
      </c>
      <c r="K280" s="6">
        <v>104487.12000000005</v>
      </c>
    </row>
    <row r="281" spans="1:11" x14ac:dyDescent="0.25">
      <c r="A281" s="5" t="s">
        <v>823</v>
      </c>
      <c r="B281" s="6">
        <f t="shared" si="4"/>
        <v>144.46994000000001</v>
      </c>
      <c r="C281" s="7" t="s">
        <v>347</v>
      </c>
      <c r="D281" s="7" t="s">
        <v>345</v>
      </c>
      <c r="E281" s="7" t="s">
        <v>829</v>
      </c>
      <c r="F281" s="8">
        <v>137.25548000000003</v>
      </c>
      <c r="G281" s="7" t="s">
        <v>481</v>
      </c>
      <c r="H281" s="7" t="s">
        <v>483</v>
      </c>
      <c r="I281" s="6">
        <v>465</v>
      </c>
      <c r="J281" s="6">
        <v>144469.94</v>
      </c>
      <c r="K281" s="6">
        <v>104097.12000000005</v>
      </c>
    </row>
    <row r="282" spans="1:11" x14ac:dyDescent="0.25">
      <c r="A282" s="5" t="s">
        <v>823</v>
      </c>
      <c r="B282" s="6">
        <f t="shared" si="4"/>
        <v>144.93494000000001</v>
      </c>
      <c r="C282" s="7" t="s">
        <v>345</v>
      </c>
      <c r="D282" s="7" t="s">
        <v>343</v>
      </c>
      <c r="E282" s="7" t="s">
        <v>829</v>
      </c>
      <c r="F282" s="8">
        <v>137.96548000000004</v>
      </c>
      <c r="G282" s="7" t="s">
        <v>483</v>
      </c>
      <c r="H282" s="7" t="s">
        <v>485</v>
      </c>
      <c r="I282" s="6">
        <v>590</v>
      </c>
      <c r="J282" s="6">
        <v>144934.94</v>
      </c>
      <c r="K282" s="6">
        <v>103632.12000000005</v>
      </c>
    </row>
    <row r="283" spans="1:11" x14ac:dyDescent="0.25">
      <c r="A283" s="5" t="s">
        <v>823</v>
      </c>
      <c r="B283" s="6">
        <f t="shared" si="4"/>
        <v>145.52494000000002</v>
      </c>
      <c r="C283" s="7" t="s">
        <v>343</v>
      </c>
      <c r="D283" s="7" t="s">
        <v>341</v>
      </c>
      <c r="E283" s="7" t="s">
        <v>829</v>
      </c>
      <c r="F283" s="8">
        <v>138.38548000000003</v>
      </c>
      <c r="G283" s="7" t="s">
        <v>485</v>
      </c>
      <c r="H283" s="7" t="s">
        <v>487</v>
      </c>
      <c r="I283" s="6">
        <v>713.37</v>
      </c>
      <c r="J283" s="6">
        <v>145524.94</v>
      </c>
      <c r="K283" s="6">
        <v>103042.12000000005</v>
      </c>
    </row>
    <row r="284" spans="1:11" x14ac:dyDescent="0.25">
      <c r="A284" s="5" t="s">
        <v>823</v>
      </c>
      <c r="B284" s="6">
        <f t="shared" si="4"/>
        <v>146.23830999999998</v>
      </c>
      <c r="C284" s="7" t="s">
        <v>341</v>
      </c>
      <c r="D284" s="7" t="s">
        <v>339</v>
      </c>
      <c r="E284" s="7" t="s">
        <v>829</v>
      </c>
      <c r="F284" s="8">
        <v>139.31025000000002</v>
      </c>
      <c r="G284" s="7" t="s">
        <v>487</v>
      </c>
      <c r="H284" s="7" t="s">
        <v>489</v>
      </c>
      <c r="I284" s="6">
        <v>471.63</v>
      </c>
      <c r="J284" s="6">
        <v>146238.31</v>
      </c>
      <c r="K284" s="6">
        <v>102328.75000000006</v>
      </c>
    </row>
    <row r="285" spans="1:11" x14ac:dyDescent="0.25">
      <c r="A285" s="5" t="s">
        <v>823</v>
      </c>
      <c r="B285" s="6">
        <f t="shared" si="4"/>
        <v>146.70993999999999</v>
      </c>
      <c r="C285" s="7" t="s">
        <v>339</v>
      </c>
      <c r="D285" s="7" t="s">
        <v>337</v>
      </c>
      <c r="E285" s="7" t="s">
        <v>829</v>
      </c>
      <c r="F285" s="8">
        <v>139.63240000000002</v>
      </c>
      <c r="G285" s="7" t="s">
        <v>489</v>
      </c>
      <c r="H285" s="7" t="s">
        <v>491</v>
      </c>
      <c r="I285" s="6">
        <v>520</v>
      </c>
      <c r="J285" s="6">
        <v>146709.94</v>
      </c>
      <c r="K285" s="6">
        <v>101857.12000000005</v>
      </c>
    </row>
    <row r="286" spans="1:11" x14ac:dyDescent="0.25">
      <c r="A286" s="5" t="s">
        <v>823</v>
      </c>
      <c r="B286" s="6">
        <f t="shared" si="4"/>
        <v>147.22994</v>
      </c>
      <c r="C286" s="7" t="s">
        <v>337</v>
      </c>
      <c r="D286" s="7" t="s">
        <v>335</v>
      </c>
      <c r="E286" s="7" t="s">
        <v>829</v>
      </c>
      <c r="F286" s="8">
        <v>139.90194000000002</v>
      </c>
      <c r="G286" s="7" t="s">
        <v>491</v>
      </c>
      <c r="H286" s="7" t="s">
        <v>493</v>
      </c>
      <c r="I286" s="6">
        <v>625</v>
      </c>
      <c r="J286" s="6">
        <v>147229.94</v>
      </c>
      <c r="K286" s="6">
        <v>101337.12000000005</v>
      </c>
    </row>
    <row r="287" spans="1:11" x14ac:dyDescent="0.25">
      <c r="A287" s="5" t="s">
        <v>823</v>
      </c>
      <c r="B287" s="6">
        <f t="shared" si="4"/>
        <v>147.85494</v>
      </c>
      <c r="C287" s="7" t="s">
        <v>335</v>
      </c>
      <c r="D287" s="7" t="s">
        <v>333</v>
      </c>
      <c r="E287" s="7" t="s">
        <v>829</v>
      </c>
      <c r="F287" s="8">
        <v>140.42697000000004</v>
      </c>
      <c r="G287" s="7" t="s">
        <v>493</v>
      </c>
      <c r="H287" s="7" t="s">
        <v>495</v>
      </c>
      <c r="I287" s="6">
        <v>447.5</v>
      </c>
      <c r="J287" s="6">
        <v>147854.94</v>
      </c>
      <c r="K287" s="6">
        <v>100712.12000000005</v>
      </c>
    </row>
    <row r="288" spans="1:11" x14ac:dyDescent="0.25">
      <c r="A288" s="5" t="s">
        <v>823</v>
      </c>
      <c r="B288" s="6">
        <f t="shared" si="4"/>
        <v>148.30243999999999</v>
      </c>
      <c r="C288" s="7" t="s">
        <v>333</v>
      </c>
      <c r="D288" s="7" t="s">
        <v>331</v>
      </c>
      <c r="E288" s="7" t="s">
        <v>829</v>
      </c>
      <c r="F288" s="8">
        <v>140.79414000000006</v>
      </c>
      <c r="G288" s="7" t="s">
        <v>495</v>
      </c>
      <c r="H288" s="7" t="s">
        <v>497</v>
      </c>
      <c r="I288" s="6">
        <v>426.8</v>
      </c>
      <c r="J288" s="6">
        <v>148302.44</v>
      </c>
      <c r="K288" s="6">
        <v>100264.62000000005</v>
      </c>
    </row>
    <row r="289" spans="1:11" x14ac:dyDescent="0.25">
      <c r="A289" s="5" t="s">
        <v>823</v>
      </c>
      <c r="B289" s="6">
        <f t="shared" si="4"/>
        <v>148.72924</v>
      </c>
      <c r="C289" s="7" t="s">
        <v>331</v>
      </c>
      <c r="D289" s="7" t="s">
        <v>329</v>
      </c>
      <c r="E289" s="7" t="s">
        <v>829</v>
      </c>
      <c r="F289" s="8">
        <v>141.40167000000005</v>
      </c>
      <c r="G289" s="7" t="s">
        <v>497</v>
      </c>
      <c r="H289" s="7" t="s">
        <v>499</v>
      </c>
      <c r="I289" s="6">
        <v>365.7</v>
      </c>
      <c r="J289" s="6">
        <v>148729.24</v>
      </c>
      <c r="K289" s="6">
        <v>99837.820000000051</v>
      </c>
    </row>
    <row r="290" spans="1:11" x14ac:dyDescent="0.25">
      <c r="A290" s="5" t="s">
        <v>823</v>
      </c>
      <c r="B290" s="6">
        <f t="shared" si="4"/>
        <v>149.09494000000001</v>
      </c>
      <c r="C290" s="7" t="s">
        <v>329</v>
      </c>
      <c r="D290" s="7" t="s">
        <v>327</v>
      </c>
      <c r="E290" s="7" t="s">
        <v>829</v>
      </c>
      <c r="F290" s="8">
        <v>142.10665000000006</v>
      </c>
      <c r="G290" s="7" t="s">
        <v>499</v>
      </c>
      <c r="H290" s="7" t="s">
        <v>501</v>
      </c>
      <c r="I290" s="6">
        <v>373.4</v>
      </c>
      <c r="J290" s="6">
        <v>149094.94</v>
      </c>
      <c r="K290" s="6">
        <v>99472.120000000054</v>
      </c>
    </row>
    <row r="291" spans="1:11" x14ac:dyDescent="0.25">
      <c r="A291" s="5" t="s">
        <v>823</v>
      </c>
      <c r="B291" s="6">
        <f t="shared" si="4"/>
        <v>149.46833999999998</v>
      </c>
      <c r="C291" s="7" t="s">
        <v>327</v>
      </c>
      <c r="D291" s="7" t="s">
        <v>325</v>
      </c>
      <c r="E291" s="7" t="s">
        <v>829</v>
      </c>
      <c r="F291" s="8">
        <v>142.87662000000006</v>
      </c>
      <c r="G291" s="7" t="s">
        <v>501</v>
      </c>
      <c r="H291" s="7" t="s">
        <v>503</v>
      </c>
      <c r="I291" s="6">
        <v>430</v>
      </c>
      <c r="J291" s="6">
        <v>149468.34</v>
      </c>
      <c r="K291" s="6">
        <v>99098.720000000059</v>
      </c>
    </row>
    <row r="292" spans="1:11" x14ac:dyDescent="0.25">
      <c r="A292" s="5" t="s">
        <v>823</v>
      </c>
      <c r="B292" s="6">
        <f t="shared" si="4"/>
        <v>149.89833999999999</v>
      </c>
      <c r="C292" s="7" t="s">
        <v>325</v>
      </c>
      <c r="D292" s="7" t="s">
        <v>323</v>
      </c>
      <c r="E292" s="7" t="s">
        <v>829</v>
      </c>
      <c r="F292" s="8">
        <v>143.73137000000006</v>
      </c>
      <c r="G292" s="7" t="s">
        <v>503</v>
      </c>
      <c r="H292" s="7" t="s">
        <v>502</v>
      </c>
      <c r="I292" s="6">
        <v>535</v>
      </c>
      <c r="J292" s="6">
        <v>149898.34</v>
      </c>
      <c r="K292" s="6">
        <v>98668.720000000059</v>
      </c>
    </row>
    <row r="293" spans="1:11" x14ac:dyDescent="0.25">
      <c r="A293" s="5" t="s">
        <v>823</v>
      </c>
      <c r="B293" s="6">
        <f t="shared" si="4"/>
        <v>150.43333999999999</v>
      </c>
      <c r="C293" s="7" t="s">
        <v>323</v>
      </c>
      <c r="D293" s="7" t="s">
        <v>321</v>
      </c>
      <c r="E293" s="7" t="s">
        <v>829</v>
      </c>
      <c r="F293" s="8">
        <v>144.43855000000005</v>
      </c>
      <c r="G293" s="7" t="s">
        <v>502</v>
      </c>
      <c r="H293" s="7" t="s">
        <v>500</v>
      </c>
      <c r="I293" s="6">
        <v>327.95300000000003</v>
      </c>
      <c r="J293" s="6">
        <v>150433.34</v>
      </c>
      <c r="K293" s="6">
        <v>98133.720000000059</v>
      </c>
    </row>
    <row r="294" spans="1:11" x14ac:dyDescent="0.25">
      <c r="A294" s="5" t="s">
        <v>823</v>
      </c>
      <c r="B294" s="6">
        <f t="shared" si="4"/>
        <v>150.76129299999999</v>
      </c>
      <c r="C294" s="7" t="s">
        <v>321</v>
      </c>
      <c r="D294" s="7" t="s">
        <v>319</v>
      </c>
      <c r="E294" s="7" t="s">
        <v>829</v>
      </c>
      <c r="F294" s="8">
        <v>145.03038000000004</v>
      </c>
      <c r="G294" s="7" t="s">
        <v>500</v>
      </c>
      <c r="H294" s="7" t="s">
        <v>498</v>
      </c>
      <c r="I294" s="6">
        <v>612.04700000000003</v>
      </c>
      <c r="J294" s="6">
        <v>150761.29300000001</v>
      </c>
      <c r="K294" s="6">
        <v>97805.767000000065</v>
      </c>
    </row>
    <row r="295" spans="1:11" x14ac:dyDescent="0.25">
      <c r="A295" s="5" t="s">
        <v>823</v>
      </c>
      <c r="B295" s="6">
        <f t="shared" si="4"/>
        <v>151.37333999999998</v>
      </c>
      <c r="C295" s="7" t="s">
        <v>319</v>
      </c>
      <c r="D295" s="7" t="s">
        <v>317</v>
      </c>
      <c r="E295" s="7" t="s">
        <v>829</v>
      </c>
      <c r="F295" s="8">
        <v>145.73608000000004</v>
      </c>
      <c r="G295" s="7" t="s">
        <v>498</v>
      </c>
      <c r="H295" s="7" t="s">
        <v>496</v>
      </c>
      <c r="I295" s="6">
        <v>560</v>
      </c>
      <c r="J295" s="6">
        <v>151373.34</v>
      </c>
      <c r="K295" s="6">
        <v>97193.720000000059</v>
      </c>
    </row>
    <row r="296" spans="1:11" x14ac:dyDescent="0.25">
      <c r="A296" s="5" t="s">
        <v>823</v>
      </c>
      <c r="B296" s="6">
        <f t="shared" si="4"/>
        <v>151.93333999999999</v>
      </c>
      <c r="C296" s="7" t="s">
        <v>317</v>
      </c>
      <c r="D296" s="7" t="s">
        <v>315</v>
      </c>
      <c r="E296" s="7" t="s">
        <v>829</v>
      </c>
      <c r="F296" s="8">
        <v>146.09110000000004</v>
      </c>
      <c r="G296" s="7" t="s">
        <v>496</v>
      </c>
      <c r="H296" s="7" t="s">
        <v>494</v>
      </c>
      <c r="I296" s="6">
        <v>490.1</v>
      </c>
      <c r="J296" s="6">
        <v>151933.34</v>
      </c>
      <c r="K296" s="6">
        <v>96633.720000000059</v>
      </c>
    </row>
    <row r="297" spans="1:11" x14ac:dyDescent="0.25">
      <c r="A297" s="5" t="s">
        <v>823</v>
      </c>
      <c r="B297" s="6">
        <f t="shared" si="4"/>
        <v>152.42344</v>
      </c>
      <c r="C297" s="7" t="s">
        <v>315</v>
      </c>
      <c r="D297" s="7" t="s">
        <v>313</v>
      </c>
      <c r="E297" s="7" t="s">
        <v>829</v>
      </c>
      <c r="F297" s="8">
        <v>146.52600000000004</v>
      </c>
      <c r="G297" s="7" t="s">
        <v>494</v>
      </c>
      <c r="H297" s="7" t="s">
        <v>492</v>
      </c>
      <c r="I297" s="6">
        <v>574</v>
      </c>
      <c r="J297" s="6">
        <v>152423.44</v>
      </c>
      <c r="K297" s="6">
        <v>96143.620000000054</v>
      </c>
    </row>
    <row r="298" spans="1:11" x14ac:dyDescent="0.25">
      <c r="A298" s="5" t="s">
        <v>823</v>
      </c>
      <c r="B298" s="6">
        <f t="shared" si="4"/>
        <v>152.99744000000001</v>
      </c>
      <c r="C298" s="7" t="s">
        <v>313</v>
      </c>
      <c r="D298" s="7" t="s">
        <v>311</v>
      </c>
      <c r="E298" s="7" t="s">
        <v>829</v>
      </c>
      <c r="F298" s="8">
        <v>147.06871000000001</v>
      </c>
      <c r="G298" s="7" t="s">
        <v>492</v>
      </c>
      <c r="H298" s="7" t="s">
        <v>490</v>
      </c>
      <c r="I298" s="6">
        <v>540</v>
      </c>
      <c r="J298" s="6">
        <v>152997.44</v>
      </c>
      <c r="K298" s="6">
        <v>95569.620000000054</v>
      </c>
    </row>
    <row r="299" spans="1:11" x14ac:dyDescent="0.25">
      <c r="A299" s="5" t="s">
        <v>823</v>
      </c>
      <c r="B299" s="6">
        <f t="shared" si="4"/>
        <v>153.53744</v>
      </c>
      <c r="C299" s="7" t="s">
        <v>311</v>
      </c>
      <c r="D299" s="7" t="s">
        <v>309</v>
      </c>
      <c r="E299" s="7" t="s">
        <v>829</v>
      </c>
      <c r="F299" s="8">
        <v>147.58099000000001</v>
      </c>
      <c r="G299" s="7" t="s">
        <v>490</v>
      </c>
      <c r="H299" s="7" t="s">
        <v>488</v>
      </c>
      <c r="I299" s="6">
        <v>325</v>
      </c>
      <c r="J299" s="6">
        <v>153537.44</v>
      </c>
      <c r="K299" s="6">
        <v>95029.620000000054</v>
      </c>
    </row>
    <row r="300" spans="1:11" x14ac:dyDescent="0.25">
      <c r="A300" s="5" t="s">
        <v>823</v>
      </c>
      <c r="B300" s="6">
        <f t="shared" si="4"/>
        <v>153.86243999999999</v>
      </c>
      <c r="C300" s="7" t="s">
        <v>309</v>
      </c>
      <c r="D300" s="7" t="s">
        <v>307</v>
      </c>
      <c r="E300" s="7" t="s">
        <v>829</v>
      </c>
      <c r="F300" s="8">
        <v>148.03596000000002</v>
      </c>
      <c r="G300" s="7" t="s">
        <v>488</v>
      </c>
      <c r="H300" s="7" t="s">
        <v>486</v>
      </c>
      <c r="I300" s="6">
        <v>610</v>
      </c>
      <c r="J300" s="6">
        <v>153862.44</v>
      </c>
      <c r="K300" s="6">
        <v>94704.620000000054</v>
      </c>
    </row>
    <row r="301" spans="1:11" x14ac:dyDescent="0.25">
      <c r="A301" s="5" t="s">
        <v>823</v>
      </c>
      <c r="B301" s="6">
        <f t="shared" si="4"/>
        <v>154.47244000000001</v>
      </c>
      <c r="C301" s="7" t="s">
        <v>307</v>
      </c>
      <c r="D301" s="7" t="s">
        <v>305</v>
      </c>
      <c r="E301" s="7" t="s">
        <v>829</v>
      </c>
      <c r="F301" s="8">
        <v>148.68851000000001</v>
      </c>
      <c r="G301" s="7" t="s">
        <v>486</v>
      </c>
      <c r="H301" s="7" t="s">
        <v>484</v>
      </c>
      <c r="I301" s="6">
        <v>430</v>
      </c>
      <c r="J301" s="6">
        <v>154472.44</v>
      </c>
      <c r="K301" s="6">
        <v>94094.620000000054</v>
      </c>
    </row>
    <row r="302" spans="1:11" x14ac:dyDescent="0.25">
      <c r="A302" s="5" t="s">
        <v>823</v>
      </c>
      <c r="B302" s="6">
        <f t="shared" si="4"/>
        <v>154.90244000000001</v>
      </c>
      <c r="C302" s="7" t="s">
        <v>305</v>
      </c>
      <c r="D302" s="7" t="s">
        <v>303</v>
      </c>
      <c r="E302" s="7" t="s">
        <v>829</v>
      </c>
      <c r="F302" s="8">
        <v>149.32584</v>
      </c>
      <c r="G302" s="7" t="s">
        <v>484</v>
      </c>
      <c r="H302" s="7" t="s">
        <v>482</v>
      </c>
      <c r="I302" s="6">
        <v>530</v>
      </c>
      <c r="J302" s="6">
        <v>154902.44</v>
      </c>
      <c r="K302" s="6">
        <v>93664.620000000054</v>
      </c>
    </row>
    <row r="303" spans="1:11" x14ac:dyDescent="0.25">
      <c r="A303" s="5" t="s">
        <v>823</v>
      </c>
      <c r="B303" s="6">
        <f t="shared" si="4"/>
        <v>155.43244000000001</v>
      </c>
      <c r="C303" s="7" t="s">
        <v>303</v>
      </c>
      <c r="D303" s="7" t="s">
        <v>301</v>
      </c>
      <c r="E303" s="7" t="s">
        <v>829</v>
      </c>
      <c r="F303" s="8">
        <v>149.77182999999999</v>
      </c>
      <c r="G303" s="7" t="s">
        <v>482</v>
      </c>
      <c r="H303" s="7" t="s">
        <v>480</v>
      </c>
      <c r="I303" s="6">
        <v>560</v>
      </c>
      <c r="J303" s="6">
        <v>155432.44</v>
      </c>
      <c r="K303" s="6">
        <v>93134.620000000054</v>
      </c>
    </row>
    <row r="304" spans="1:11" x14ac:dyDescent="0.25">
      <c r="A304" s="5" t="s">
        <v>823</v>
      </c>
      <c r="B304" s="6">
        <f t="shared" si="4"/>
        <v>155.99244000000002</v>
      </c>
      <c r="C304" s="7" t="s">
        <v>301</v>
      </c>
      <c r="D304" s="7" t="s">
        <v>299</v>
      </c>
      <c r="E304" s="7" t="s">
        <v>829</v>
      </c>
      <c r="F304" s="8">
        <v>150.32585999999998</v>
      </c>
      <c r="G304" s="7" t="s">
        <v>480</v>
      </c>
      <c r="H304" s="7" t="s">
        <v>478</v>
      </c>
      <c r="I304" s="6">
        <v>645</v>
      </c>
      <c r="J304" s="6">
        <v>155992.44</v>
      </c>
      <c r="K304" s="6">
        <v>92574.620000000054</v>
      </c>
    </row>
    <row r="305" spans="1:11" x14ac:dyDescent="0.25">
      <c r="A305" s="5" t="s">
        <v>823</v>
      </c>
      <c r="B305" s="6">
        <f t="shared" si="4"/>
        <v>156.63744</v>
      </c>
      <c r="C305" s="7" t="s">
        <v>299</v>
      </c>
      <c r="D305" s="7" t="s">
        <v>297</v>
      </c>
      <c r="E305" s="7" t="s">
        <v>829</v>
      </c>
      <c r="F305" s="8">
        <v>150.66090999999997</v>
      </c>
      <c r="G305" s="7" t="s">
        <v>478</v>
      </c>
      <c r="H305" s="7" t="s">
        <v>476</v>
      </c>
      <c r="I305" s="6">
        <v>305</v>
      </c>
      <c r="J305" s="6">
        <v>156637.44</v>
      </c>
      <c r="K305" s="6">
        <v>91929.620000000054</v>
      </c>
    </row>
    <row r="306" spans="1:11" x14ac:dyDescent="0.25">
      <c r="A306" s="5" t="s">
        <v>823</v>
      </c>
      <c r="B306" s="6">
        <f t="shared" si="4"/>
        <v>156.94244</v>
      </c>
      <c r="C306" s="7" t="s">
        <v>297</v>
      </c>
      <c r="D306" s="7" t="s">
        <v>295</v>
      </c>
      <c r="E306" s="7" t="s">
        <v>829</v>
      </c>
      <c r="F306" s="8">
        <v>151.22571999999997</v>
      </c>
      <c r="G306" s="7" t="s">
        <v>476</v>
      </c>
      <c r="H306" s="7" t="s">
        <v>474</v>
      </c>
      <c r="I306" s="6">
        <v>445</v>
      </c>
      <c r="J306" s="6">
        <v>156942.44</v>
      </c>
      <c r="K306" s="6">
        <v>91624.620000000054</v>
      </c>
    </row>
    <row r="307" spans="1:11" x14ac:dyDescent="0.25">
      <c r="A307" s="5" t="s">
        <v>823</v>
      </c>
      <c r="B307" s="6">
        <f t="shared" si="4"/>
        <v>157.38744</v>
      </c>
      <c r="C307" s="7" t="s">
        <v>295</v>
      </c>
      <c r="D307" s="7" t="s">
        <v>293</v>
      </c>
      <c r="E307" s="7" t="s">
        <v>829</v>
      </c>
      <c r="F307" s="8">
        <v>151.82071999999997</v>
      </c>
      <c r="G307" s="7" t="s">
        <v>474</v>
      </c>
      <c r="H307" s="7" t="s">
        <v>472</v>
      </c>
      <c r="I307" s="6">
        <v>665</v>
      </c>
      <c r="J307" s="6">
        <v>157387.44</v>
      </c>
      <c r="K307" s="6">
        <v>91179.620000000054</v>
      </c>
    </row>
    <row r="308" spans="1:11" x14ac:dyDescent="0.25">
      <c r="A308" s="5" t="s">
        <v>823</v>
      </c>
      <c r="B308" s="6">
        <f t="shared" si="4"/>
        <v>158.05243999999999</v>
      </c>
      <c r="C308" s="7" t="s">
        <v>293</v>
      </c>
      <c r="D308" s="7" t="s">
        <v>291</v>
      </c>
      <c r="E308" s="7" t="s">
        <v>829</v>
      </c>
      <c r="F308" s="8">
        <v>152.40061999999998</v>
      </c>
      <c r="G308" s="7" t="s">
        <v>472</v>
      </c>
      <c r="H308" s="7" t="s">
        <v>470</v>
      </c>
      <c r="I308" s="6">
        <v>535</v>
      </c>
      <c r="J308" s="6">
        <v>158052.44</v>
      </c>
      <c r="K308" s="6">
        <v>90514.620000000054</v>
      </c>
    </row>
    <row r="309" spans="1:11" x14ac:dyDescent="0.25">
      <c r="A309" s="5" t="s">
        <v>823</v>
      </c>
      <c r="B309" s="6">
        <f t="shared" si="4"/>
        <v>158.58744000000002</v>
      </c>
      <c r="C309" s="7" t="s">
        <v>291</v>
      </c>
      <c r="D309" s="7" t="s">
        <v>289</v>
      </c>
      <c r="E309" s="7" t="s">
        <v>829</v>
      </c>
      <c r="F309" s="8">
        <v>152.94089999999997</v>
      </c>
      <c r="G309" s="7" t="s">
        <v>470</v>
      </c>
      <c r="H309" s="7" t="s">
        <v>468</v>
      </c>
      <c r="I309" s="6">
        <v>360</v>
      </c>
      <c r="J309" s="6">
        <v>158587.44</v>
      </c>
      <c r="K309" s="6">
        <v>89979.620000000054</v>
      </c>
    </row>
    <row r="310" spans="1:11" x14ac:dyDescent="0.25">
      <c r="A310" s="5" t="s">
        <v>823</v>
      </c>
      <c r="B310" s="6">
        <f t="shared" si="4"/>
        <v>158.94744</v>
      </c>
      <c r="C310" s="7" t="s">
        <v>289</v>
      </c>
      <c r="D310" s="7" t="s">
        <v>287</v>
      </c>
      <c r="E310" s="7" t="s">
        <v>829</v>
      </c>
      <c r="F310" s="8">
        <v>153.47569999999996</v>
      </c>
      <c r="G310" s="7" t="s">
        <v>468</v>
      </c>
      <c r="H310" s="7" t="s">
        <v>466</v>
      </c>
      <c r="I310" s="6">
        <v>415</v>
      </c>
      <c r="J310" s="6">
        <v>158947.44</v>
      </c>
      <c r="K310" s="6">
        <v>89619.620000000054</v>
      </c>
    </row>
    <row r="311" spans="1:11" x14ac:dyDescent="0.25">
      <c r="A311" s="5" t="s">
        <v>823</v>
      </c>
      <c r="B311" s="6">
        <f t="shared" si="4"/>
        <v>159.36243999999999</v>
      </c>
      <c r="C311" s="7" t="s">
        <v>287</v>
      </c>
      <c r="D311" s="7" t="s">
        <v>285</v>
      </c>
      <c r="E311" s="7" t="s">
        <v>829</v>
      </c>
      <c r="F311" s="8">
        <v>154.08061999999995</v>
      </c>
      <c r="G311" s="7" t="s">
        <v>466</v>
      </c>
      <c r="H311" s="7" t="s">
        <v>464</v>
      </c>
      <c r="I311" s="6">
        <v>480</v>
      </c>
      <c r="J311" s="6">
        <v>159362.44</v>
      </c>
      <c r="K311" s="6">
        <v>89204.620000000054</v>
      </c>
    </row>
    <row r="312" spans="1:11" x14ac:dyDescent="0.25">
      <c r="A312" s="5" t="s">
        <v>823</v>
      </c>
      <c r="B312" s="6">
        <f t="shared" si="4"/>
        <v>159.84244000000001</v>
      </c>
      <c r="C312" s="7" t="s">
        <v>285</v>
      </c>
      <c r="D312" s="7" t="s">
        <v>283</v>
      </c>
      <c r="E312" s="7" t="s">
        <v>829</v>
      </c>
      <c r="F312" s="8">
        <v>154.61559999999997</v>
      </c>
      <c r="G312" s="7" t="s">
        <v>464</v>
      </c>
      <c r="H312" s="7" t="s">
        <v>462</v>
      </c>
      <c r="I312" s="6">
        <v>450</v>
      </c>
      <c r="J312" s="6">
        <v>159842.44</v>
      </c>
      <c r="K312" s="6">
        <v>88724.620000000054</v>
      </c>
    </row>
    <row r="313" spans="1:11" x14ac:dyDescent="0.25">
      <c r="A313" s="5" t="s">
        <v>823</v>
      </c>
      <c r="B313" s="6">
        <f t="shared" si="4"/>
        <v>160.29244</v>
      </c>
      <c r="C313" s="7" t="s">
        <v>283</v>
      </c>
      <c r="D313" s="7" t="s">
        <v>281</v>
      </c>
      <c r="E313" s="7" t="s">
        <v>829</v>
      </c>
      <c r="F313" s="8">
        <v>155.10049999999998</v>
      </c>
      <c r="G313" s="7" t="s">
        <v>462</v>
      </c>
      <c r="H313" s="7" t="s">
        <v>460</v>
      </c>
      <c r="I313" s="6">
        <v>295</v>
      </c>
      <c r="J313" s="6">
        <v>160292.44</v>
      </c>
      <c r="K313" s="6">
        <v>88274.620000000054</v>
      </c>
    </row>
    <row r="314" spans="1:11" x14ac:dyDescent="0.25">
      <c r="A314" s="5" t="s">
        <v>823</v>
      </c>
      <c r="B314" s="6">
        <f t="shared" si="4"/>
        <v>160.58744000000002</v>
      </c>
      <c r="C314" s="7" t="s">
        <v>281</v>
      </c>
      <c r="D314" s="7" t="s">
        <v>279</v>
      </c>
      <c r="E314" s="7" t="s">
        <v>829</v>
      </c>
      <c r="F314" s="8">
        <v>155.58389999999997</v>
      </c>
      <c r="G314" s="7" t="s">
        <v>460</v>
      </c>
      <c r="H314" s="7" t="s">
        <v>458</v>
      </c>
      <c r="I314" s="6">
        <v>350</v>
      </c>
      <c r="J314" s="6">
        <v>160587.44</v>
      </c>
      <c r="K314" s="6">
        <v>87979.620000000054</v>
      </c>
    </row>
    <row r="315" spans="1:11" x14ac:dyDescent="0.25">
      <c r="A315" s="5" t="s">
        <v>823</v>
      </c>
      <c r="B315" s="6">
        <f t="shared" si="4"/>
        <v>160.93744000000001</v>
      </c>
      <c r="C315" s="7" t="s">
        <v>279</v>
      </c>
      <c r="D315" s="7" t="s">
        <v>277</v>
      </c>
      <c r="E315" s="7" t="s">
        <v>829</v>
      </c>
      <c r="F315" s="8">
        <v>156.09549999999996</v>
      </c>
      <c r="G315" s="7" t="s">
        <v>458</v>
      </c>
      <c r="H315" s="7" t="s">
        <v>456</v>
      </c>
      <c r="I315" s="6">
        <v>420</v>
      </c>
      <c r="J315" s="6">
        <v>160937.44</v>
      </c>
      <c r="K315" s="6">
        <v>87629.620000000054</v>
      </c>
    </row>
    <row r="316" spans="1:11" x14ac:dyDescent="0.25">
      <c r="A316" s="5" t="s">
        <v>823</v>
      </c>
      <c r="B316" s="6">
        <f t="shared" si="4"/>
        <v>161.35744</v>
      </c>
      <c r="C316" s="7" t="s">
        <v>277</v>
      </c>
      <c r="D316" s="7" t="s">
        <v>275</v>
      </c>
      <c r="E316" s="7" t="s">
        <v>829</v>
      </c>
      <c r="F316" s="8">
        <v>156.61549999999997</v>
      </c>
      <c r="G316" s="7" t="s">
        <v>456</v>
      </c>
      <c r="H316" s="7" t="s">
        <v>454</v>
      </c>
      <c r="I316" s="6">
        <v>375.12</v>
      </c>
      <c r="J316" s="6">
        <v>161357.44</v>
      </c>
      <c r="K316" s="6">
        <v>87209.620000000054</v>
      </c>
    </row>
    <row r="317" spans="1:11" x14ac:dyDescent="0.25">
      <c r="A317" s="5" t="s">
        <v>823</v>
      </c>
      <c r="B317" s="6">
        <f t="shared" si="4"/>
        <v>161.73256000000001</v>
      </c>
      <c r="C317" s="7" t="s">
        <v>275</v>
      </c>
      <c r="D317" s="7" t="s">
        <v>273</v>
      </c>
      <c r="E317" s="7" t="s">
        <v>829</v>
      </c>
      <c r="F317" s="8">
        <v>157.47982999999996</v>
      </c>
      <c r="G317" s="7" t="s">
        <v>454</v>
      </c>
      <c r="H317" s="7" t="s">
        <v>452</v>
      </c>
      <c r="I317" s="6">
        <v>462</v>
      </c>
      <c r="J317" s="6">
        <v>161732.56</v>
      </c>
      <c r="K317" s="6">
        <v>86834.500000000058</v>
      </c>
    </row>
    <row r="318" spans="1:11" x14ac:dyDescent="0.25">
      <c r="A318" s="5" t="s">
        <v>823</v>
      </c>
      <c r="B318" s="6">
        <f t="shared" si="4"/>
        <v>162.19456</v>
      </c>
      <c r="C318" s="7" t="s">
        <v>273</v>
      </c>
      <c r="D318" s="7" t="s">
        <v>271</v>
      </c>
      <c r="E318" s="7" t="s">
        <v>829</v>
      </c>
      <c r="F318" s="8">
        <v>157.75169999999994</v>
      </c>
      <c r="G318" s="7" t="s">
        <v>452</v>
      </c>
      <c r="H318" s="7" t="s">
        <v>450</v>
      </c>
      <c r="I318" s="6">
        <v>587</v>
      </c>
      <c r="J318" s="6">
        <v>162194.56</v>
      </c>
      <c r="K318" s="6">
        <v>86372.500000000058</v>
      </c>
    </row>
    <row r="319" spans="1:11" x14ac:dyDescent="0.25">
      <c r="A319" s="5" t="s">
        <v>823</v>
      </c>
      <c r="B319" s="6">
        <f t="shared" si="4"/>
        <v>162.78155999999998</v>
      </c>
      <c r="C319" s="7" t="s">
        <v>271</v>
      </c>
      <c r="D319" s="7" t="s">
        <v>270</v>
      </c>
      <c r="E319" s="7" t="s">
        <v>829</v>
      </c>
      <c r="F319" s="8">
        <v>158.19730999999993</v>
      </c>
      <c r="G319" s="7" t="s">
        <v>450</v>
      </c>
      <c r="H319" s="7" t="s">
        <v>448</v>
      </c>
      <c r="I319" s="6">
        <v>413</v>
      </c>
      <c r="J319" s="6">
        <v>162781.56</v>
      </c>
      <c r="K319" s="6">
        <v>85785.500000000058</v>
      </c>
    </row>
    <row r="320" spans="1:11" x14ac:dyDescent="0.25">
      <c r="A320" s="5" t="s">
        <v>823</v>
      </c>
      <c r="B320" s="6">
        <f t="shared" si="4"/>
        <v>163.19456</v>
      </c>
      <c r="C320" s="7" t="s">
        <v>270</v>
      </c>
      <c r="D320" s="7" t="s">
        <v>269</v>
      </c>
      <c r="E320" s="7" t="s">
        <v>829</v>
      </c>
      <c r="F320" s="8">
        <v>159.04195999999993</v>
      </c>
      <c r="G320" s="7" t="s">
        <v>448</v>
      </c>
      <c r="H320" s="7" t="s">
        <v>446</v>
      </c>
      <c r="I320" s="6">
        <v>420</v>
      </c>
      <c r="J320" s="6">
        <v>163194.56</v>
      </c>
      <c r="K320" s="6">
        <v>85372.500000000058</v>
      </c>
    </row>
    <row r="321" spans="1:11" x14ac:dyDescent="0.25">
      <c r="A321" s="5" t="s">
        <v>823</v>
      </c>
      <c r="B321" s="6">
        <f t="shared" si="4"/>
        <v>163.61456000000001</v>
      </c>
      <c r="C321" s="7" t="s">
        <v>269</v>
      </c>
      <c r="D321" s="7" t="s">
        <v>268</v>
      </c>
      <c r="E321" s="7" t="s">
        <v>829</v>
      </c>
      <c r="F321" s="8">
        <v>159.44682999999992</v>
      </c>
      <c r="G321" s="7" t="s">
        <v>446</v>
      </c>
      <c r="H321" s="7" t="s">
        <v>444</v>
      </c>
      <c r="I321" s="6">
        <v>531</v>
      </c>
      <c r="J321" s="6">
        <v>163614.56</v>
      </c>
      <c r="K321" s="6">
        <v>84952.500000000058</v>
      </c>
    </row>
    <row r="322" spans="1:11" x14ac:dyDescent="0.25">
      <c r="A322" s="5" t="s">
        <v>823</v>
      </c>
      <c r="B322" s="6">
        <f t="shared" si="4"/>
        <v>164.14555999999999</v>
      </c>
      <c r="C322" s="7" t="s">
        <v>268</v>
      </c>
      <c r="D322" s="7" t="s">
        <v>267</v>
      </c>
      <c r="E322" s="7" t="s">
        <v>829</v>
      </c>
      <c r="F322" s="8">
        <v>159.99187999999992</v>
      </c>
      <c r="G322" s="7" t="s">
        <v>444</v>
      </c>
      <c r="H322" s="7" t="s">
        <v>442</v>
      </c>
      <c r="I322" s="6">
        <v>214</v>
      </c>
      <c r="J322" s="6">
        <v>164145.56</v>
      </c>
      <c r="K322" s="6">
        <v>84421.500000000058</v>
      </c>
    </row>
    <row r="323" spans="1:11" x14ac:dyDescent="0.25">
      <c r="A323" s="5" t="s">
        <v>823</v>
      </c>
      <c r="B323" s="6">
        <f t="shared" ref="B323:B386" si="5">J323/1000</f>
        <v>164.35955999999999</v>
      </c>
      <c r="C323" s="7" t="s">
        <v>267</v>
      </c>
      <c r="D323" s="7" t="s">
        <v>266</v>
      </c>
      <c r="E323" s="7" t="s">
        <v>829</v>
      </c>
      <c r="F323" s="8">
        <v>160.47169999999991</v>
      </c>
      <c r="G323" s="7" t="s">
        <v>442</v>
      </c>
      <c r="H323" s="7" t="s">
        <v>440</v>
      </c>
      <c r="I323" s="6">
        <v>600</v>
      </c>
      <c r="J323" s="6">
        <v>164359.56</v>
      </c>
      <c r="K323" s="6">
        <v>84207.500000000058</v>
      </c>
    </row>
    <row r="324" spans="1:11" x14ac:dyDescent="0.25">
      <c r="A324" s="5" t="s">
        <v>823</v>
      </c>
      <c r="B324" s="6">
        <f t="shared" si="5"/>
        <v>164.95956000000001</v>
      </c>
      <c r="C324" s="7" t="s">
        <v>266</v>
      </c>
      <c r="D324" s="7" t="s">
        <v>265</v>
      </c>
      <c r="E324" s="7" t="s">
        <v>829</v>
      </c>
      <c r="F324" s="8">
        <v>161.00160999999991</v>
      </c>
      <c r="G324" s="7" t="s">
        <v>440</v>
      </c>
      <c r="H324" s="7" t="s">
        <v>438</v>
      </c>
      <c r="I324" s="6">
        <v>395</v>
      </c>
      <c r="J324" s="6">
        <v>164959.56</v>
      </c>
      <c r="K324" s="6">
        <v>83607.500000000058</v>
      </c>
    </row>
    <row r="325" spans="1:11" x14ac:dyDescent="0.25">
      <c r="A325" s="5" t="s">
        <v>823</v>
      </c>
      <c r="B325" s="6">
        <f t="shared" si="5"/>
        <v>165.35455999999999</v>
      </c>
      <c r="C325" s="7" t="s">
        <v>265</v>
      </c>
      <c r="D325" s="7" t="s">
        <v>264</v>
      </c>
      <c r="E325" s="7" t="s">
        <v>829</v>
      </c>
      <c r="F325" s="8">
        <v>161.54164999999995</v>
      </c>
      <c r="G325" s="7" t="s">
        <v>438</v>
      </c>
      <c r="H325" s="7" t="s">
        <v>436</v>
      </c>
      <c r="I325" s="6">
        <v>395</v>
      </c>
      <c r="J325" s="6">
        <v>165354.56</v>
      </c>
      <c r="K325" s="6">
        <v>83212.500000000058</v>
      </c>
    </row>
    <row r="326" spans="1:11" x14ac:dyDescent="0.25">
      <c r="A326" s="5" t="s">
        <v>823</v>
      </c>
      <c r="B326" s="6">
        <f t="shared" si="5"/>
        <v>165.74956</v>
      </c>
      <c r="C326" s="7" t="s">
        <v>264</v>
      </c>
      <c r="D326" s="7" t="s">
        <v>263</v>
      </c>
      <c r="E326" s="7" t="s">
        <v>829</v>
      </c>
      <c r="F326" s="8">
        <v>161.89798999999994</v>
      </c>
      <c r="G326" s="7" t="s">
        <v>436</v>
      </c>
      <c r="H326" s="7" t="s">
        <v>434</v>
      </c>
      <c r="I326" s="6">
        <v>463.2</v>
      </c>
      <c r="J326" s="6">
        <v>165749.56</v>
      </c>
      <c r="K326" s="6">
        <v>82817.500000000058</v>
      </c>
    </row>
    <row r="327" spans="1:11" x14ac:dyDescent="0.25">
      <c r="A327" s="5" t="s">
        <v>823</v>
      </c>
      <c r="B327" s="6">
        <f t="shared" si="5"/>
        <v>166.21276</v>
      </c>
      <c r="C327" s="7" t="s">
        <v>263</v>
      </c>
      <c r="D327" s="7" t="s">
        <v>262</v>
      </c>
      <c r="E327" s="7" t="s">
        <v>829</v>
      </c>
      <c r="F327" s="8">
        <v>162.13387999999995</v>
      </c>
      <c r="G327" s="7" t="s">
        <v>434</v>
      </c>
      <c r="H327" s="7" t="s">
        <v>432</v>
      </c>
      <c r="I327" s="6">
        <v>470</v>
      </c>
      <c r="J327" s="6">
        <v>166212.76</v>
      </c>
      <c r="K327" s="6">
        <v>82354.300000000061</v>
      </c>
    </row>
    <row r="328" spans="1:11" x14ac:dyDescent="0.25">
      <c r="A328" s="5" t="s">
        <v>823</v>
      </c>
      <c r="B328" s="6">
        <f t="shared" si="5"/>
        <v>166.68276</v>
      </c>
      <c r="C328" s="7" t="s">
        <v>262</v>
      </c>
      <c r="D328" s="7" t="s">
        <v>261</v>
      </c>
      <c r="E328" s="7" t="s">
        <v>829</v>
      </c>
      <c r="F328" s="8">
        <v>162.69628999999995</v>
      </c>
      <c r="G328" s="7" t="s">
        <v>432</v>
      </c>
      <c r="H328" s="7" t="s">
        <v>430</v>
      </c>
      <c r="I328" s="6">
        <v>515</v>
      </c>
      <c r="J328" s="6">
        <v>166682.76</v>
      </c>
      <c r="K328" s="6">
        <v>81884.300000000061</v>
      </c>
    </row>
    <row r="329" spans="1:11" x14ac:dyDescent="0.25">
      <c r="A329" s="5" t="s">
        <v>823</v>
      </c>
      <c r="B329" s="6">
        <f t="shared" si="5"/>
        <v>167.19776000000002</v>
      </c>
      <c r="C329" s="7" t="s">
        <v>261</v>
      </c>
      <c r="D329" s="7" t="s">
        <v>260</v>
      </c>
      <c r="E329" s="7" t="s">
        <v>829</v>
      </c>
      <c r="F329" s="8">
        <v>163.35616999999996</v>
      </c>
      <c r="G329" s="7" t="s">
        <v>430</v>
      </c>
      <c r="H329" s="7" t="s">
        <v>428</v>
      </c>
      <c r="I329" s="6">
        <v>302</v>
      </c>
      <c r="J329" s="6">
        <v>167197.76000000001</v>
      </c>
      <c r="K329" s="6">
        <v>81369.300000000061</v>
      </c>
    </row>
    <row r="330" spans="1:11" x14ac:dyDescent="0.25">
      <c r="A330" s="5" t="s">
        <v>823</v>
      </c>
      <c r="B330" s="6">
        <f t="shared" si="5"/>
        <v>167.49976000000001</v>
      </c>
      <c r="C330" s="7" t="s">
        <v>260</v>
      </c>
      <c r="D330" s="7" t="s">
        <v>259</v>
      </c>
      <c r="E330" s="7" t="s">
        <v>829</v>
      </c>
      <c r="F330" s="8">
        <v>163.82239999999996</v>
      </c>
      <c r="G330" s="7" t="s">
        <v>428</v>
      </c>
      <c r="H330" s="7" t="s">
        <v>426</v>
      </c>
      <c r="I330" s="6">
        <v>578</v>
      </c>
      <c r="J330" s="6">
        <v>167499.76</v>
      </c>
      <c r="K330" s="6">
        <v>81067.300000000061</v>
      </c>
    </row>
    <row r="331" spans="1:11" x14ac:dyDescent="0.25">
      <c r="A331" s="5" t="s">
        <v>823</v>
      </c>
      <c r="B331" s="6">
        <f t="shared" si="5"/>
        <v>168.07776000000001</v>
      </c>
      <c r="C331" s="7" t="s">
        <v>259</v>
      </c>
      <c r="D331" s="7" t="s">
        <v>258</v>
      </c>
      <c r="E331" s="7" t="s">
        <v>829</v>
      </c>
      <c r="F331" s="8">
        <v>164.44758999999996</v>
      </c>
      <c r="G331" s="7" t="s">
        <v>426</v>
      </c>
      <c r="H331" s="7" t="s">
        <v>424</v>
      </c>
      <c r="I331" s="6">
        <v>525</v>
      </c>
      <c r="J331" s="6">
        <v>168077.76</v>
      </c>
      <c r="K331" s="6">
        <v>80489.300000000061</v>
      </c>
    </row>
    <row r="332" spans="1:11" x14ac:dyDescent="0.25">
      <c r="A332" s="5" t="s">
        <v>823</v>
      </c>
      <c r="B332" s="6">
        <f t="shared" si="5"/>
        <v>168.60276000000002</v>
      </c>
      <c r="C332" s="7" t="s">
        <v>258</v>
      </c>
      <c r="D332" s="7" t="s">
        <v>257</v>
      </c>
      <c r="E332" s="7" t="s">
        <v>829</v>
      </c>
      <c r="F332" s="8">
        <v>164.87402999999998</v>
      </c>
      <c r="G332" s="7" t="s">
        <v>424</v>
      </c>
      <c r="H332" s="7" t="s">
        <v>422</v>
      </c>
      <c r="I332" s="6">
        <v>495</v>
      </c>
      <c r="J332" s="6">
        <v>168602.76</v>
      </c>
      <c r="K332" s="6">
        <v>79964.300000000061</v>
      </c>
    </row>
    <row r="333" spans="1:11" x14ac:dyDescent="0.25">
      <c r="A333" s="5" t="s">
        <v>823</v>
      </c>
      <c r="B333" s="6">
        <f t="shared" si="5"/>
        <v>169.09776000000002</v>
      </c>
      <c r="C333" s="7" t="s">
        <v>257</v>
      </c>
      <c r="D333" s="7" t="s">
        <v>256</v>
      </c>
      <c r="E333" s="7" t="s">
        <v>829</v>
      </c>
      <c r="F333" s="8">
        <v>165.22873999999996</v>
      </c>
      <c r="G333" s="7" t="s">
        <v>422</v>
      </c>
      <c r="H333" s="7" t="s">
        <v>420</v>
      </c>
      <c r="I333" s="6">
        <v>575</v>
      </c>
      <c r="J333" s="6">
        <v>169097.76</v>
      </c>
      <c r="K333" s="6">
        <v>79469.300000000061</v>
      </c>
    </row>
    <row r="334" spans="1:11" x14ac:dyDescent="0.25">
      <c r="A334" s="5" t="s">
        <v>823</v>
      </c>
      <c r="B334" s="6">
        <f t="shared" si="5"/>
        <v>169.67276000000001</v>
      </c>
      <c r="C334" s="7" t="s">
        <v>256</v>
      </c>
      <c r="D334" s="7" t="s">
        <v>255</v>
      </c>
      <c r="E334" s="7" t="s">
        <v>829</v>
      </c>
      <c r="F334" s="8">
        <v>165.57752999999997</v>
      </c>
      <c r="G334" s="7" t="s">
        <v>420</v>
      </c>
      <c r="H334" s="7" t="s">
        <v>418</v>
      </c>
      <c r="I334" s="6">
        <v>510</v>
      </c>
      <c r="J334" s="6">
        <v>169672.76</v>
      </c>
      <c r="K334" s="6">
        <v>78894.300000000061</v>
      </c>
    </row>
    <row r="335" spans="1:11" x14ac:dyDescent="0.25">
      <c r="A335" s="5" t="s">
        <v>823</v>
      </c>
      <c r="B335" s="6">
        <f t="shared" si="5"/>
        <v>170.18276</v>
      </c>
      <c r="C335" s="7" t="s">
        <v>255</v>
      </c>
      <c r="D335" s="7" t="s">
        <v>254</v>
      </c>
      <c r="E335" s="7" t="s">
        <v>829</v>
      </c>
      <c r="F335" s="8">
        <v>166.00754999999995</v>
      </c>
      <c r="G335" s="7" t="s">
        <v>418</v>
      </c>
      <c r="H335" s="7" t="s">
        <v>416</v>
      </c>
      <c r="I335" s="6">
        <v>455</v>
      </c>
      <c r="J335" s="6">
        <v>170182.76</v>
      </c>
      <c r="K335" s="6">
        <v>78384.300000000061</v>
      </c>
    </row>
    <row r="336" spans="1:11" x14ac:dyDescent="0.25">
      <c r="A336" s="5" t="s">
        <v>823</v>
      </c>
      <c r="B336" s="6">
        <f t="shared" si="5"/>
        <v>170.63776000000001</v>
      </c>
      <c r="C336" s="7" t="s">
        <v>254</v>
      </c>
      <c r="D336" s="7" t="s">
        <v>253</v>
      </c>
      <c r="E336" s="7" t="s">
        <v>829</v>
      </c>
      <c r="F336" s="8">
        <v>166.69753999999995</v>
      </c>
      <c r="G336" s="7" t="s">
        <v>416</v>
      </c>
      <c r="H336" s="7" t="s">
        <v>414</v>
      </c>
      <c r="I336" s="6">
        <v>645</v>
      </c>
      <c r="J336" s="6">
        <v>170637.76</v>
      </c>
      <c r="K336" s="6">
        <v>77929.300000000061</v>
      </c>
    </row>
    <row r="337" spans="1:11" x14ac:dyDescent="0.25">
      <c r="A337" s="5" t="s">
        <v>823</v>
      </c>
      <c r="B337" s="6">
        <f t="shared" si="5"/>
        <v>171.28276</v>
      </c>
      <c r="C337" s="7" t="s">
        <v>253</v>
      </c>
      <c r="D337" s="7" t="s">
        <v>252</v>
      </c>
      <c r="E337" s="7" t="s">
        <v>829</v>
      </c>
      <c r="F337" s="8">
        <v>167.12761999999995</v>
      </c>
      <c r="G337" s="7" t="s">
        <v>414</v>
      </c>
      <c r="H337" s="7" t="s">
        <v>412</v>
      </c>
      <c r="I337" s="6">
        <v>380</v>
      </c>
      <c r="J337" s="6">
        <v>171282.76</v>
      </c>
      <c r="K337" s="6">
        <v>77284.300000000061</v>
      </c>
    </row>
    <row r="338" spans="1:11" x14ac:dyDescent="0.25">
      <c r="A338" s="5" t="s">
        <v>823</v>
      </c>
      <c r="B338" s="6">
        <f t="shared" si="5"/>
        <v>171.66276000000002</v>
      </c>
      <c r="C338" s="7" t="s">
        <v>252</v>
      </c>
      <c r="D338" s="7" t="s">
        <v>251</v>
      </c>
      <c r="E338" s="7" t="s">
        <v>829</v>
      </c>
      <c r="F338" s="8">
        <v>167.71259999999995</v>
      </c>
      <c r="G338" s="7" t="s">
        <v>412</v>
      </c>
      <c r="H338" s="7" t="s">
        <v>410</v>
      </c>
      <c r="I338" s="6">
        <v>435</v>
      </c>
      <c r="J338" s="6">
        <v>171662.76</v>
      </c>
      <c r="K338" s="6">
        <v>76904.300000000061</v>
      </c>
    </row>
    <row r="339" spans="1:11" x14ac:dyDescent="0.25">
      <c r="A339" s="5" t="s">
        <v>823</v>
      </c>
      <c r="B339" s="6">
        <f t="shared" si="5"/>
        <v>172.09776000000002</v>
      </c>
      <c r="C339" s="7" t="s">
        <v>251</v>
      </c>
      <c r="D339" s="7" t="s">
        <v>250</v>
      </c>
      <c r="E339" s="7" t="s">
        <v>829</v>
      </c>
      <c r="F339" s="8">
        <v>168.19253999999995</v>
      </c>
      <c r="G339" s="7" t="s">
        <v>410</v>
      </c>
      <c r="H339" s="7" t="s">
        <v>408</v>
      </c>
      <c r="I339" s="6">
        <v>455</v>
      </c>
      <c r="J339" s="6">
        <v>172097.76</v>
      </c>
      <c r="K339" s="6">
        <v>76469.300000000061</v>
      </c>
    </row>
    <row r="340" spans="1:11" x14ac:dyDescent="0.25">
      <c r="A340" s="5" t="s">
        <v>823</v>
      </c>
      <c r="B340" s="6">
        <f t="shared" si="5"/>
        <v>172.55276000000001</v>
      </c>
      <c r="C340" s="7" t="s">
        <v>250</v>
      </c>
      <c r="D340" s="7" t="s">
        <v>249</v>
      </c>
      <c r="E340" s="7" t="s">
        <v>829</v>
      </c>
      <c r="F340" s="8">
        <v>168.67258999999993</v>
      </c>
      <c r="G340" s="7" t="s">
        <v>408</v>
      </c>
      <c r="H340" s="7" t="s">
        <v>406</v>
      </c>
      <c r="I340" s="6">
        <v>455</v>
      </c>
      <c r="J340" s="6">
        <v>172552.76</v>
      </c>
      <c r="K340" s="6">
        <v>76014.300000000061</v>
      </c>
    </row>
    <row r="341" spans="1:11" x14ac:dyDescent="0.25">
      <c r="A341" s="5" t="s">
        <v>823</v>
      </c>
      <c r="B341" s="6">
        <f t="shared" si="5"/>
        <v>173.00776000000002</v>
      </c>
      <c r="C341" s="7" t="s">
        <v>249</v>
      </c>
      <c r="D341" s="7" t="s">
        <v>248</v>
      </c>
      <c r="E341" s="7" t="s">
        <v>829</v>
      </c>
      <c r="F341" s="8">
        <v>169.39250999999996</v>
      </c>
      <c r="G341" s="7" t="s">
        <v>406</v>
      </c>
      <c r="H341" s="7" t="s">
        <v>404</v>
      </c>
      <c r="I341" s="6">
        <v>610</v>
      </c>
      <c r="J341" s="6">
        <v>173007.76</v>
      </c>
      <c r="K341" s="6">
        <v>75559.300000000061</v>
      </c>
    </row>
    <row r="342" spans="1:11" x14ac:dyDescent="0.25">
      <c r="A342" s="5" t="s">
        <v>823</v>
      </c>
      <c r="B342" s="6">
        <f t="shared" si="5"/>
        <v>173.61776</v>
      </c>
      <c r="C342" s="7" t="s">
        <v>248</v>
      </c>
      <c r="D342" s="7" t="s">
        <v>247</v>
      </c>
      <c r="E342" s="7" t="s">
        <v>829</v>
      </c>
      <c r="F342" s="8">
        <v>169.70257999999995</v>
      </c>
      <c r="G342" s="7" t="s">
        <v>404</v>
      </c>
      <c r="H342" s="7" t="s">
        <v>402</v>
      </c>
      <c r="I342" s="6">
        <v>435</v>
      </c>
      <c r="J342" s="6">
        <v>173617.76</v>
      </c>
      <c r="K342" s="6">
        <v>74949.300000000061</v>
      </c>
    </row>
    <row r="343" spans="1:11" x14ac:dyDescent="0.25">
      <c r="A343" s="5" t="s">
        <v>823</v>
      </c>
      <c r="B343" s="6">
        <f t="shared" si="5"/>
        <v>174.05276000000001</v>
      </c>
      <c r="C343" s="7" t="s">
        <v>247</v>
      </c>
      <c r="D343" s="7" t="s">
        <v>246</v>
      </c>
      <c r="E343" s="7" t="s">
        <v>829</v>
      </c>
      <c r="F343" s="8">
        <v>170.33259999999996</v>
      </c>
      <c r="G343" s="7" t="s">
        <v>402</v>
      </c>
      <c r="H343" s="7" t="s">
        <v>400</v>
      </c>
      <c r="I343" s="6">
        <v>425</v>
      </c>
      <c r="J343" s="6">
        <v>174052.76</v>
      </c>
      <c r="K343" s="6">
        <v>74514.300000000061</v>
      </c>
    </row>
    <row r="344" spans="1:11" x14ac:dyDescent="0.25">
      <c r="A344" s="5" t="s">
        <v>823</v>
      </c>
      <c r="B344" s="6">
        <f t="shared" si="5"/>
        <v>174.47776000000002</v>
      </c>
      <c r="C344" s="7" t="s">
        <v>246</v>
      </c>
      <c r="D344" s="7" t="s">
        <v>245</v>
      </c>
      <c r="E344" s="7" t="s">
        <v>829</v>
      </c>
      <c r="F344" s="8">
        <v>170.89252999999994</v>
      </c>
      <c r="G344" s="7" t="s">
        <v>400</v>
      </c>
      <c r="H344" s="7" t="s">
        <v>398</v>
      </c>
      <c r="I344" s="6">
        <v>455</v>
      </c>
      <c r="J344" s="6">
        <v>174477.76</v>
      </c>
      <c r="K344" s="6">
        <v>74089.300000000061</v>
      </c>
    </row>
    <row r="345" spans="1:11" x14ac:dyDescent="0.25">
      <c r="A345" s="5" t="s">
        <v>823</v>
      </c>
      <c r="B345" s="6">
        <f t="shared" si="5"/>
        <v>174.93276</v>
      </c>
      <c r="C345" s="7" t="s">
        <v>245</v>
      </c>
      <c r="D345" s="7" t="s">
        <v>244</v>
      </c>
      <c r="E345" s="7" t="s">
        <v>829</v>
      </c>
      <c r="F345" s="8">
        <v>171.37761999999995</v>
      </c>
      <c r="G345" s="7" t="s">
        <v>398</v>
      </c>
      <c r="H345" s="7" t="s">
        <v>396</v>
      </c>
      <c r="I345" s="6">
        <v>470</v>
      </c>
      <c r="J345" s="6">
        <v>174932.76</v>
      </c>
      <c r="K345" s="6">
        <v>73634.300000000061</v>
      </c>
    </row>
    <row r="346" spans="1:11" x14ac:dyDescent="0.25">
      <c r="A346" s="5" t="s">
        <v>823</v>
      </c>
      <c r="B346" s="6">
        <f t="shared" si="5"/>
        <v>175.40276</v>
      </c>
      <c r="C346" s="7" t="s">
        <v>244</v>
      </c>
      <c r="D346" s="7" t="s">
        <v>243</v>
      </c>
      <c r="E346" s="7" t="s">
        <v>829</v>
      </c>
      <c r="F346" s="8">
        <v>171.78254999999993</v>
      </c>
      <c r="G346" s="7" t="s">
        <v>396</v>
      </c>
      <c r="H346" s="7" t="s">
        <v>394</v>
      </c>
      <c r="I346" s="6">
        <v>595</v>
      </c>
      <c r="J346" s="6">
        <v>175402.76</v>
      </c>
      <c r="K346" s="6">
        <v>73164.300000000061</v>
      </c>
    </row>
    <row r="347" spans="1:11" x14ac:dyDescent="0.25">
      <c r="A347" s="5" t="s">
        <v>823</v>
      </c>
      <c r="B347" s="6">
        <f t="shared" si="5"/>
        <v>175.99776</v>
      </c>
      <c r="C347" s="7" t="s">
        <v>243</v>
      </c>
      <c r="D347" s="7" t="s">
        <v>242</v>
      </c>
      <c r="E347" s="7" t="s">
        <v>829</v>
      </c>
      <c r="F347" s="8">
        <v>172.22251999999992</v>
      </c>
      <c r="G347" s="7" t="s">
        <v>394</v>
      </c>
      <c r="H347" s="7" t="s">
        <v>392</v>
      </c>
      <c r="I347" s="6">
        <v>500</v>
      </c>
      <c r="J347" s="6">
        <v>175997.76</v>
      </c>
      <c r="K347" s="6">
        <v>72569.300000000061</v>
      </c>
    </row>
    <row r="348" spans="1:11" x14ac:dyDescent="0.25">
      <c r="A348" s="5" t="s">
        <v>823</v>
      </c>
      <c r="B348" s="6">
        <f t="shared" si="5"/>
        <v>176.49776</v>
      </c>
      <c r="C348" s="7" t="s">
        <v>242</v>
      </c>
      <c r="D348" s="7" t="s">
        <v>241</v>
      </c>
      <c r="E348" s="7" t="s">
        <v>829</v>
      </c>
      <c r="F348" s="8">
        <v>172.60749999999993</v>
      </c>
      <c r="G348" s="7" t="s">
        <v>392</v>
      </c>
      <c r="H348" s="7" t="s">
        <v>390</v>
      </c>
      <c r="I348" s="6">
        <v>595</v>
      </c>
      <c r="J348" s="6">
        <v>176497.76</v>
      </c>
      <c r="K348" s="6">
        <v>72069.300000000061</v>
      </c>
    </row>
    <row r="349" spans="1:11" x14ac:dyDescent="0.25">
      <c r="A349" s="5" t="s">
        <v>823</v>
      </c>
      <c r="B349" s="6">
        <f t="shared" si="5"/>
        <v>177.09276</v>
      </c>
      <c r="C349" s="7" t="s">
        <v>241</v>
      </c>
      <c r="D349" s="7" t="s">
        <v>240</v>
      </c>
      <c r="E349" s="7" t="s">
        <v>829</v>
      </c>
      <c r="F349" s="8">
        <v>172.97093999999996</v>
      </c>
      <c r="G349" s="7" t="s">
        <v>390</v>
      </c>
      <c r="H349" s="7" t="s">
        <v>388</v>
      </c>
      <c r="I349" s="6">
        <v>530</v>
      </c>
      <c r="J349" s="6">
        <v>177092.76</v>
      </c>
      <c r="K349" s="6">
        <v>71474.300000000061</v>
      </c>
    </row>
    <row r="350" spans="1:11" x14ac:dyDescent="0.25">
      <c r="A350" s="5" t="s">
        <v>823</v>
      </c>
      <c r="B350" s="6">
        <f t="shared" si="5"/>
        <v>177.62276</v>
      </c>
      <c r="C350" s="7" t="s">
        <v>240</v>
      </c>
      <c r="D350" s="7" t="s">
        <v>239</v>
      </c>
      <c r="E350" s="7" t="s">
        <v>829</v>
      </c>
      <c r="F350" s="8">
        <v>173.25743999999995</v>
      </c>
      <c r="G350" s="7" t="s">
        <v>388</v>
      </c>
      <c r="H350" s="7" t="s">
        <v>386</v>
      </c>
      <c r="I350" s="6">
        <v>520</v>
      </c>
      <c r="J350" s="6">
        <v>177622.76</v>
      </c>
      <c r="K350" s="6">
        <v>70944.300000000061</v>
      </c>
    </row>
    <row r="351" spans="1:11" x14ac:dyDescent="0.25">
      <c r="A351" s="5" t="s">
        <v>823</v>
      </c>
      <c r="B351" s="6">
        <f t="shared" si="5"/>
        <v>178.14276000000001</v>
      </c>
      <c r="C351" s="7" t="s">
        <v>239</v>
      </c>
      <c r="D351" s="7" t="s">
        <v>238</v>
      </c>
      <c r="E351" s="7" t="s">
        <v>829</v>
      </c>
      <c r="F351" s="8">
        <v>173.79885999999996</v>
      </c>
      <c r="G351" s="7" t="s">
        <v>386</v>
      </c>
      <c r="H351" s="7" t="s">
        <v>384</v>
      </c>
      <c r="I351" s="6">
        <v>495</v>
      </c>
      <c r="J351" s="6">
        <v>178142.76</v>
      </c>
      <c r="K351" s="6">
        <v>70424.300000000061</v>
      </c>
    </row>
    <row r="352" spans="1:11" x14ac:dyDescent="0.25">
      <c r="A352" s="5" t="s">
        <v>823</v>
      </c>
      <c r="B352" s="6">
        <f t="shared" si="5"/>
        <v>178.63776000000001</v>
      </c>
      <c r="C352" s="7" t="s">
        <v>238</v>
      </c>
      <c r="D352" s="7" t="s">
        <v>237</v>
      </c>
      <c r="E352" s="7" t="s">
        <v>829</v>
      </c>
      <c r="F352" s="8">
        <v>174.45620999999997</v>
      </c>
      <c r="G352" s="7" t="s">
        <v>384</v>
      </c>
      <c r="H352" s="7" t="s">
        <v>382</v>
      </c>
      <c r="I352" s="6">
        <v>475</v>
      </c>
      <c r="J352" s="6">
        <v>178637.76</v>
      </c>
      <c r="K352" s="6">
        <v>69929.300000000061</v>
      </c>
    </row>
    <row r="353" spans="1:11" x14ac:dyDescent="0.25">
      <c r="A353" s="5" t="s">
        <v>823</v>
      </c>
      <c r="B353" s="6">
        <f t="shared" si="5"/>
        <v>179.11276000000001</v>
      </c>
      <c r="C353" s="7" t="s">
        <v>237</v>
      </c>
      <c r="D353" s="7" t="s">
        <v>236</v>
      </c>
      <c r="E353" s="7" t="s">
        <v>829</v>
      </c>
      <c r="F353" s="8">
        <v>175.11251999999996</v>
      </c>
      <c r="G353" s="7" t="s">
        <v>382</v>
      </c>
      <c r="H353" s="7" t="s">
        <v>380</v>
      </c>
      <c r="I353" s="6">
        <v>410</v>
      </c>
      <c r="J353" s="6">
        <v>179112.76</v>
      </c>
      <c r="K353" s="6">
        <v>69454.300000000061</v>
      </c>
    </row>
    <row r="354" spans="1:11" x14ac:dyDescent="0.25">
      <c r="A354" s="5" t="s">
        <v>823</v>
      </c>
      <c r="B354" s="6">
        <f t="shared" si="5"/>
        <v>179.52276000000001</v>
      </c>
      <c r="C354" s="7" t="s">
        <v>236</v>
      </c>
      <c r="D354" s="7" t="s">
        <v>235</v>
      </c>
      <c r="E354" s="7" t="s">
        <v>829</v>
      </c>
      <c r="F354" s="8">
        <v>175.48271999999997</v>
      </c>
      <c r="G354" s="7" t="s">
        <v>380</v>
      </c>
      <c r="H354" s="7" t="s">
        <v>378</v>
      </c>
      <c r="I354" s="6">
        <v>530</v>
      </c>
      <c r="J354" s="6">
        <v>179522.76</v>
      </c>
      <c r="K354" s="6">
        <v>69044.300000000061</v>
      </c>
    </row>
    <row r="355" spans="1:11" x14ac:dyDescent="0.25">
      <c r="A355" s="5" t="s">
        <v>823</v>
      </c>
      <c r="B355" s="6">
        <f t="shared" si="5"/>
        <v>180.05276000000001</v>
      </c>
      <c r="C355" s="7" t="s">
        <v>235</v>
      </c>
      <c r="D355" s="7" t="s">
        <v>234</v>
      </c>
      <c r="E355" s="7" t="s">
        <v>829</v>
      </c>
      <c r="F355" s="8">
        <v>176.11275999999998</v>
      </c>
      <c r="G355" s="7" t="s">
        <v>378</v>
      </c>
      <c r="H355" s="7" t="s">
        <v>376</v>
      </c>
      <c r="I355" s="6">
        <v>470</v>
      </c>
      <c r="J355" s="6">
        <v>180052.76</v>
      </c>
      <c r="K355" s="6">
        <v>68514.300000000061</v>
      </c>
    </row>
    <row r="356" spans="1:11" x14ac:dyDescent="0.25">
      <c r="A356" s="5" t="s">
        <v>823</v>
      </c>
      <c r="B356" s="6">
        <f t="shared" si="5"/>
        <v>180.52276000000001</v>
      </c>
      <c r="C356" s="7" t="s">
        <v>234</v>
      </c>
      <c r="D356" s="7" t="s">
        <v>233</v>
      </c>
      <c r="E356" s="7" t="s">
        <v>829</v>
      </c>
      <c r="F356" s="8">
        <v>176.68265999999997</v>
      </c>
      <c r="G356" s="7" t="s">
        <v>376</v>
      </c>
      <c r="H356" s="7" t="s">
        <v>374</v>
      </c>
      <c r="I356" s="6">
        <v>400</v>
      </c>
      <c r="J356" s="6">
        <v>180522.76</v>
      </c>
      <c r="K356" s="6">
        <v>68044.300000000061</v>
      </c>
    </row>
    <row r="357" spans="1:11" x14ac:dyDescent="0.25">
      <c r="A357" s="5" t="s">
        <v>823</v>
      </c>
      <c r="B357" s="6">
        <f t="shared" si="5"/>
        <v>180.92276000000001</v>
      </c>
      <c r="C357" s="7" t="s">
        <v>233</v>
      </c>
      <c r="D357" s="7" t="s">
        <v>232</v>
      </c>
      <c r="E357" s="7" t="s">
        <v>829</v>
      </c>
      <c r="F357" s="8">
        <v>177.10329999999999</v>
      </c>
      <c r="G357" s="7" t="s">
        <v>374</v>
      </c>
      <c r="H357" s="7" t="s">
        <v>372</v>
      </c>
      <c r="I357" s="6">
        <v>472.55</v>
      </c>
      <c r="J357" s="6">
        <v>180922.76</v>
      </c>
      <c r="K357" s="6">
        <v>67644.300000000061</v>
      </c>
    </row>
    <row r="358" spans="1:11" x14ac:dyDescent="0.25">
      <c r="A358" s="5" t="s">
        <v>823</v>
      </c>
      <c r="B358" s="6">
        <f t="shared" si="5"/>
        <v>181.39530999999999</v>
      </c>
      <c r="C358" s="7" t="s">
        <v>232</v>
      </c>
      <c r="D358" s="7" t="s">
        <v>231</v>
      </c>
      <c r="E358" s="7" t="s">
        <v>829</v>
      </c>
      <c r="F358" s="8">
        <v>177.63829999999999</v>
      </c>
      <c r="G358" s="7" t="s">
        <v>372</v>
      </c>
      <c r="H358" s="7" t="s">
        <v>370</v>
      </c>
      <c r="I358" s="6">
        <v>417.45</v>
      </c>
      <c r="J358" s="6">
        <v>181395.31</v>
      </c>
      <c r="K358" s="6">
        <v>67171.750000000058</v>
      </c>
    </row>
    <row r="359" spans="1:11" x14ac:dyDescent="0.25">
      <c r="A359" s="5" t="s">
        <v>823</v>
      </c>
      <c r="B359" s="6">
        <f t="shared" si="5"/>
        <v>181.81276</v>
      </c>
      <c r="C359" s="7" t="s">
        <v>231</v>
      </c>
      <c r="D359" s="7" t="s">
        <v>230</v>
      </c>
      <c r="E359" s="7" t="s">
        <v>829</v>
      </c>
      <c r="F359" s="8">
        <v>178.21081000000001</v>
      </c>
      <c r="G359" s="7" t="s">
        <v>370</v>
      </c>
      <c r="H359" s="7" t="s">
        <v>368</v>
      </c>
      <c r="I359" s="6">
        <v>520</v>
      </c>
      <c r="J359" s="6">
        <v>181812.76</v>
      </c>
      <c r="K359" s="6">
        <v>66754.300000000061</v>
      </c>
    </row>
    <row r="360" spans="1:11" x14ac:dyDescent="0.25">
      <c r="A360" s="5" t="s">
        <v>823</v>
      </c>
      <c r="B360" s="6">
        <f t="shared" si="5"/>
        <v>182.33276000000001</v>
      </c>
      <c r="C360" s="7" t="s">
        <v>230</v>
      </c>
      <c r="D360" s="7" t="s">
        <v>229</v>
      </c>
      <c r="E360" s="7" t="s">
        <v>829</v>
      </c>
      <c r="F360" s="8">
        <v>178.83126000000001</v>
      </c>
      <c r="G360" s="7" t="s">
        <v>368</v>
      </c>
      <c r="H360" s="7" t="s">
        <v>366</v>
      </c>
      <c r="I360" s="6">
        <v>480</v>
      </c>
      <c r="J360" s="6">
        <v>182332.76</v>
      </c>
      <c r="K360" s="6">
        <v>66234.300000000061</v>
      </c>
    </row>
    <row r="361" spans="1:11" x14ac:dyDescent="0.25">
      <c r="A361" s="5" t="s">
        <v>823</v>
      </c>
      <c r="B361" s="6">
        <f t="shared" si="5"/>
        <v>182.81276</v>
      </c>
      <c r="C361" s="7" t="s">
        <v>229</v>
      </c>
      <c r="D361" s="7" t="s">
        <v>228</v>
      </c>
      <c r="E361" s="7" t="s">
        <v>829</v>
      </c>
      <c r="F361" s="8">
        <v>179.33881</v>
      </c>
      <c r="G361" s="7" t="s">
        <v>366</v>
      </c>
      <c r="H361" s="7" t="s">
        <v>364</v>
      </c>
      <c r="I361" s="6">
        <v>550</v>
      </c>
      <c r="J361" s="6">
        <v>182812.76</v>
      </c>
      <c r="K361" s="6">
        <v>65754.300000000061</v>
      </c>
    </row>
    <row r="362" spans="1:11" x14ac:dyDescent="0.25">
      <c r="A362" s="5" t="s">
        <v>823</v>
      </c>
      <c r="B362" s="6">
        <f t="shared" si="5"/>
        <v>183.36276000000001</v>
      </c>
      <c r="C362" s="7" t="s">
        <v>228</v>
      </c>
      <c r="D362" s="7" t="s">
        <v>227</v>
      </c>
      <c r="E362" s="7" t="s">
        <v>829</v>
      </c>
      <c r="F362" s="8">
        <v>179.81874999999999</v>
      </c>
      <c r="G362" s="7" t="s">
        <v>364</v>
      </c>
      <c r="H362" s="7" t="s">
        <v>362</v>
      </c>
      <c r="I362" s="6">
        <v>350</v>
      </c>
      <c r="J362" s="6">
        <v>183362.76</v>
      </c>
      <c r="K362" s="6">
        <v>65204.300000000061</v>
      </c>
    </row>
    <row r="363" spans="1:11" x14ac:dyDescent="0.25">
      <c r="A363" s="5" t="s">
        <v>823</v>
      </c>
      <c r="B363" s="6">
        <f t="shared" si="5"/>
        <v>183.71276</v>
      </c>
      <c r="C363" s="7" t="s">
        <v>227</v>
      </c>
      <c r="D363" s="7" t="s">
        <v>226</v>
      </c>
      <c r="E363" s="7" t="s">
        <v>829</v>
      </c>
      <c r="F363" s="8">
        <v>180.29875000000001</v>
      </c>
      <c r="G363" s="7" t="s">
        <v>362</v>
      </c>
      <c r="H363" s="7" t="s">
        <v>360</v>
      </c>
      <c r="I363" s="6">
        <v>470</v>
      </c>
      <c r="J363" s="6">
        <v>183712.76</v>
      </c>
      <c r="K363" s="6">
        <v>64854.300000000061</v>
      </c>
    </row>
    <row r="364" spans="1:11" x14ac:dyDescent="0.25">
      <c r="A364" s="5" t="s">
        <v>823</v>
      </c>
      <c r="B364" s="6">
        <f t="shared" si="5"/>
        <v>184.18276</v>
      </c>
      <c r="C364" s="7" t="s">
        <v>226</v>
      </c>
      <c r="D364" s="7" t="s">
        <v>225</v>
      </c>
      <c r="E364" s="7" t="s">
        <v>829</v>
      </c>
      <c r="F364" s="8">
        <v>180.91863000000001</v>
      </c>
      <c r="G364" s="7" t="s">
        <v>360</v>
      </c>
      <c r="H364" s="7" t="s">
        <v>358</v>
      </c>
      <c r="I364" s="6">
        <v>523</v>
      </c>
      <c r="J364" s="6">
        <v>184182.76</v>
      </c>
      <c r="K364" s="6">
        <v>64384.300000000061</v>
      </c>
    </row>
    <row r="365" spans="1:11" x14ac:dyDescent="0.25">
      <c r="A365" s="5" t="s">
        <v>823</v>
      </c>
      <c r="B365" s="6">
        <f t="shared" si="5"/>
        <v>184.70576</v>
      </c>
      <c r="C365" s="7" t="s">
        <v>225</v>
      </c>
      <c r="D365" s="7" t="s">
        <v>224</v>
      </c>
      <c r="E365" s="7" t="s">
        <v>829</v>
      </c>
      <c r="F365" s="8">
        <v>181.49357000000001</v>
      </c>
      <c r="G365" s="7" t="s">
        <v>358</v>
      </c>
      <c r="H365" s="7" t="s">
        <v>356</v>
      </c>
      <c r="I365" s="6">
        <v>497</v>
      </c>
      <c r="J365" s="6">
        <v>184705.76</v>
      </c>
      <c r="K365" s="6">
        <v>63861.300000000061</v>
      </c>
    </row>
    <row r="366" spans="1:11" x14ac:dyDescent="0.25">
      <c r="A366" s="5" t="s">
        <v>823</v>
      </c>
      <c r="B366" s="6">
        <f t="shared" si="5"/>
        <v>185.20276000000001</v>
      </c>
      <c r="C366" s="7" t="s">
        <v>224</v>
      </c>
      <c r="D366" s="7" t="s">
        <v>223</v>
      </c>
      <c r="E366" s="7" t="s">
        <v>829</v>
      </c>
      <c r="F366" s="8">
        <v>182.15846999999999</v>
      </c>
      <c r="G366" s="7" t="s">
        <v>356</v>
      </c>
      <c r="H366" s="7" t="s">
        <v>354</v>
      </c>
      <c r="I366" s="6">
        <v>340</v>
      </c>
      <c r="J366" s="6">
        <v>185202.76</v>
      </c>
      <c r="K366" s="6">
        <v>63364.300000000061</v>
      </c>
    </row>
    <row r="367" spans="1:11" x14ac:dyDescent="0.25">
      <c r="A367" s="5" t="s">
        <v>823</v>
      </c>
      <c r="B367" s="6">
        <f t="shared" si="5"/>
        <v>185.54276000000002</v>
      </c>
      <c r="C367" s="7" t="s">
        <v>223</v>
      </c>
      <c r="D367" s="7" t="s">
        <v>222</v>
      </c>
      <c r="E367" s="7" t="s">
        <v>829</v>
      </c>
      <c r="F367" s="8">
        <v>182.68847</v>
      </c>
      <c r="G367" s="7" t="s">
        <v>354</v>
      </c>
      <c r="H367" s="7" t="s">
        <v>352</v>
      </c>
      <c r="I367" s="6">
        <v>390</v>
      </c>
      <c r="J367" s="6">
        <v>185542.76</v>
      </c>
      <c r="K367" s="6">
        <v>63024.300000000061</v>
      </c>
    </row>
    <row r="368" spans="1:11" x14ac:dyDescent="0.25">
      <c r="A368" s="5" t="s">
        <v>823</v>
      </c>
      <c r="B368" s="6">
        <f t="shared" si="5"/>
        <v>185.93276</v>
      </c>
      <c r="C368" s="7" t="s">
        <v>222</v>
      </c>
      <c r="D368" s="7" t="s">
        <v>221</v>
      </c>
      <c r="E368" s="7" t="s">
        <v>829</v>
      </c>
      <c r="F368" s="8">
        <v>183.13847000000001</v>
      </c>
      <c r="G368" s="7" t="s">
        <v>352</v>
      </c>
      <c r="H368" s="7" t="s">
        <v>350</v>
      </c>
      <c r="I368" s="6">
        <v>463.2</v>
      </c>
      <c r="J368" s="6">
        <v>185932.76</v>
      </c>
      <c r="K368" s="6">
        <v>62634.300000000061</v>
      </c>
    </row>
    <row r="369" spans="1:11" x14ac:dyDescent="0.25">
      <c r="A369" s="5" t="s">
        <v>823</v>
      </c>
      <c r="B369" s="6">
        <f t="shared" si="5"/>
        <v>186.39596000000003</v>
      </c>
      <c r="C369" s="7" t="s">
        <v>221</v>
      </c>
      <c r="D369" s="7" t="s">
        <v>220</v>
      </c>
      <c r="E369" s="7" t="s">
        <v>829</v>
      </c>
      <c r="F369" s="8">
        <v>183.68842999999998</v>
      </c>
      <c r="G369" s="7" t="s">
        <v>350</v>
      </c>
      <c r="H369" s="7" t="s">
        <v>348</v>
      </c>
      <c r="I369" s="6">
        <v>490</v>
      </c>
      <c r="J369" s="6">
        <v>186395.96000000002</v>
      </c>
      <c r="K369" s="6">
        <v>62171.100000000064</v>
      </c>
    </row>
    <row r="370" spans="1:11" x14ac:dyDescent="0.25">
      <c r="A370" s="5" t="s">
        <v>823</v>
      </c>
      <c r="B370" s="6">
        <f t="shared" si="5"/>
        <v>186.88596000000001</v>
      </c>
      <c r="C370" s="7" t="s">
        <v>220</v>
      </c>
      <c r="D370" s="7" t="s">
        <v>219</v>
      </c>
      <c r="E370" s="7" t="s">
        <v>829</v>
      </c>
      <c r="F370" s="8">
        <v>184.18842999999998</v>
      </c>
      <c r="G370" s="7" t="s">
        <v>348</v>
      </c>
      <c r="H370" s="7" t="s">
        <v>346</v>
      </c>
      <c r="I370" s="6">
        <v>598.32000000000005</v>
      </c>
      <c r="J370" s="6">
        <v>186885.96000000002</v>
      </c>
      <c r="K370" s="6">
        <v>61681.100000000064</v>
      </c>
    </row>
    <row r="371" spans="1:11" x14ac:dyDescent="0.25">
      <c r="A371" s="5" t="s">
        <v>823</v>
      </c>
      <c r="B371" s="6">
        <f t="shared" si="5"/>
        <v>187.48428000000004</v>
      </c>
      <c r="C371" s="7" t="s">
        <v>219</v>
      </c>
      <c r="D371" s="7" t="s">
        <v>218</v>
      </c>
      <c r="E371" s="7" t="s">
        <v>829</v>
      </c>
      <c r="F371" s="8">
        <v>184.75335000000001</v>
      </c>
      <c r="G371" s="7" t="s">
        <v>346</v>
      </c>
      <c r="H371" s="7" t="s">
        <v>344</v>
      </c>
      <c r="I371" s="6">
        <v>461.68</v>
      </c>
      <c r="J371" s="6">
        <v>187484.28000000003</v>
      </c>
      <c r="K371" s="6">
        <v>61082.780000000064</v>
      </c>
    </row>
    <row r="372" spans="1:11" x14ac:dyDescent="0.25">
      <c r="A372" s="5" t="s">
        <v>823</v>
      </c>
      <c r="B372" s="6">
        <f t="shared" si="5"/>
        <v>187.94596000000001</v>
      </c>
      <c r="C372" s="7" t="s">
        <v>218</v>
      </c>
      <c r="D372" s="7" t="s">
        <v>217</v>
      </c>
      <c r="E372" s="7" t="s">
        <v>829</v>
      </c>
      <c r="F372" s="8">
        <v>185.24822</v>
      </c>
      <c r="G372" s="7" t="s">
        <v>344</v>
      </c>
      <c r="H372" s="7" t="s">
        <v>342</v>
      </c>
      <c r="I372" s="6">
        <v>475</v>
      </c>
      <c r="J372" s="6">
        <v>187945.96000000002</v>
      </c>
      <c r="K372" s="6">
        <v>60621.100000000064</v>
      </c>
    </row>
    <row r="373" spans="1:11" x14ac:dyDescent="0.25">
      <c r="A373" s="5" t="s">
        <v>823</v>
      </c>
      <c r="B373" s="6">
        <f t="shared" si="5"/>
        <v>188.42096000000001</v>
      </c>
      <c r="C373" s="7" t="s">
        <v>217</v>
      </c>
      <c r="D373" s="7" t="s">
        <v>216</v>
      </c>
      <c r="E373" s="7" t="s">
        <v>829</v>
      </c>
      <c r="F373" s="8">
        <v>185.69812999999999</v>
      </c>
      <c r="G373" s="7" t="s">
        <v>342</v>
      </c>
      <c r="H373" s="7" t="s">
        <v>340</v>
      </c>
      <c r="I373" s="6">
        <v>530</v>
      </c>
      <c r="J373" s="6">
        <v>188420.96000000002</v>
      </c>
      <c r="K373" s="6">
        <v>60146.100000000064</v>
      </c>
    </row>
    <row r="374" spans="1:11" x14ac:dyDescent="0.25">
      <c r="A374" s="5" t="s">
        <v>823</v>
      </c>
      <c r="B374" s="6">
        <f t="shared" si="5"/>
        <v>188.95096000000001</v>
      </c>
      <c r="C374" s="7" t="s">
        <v>216</v>
      </c>
      <c r="D374" s="7" t="s">
        <v>215</v>
      </c>
      <c r="E374" s="7" t="s">
        <v>829</v>
      </c>
      <c r="F374" s="8">
        <v>186.23305000000002</v>
      </c>
      <c r="G374" s="7" t="s">
        <v>340</v>
      </c>
      <c r="H374" s="7" t="s">
        <v>338</v>
      </c>
      <c r="I374" s="6">
        <v>340</v>
      </c>
      <c r="J374" s="6">
        <v>188950.96000000002</v>
      </c>
      <c r="K374" s="6">
        <v>59616.100000000064</v>
      </c>
    </row>
    <row r="375" spans="1:11" x14ac:dyDescent="0.25">
      <c r="A375" s="5" t="s">
        <v>823</v>
      </c>
      <c r="B375" s="6">
        <f t="shared" si="5"/>
        <v>189.29096000000001</v>
      </c>
      <c r="C375" s="7" t="s">
        <v>215</v>
      </c>
      <c r="D375" s="7" t="s">
        <v>214</v>
      </c>
      <c r="E375" s="7" t="s">
        <v>829</v>
      </c>
      <c r="F375" s="8">
        <v>186.84323000000001</v>
      </c>
      <c r="G375" s="7" t="s">
        <v>338</v>
      </c>
      <c r="H375" s="7" t="s">
        <v>336</v>
      </c>
      <c r="I375" s="6">
        <v>455</v>
      </c>
      <c r="J375" s="6">
        <v>189290.96000000002</v>
      </c>
      <c r="K375" s="6">
        <v>59276.100000000064</v>
      </c>
    </row>
    <row r="376" spans="1:11" x14ac:dyDescent="0.25">
      <c r="A376" s="5" t="s">
        <v>823</v>
      </c>
      <c r="B376" s="6">
        <f t="shared" si="5"/>
        <v>189.74596000000003</v>
      </c>
      <c r="C376" s="7" t="s">
        <v>214</v>
      </c>
      <c r="D376" s="7" t="s">
        <v>213</v>
      </c>
      <c r="E376" s="7" t="s">
        <v>829</v>
      </c>
      <c r="F376" s="8">
        <v>187.36796000000001</v>
      </c>
      <c r="G376" s="7" t="s">
        <v>336</v>
      </c>
      <c r="H376" s="7" t="s">
        <v>334</v>
      </c>
      <c r="I376" s="6">
        <v>455</v>
      </c>
      <c r="J376" s="6">
        <v>189745.96000000002</v>
      </c>
      <c r="K376" s="6">
        <v>58821.100000000064</v>
      </c>
    </row>
    <row r="377" spans="1:11" x14ac:dyDescent="0.25">
      <c r="A377" s="5" t="s">
        <v>823</v>
      </c>
      <c r="B377" s="6">
        <f t="shared" si="5"/>
        <v>190.20096000000001</v>
      </c>
      <c r="C377" s="7" t="s">
        <v>213</v>
      </c>
      <c r="D377" s="7" t="s">
        <v>212</v>
      </c>
      <c r="E377" s="7" t="s">
        <v>829</v>
      </c>
      <c r="F377" s="8">
        <v>188.00900000000004</v>
      </c>
      <c r="G377" s="7" t="s">
        <v>334</v>
      </c>
      <c r="H377" s="7" t="s">
        <v>332</v>
      </c>
      <c r="I377" s="6">
        <v>580</v>
      </c>
      <c r="J377" s="6">
        <v>190200.96000000002</v>
      </c>
      <c r="K377" s="6">
        <v>58366.100000000064</v>
      </c>
    </row>
    <row r="378" spans="1:11" x14ac:dyDescent="0.25">
      <c r="A378" s="5" t="s">
        <v>823</v>
      </c>
      <c r="B378" s="6">
        <f t="shared" si="5"/>
        <v>190.78096000000002</v>
      </c>
      <c r="C378" s="7" t="s">
        <v>212</v>
      </c>
      <c r="D378" s="7" t="s">
        <v>211</v>
      </c>
      <c r="E378" s="7" t="s">
        <v>829</v>
      </c>
      <c r="F378" s="8">
        <v>188.56855000000002</v>
      </c>
      <c r="G378" s="7" t="s">
        <v>332</v>
      </c>
      <c r="H378" s="7" t="s">
        <v>330</v>
      </c>
      <c r="I378" s="6">
        <v>470.63</v>
      </c>
      <c r="J378" s="6">
        <v>190780.96000000002</v>
      </c>
      <c r="K378" s="6">
        <v>57786.100000000064</v>
      </c>
    </row>
    <row r="379" spans="1:11" x14ac:dyDescent="0.25">
      <c r="A379" s="5" t="s">
        <v>823</v>
      </c>
      <c r="B379" s="6">
        <f t="shared" si="5"/>
        <v>191.25159000000002</v>
      </c>
      <c r="C379" s="7" t="s">
        <v>211</v>
      </c>
      <c r="D379" s="7" t="s">
        <v>210</v>
      </c>
      <c r="E379" s="7" t="s">
        <v>829</v>
      </c>
      <c r="F379" s="8">
        <v>189.18849000000003</v>
      </c>
      <c r="G379" s="7" t="s">
        <v>330</v>
      </c>
      <c r="H379" s="7" t="s">
        <v>328</v>
      </c>
      <c r="I379" s="6">
        <v>603.83000000000004</v>
      </c>
      <c r="J379" s="6">
        <v>191251.59000000003</v>
      </c>
      <c r="K379" s="6">
        <v>57315.470000000067</v>
      </c>
    </row>
    <row r="380" spans="1:11" x14ac:dyDescent="0.25">
      <c r="A380" s="5" t="s">
        <v>823</v>
      </c>
      <c r="B380" s="6">
        <f t="shared" si="5"/>
        <v>191.85542000000001</v>
      </c>
      <c r="C380" s="7" t="s">
        <v>210</v>
      </c>
      <c r="D380" s="7" t="s">
        <v>209</v>
      </c>
      <c r="E380" s="7" t="s">
        <v>829</v>
      </c>
      <c r="F380" s="8">
        <v>189.77828000000002</v>
      </c>
      <c r="G380" s="7" t="s">
        <v>328</v>
      </c>
      <c r="H380" s="7" t="s">
        <v>326</v>
      </c>
      <c r="I380" s="6">
        <v>442.67</v>
      </c>
      <c r="J380" s="6">
        <v>191855.42</v>
      </c>
      <c r="K380" s="6">
        <v>56711.640000000065</v>
      </c>
    </row>
    <row r="381" spans="1:11" x14ac:dyDescent="0.25">
      <c r="A381" s="5" t="s">
        <v>823</v>
      </c>
      <c r="B381" s="6">
        <f t="shared" si="5"/>
        <v>192.29809000000003</v>
      </c>
      <c r="C381" s="7" t="s">
        <v>209</v>
      </c>
      <c r="D381" s="7" t="s">
        <v>208</v>
      </c>
      <c r="E381" s="7" t="s">
        <v>829</v>
      </c>
      <c r="F381" s="8">
        <v>190.13173000000003</v>
      </c>
      <c r="G381" s="7" t="s">
        <v>326</v>
      </c>
      <c r="H381" s="7" t="s">
        <v>324</v>
      </c>
      <c r="I381" s="6">
        <v>357.87</v>
      </c>
      <c r="J381" s="6">
        <v>192298.09000000003</v>
      </c>
      <c r="K381" s="6">
        <v>56268.970000000067</v>
      </c>
    </row>
    <row r="382" spans="1:11" x14ac:dyDescent="0.25">
      <c r="A382" s="5" t="s">
        <v>823</v>
      </c>
      <c r="B382" s="6">
        <f t="shared" si="5"/>
        <v>192.65596000000002</v>
      </c>
      <c r="C382" s="7" t="s">
        <v>208</v>
      </c>
      <c r="D382" s="7" t="s">
        <v>207</v>
      </c>
      <c r="E382" s="7" t="s">
        <v>829</v>
      </c>
      <c r="F382" s="8">
        <v>190.70611000000005</v>
      </c>
      <c r="G382" s="7" t="s">
        <v>324</v>
      </c>
      <c r="H382" s="7" t="s">
        <v>322</v>
      </c>
      <c r="I382" s="6">
        <v>415</v>
      </c>
      <c r="J382" s="6">
        <v>192655.96000000002</v>
      </c>
      <c r="K382" s="6">
        <v>55911.100000000064</v>
      </c>
    </row>
    <row r="383" spans="1:11" x14ac:dyDescent="0.25">
      <c r="A383" s="5" t="s">
        <v>823</v>
      </c>
      <c r="B383" s="6">
        <f t="shared" si="5"/>
        <v>193.07096000000001</v>
      </c>
      <c r="C383" s="7" t="s">
        <v>207</v>
      </c>
      <c r="D383" s="7" t="s">
        <v>206</v>
      </c>
      <c r="E383" s="7" t="s">
        <v>829</v>
      </c>
      <c r="F383" s="8">
        <v>191.13611000000003</v>
      </c>
      <c r="G383" s="7" t="s">
        <v>322</v>
      </c>
      <c r="H383" s="7" t="s">
        <v>320</v>
      </c>
      <c r="I383" s="6">
        <v>515</v>
      </c>
      <c r="J383" s="6">
        <v>193070.96000000002</v>
      </c>
      <c r="K383" s="6">
        <v>55496.100000000064</v>
      </c>
    </row>
    <row r="384" spans="1:11" x14ac:dyDescent="0.25">
      <c r="A384" s="5" t="s">
        <v>823</v>
      </c>
      <c r="B384" s="6">
        <f t="shared" si="5"/>
        <v>193.58596000000003</v>
      </c>
      <c r="C384" s="7" t="s">
        <v>206</v>
      </c>
      <c r="D384" s="7" t="s">
        <v>205</v>
      </c>
      <c r="E384" s="7" t="s">
        <v>829</v>
      </c>
      <c r="F384" s="8">
        <v>191.72611000000003</v>
      </c>
      <c r="G384" s="7" t="s">
        <v>320</v>
      </c>
      <c r="H384" s="7" t="s">
        <v>318</v>
      </c>
      <c r="I384" s="6">
        <v>525</v>
      </c>
      <c r="J384" s="6">
        <v>193585.96000000002</v>
      </c>
      <c r="K384" s="6">
        <v>54981.100000000064</v>
      </c>
    </row>
    <row r="385" spans="1:11" x14ac:dyDescent="0.25">
      <c r="A385" s="5" t="s">
        <v>823</v>
      </c>
      <c r="B385" s="6">
        <f t="shared" si="5"/>
        <v>194.11096000000003</v>
      </c>
      <c r="C385" s="7" t="s">
        <v>205</v>
      </c>
      <c r="D385" s="7" t="s">
        <v>204</v>
      </c>
      <c r="E385" s="7" t="s">
        <v>829</v>
      </c>
      <c r="F385" s="8">
        <v>192.13611000000003</v>
      </c>
      <c r="G385" s="7" t="s">
        <v>318</v>
      </c>
      <c r="H385" s="7" t="s">
        <v>316</v>
      </c>
      <c r="I385" s="6">
        <v>352</v>
      </c>
      <c r="J385" s="6">
        <v>194110.96000000002</v>
      </c>
      <c r="K385" s="6">
        <v>54456.100000000064</v>
      </c>
    </row>
    <row r="386" spans="1:11" x14ac:dyDescent="0.25">
      <c r="A386" s="5" t="s">
        <v>823</v>
      </c>
      <c r="B386" s="6">
        <f t="shared" si="5"/>
        <v>194.46296000000001</v>
      </c>
      <c r="C386" s="7" t="s">
        <v>204</v>
      </c>
      <c r="D386" s="7" t="s">
        <v>203</v>
      </c>
      <c r="E386" s="7" t="s">
        <v>829</v>
      </c>
      <c r="F386" s="8">
        <v>192.72111000000004</v>
      </c>
      <c r="G386" s="7" t="s">
        <v>316</v>
      </c>
      <c r="H386" s="7" t="s">
        <v>314</v>
      </c>
      <c r="I386" s="6">
        <v>561</v>
      </c>
      <c r="J386" s="6">
        <v>194462.96000000002</v>
      </c>
      <c r="K386" s="6">
        <v>54104.100000000064</v>
      </c>
    </row>
    <row r="387" spans="1:11" x14ac:dyDescent="0.25">
      <c r="A387" s="5" t="s">
        <v>823</v>
      </c>
      <c r="B387" s="6">
        <f t="shared" ref="B387:B450" si="6">J387/1000</f>
        <v>195.02396000000002</v>
      </c>
      <c r="C387" s="7" t="s">
        <v>203</v>
      </c>
      <c r="D387" s="7" t="s">
        <v>202</v>
      </c>
      <c r="E387" s="7" t="s">
        <v>829</v>
      </c>
      <c r="F387" s="8">
        <v>193.15111000000005</v>
      </c>
      <c r="G387" s="7" t="s">
        <v>314</v>
      </c>
      <c r="H387" s="7" t="s">
        <v>312</v>
      </c>
      <c r="I387" s="6">
        <v>417</v>
      </c>
      <c r="J387" s="6">
        <v>195023.96000000002</v>
      </c>
      <c r="K387" s="6">
        <v>53543.100000000064</v>
      </c>
    </row>
    <row r="388" spans="1:11" x14ac:dyDescent="0.25">
      <c r="A388" s="5" t="s">
        <v>823</v>
      </c>
      <c r="B388" s="6">
        <f t="shared" si="6"/>
        <v>195.44096000000002</v>
      </c>
      <c r="C388" s="7" t="s">
        <v>202</v>
      </c>
      <c r="D388" s="7" t="s">
        <v>201</v>
      </c>
      <c r="E388" s="7" t="s">
        <v>829</v>
      </c>
      <c r="F388" s="8">
        <v>193.78111000000004</v>
      </c>
      <c r="G388" s="7" t="s">
        <v>312</v>
      </c>
      <c r="H388" s="7" t="s">
        <v>310</v>
      </c>
      <c r="I388" s="6">
        <v>395</v>
      </c>
      <c r="J388" s="6">
        <v>195440.96000000002</v>
      </c>
      <c r="K388" s="6">
        <v>53126.100000000064</v>
      </c>
    </row>
    <row r="389" spans="1:11" x14ac:dyDescent="0.25">
      <c r="A389" s="5" t="s">
        <v>823</v>
      </c>
      <c r="B389" s="6">
        <f t="shared" si="6"/>
        <v>195.83596000000003</v>
      </c>
      <c r="C389" s="7" t="s">
        <v>201</v>
      </c>
      <c r="D389" s="7" t="s">
        <v>200</v>
      </c>
      <c r="E389" s="7" t="s">
        <v>829</v>
      </c>
      <c r="F389" s="8">
        <v>194.28146000000004</v>
      </c>
      <c r="G389" s="7" t="s">
        <v>310</v>
      </c>
      <c r="H389" s="7" t="s">
        <v>308</v>
      </c>
      <c r="I389" s="6">
        <v>425</v>
      </c>
      <c r="J389" s="6">
        <v>195835.96000000002</v>
      </c>
      <c r="K389" s="6">
        <v>52731.100000000064</v>
      </c>
    </row>
    <row r="390" spans="1:11" x14ac:dyDescent="0.25">
      <c r="A390" s="5" t="s">
        <v>823</v>
      </c>
      <c r="B390" s="6">
        <f t="shared" si="6"/>
        <v>196.26096000000001</v>
      </c>
      <c r="C390" s="7" t="s">
        <v>200</v>
      </c>
      <c r="D390" s="7" t="s">
        <v>199</v>
      </c>
      <c r="E390" s="7" t="s">
        <v>829</v>
      </c>
      <c r="F390" s="8">
        <v>194.85113000000007</v>
      </c>
      <c r="G390" s="7" t="s">
        <v>308</v>
      </c>
      <c r="H390" s="7" t="s">
        <v>306</v>
      </c>
      <c r="I390" s="6">
        <v>440</v>
      </c>
      <c r="J390" s="6">
        <v>196260.96000000002</v>
      </c>
      <c r="K390" s="6">
        <v>52306.100000000064</v>
      </c>
    </row>
    <row r="391" spans="1:11" x14ac:dyDescent="0.25">
      <c r="A391" s="5" t="s">
        <v>823</v>
      </c>
      <c r="B391" s="6">
        <f t="shared" si="6"/>
        <v>196.70096000000001</v>
      </c>
      <c r="C391" s="7" t="s">
        <v>199</v>
      </c>
      <c r="D391" s="7" t="s">
        <v>198</v>
      </c>
      <c r="E391" s="7" t="s">
        <v>829</v>
      </c>
      <c r="F391" s="8">
        <v>195.82504000000006</v>
      </c>
      <c r="G391" s="7" t="s">
        <v>306</v>
      </c>
      <c r="H391" s="7" t="s">
        <v>304</v>
      </c>
      <c r="I391" s="6">
        <v>541.37</v>
      </c>
      <c r="J391" s="6">
        <v>196700.96000000002</v>
      </c>
      <c r="K391" s="6">
        <v>51866.100000000064</v>
      </c>
    </row>
    <row r="392" spans="1:11" x14ac:dyDescent="0.25">
      <c r="A392" s="5" t="s">
        <v>823</v>
      </c>
      <c r="B392" s="6">
        <f t="shared" si="6"/>
        <v>197.24233000000001</v>
      </c>
      <c r="C392" s="7" t="s">
        <v>198</v>
      </c>
      <c r="D392" s="7" t="s">
        <v>197</v>
      </c>
      <c r="E392" s="7" t="s">
        <v>829</v>
      </c>
      <c r="F392" s="8">
        <v>196.63625000000005</v>
      </c>
      <c r="G392" s="7" t="s">
        <v>304</v>
      </c>
      <c r="H392" s="7" t="s">
        <v>302</v>
      </c>
      <c r="I392" s="6">
        <v>310</v>
      </c>
      <c r="J392" s="6">
        <v>197242.33000000002</v>
      </c>
      <c r="K392" s="6">
        <v>51324.730000000061</v>
      </c>
    </row>
    <row r="393" spans="1:11" x14ac:dyDescent="0.25">
      <c r="A393" s="5" t="s">
        <v>823</v>
      </c>
      <c r="B393" s="6">
        <f t="shared" si="6"/>
        <v>197.55233000000001</v>
      </c>
      <c r="C393" s="7" t="s">
        <v>197</v>
      </c>
      <c r="D393" s="7" t="s">
        <v>196</v>
      </c>
      <c r="E393" s="7" t="s">
        <v>829</v>
      </c>
      <c r="F393" s="8">
        <v>197.04625000000007</v>
      </c>
      <c r="G393" s="7" t="s">
        <v>302</v>
      </c>
      <c r="H393" s="7" t="s">
        <v>300</v>
      </c>
      <c r="I393" s="6">
        <v>625</v>
      </c>
      <c r="J393" s="6">
        <v>197552.33000000002</v>
      </c>
      <c r="K393" s="6">
        <v>51014.730000000061</v>
      </c>
    </row>
    <row r="394" spans="1:11" x14ac:dyDescent="0.25">
      <c r="A394" s="5" t="s">
        <v>823</v>
      </c>
      <c r="B394" s="6">
        <f t="shared" si="6"/>
        <v>198.17733000000001</v>
      </c>
      <c r="C394" s="7" t="s">
        <v>196</v>
      </c>
      <c r="D394" s="7" t="s">
        <v>195</v>
      </c>
      <c r="E394" s="7" t="s">
        <v>829</v>
      </c>
      <c r="F394" s="8">
        <v>197.95625000000007</v>
      </c>
      <c r="G394" s="7" t="s">
        <v>300</v>
      </c>
      <c r="H394" s="7" t="s">
        <v>298</v>
      </c>
      <c r="I394" s="6">
        <v>632.76</v>
      </c>
      <c r="J394" s="6">
        <v>198177.33000000002</v>
      </c>
      <c r="K394" s="6">
        <v>50389.730000000061</v>
      </c>
    </row>
    <row r="395" spans="1:11" x14ac:dyDescent="0.25">
      <c r="A395" s="5" t="s">
        <v>823</v>
      </c>
      <c r="B395" s="6">
        <f t="shared" si="6"/>
        <v>198.81009000000003</v>
      </c>
      <c r="C395" s="7" t="s">
        <v>195</v>
      </c>
      <c r="D395" s="7" t="s">
        <v>194</v>
      </c>
      <c r="E395" s="7" t="s">
        <v>829</v>
      </c>
      <c r="F395" s="8">
        <v>198.72125000000005</v>
      </c>
      <c r="G395" s="7" t="s">
        <v>298</v>
      </c>
      <c r="H395" s="7" t="s">
        <v>296</v>
      </c>
      <c r="I395" s="6">
        <v>957.24</v>
      </c>
      <c r="J395" s="6">
        <v>198810.09000000003</v>
      </c>
      <c r="K395" s="6">
        <v>49756.970000000059</v>
      </c>
    </row>
    <row r="396" spans="1:11" x14ac:dyDescent="0.25">
      <c r="A396" s="5" t="s">
        <v>823</v>
      </c>
      <c r="B396" s="6">
        <f t="shared" si="6"/>
        <v>199.76733000000002</v>
      </c>
      <c r="C396" s="7" t="s">
        <v>194</v>
      </c>
      <c r="D396" s="7" t="s">
        <v>193</v>
      </c>
      <c r="E396" s="7" t="s">
        <v>829</v>
      </c>
      <c r="F396" s="8">
        <v>199.27625000000006</v>
      </c>
      <c r="G396" s="7" t="s">
        <v>296</v>
      </c>
      <c r="H396" s="7" t="s">
        <v>294</v>
      </c>
      <c r="I396" s="6">
        <v>560</v>
      </c>
      <c r="J396" s="6">
        <v>199767.33000000002</v>
      </c>
      <c r="K396" s="6">
        <v>48799.730000000061</v>
      </c>
    </row>
    <row r="397" spans="1:11" x14ac:dyDescent="0.25">
      <c r="A397" s="5" t="s">
        <v>823</v>
      </c>
      <c r="B397" s="6">
        <f t="shared" si="6"/>
        <v>200.32733000000002</v>
      </c>
      <c r="C397" s="7" t="s">
        <v>193</v>
      </c>
      <c r="D397" s="7" t="s">
        <v>192</v>
      </c>
      <c r="E397" s="7" t="s">
        <v>829</v>
      </c>
      <c r="F397" s="8">
        <v>199.52097000000006</v>
      </c>
      <c r="G397" s="7" t="s">
        <v>294</v>
      </c>
      <c r="H397" s="7" t="s">
        <v>292</v>
      </c>
      <c r="I397" s="6">
        <v>637.91999999999996</v>
      </c>
      <c r="J397" s="6">
        <v>200327.33000000002</v>
      </c>
      <c r="K397" s="6">
        <v>48239.730000000061</v>
      </c>
    </row>
    <row r="398" spans="1:11" x14ac:dyDescent="0.25">
      <c r="A398" s="5" t="s">
        <v>823</v>
      </c>
      <c r="B398" s="6">
        <f t="shared" si="6"/>
        <v>200.96525000000003</v>
      </c>
      <c r="C398" s="7" t="s">
        <v>192</v>
      </c>
      <c r="D398" s="7" t="s">
        <v>191</v>
      </c>
      <c r="E398" s="7" t="s">
        <v>829</v>
      </c>
      <c r="F398" s="8">
        <v>200.04119000000006</v>
      </c>
      <c r="G398" s="7" t="s">
        <v>292</v>
      </c>
      <c r="H398" s="7" t="s">
        <v>290</v>
      </c>
      <c r="I398" s="6">
        <v>427.79</v>
      </c>
      <c r="J398" s="6">
        <v>200965.25000000003</v>
      </c>
      <c r="K398" s="6">
        <v>47601.810000000063</v>
      </c>
    </row>
    <row r="399" spans="1:11" x14ac:dyDescent="0.25">
      <c r="A399" s="5" t="s">
        <v>823</v>
      </c>
      <c r="B399" s="6">
        <f t="shared" si="6"/>
        <v>201.39304000000004</v>
      </c>
      <c r="C399" s="7" t="s">
        <v>191</v>
      </c>
      <c r="D399" s="7" t="s">
        <v>190</v>
      </c>
      <c r="E399" s="7" t="s">
        <v>829</v>
      </c>
      <c r="F399" s="8">
        <v>200.94619000000006</v>
      </c>
      <c r="G399" s="7" t="s">
        <v>290</v>
      </c>
      <c r="H399" s="7" t="s">
        <v>288</v>
      </c>
      <c r="I399" s="6">
        <v>534.29</v>
      </c>
      <c r="J399" s="6">
        <v>201393.04000000004</v>
      </c>
      <c r="K399" s="6">
        <v>47174.020000000062</v>
      </c>
    </row>
    <row r="400" spans="1:11" x14ac:dyDescent="0.25">
      <c r="A400" s="5" t="s">
        <v>823</v>
      </c>
      <c r="B400" s="6">
        <f t="shared" si="6"/>
        <v>201.92733000000004</v>
      </c>
      <c r="C400" s="7" t="s">
        <v>190</v>
      </c>
      <c r="D400" s="7" t="s">
        <v>189</v>
      </c>
      <c r="E400" s="7" t="s">
        <v>829</v>
      </c>
      <c r="F400" s="8">
        <v>201.50611000000006</v>
      </c>
      <c r="G400" s="7" t="s">
        <v>288</v>
      </c>
      <c r="H400" s="7" t="s">
        <v>286</v>
      </c>
      <c r="I400" s="6">
        <v>351.97</v>
      </c>
      <c r="J400" s="6">
        <v>201927.33000000005</v>
      </c>
      <c r="K400" s="6">
        <v>46639.730000000061</v>
      </c>
    </row>
    <row r="401" spans="1:11" x14ac:dyDescent="0.25">
      <c r="A401" s="5" t="s">
        <v>823</v>
      </c>
      <c r="B401" s="6">
        <f t="shared" si="6"/>
        <v>202.27930000000003</v>
      </c>
      <c r="C401" s="7" t="s">
        <v>189</v>
      </c>
      <c r="D401" s="7" t="s">
        <v>188</v>
      </c>
      <c r="E401" s="7" t="s">
        <v>829</v>
      </c>
      <c r="F401" s="8">
        <v>201.86977000000007</v>
      </c>
      <c r="G401" s="7" t="s">
        <v>286</v>
      </c>
      <c r="H401" s="7" t="s">
        <v>284</v>
      </c>
      <c r="I401" s="6">
        <v>473</v>
      </c>
      <c r="J401" s="6">
        <v>202279.30000000005</v>
      </c>
      <c r="K401" s="6">
        <v>46287.76000000006</v>
      </c>
    </row>
    <row r="402" spans="1:11" x14ac:dyDescent="0.25">
      <c r="A402" s="5" t="s">
        <v>823</v>
      </c>
      <c r="B402" s="6">
        <f t="shared" si="6"/>
        <v>202.75230000000005</v>
      </c>
      <c r="C402" s="7" t="s">
        <v>188</v>
      </c>
      <c r="D402" s="7" t="s">
        <v>696</v>
      </c>
      <c r="E402" s="7" t="s">
        <v>829</v>
      </c>
      <c r="F402" s="8">
        <v>202.94435000000007</v>
      </c>
      <c r="G402" s="7" t="s">
        <v>284</v>
      </c>
      <c r="H402" s="7" t="s">
        <v>282</v>
      </c>
      <c r="I402" s="6">
        <v>495.34</v>
      </c>
      <c r="J402" s="6">
        <v>202752.30000000005</v>
      </c>
      <c r="K402" s="6">
        <v>45814.76000000006</v>
      </c>
    </row>
    <row r="403" spans="1:11" x14ac:dyDescent="0.25">
      <c r="A403" s="5" t="s">
        <v>823</v>
      </c>
      <c r="B403" s="6">
        <f t="shared" si="6"/>
        <v>203.24764000000005</v>
      </c>
      <c r="C403" s="7" t="s">
        <v>696</v>
      </c>
      <c r="D403" s="7" t="s">
        <v>695</v>
      </c>
      <c r="E403" s="7" t="s">
        <v>829</v>
      </c>
      <c r="F403" s="8">
        <v>203.23008000000007</v>
      </c>
      <c r="G403" s="7" t="s">
        <v>282</v>
      </c>
      <c r="H403" s="7" t="s">
        <v>280</v>
      </c>
      <c r="I403" s="6">
        <v>584.64</v>
      </c>
      <c r="J403" s="6">
        <v>203247.64000000004</v>
      </c>
      <c r="K403" s="6">
        <v>45319.420000000064</v>
      </c>
    </row>
    <row r="404" spans="1:11" x14ac:dyDescent="0.25">
      <c r="A404" s="5" t="s">
        <v>823</v>
      </c>
      <c r="B404" s="6">
        <f t="shared" si="6"/>
        <v>203.83228000000005</v>
      </c>
      <c r="C404" s="7" t="s">
        <v>695</v>
      </c>
      <c r="D404" s="7" t="s">
        <v>694</v>
      </c>
      <c r="E404" s="7" t="s">
        <v>829</v>
      </c>
      <c r="F404" s="8">
        <v>203.56427000000008</v>
      </c>
      <c r="G404" s="7" t="s">
        <v>280</v>
      </c>
      <c r="H404" s="7" t="s">
        <v>278</v>
      </c>
      <c r="I404" s="6">
        <v>520</v>
      </c>
      <c r="J404" s="6">
        <v>203832.28000000006</v>
      </c>
      <c r="K404" s="6">
        <v>44734.780000000064</v>
      </c>
    </row>
    <row r="405" spans="1:11" x14ac:dyDescent="0.25">
      <c r="A405" s="5" t="s">
        <v>823</v>
      </c>
      <c r="B405" s="6">
        <f t="shared" si="6"/>
        <v>204.35228000000006</v>
      </c>
      <c r="C405" s="7" t="s">
        <v>694</v>
      </c>
      <c r="D405" s="7" t="s">
        <v>693</v>
      </c>
      <c r="E405" s="7" t="s">
        <v>829</v>
      </c>
      <c r="F405" s="8">
        <v>204.36927000000009</v>
      </c>
      <c r="G405" s="7" t="s">
        <v>278</v>
      </c>
      <c r="H405" s="7" t="s">
        <v>276</v>
      </c>
      <c r="I405" s="6">
        <v>586.5</v>
      </c>
      <c r="J405" s="6">
        <v>204352.28000000006</v>
      </c>
      <c r="K405" s="6">
        <v>44214.780000000064</v>
      </c>
    </row>
    <row r="406" spans="1:11" x14ac:dyDescent="0.25">
      <c r="A406" s="5" t="s">
        <v>823</v>
      </c>
      <c r="B406" s="6">
        <f t="shared" si="6"/>
        <v>204.93878000000007</v>
      </c>
      <c r="C406" s="7" t="s">
        <v>693</v>
      </c>
      <c r="D406" s="7" t="s">
        <v>692</v>
      </c>
      <c r="E406" s="7" t="s">
        <v>829</v>
      </c>
      <c r="F406" s="8">
        <v>204.73427000000007</v>
      </c>
      <c r="G406" s="7" t="s">
        <v>276</v>
      </c>
      <c r="H406" s="7" t="s">
        <v>274</v>
      </c>
      <c r="I406" s="6">
        <v>388.5</v>
      </c>
      <c r="J406" s="6">
        <v>204938.78000000006</v>
      </c>
      <c r="K406" s="6">
        <v>43628.280000000064</v>
      </c>
    </row>
    <row r="407" spans="1:11" x14ac:dyDescent="0.25">
      <c r="A407" s="5" t="s">
        <v>823</v>
      </c>
      <c r="B407" s="6">
        <f t="shared" si="6"/>
        <v>205.32728000000006</v>
      </c>
      <c r="C407" s="7" t="s">
        <v>692</v>
      </c>
      <c r="D407" s="7" t="s">
        <v>691</v>
      </c>
      <c r="E407" s="7" t="s">
        <v>829</v>
      </c>
      <c r="F407" s="8">
        <v>205.28949000000009</v>
      </c>
      <c r="G407" s="7" t="s">
        <v>274</v>
      </c>
      <c r="H407" s="7" t="s">
        <v>272</v>
      </c>
      <c r="I407" s="6">
        <v>330</v>
      </c>
      <c r="J407" s="6">
        <v>205327.28000000006</v>
      </c>
      <c r="K407" s="6">
        <v>43239.780000000064</v>
      </c>
    </row>
    <row r="408" spans="1:11" x14ac:dyDescent="0.25">
      <c r="A408" s="5" t="s">
        <v>823</v>
      </c>
      <c r="B408" s="6">
        <f t="shared" si="6"/>
        <v>205.65728000000007</v>
      </c>
      <c r="C408" s="7" t="s">
        <v>691</v>
      </c>
      <c r="D408" s="7" t="s">
        <v>690</v>
      </c>
      <c r="E408" s="7" t="s">
        <v>829</v>
      </c>
      <c r="F408" s="8">
        <v>205.80909000000008</v>
      </c>
      <c r="G408" s="7" t="s">
        <v>272</v>
      </c>
      <c r="H408" s="7" t="s">
        <v>183</v>
      </c>
      <c r="I408" s="6">
        <v>344.08</v>
      </c>
      <c r="J408" s="6">
        <v>205657.28000000006</v>
      </c>
      <c r="K408" s="6">
        <v>42909.780000000064</v>
      </c>
    </row>
    <row r="409" spans="1:11" x14ac:dyDescent="0.25">
      <c r="A409" s="5" t="s">
        <v>823</v>
      </c>
      <c r="B409" s="6">
        <f t="shared" si="6"/>
        <v>206.00136000000003</v>
      </c>
      <c r="C409" s="7" t="s">
        <v>690</v>
      </c>
      <c r="D409" s="7" t="s">
        <v>689</v>
      </c>
      <c r="E409" s="7" t="s">
        <v>829</v>
      </c>
      <c r="F409" s="8">
        <v>206.17409000000009</v>
      </c>
      <c r="G409" s="7" t="s">
        <v>183</v>
      </c>
      <c r="H409" s="7" t="s">
        <v>181</v>
      </c>
      <c r="I409" s="6">
        <v>465.92</v>
      </c>
      <c r="J409" s="6">
        <v>206001.36000000004</v>
      </c>
      <c r="K409" s="6">
        <v>42565.700000000063</v>
      </c>
    </row>
    <row r="410" spans="1:11" x14ac:dyDescent="0.25">
      <c r="A410" s="5" t="s">
        <v>823</v>
      </c>
      <c r="B410" s="6">
        <f t="shared" si="6"/>
        <v>206.46728000000004</v>
      </c>
      <c r="C410" s="7" t="s">
        <v>689</v>
      </c>
      <c r="D410" s="7" t="s">
        <v>688</v>
      </c>
      <c r="E410" s="7" t="s">
        <v>830</v>
      </c>
      <c r="F410" s="8">
        <v>206.75409000000008</v>
      </c>
      <c r="G410" s="7" t="s">
        <v>181</v>
      </c>
      <c r="H410" s="7" t="s">
        <v>179</v>
      </c>
      <c r="I410" s="6">
        <v>420</v>
      </c>
      <c r="J410" s="6">
        <v>206467.28000000006</v>
      </c>
      <c r="K410" s="6">
        <v>42099.780000000064</v>
      </c>
    </row>
    <row r="411" spans="1:11" x14ac:dyDescent="0.25">
      <c r="A411" s="5" t="s">
        <v>823</v>
      </c>
      <c r="B411" s="6">
        <f t="shared" si="6"/>
        <v>206.88728000000006</v>
      </c>
      <c r="C411" s="7" t="s">
        <v>688</v>
      </c>
      <c r="D411" s="7" t="s">
        <v>687</v>
      </c>
      <c r="E411" s="7" t="s">
        <v>826</v>
      </c>
      <c r="F411" s="8">
        <v>207.21909000000008</v>
      </c>
      <c r="G411" s="7" t="s">
        <v>179</v>
      </c>
      <c r="H411" s="7" t="s">
        <v>177</v>
      </c>
      <c r="I411" s="6">
        <v>610</v>
      </c>
      <c r="J411" s="6">
        <v>206887.28000000006</v>
      </c>
      <c r="K411" s="6">
        <v>41679.780000000064</v>
      </c>
    </row>
    <row r="412" spans="1:11" x14ac:dyDescent="0.25">
      <c r="A412" s="5" t="s">
        <v>823</v>
      </c>
      <c r="B412" s="6">
        <f t="shared" si="6"/>
        <v>207.49728000000005</v>
      </c>
      <c r="C412" s="7" t="s">
        <v>687</v>
      </c>
      <c r="D412" s="7" t="s">
        <v>686</v>
      </c>
      <c r="E412" s="7" t="s">
        <v>826</v>
      </c>
      <c r="F412" s="8">
        <v>207.89389000000008</v>
      </c>
      <c r="G412" s="7" t="s">
        <v>177</v>
      </c>
      <c r="H412" s="7" t="s">
        <v>175</v>
      </c>
      <c r="I412" s="6">
        <v>550</v>
      </c>
      <c r="J412" s="6">
        <v>207497.28000000006</v>
      </c>
      <c r="K412" s="6">
        <v>41069.780000000064</v>
      </c>
    </row>
    <row r="413" spans="1:11" x14ac:dyDescent="0.25">
      <c r="A413" s="5" t="s">
        <v>823</v>
      </c>
      <c r="B413" s="6">
        <f t="shared" si="6"/>
        <v>208.04728000000006</v>
      </c>
      <c r="C413" s="7" t="s">
        <v>686</v>
      </c>
      <c r="D413" s="7" t="s">
        <v>685</v>
      </c>
      <c r="E413" s="7" t="s">
        <v>826</v>
      </c>
      <c r="F413" s="8">
        <v>208.28396000000009</v>
      </c>
      <c r="G413" s="7" t="s">
        <v>175</v>
      </c>
      <c r="H413" s="7" t="s">
        <v>173</v>
      </c>
      <c r="I413" s="6">
        <v>494.04</v>
      </c>
      <c r="J413" s="6">
        <v>208047.28000000006</v>
      </c>
      <c r="K413" s="6">
        <v>40519.780000000064</v>
      </c>
    </row>
    <row r="414" spans="1:11" x14ac:dyDescent="0.25">
      <c r="A414" s="5" t="s">
        <v>823</v>
      </c>
      <c r="B414" s="6">
        <f t="shared" si="6"/>
        <v>208.54132000000007</v>
      </c>
      <c r="C414" s="7" t="s">
        <v>685</v>
      </c>
      <c r="D414" s="7" t="s">
        <v>684</v>
      </c>
      <c r="E414" s="7" t="s">
        <v>826</v>
      </c>
      <c r="F414" s="8">
        <v>208.67396000000008</v>
      </c>
      <c r="G414" s="7" t="s">
        <v>173</v>
      </c>
      <c r="H414" s="7" t="s">
        <v>171</v>
      </c>
      <c r="I414" s="6">
        <v>462.57</v>
      </c>
      <c r="J414" s="6">
        <v>208541.32000000007</v>
      </c>
      <c r="K414" s="6">
        <v>40025.740000000063</v>
      </c>
    </row>
    <row r="415" spans="1:11" x14ac:dyDescent="0.25">
      <c r="A415" s="5" t="s">
        <v>823</v>
      </c>
      <c r="B415" s="6">
        <f t="shared" si="6"/>
        <v>209.00389000000007</v>
      </c>
      <c r="C415" s="7" t="s">
        <v>684</v>
      </c>
      <c r="D415" s="7" t="s">
        <v>683</v>
      </c>
      <c r="E415" s="7" t="s">
        <v>826</v>
      </c>
      <c r="F415" s="8">
        <v>209.35396000000009</v>
      </c>
      <c r="G415" s="7" t="s">
        <v>171</v>
      </c>
      <c r="H415" s="7" t="s">
        <v>169</v>
      </c>
      <c r="I415" s="6">
        <v>443.42</v>
      </c>
      <c r="J415" s="6">
        <v>209003.89000000007</v>
      </c>
      <c r="K415" s="6">
        <v>39563.170000000064</v>
      </c>
    </row>
    <row r="416" spans="1:11" x14ac:dyDescent="0.25">
      <c r="A416" s="5" t="s">
        <v>823</v>
      </c>
      <c r="B416" s="6">
        <f t="shared" si="6"/>
        <v>209.44731000000007</v>
      </c>
      <c r="C416" s="7" t="s">
        <v>683</v>
      </c>
      <c r="D416" s="7" t="s">
        <v>682</v>
      </c>
      <c r="E416" s="7" t="s">
        <v>826</v>
      </c>
      <c r="F416" s="8">
        <v>210.05896000000007</v>
      </c>
      <c r="G416" s="7" t="s">
        <v>169</v>
      </c>
      <c r="H416" s="7" t="s">
        <v>167</v>
      </c>
      <c r="I416" s="6">
        <v>435</v>
      </c>
      <c r="J416" s="6">
        <v>209447.31000000008</v>
      </c>
      <c r="K416" s="6">
        <v>39119.750000000065</v>
      </c>
    </row>
    <row r="417" spans="1:11" x14ac:dyDescent="0.25">
      <c r="A417" s="5" t="s">
        <v>823</v>
      </c>
      <c r="B417" s="6">
        <f t="shared" si="6"/>
        <v>209.88231000000007</v>
      </c>
      <c r="C417" s="7" t="s">
        <v>682</v>
      </c>
      <c r="D417" s="7" t="s">
        <v>681</v>
      </c>
      <c r="E417" s="7" t="s">
        <v>826</v>
      </c>
      <c r="F417" s="8">
        <v>210.58368000000007</v>
      </c>
      <c r="G417" s="7" t="s">
        <v>167</v>
      </c>
      <c r="H417" s="7" t="s">
        <v>165</v>
      </c>
      <c r="I417" s="6">
        <v>485</v>
      </c>
      <c r="J417" s="6">
        <v>209882.31000000008</v>
      </c>
      <c r="K417" s="6">
        <v>38684.750000000065</v>
      </c>
    </row>
    <row r="418" spans="1:11" x14ac:dyDescent="0.25">
      <c r="A418" s="5" t="s">
        <v>823</v>
      </c>
      <c r="B418" s="6">
        <f t="shared" si="6"/>
        <v>210.36731000000009</v>
      </c>
      <c r="C418" s="7" t="s">
        <v>681</v>
      </c>
      <c r="D418" s="7" t="s">
        <v>680</v>
      </c>
      <c r="E418" s="7" t="s">
        <v>826</v>
      </c>
      <c r="F418" s="8">
        <v>211.38862000000009</v>
      </c>
      <c r="G418" s="7" t="s">
        <v>165</v>
      </c>
      <c r="H418" s="7" t="s">
        <v>163</v>
      </c>
      <c r="I418" s="6">
        <v>486</v>
      </c>
      <c r="J418" s="6">
        <v>210367.31000000008</v>
      </c>
      <c r="K418" s="6">
        <v>38199.750000000065</v>
      </c>
    </row>
    <row r="419" spans="1:11" x14ac:dyDescent="0.25">
      <c r="A419" s="5" t="s">
        <v>823</v>
      </c>
      <c r="B419" s="6">
        <f t="shared" si="6"/>
        <v>210.85331000000008</v>
      </c>
      <c r="C419" s="7" t="s">
        <v>680</v>
      </c>
      <c r="D419" s="7" t="s">
        <v>679</v>
      </c>
      <c r="E419" s="7" t="s">
        <v>826</v>
      </c>
      <c r="F419" s="8">
        <v>211.93271000000007</v>
      </c>
      <c r="G419" s="7" t="s">
        <v>163</v>
      </c>
      <c r="H419" s="7" t="s">
        <v>161</v>
      </c>
      <c r="I419" s="6">
        <v>504</v>
      </c>
      <c r="J419" s="6">
        <v>210853.31000000008</v>
      </c>
      <c r="K419" s="6">
        <v>37713.750000000065</v>
      </c>
    </row>
    <row r="420" spans="1:11" x14ac:dyDescent="0.25">
      <c r="A420" s="5" t="s">
        <v>823</v>
      </c>
      <c r="B420" s="6">
        <f t="shared" si="6"/>
        <v>211.3573100000001</v>
      </c>
      <c r="C420" s="7" t="s">
        <v>679</v>
      </c>
      <c r="D420" s="7" t="s">
        <v>678</v>
      </c>
      <c r="E420" s="7" t="s">
        <v>826</v>
      </c>
      <c r="F420" s="8">
        <v>212.42862000000008</v>
      </c>
      <c r="G420" s="7" t="s">
        <v>161</v>
      </c>
      <c r="H420" s="7" t="s">
        <v>159</v>
      </c>
      <c r="I420" s="6">
        <v>325</v>
      </c>
      <c r="J420" s="6">
        <v>211357.31000000008</v>
      </c>
      <c r="K420" s="6">
        <v>37209.750000000065</v>
      </c>
    </row>
    <row r="421" spans="1:11" x14ac:dyDescent="0.25">
      <c r="A421" s="5" t="s">
        <v>823</v>
      </c>
      <c r="B421" s="6">
        <f t="shared" si="6"/>
        <v>211.68231000000009</v>
      </c>
      <c r="C421" s="7" t="s">
        <v>678</v>
      </c>
      <c r="D421" s="7" t="s">
        <v>677</v>
      </c>
      <c r="E421" s="7" t="s">
        <v>826</v>
      </c>
      <c r="F421" s="8">
        <v>213.2236200000001</v>
      </c>
      <c r="G421" s="7" t="s">
        <v>159</v>
      </c>
      <c r="H421" s="7" t="s">
        <v>157</v>
      </c>
      <c r="I421" s="6">
        <v>725</v>
      </c>
      <c r="J421" s="6">
        <v>211682.31000000008</v>
      </c>
      <c r="K421" s="6">
        <v>36884.750000000065</v>
      </c>
    </row>
    <row r="422" spans="1:11" x14ac:dyDescent="0.25">
      <c r="A422" s="5" t="s">
        <v>823</v>
      </c>
      <c r="B422" s="6">
        <f t="shared" si="6"/>
        <v>212.40731000000008</v>
      </c>
      <c r="C422" s="7" t="s">
        <v>677</v>
      </c>
      <c r="D422" s="7" t="s">
        <v>676</v>
      </c>
      <c r="E422" s="7" t="s">
        <v>826</v>
      </c>
      <c r="F422" s="8">
        <v>213.79862000000008</v>
      </c>
      <c r="G422" s="7" t="s">
        <v>157</v>
      </c>
      <c r="H422" s="7" t="s">
        <v>155</v>
      </c>
      <c r="I422" s="6">
        <v>429.94</v>
      </c>
      <c r="J422" s="6">
        <v>212407.31000000008</v>
      </c>
      <c r="K422" s="6">
        <v>36159.750000000065</v>
      </c>
    </row>
    <row r="423" spans="1:11" x14ac:dyDescent="0.25">
      <c r="A423" s="5" t="s">
        <v>823</v>
      </c>
      <c r="B423" s="6">
        <f t="shared" si="6"/>
        <v>212.8372500000001</v>
      </c>
      <c r="C423" s="7" t="s">
        <v>676</v>
      </c>
      <c r="D423" s="7" t="s">
        <v>675</v>
      </c>
      <c r="E423" s="7" t="s">
        <v>826</v>
      </c>
      <c r="F423" s="8">
        <v>214.2236200000001</v>
      </c>
      <c r="G423" s="7" t="s">
        <v>155</v>
      </c>
      <c r="H423" s="7" t="s">
        <v>153</v>
      </c>
      <c r="I423" s="6">
        <v>655.94</v>
      </c>
      <c r="J423" s="6">
        <v>212837.25000000009</v>
      </c>
      <c r="K423" s="6">
        <v>35729.810000000063</v>
      </c>
    </row>
    <row r="424" spans="1:11" x14ac:dyDescent="0.25">
      <c r="A424" s="5" t="s">
        <v>823</v>
      </c>
      <c r="B424" s="6">
        <f t="shared" si="6"/>
        <v>213.49319000000008</v>
      </c>
      <c r="C424" s="7" t="s">
        <v>675</v>
      </c>
      <c r="D424" s="7" t="s">
        <v>674</v>
      </c>
      <c r="E424" s="7" t="s">
        <v>826</v>
      </c>
      <c r="F424" s="8">
        <v>214.66362000000009</v>
      </c>
      <c r="G424" s="7" t="s">
        <v>153</v>
      </c>
      <c r="H424" s="7" t="s">
        <v>151</v>
      </c>
      <c r="I424" s="6">
        <v>687.78</v>
      </c>
      <c r="J424" s="6">
        <v>213493.19000000009</v>
      </c>
      <c r="K424" s="6">
        <v>35073.870000000061</v>
      </c>
    </row>
    <row r="425" spans="1:11" x14ac:dyDescent="0.25">
      <c r="A425" s="5" t="s">
        <v>823</v>
      </c>
      <c r="B425" s="6">
        <f t="shared" si="6"/>
        <v>214.18097000000009</v>
      </c>
      <c r="C425" s="7" t="s">
        <v>674</v>
      </c>
      <c r="D425" s="7" t="s">
        <v>673</v>
      </c>
      <c r="E425" s="7" t="s">
        <v>826</v>
      </c>
      <c r="F425" s="8">
        <v>215.1936200000001</v>
      </c>
      <c r="G425" s="7" t="s">
        <v>151</v>
      </c>
      <c r="H425" s="7" t="s">
        <v>149</v>
      </c>
      <c r="I425" s="6">
        <v>496.26</v>
      </c>
      <c r="J425" s="6">
        <v>214180.97000000009</v>
      </c>
      <c r="K425" s="6">
        <v>34386.090000000062</v>
      </c>
    </row>
    <row r="426" spans="1:11" x14ac:dyDescent="0.25">
      <c r="A426" s="5" t="s">
        <v>823</v>
      </c>
      <c r="B426" s="6">
        <f t="shared" si="6"/>
        <v>214.67723000000009</v>
      </c>
      <c r="C426" s="7" t="s">
        <v>673</v>
      </c>
      <c r="D426" s="7" t="s">
        <v>672</v>
      </c>
      <c r="E426" s="7" t="s">
        <v>826</v>
      </c>
      <c r="F426" s="8">
        <v>215.77362000000008</v>
      </c>
      <c r="G426" s="7" t="s">
        <v>149</v>
      </c>
      <c r="H426" s="7" t="s">
        <v>147</v>
      </c>
      <c r="I426" s="6">
        <v>485</v>
      </c>
      <c r="J426" s="6">
        <v>214677.2300000001</v>
      </c>
      <c r="K426" s="6">
        <v>33889.83000000006</v>
      </c>
    </row>
    <row r="427" spans="1:11" x14ac:dyDescent="0.25">
      <c r="A427" s="5" t="s">
        <v>823</v>
      </c>
      <c r="B427" s="6">
        <f t="shared" si="6"/>
        <v>215.16223000000011</v>
      </c>
      <c r="C427" s="7" t="s">
        <v>672</v>
      </c>
      <c r="D427" s="7" t="s">
        <v>671</v>
      </c>
      <c r="E427" s="7" t="s">
        <v>826</v>
      </c>
      <c r="F427" s="8">
        <v>216.35862000000009</v>
      </c>
      <c r="G427" s="7" t="s">
        <v>147</v>
      </c>
      <c r="H427" s="7" t="s">
        <v>145</v>
      </c>
      <c r="I427" s="6">
        <v>625</v>
      </c>
      <c r="J427" s="6">
        <v>215162.2300000001</v>
      </c>
      <c r="K427" s="6">
        <v>33404.83000000006</v>
      </c>
    </row>
    <row r="428" spans="1:11" x14ac:dyDescent="0.25">
      <c r="A428" s="5" t="s">
        <v>823</v>
      </c>
      <c r="B428" s="6">
        <f t="shared" si="6"/>
        <v>215.78723000000011</v>
      </c>
      <c r="C428" s="7" t="s">
        <v>671</v>
      </c>
      <c r="D428" s="7" t="s">
        <v>670</v>
      </c>
      <c r="E428" s="7" t="s">
        <v>826</v>
      </c>
      <c r="F428" s="8">
        <v>216.80202000000008</v>
      </c>
      <c r="G428" s="7" t="s">
        <v>145</v>
      </c>
      <c r="H428" s="7" t="s">
        <v>143</v>
      </c>
      <c r="I428" s="6">
        <v>770</v>
      </c>
      <c r="J428" s="6">
        <v>215787.2300000001</v>
      </c>
      <c r="K428" s="6">
        <v>32779.83000000006</v>
      </c>
    </row>
    <row r="429" spans="1:11" x14ac:dyDescent="0.25">
      <c r="A429" s="5" t="s">
        <v>823</v>
      </c>
      <c r="B429" s="6">
        <f t="shared" si="6"/>
        <v>216.55723000000009</v>
      </c>
      <c r="C429" s="7" t="s">
        <v>670</v>
      </c>
      <c r="D429" s="7" t="s">
        <v>669</v>
      </c>
      <c r="E429" s="7" t="s">
        <v>826</v>
      </c>
      <c r="F429" s="8">
        <v>217.21202000000008</v>
      </c>
      <c r="G429" s="7" t="s">
        <v>143</v>
      </c>
      <c r="H429" s="7" t="s">
        <v>141</v>
      </c>
      <c r="I429" s="6">
        <v>382.65</v>
      </c>
      <c r="J429" s="6">
        <v>216557.2300000001</v>
      </c>
      <c r="K429" s="6">
        <v>32009.83000000006</v>
      </c>
    </row>
    <row r="430" spans="1:11" x14ac:dyDescent="0.25">
      <c r="A430" s="5" t="s">
        <v>823</v>
      </c>
      <c r="B430" s="6">
        <f t="shared" si="6"/>
        <v>216.9398800000001</v>
      </c>
      <c r="C430" s="7" t="s">
        <v>669</v>
      </c>
      <c r="D430" s="7" t="s">
        <v>668</v>
      </c>
      <c r="E430" s="7" t="s">
        <v>826</v>
      </c>
      <c r="F430" s="8">
        <v>217.82702000000009</v>
      </c>
      <c r="G430" s="7" t="s">
        <v>141</v>
      </c>
      <c r="H430" s="7" t="s">
        <v>139</v>
      </c>
      <c r="I430" s="6">
        <v>448.6</v>
      </c>
      <c r="J430" s="6">
        <v>216939.88000000009</v>
      </c>
      <c r="K430" s="6">
        <v>31627.180000000058</v>
      </c>
    </row>
    <row r="431" spans="1:11" x14ac:dyDescent="0.25">
      <c r="A431" s="5" t="s">
        <v>823</v>
      </c>
      <c r="B431" s="6">
        <f t="shared" si="6"/>
        <v>217.3884800000001</v>
      </c>
      <c r="C431" s="7" t="s">
        <v>668</v>
      </c>
      <c r="D431" s="7" t="s">
        <v>667</v>
      </c>
      <c r="E431" s="7" t="s">
        <v>826</v>
      </c>
      <c r="F431" s="8">
        <v>218.21202000000008</v>
      </c>
      <c r="G431" s="7" t="s">
        <v>139</v>
      </c>
      <c r="H431" s="7" t="s">
        <v>137</v>
      </c>
      <c r="I431" s="6">
        <v>653.86</v>
      </c>
      <c r="J431" s="6">
        <v>217388.4800000001</v>
      </c>
      <c r="K431" s="6">
        <v>31178.58000000006</v>
      </c>
    </row>
    <row r="432" spans="1:11" x14ac:dyDescent="0.25">
      <c r="A432" s="5" t="s">
        <v>823</v>
      </c>
      <c r="B432" s="6">
        <f t="shared" si="6"/>
        <v>218.04234000000008</v>
      </c>
      <c r="C432" s="7" t="s">
        <v>667</v>
      </c>
      <c r="D432" s="7" t="s">
        <v>666</v>
      </c>
      <c r="E432" s="7" t="s">
        <v>826</v>
      </c>
      <c r="F432" s="8">
        <v>218.65702000000007</v>
      </c>
      <c r="G432" s="7" t="s">
        <v>137</v>
      </c>
      <c r="H432" s="7" t="s">
        <v>135</v>
      </c>
      <c r="I432" s="6">
        <v>365</v>
      </c>
      <c r="J432" s="6">
        <v>218042.34000000008</v>
      </c>
      <c r="K432" s="6">
        <v>30524.720000000059</v>
      </c>
    </row>
    <row r="433" spans="1:11" x14ac:dyDescent="0.25">
      <c r="A433" s="5" t="s">
        <v>823</v>
      </c>
      <c r="B433" s="6">
        <f t="shared" si="6"/>
        <v>218.40734000000009</v>
      </c>
      <c r="C433" s="7" t="s">
        <v>666</v>
      </c>
      <c r="D433" s="7" t="s">
        <v>665</v>
      </c>
      <c r="E433" s="7" t="s">
        <v>826</v>
      </c>
      <c r="F433" s="8">
        <v>219.06202000000008</v>
      </c>
      <c r="G433" s="7" t="s">
        <v>135</v>
      </c>
      <c r="H433" s="7" t="s">
        <v>133</v>
      </c>
      <c r="I433" s="6">
        <v>410</v>
      </c>
      <c r="J433" s="6">
        <v>218407.34000000008</v>
      </c>
      <c r="K433" s="6">
        <v>30159.720000000059</v>
      </c>
    </row>
    <row r="434" spans="1:11" x14ac:dyDescent="0.25">
      <c r="A434" s="5" t="s">
        <v>823</v>
      </c>
      <c r="B434" s="6">
        <f t="shared" si="6"/>
        <v>218.81734000000009</v>
      </c>
      <c r="C434" s="7" t="s">
        <v>665</v>
      </c>
      <c r="D434" s="7" t="s">
        <v>664</v>
      </c>
      <c r="E434" s="7" t="s">
        <v>826</v>
      </c>
      <c r="F434" s="8">
        <v>219.58202000000009</v>
      </c>
      <c r="G434" s="7" t="s">
        <v>133</v>
      </c>
      <c r="H434" s="7" t="s">
        <v>131</v>
      </c>
      <c r="I434" s="6">
        <v>393.56</v>
      </c>
      <c r="J434" s="6">
        <v>218817.34000000008</v>
      </c>
      <c r="K434" s="6">
        <v>29749.720000000059</v>
      </c>
    </row>
    <row r="435" spans="1:11" x14ac:dyDescent="0.25">
      <c r="A435" s="5" t="s">
        <v>823</v>
      </c>
      <c r="B435" s="6">
        <f t="shared" si="6"/>
        <v>219.21090000000009</v>
      </c>
      <c r="C435" s="7" t="s">
        <v>664</v>
      </c>
      <c r="D435" s="7" t="s">
        <v>663</v>
      </c>
      <c r="E435" s="7" t="s">
        <v>826</v>
      </c>
      <c r="F435" s="8">
        <v>220.23202000000009</v>
      </c>
      <c r="G435" s="7" t="s">
        <v>131</v>
      </c>
      <c r="H435" s="7" t="s">
        <v>129</v>
      </c>
      <c r="I435" s="6">
        <v>411.44</v>
      </c>
      <c r="J435" s="6">
        <v>219210.90000000008</v>
      </c>
      <c r="K435" s="6">
        <v>29356.160000000058</v>
      </c>
    </row>
    <row r="436" spans="1:11" x14ac:dyDescent="0.25">
      <c r="A436" s="5" t="s">
        <v>823</v>
      </c>
      <c r="B436" s="6">
        <f t="shared" si="6"/>
        <v>219.62234000000009</v>
      </c>
      <c r="C436" s="7" t="s">
        <v>663</v>
      </c>
      <c r="D436" s="7" t="s">
        <v>662</v>
      </c>
      <c r="E436" s="7" t="s">
        <v>826</v>
      </c>
      <c r="F436" s="8">
        <v>220.73702000000009</v>
      </c>
      <c r="G436" s="7" t="s">
        <v>129</v>
      </c>
      <c r="H436" s="7" t="s">
        <v>127</v>
      </c>
      <c r="I436" s="6">
        <v>525</v>
      </c>
      <c r="J436" s="6">
        <v>219622.34000000008</v>
      </c>
      <c r="K436" s="6">
        <v>28944.720000000059</v>
      </c>
    </row>
    <row r="437" spans="1:11" x14ac:dyDescent="0.25">
      <c r="A437" s="5" t="s">
        <v>823</v>
      </c>
      <c r="B437" s="6">
        <f t="shared" si="6"/>
        <v>220.14734000000007</v>
      </c>
      <c r="C437" s="7" t="s">
        <v>662</v>
      </c>
      <c r="D437" s="7" t="s">
        <v>661</v>
      </c>
      <c r="E437" s="7" t="s">
        <v>826</v>
      </c>
      <c r="F437" s="8">
        <v>221.16284000000007</v>
      </c>
      <c r="G437" s="7" t="s">
        <v>127</v>
      </c>
      <c r="H437" s="7" t="s">
        <v>125</v>
      </c>
      <c r="I437" s="6">
        <v>510</v>
      </c>
      <c r="J437" s="6">
        <v>220147.34000000008</v>
      </c>
      <c r="K437" s="6">
        <v>28419.720000000059</v>
      </c>
    </row>
    <row r="438" spans="1:11" x14ac:dyDescent="0.25">
      <c r="A438" s="5" t="s">
        <v>823</v>
      </c>
      <c r="B438" s="6">
        <f t="shared" si="6"/>
        <v>220.65734000000009</v>
      </c>
      <c r="C438" s="7" t="s">
        <v>661</v>
      </c>
      <c r="D438" s="7" t="s">
        <v>660</v>
      </c>
      <c r="E438" s="7" t="s">
        <v>826</v>
      </c>
      <c r="F438" s="8">
        <v>221.60702000000009</v>
      </c>
      <c r="G438" s="7" t="s">
        <v>125</v>
      </c>
      <c r="H438" s="7" t="s">
        <v>123</v>
      </c>
      <c r="I438" s="6">
        <v>520</v>
      </c>
      <c r="J438" s="6">
        <v>220657.34000000008</v>
      </c>
      <c r="K438" s="6">
        <v>27909.720000000059</v>
      </c>
    </row>
    <row r="439" spans="1:11" x14ac:dyDescent="0.25">
      <c r="A439" s="5" t="s">
        <v>823</v>
      </c>
      <c r="B439" s="6">
        <f t="shared" si="6"/>
        <v>221.17734000000007</v>
      </c>
      <c r="C439" s="7" t="s">
        <v>660</v>
      </c>
      <c r="D439" s="7" t="s">
        <v>659</v>
      </c>
      <c r="E439" s="7" t="s">
        <v>826</v>
      </c>
      <c r="F439" s="8">
        <v>221.93649000000008</v>
      </c>
      <c r="G439" s="7" t="s">
        <v>123</v>
      </c>
      <c r="H439" s="7" t="s">
        <v>121</v>
      </c>
      <c r="I439" s="6">
        <v>600.71</v>
      </c>
      <c r="J439" s="6">
        <v>221177.34000000008</v>
      </c>
      <c r="K439" s="6">
        <v>27389.720000000059</v>
      </c>
    </row>
    <row r="440" spans="1:11" x14ac:dyDescent="0.25">
      <c r="A440" s="5" t="s">
        <v>823</v>
      </c>
      <c r="B440" s="6">
        <f t="shared" si="6"/>
        <v>221.77805000000006</v>
      </c>
      <c r="C440" s="7" t="s">
        <v>659</v>
      </c>
      <c r="D440" s="7" t="s">
        <v>658</v>
      </c>
      <c r="E440" s="7" t="s">
        <v>826</v>
      </c>
      <c r="F440" s="8">
        <v>222.50649000000007</v>
      </c>
      <c r="G440" s="7" t="s">
        <v>121</v>
      </c>
      <c r="H440" s="7" t="s">
        <v>119</v>
      </c>
      <c r="I440" s="6">
        <v>565</v>
      </c>
      <c r="J440" s="6">
        <v>221778.05000000008</v>
      </c>
      <c r="K440" s="6">
        <v>26789.01000000006</v>
      </c>
    </row>
    <row r="441" spans="1:11" x14ac:dyDescent="0.25">
      <c r="A441" s="5" t="s">
        <v>823</v>
      </c>
      <c r="B441" s="6">
        <f t="shared" si="6"/>
        <v>222.34305000000006</v>
      </c>
      <c r="C441" s="7" t="s">
        <v>658</v>
      </c>
      <c r="D441" s="7" t="s">
        <v>657</v>
      </c>
      <c r="E441" s="7" t="s">
        <v>826</v>
      </c>
      <c r="F441" s="8">
        <v>222.76149000000007</v>
      </c>
      <c r="G441" s="7" t="s">
        <v>119</v>
      </c>
      <c r="H441" s="7" t="s">
        <v>19</v>
      </c>
      <c r="I441" s="6">
        <v>485</v>
      </c>
      <c r="J441" s="6">
        <v>222343.05000000008</v>
      </c>
      <c r="K441" s="6">
        <v>26224.01000000006</v>
      </c>
    </row>
    <row r="442" spans="1:11" x14ac:dyDescent="0.25">
      <c r="A442" s="5" t="s">
        <v>823</v>
      </c>
      <c r="B442" s="6">
        <f t="shared" si="6"/>
        <v>222.82805000000008</v>
      </c>
      <c r="C442" s="7" t="s">
        <v>657</v>
      </c>
      <c r="D442" s="7" t="s">
        <v>656</v>
      </c>
      <c r="E442" s="7" t="s">
        <v>826</v>
      </c>
      <c r="F442" s="8">
        <v>223.12649000000008</v>
      </c>
      <c r="G442" s="7" t="s">
        <v>19</v>
      </c>
      <c r="H442" s="7" t="s">
        <v>18</v>
      </c>
      <c r="I442" s="6">
        <v>520</v>
      </c>
      <c r="J442" s="6">
        <v>222828.05000000008</v>
      </c>
      <c r="K442" s="6">
        <v>25739.01000000006</v>
      </c>
    </row>
    <row r="443" spans="1:11" x14ac:dyDescent="0.25">
      <c r="A443" s="5" t="s">
        <v>823</v>
      </c>
      <c r="B443" s="6">
        <f t="shared" si="6"/>
        <v>223.34805000000009</v>
      </c>
      <c r="C443" s="7" t="s">
        <v>656</v>
      </c>
      <c r="D443" s="7" t="s">
        <v>655</v>
      </c>
      <c r="E443" s="7" t="s">
        <v>826</v>
      </c>
      <c r="F443" s="8">
        <v>223.69649000000007</v>
      </c>
      <c r="G443" s="7" t="s">
        <v>18</v>
      </c>
      <c r="H443" s="7" t="s">
        <v>115</v>
      </c>
      <c r="I443" s="6">
        <v>470</v>
      </c>
      <c r="J443" s="6">
        <v>223348.05000000008</v>
      </c>
      <c r="K443" s="6">
        <v>25219.01000000006</v>
      </c>
    </row>
    <row r="444" spans="1:11" x14ac:dyDescent="0.25">
      <c r="A444" s="5" t="s">
        <v>823</v>
      </c>
      <c r="B444" s="6">
        <f t="shared" si="6"/>
        <v>223.81805000000008</v>
      </c>
      <c r="C444" s="7" t="s">
        <v>655</v>
      </c>
      <c r="D444" s="7" t="s">
        <v>654</v>
      </c>
      <c r="E444" s="7" t="s">
        <v>826</v>
      </c>
      <c r="F444" s="8">
        <v>224.10649000000006</v>
      </c>
      <c r="G444" s="7" t="s">
        <v>115</v>
      </c>
      <c r="H444" s="7" t="s">
        <v>113</v>
      </c>
      <c r="I444" s="6">
        <v>521.46</v>
      </c>
      <c r="J444" s="6">
        <v>223818.05000000008</v>
      </c>
      <c r="K444" s="6">
        <v>24749.01000000006</v>
      </c>
    </row>
    <row r="445" spans="1:11" x14ac:dyDescent="0.25">
      <c r="A445" s="5" t="s">
        <v>823</v>
      </c>
      <c r="B445" s="6">
        <f t="shared" si="6"/>
        <v>224.33951000000008</v>
      </c>
      <c r="C445" s="7" t="s">
        <v>654</v>
      </c>
      <c r="D445" s="7" t="s">
        <v>653</v>
      </c>
      <c r="E445" s="7" t="s">
        <v>826</v>
      </c>
      <c r="F445" s="8">
        <v>224.42649000000009</v>
      </c>
      <c r="G445" s="7" t="s">
        <v>113</v>
      </c>
      <c r="H445" s="7" t="s">
        <v>111</v>
      </c>
      <c r="I445" s="6">
        <v>488.54</v>
      </c>
      <c r="J445" s="6">
        <v>224339.51000000007</v>
      </c>
      <c r="K445" s="6">
        <v>24227.550000000061</v>
      </c>
    </row>
    <row r="446" spans="1:11" x14ac:dyDescent="0.25">
      <c r="A446" s="5" t="s">
        <v>823</v>
      </c>
      <c r="B446" s="6">
        <f t="shared" si="6"/>
        <v>224.82805000000008</v>
      </c>
      <c r="C446" s="7" t="s">
        <v>653</v>
      </c>
      <c r="D446" s="7" t="s">
        <v>652</v>
      </c>
      <c r="E446" s="7" t="s">
        <v>826</v>
      </c>
      <c r="F446" s="8">
        <v>224.85649000000006</v>
      </c>
      <c r="G446" s="7" t="s">
        <v>111</v>
      </c>
      <c r="H446" s="7" t="s">
        <v>109</v>
      </c>
      <c r="I446" s="6">
        <v>370</v>
      </c>
      <c r="J446" s="6">
        <v>224828.05000000008</v>
      </c>
      <c r="K446" s="6">
        <v>23739.01000000006</v>
      </c>
    </row>
    <row r="447" spans="1:11" x14ac:dyDescent="0.25">
      <c r="A447" s="5" t="s">
        <v>823</v>
      </c>
      <c r="B447" s="6">
        <f t="shared" si="6"/>
        <v>225.19805000000008</v>
      </c>
      <c r="C447" s="7" t="s">
        <v>652</v>
      </c>
      <c r="D447" s="7" t="s">
        <v>651</v>
      </c>
      <c r="E447" s="7" t="s">
        <v>826</v>
      </c>
      <c r="F447" s="8">
        <v>225.20649000000009</v>
      </c>
      <c r="G447" s="7" t="s">
        <v>109</v>
      </c>
      <c r="H447" s="7" t="s">
        <v>107</v>
      </c>
      <c r="I447" s="6">
        <v>670</v>
      </c>
      <c r="J447" s="6">
        <v>225198.05000000008</v>
      </c>
      <c r="K447" s="6">
        <v>23369.01000000006</v>
      </c>
    </row>
    <row r="448" spans="1:11" x14ac:dyDescent="0.25">
      <c r="A448" s="5" t="s">
        <v>823</v>
      </c>
      <c r="B448" s="6">
        <f t="shared" si="6"/>
        <v>225.86805000000007</v>
      </c>
      <c r="C448" s="7" t="s">
        <v>651</v>
      </c>
      <c r="D448" s="7" t="s">
        <v>650</v>
      </c>
      <c r="E448" s="7" t="s">
        <v>826</v>
      </c>
      <c r="F448" s="8">
        <v>225.67580000000007</v>
      </c>
      <c r="G448" s="7" t="s">
        <v>107</v>
      </c>
      <c r="H448" s="7" t="s">
        <v>105</v>
      </c>
      <c r="I448" s="6">
        <v>625</v>
      </c>
      <c r="J448" s="6">
        <v>225868.05000000008</v>
      </c>
      <c r="K448" s="6">
        <v>22699.01000000006</v>
      </c>
    </row>
    <row r="449" spans="1:11" x14ac:dyDescent="0.25">
      <c r="A449" s="5" t="s">
        <v>823</v>
      </c>
      <c r="B449" s="6">
        <f t="shared" si="6"/>
        <v>226.49305000000007</v>
      </c>
      <c r="C449" s="7" t="s">
        <v>650</v>
      </c>
      <c r="D449" s="7" t="s">
        <v>649</v>
      </c>
      <c r="E449" s="7" t="s">
        <v>826</v>
      </c>
      <c r="F449" s="8">
        <v>226.11135000000007</v>
      </c>
      <c r="G449" s="7" t="s">
        <v>105</v>
      </c>
      <c r="H449" s="7" t="s">
        <v>103</v>
      </c>
      <c r="I449" s="6">
        <v>705</v>
      </c>
      <c r="J449" s="6">
        <v>226493.05000000008</v>
      </c>
      <c r="K449" s="6">
        <v>22074.01000000006</v>
      </c>
    </row>
    <row r="450" spans="1:11" x14ac:dyDescent="0.25">
      <c r="A450" s="5" t="s">
        <v>823</v>
      </c>
      <c r="B450" s="6">
        <f t="shared" si="6"/>
        <v>227.19805000000008</v>
      </c>
      <c r="C450" s="7" t="s">
        <v>649</v>
      </c>
      <c r="D450" s="7" t="s">
        <v>648</v>
      </c>
      <c r="E450" s="7" t="s">
        <v>826</v>
      </c>
      <c r="F450" s="8">
        <v>226.65135000000006</v>
      </c>
      <c r="G450" s="7" t="s">
        <v>103</v>
      </c>
      <c r="H450" s="7" t="s">
        <v>101</v>
      </c>
      <c r="I450" s="6">
        <v>511</v>
      </c>
      <c r="J450" s="6">
        <v>227198.05000000008</v>
      </c>
      <c r="K450" s="6">
        <v>21369.01000000006</v>
      </c>
    </row>
    <row r="451" spans="1:11" x14ac:dyDescent="0.25">
      <c r="A451" s="5" t="s">
        <v>823</v>
      </c>
      <c r="B451" s="6">
        <f t="shared" ref="B451:B493" si="7">J451/1000</f>
        <v>227.70905000000008</v>
      </c>
      <c r="C451" s="7" t="s">
        <v>648</v>
      </c>
      <c r="D451" s="7" t="s">
        <v>647</v>
      </c>
      <c r="E451" s="7" t="s">
        <v>826</v>
      </c>
      <c r="F451" s="8">
        <v>227.30635000000007</v>
      </c>
      <c r="G451" s="7" t="s">
        <v>101</v>
      </c>
      <c r="H451" s="7" t="s">
        <v>99</v>
      </c>
      <c r="I451" s="6">
        <v>509.92</v>
      </c>
      <c r="J451" s="6">
        <v>227709.05000000008</v>
      </c>
      <c r="K451" s="6">
        <v>20858.01000000006</v>
      </c>
    </row>
    <row r="452" spans="1:11" x14ac:dyDescent="0.25">
      <c r="A452" s="5" t="s">
        <v>823</v>
      </c>
      <c r="B452" s="6">
        <f t="shared" si="7"/>
        <v>228.2189700000001</v>
      </c>
      <c r="C452" s="7" t="s">
        <v>647</v>
      </c>
      <c r="D452" s="7" t="s">
        <v>646</v>
      </c>
      <c r="E452" s="7" t="s">
        <v>826</v>
      </c>
      <c r="F452" s="8">
        <v>227.66635000000005</v>
      </c>
      <c r="G452" s="7" t="s">
        <v>99</v>
      </c>
      <c r="H452" s="7" t="s">
        <v>97</v>
      </c>
      <c r="I452" s="6">
        <v>397.68</v>
      </c>
      <c r="J452" s="6">
        <v>228218.97000000009</v>
      </c>
      <c r="K452" s="6">
        <v>20348.090000000062</v>
      </c>
    </row>
    <row r="453" spans="1:11" x14ac:dyDescent="0.25">
      <c r="A453" s="5" t="s">
        <v>823</v>
      </c>
      <c r="B453" s="6">
        <f t="shared" si="7"/>
        <v>228.61665000000008</v>
      </c>
      <c r="C453" s="7" t="s">
        <v>646</v>
      </c>
      <c r="D453" s="7" t="s">
        <v>645</v>
      </c>
      <c r="E453" s="7" t="s">
        <v>826</v>
      </c>
      <c r="F453" s="8">
        <v>228.08635000000007</v>
      </c>
      <c r="G453" s="7" t="s">
        <v>97</v>
      </c>
      <c r="H453" s="7" t="s">
        <v>95</v>
      </c>
      <c r="I453" s="6">
        <v>481.2</v>
      </c>
      <c r="J453" s="6">
        <v>228616.65000000008</v>
      </c>
      <c r="K453" s="6">
        <v>19950.410000000062</v>
      </c>
    </row>
    <row r="454" spans="1:11" x14ac:dyDescent="0.25">
      <c r="A454" s="5" t="s">
        <v>823</v>
      </c>
      <c r="B454" s="6">
        <f t="shared" si="7"/>
        <v>229.09785000000008</v>
      </c>
      <c r="C454" s="7" t="s">
        <v>645</v>
      </c>
      <c r="D454" s="7" t="s">
        <v>644</v>
      </c>
      <c r="E454" s="7" t="s">
        <v>826</v>
      </c>
      <c r="F454" s="8">
        <v>228.55347000000006</v>
      </c>
      <c r="G454" s="7" t="s">
        <v>95</v>
      </c>
      <c r="H454" s="7" t="s">
        <v>93</v>
      </c>
      <c r="I454" s="6">
        <v>520</v>
      </c>
      <c r="J454" s="6">
        <v>229097.85000000009</v>
      </c>
      <c r="K454" s="6">
        <v>19469.210000000061</v>
      </c>
    </row>
    <row r="455" spans="1:11" x14ac:dyDescent="0.25">
      <c r="A455" s="5" t="s">
        <v>823</v>
      </c>
      <c r="B455" s="6">
        <f t="shared" si="7"/>
        <v>229.61785000000009</v>
      </c>
      <c r="C455" s="7" t="s">
        <v>644</v>
      </c>
      <c r="D455" s="7" t="s">
        <v>643</v>
      </c>
      <c r="E455" s="7" t="s">
        <v>826</v>
      </c>
      <c r="F455" s="8">
        <v>229.01351000000005</v>
      </c>
      <c r="G455" s="7" t="s">
        <v>93</v>
      </c>
      <c r="H455" s="7" t="s">
        <v>91</v>
      </c>
      <c r="I455" s="6">
        <v>485</v>
      </c>
      <c r="J455" s="6">
        <v>229617.85000000009</v>
      </c>
      <c r="K455" s="6">
        <v>18949.210000000061</v>
      </c>
    </row>
    <row r="456" spans="1:11" x14ac:dyDescent="0.25">
      <c r="A456" s="5" t="s">
        <v>823</v>
      </c>
      <c r="B456" s="6">
        <f t="shared" si="7"/>
        <v>230.1028500000001</v>
      </c>
      <c r="C456" s="7" t="s">
        <v>643</v>
      </c>
      <c r="D456" s="7" t="s">
        <v>642</v>
      </c>
      <c r="E456" s="7" t="s">
        <v>826</v>
      </c>
      <c r="F456" s="8">
        <v>229.55784000000006</v>
      </c>
      <c r="G456" s="7" t="s">
        <v>91</v>
      </c>
      <c r="H456" s="7" t="s">
        <v>89</v>
      </c>
      <c r="I456" s="6">
        <v>505</v>
      </c>
      <c r="J456" s="6">
        <v>230102.85000000009</v>
      </c>
      <c r="K456" s="6">
        <v>18464.210000000061</v>
      </c>
    </row>
    <row r="457" spans="1:11" x14ac:dyDescent="0.25">
      <c r="A457" s="5" t="s">
        <v>823</v>
      </c>
      <c r="B457" s="6">
        <f t="shared" si="7"/>
        <v>230.6078500000001</v>
      </c>
      <c r="C457" s="7" t="s">
        <v>642</v>
      </c>
      <c r="D457" s="7" t="s">
        <v>641</v>
      </c>
      <c r="E457" s="7" t="s">
        <v>826</v>
      </c>
      <c r="F457" s="8">
        <v>230.00642000000005</v>
      </c>
      <c r="G457" s="7" t="s">
        <v>89</v>
      </c>
      <c r="H457" s="7" t="s">
        <v>87</v>
      </c>
      <c r="I457" s="6">
        <v>630</v>
      </c>
      <c r="J457" s="6">
        <v>230607.85000000009</v>
      </c>
      <c r="K457" s="6">
        <v>17959.210000000061</v>
      </c>
    </row>
    <row r="458" spans="1:11" x14ac:dyDescent="0.25">
      <c r="A458" s="5" t="s">
        <v>823</v>
      </c>
      <c r="B458" s="6">
        <f t="shared" si="7"/>
        <v>231.23785000000009</v>
      </c>
      <c r="C458" s="7" t="s">
        <v>641</v>
      </c>
      <c r="D458" s="7" t="s">
        <v>640</v>
      </c>
      <c r="E458" s="7" t="s">
        <v>826</v>
      </c>
      <c r="F458" s="8">
        <v>230.31921000000006</v>
      </c>
      <c r="G458" s="7" t="s">
        <v>87</v>
      </c>
      <c r="H458" s="7" t="s">
        <v>85</v>
      </c>
      <c r="I458" s="6">
        <v>570</v>
      </c>
      <c r="J458" s="6">
        <v>231237.85000000009</v>
      </c>
      <c r="K458" s="6">
        <v>17329.210000000061</v>
      </c>
    </row>
    <row r="459" spans="1:11" x14ac:dyDescent="0.25">
      <c r="A459" s="5" t="s">
        <v>823</v>
      </c>
      <c r="B459" s="6">
        <f t="shared" si="7"/>
        <v>231.80785000000009</v>
      </c>
      <c r="C459" s="7" t="s">
        <v>640</v>
      </c>
      <c r="D459" s="7" t="s">
        <v>639</v>
      </c>
      <c r="E459" s="7" t="s">
        <v>826</v>
      </c>
      <c r="F459" s="8">
        <v>230.75421000000006</v>
      </c>
      <c r="G459" s="7" t="s">
        <v>85</v>
      </c>
      <c r="H459" s="7" t="s">
        <v>83</v>
      </c>
      <c r="I459" s="6">
        <v>605</v>
      </c>
      <c r="J459" s="6">
        <v>231807.85000000009</v>
      </c>
      <c r="K459" s="6">
        <v>16759.210000000061</v>
      </c>
    </row>
    <row r="460" spans="1:11" x14ac:dyDescent="0.25">
      <c r="A460" s="5" t="s">
        <v>823</v>
      </c>
      <c r="B460" s="6">
        <f t="shared" si="7"/>
        <v>232.41285000000011</v>
      </c>
      <c r="C460" s="7" t="s">
        <v>639</v>
      </c>
      <c r="D460" s="7" t="s">
        <v>638</v>
      </c>
      <c r="E460" s="7" t="s">
        <v>826</v>
      </c>
      <c r="F460" s="8">
        <v>231.45634000000007</v>
      </c>
      <c r="G460" s="7" t="s">
        <v>83</v>
      </c>
      <c r="H460" s="7" t="s">
        <v>81</v>
      </c>
      <c r="I460" s="6">
        <v>345</v>
      </c>
      <c r="J460" s="6">
        <v>232412.85000000009</v>
      </c>
      <c r="K460" s="6">
        <v>16154.210000000061</v>
      </c>
    </row>
    <row r="461" spans="1:11" x14ac:dyDescent="0.25">
      <c r="A461" s="5" t="s">
        <v>823</v>
      </c>
      <c r="B461" s="6">
        <f t="shared" si="7"/>
        <v>232.7578500000001</v>
      </c>
      <c r="C461" s="7" t="s">
        <v>638</v>
      </c>
      <c r="D461" s="7" t="s">
        <v>637</v>
      </c>
      <c r="E461" s="7" t="s">
        <v>826</v>
      </c>
      <c r="F461" s="8">
        <v>231.67134000000004</v>
      </c>
      <c r="G461" s="7" t="s">
        <v>81</v>
      </c>
      <c r="H461" s="7" t="s">
        <v>79</v>
      </c>
      <c r="I461" s="6">
        <v>500</v>
      </c>
      <c r="J461" s="6">
        <v>232757.85000000009</v>
      </c>
      <c r="K461" s="6">
        <v>15809.210000000061</v>
      </c>
    </row>
    <row r="462" spans="1:11" x14ac:dyDescent="0.25">
      <c r="A462" s="5" t="s">
        <v>823</v>
      </c>
      <c r="B462" s="6">
        <f t="shared" si="7"/>
        <v>233.2578500000001</v>
      </c>
      <c r="C462" s="7" t="s">
        <v>637</v>
      </c>
      <c r="D462" s="7" t="s">
        <v>636</v>
      </c>
      <c r="E462" s="7" t="s">
        <v>826</v>
      </c>
      <c r="F462" s="8">
        <v>232.29134000000005</v>
      </c>
      <c r="G462" s="7" t="s">
        <v>79</v>
      </c>
      <c r="H462" s="7" t="s">
        <v>77</v>
      </c>
      <c r="I462" s="6">
        <v>470</v>
      </c>
      <c r="J462" s="6">
        <v>233257.85000000009</v>
      </c>
      <c r="K462" s="6">
        <v>15309.210000000061</v>
      </c>
    </row>
    <row r="463" spans="1:11" x14ac:dyDescent="0.25">
      <c r="A463" s="5" t="s">
        <v>823</v>
      </c>
      <c r="B463" s="6">
        <f t="shared" si="7"/>
        <v>233.7278500000001</v>
      </c>
      <c r="C463" s="7" t="s">
        <v>636</v>
      </c>
      <c r="D463" s="7" t="s">
        <v>635</v>
      </c>
      <c r="E463" s="7" t="s">
        <v>826</v>
      </c>
      <c r="F463" s="8">
        <v>233.21924000000004</v>
      </c>
      <c r="G463" s="7" t="s">
        <v>77</v>
      </c>
      <c r="H463" s="7" t="s">
        <v>75</v>
      </c>
      <c r="I463" s="6">
        <v>572.53</v>
      </c>
      <c r="J463" s="6">
        <v>233727.85000000009</v>
      </c>
      <c r="K463" s="6">
        <v>14839.210000000061</v>
      </c>
    </row>
    <row r="464" spans="1:11" x14ac:dyDescent="0.25">
      <c r="A464" s="5" t="s">
        <v>823</v>
      </c>
      <c r="B464" s="6">
        <f t="shared" si="7"/>
        <v>234.3003800000001</v>
      </c>
      <c r="C464" s="7" t="s">
        <v>635</v>
      </c>
      <c r="D464" s="7" t="s">
        <v>634</v>
      </c>
      <c r="E464" s="7" t="s">
        <v>826</v>
      </c>
      <c r="F464" s="8">
        <v>234.08424000000005</v>
      </c>
      <c r="G464" s="7" t="s">
        <v>75</v>
      </c>
      <c r="H464" s="7" t="s">
        <v>73</v>
      </c>
      <c r="I464" s="6">
        <v>432.03</v>
      </c>
      <c r="J464" s="6">
        <v>234300.38000000009</v>
      </c>
      <c r="K464" s="6">
        <v>14266.68000000006</v>
      </c>
    </row>
    <row r="465" spans="1:11" x14ac:dyDescent="0.25">
      <c r="A465" s="5" t="s">
        <v>823</v>
      </c>
      <c r="B465" s="6">
        <f t="shared" si="7"/>
        <v>234.7324100000001</v>
      </c>
      <c r="C465" s="7" t="s">
        <v>634</v>
      </c>
      <c r="D465" s="7" t="s">
        <v>633</v>
      </c>
      <c r="E465" s="7" t="s">
        <v>826</v>
      </c>
      <c r="F465" s="8">
        <v>234.54924000000005</v>
      </c>
      <c r="G465" s="7" t="s">
        <v>73</v>
      </c>
      <c r="H465" s="7" t="s">
        <v>71</v>
      </c>
      <c r="I465" s="6">
        <v>413.91</v>
      </c>
      <c r="J465" s="6">
        <v>234732.41000000009</v>
      </c>
      <c r="K465" s="6">
        <v>13834.65000000006</v>
      </c>
    </row>
    <row r="466" spans="1:11" x14ac:dyDescent="0.25">
      <c r="A466" s="5" t="s">
        <v>823</v>
      </c>
      <c r="B466" s="6">
        <f t="shared" si="7"/>
        <v>235.14632000000009</v>
      </c>
      <c r="C466" s="7" t="s">
        <v>633</v>
      </c>
      <c r="D466" s="7" t="s">
        <v>632</v>
      </c>
      <c r="E466" s="7" t="s">
        <v>826</v>
      </c>
      <c r="F466" s="8">
        <v>235.06924000000004</v>
      </c>
      <c r="G466" s="7" t="s">
        <v>71</v>
      </c>
      <c r="H466" s="7" t="s">
        <v>69</v>
      </c>
      <c r="I466" s="6">
        <v>725</v>
      </c>
      <c r="J466" s="6">
        <v>235146.32000000009</v>
      </c>
      <c r="K466" s="6">
        <v>13420.74000000006</v>
      </c>
    </row>
    <row r="467" spans="1:11" x14ac:dyDescent="0.25">
      <c r="A467" s="5" t="s">
        <v>823</v>
      </c>
      <c r="B467" s="6">
        <f t="shared" si="7"/>
        <v>235.87132000000008</v>
      </c>
      <c r="C467" s="7" t="s">
        <v>632</v>
      </c>
      <c r="D467" s="7" t="s">
        <v>631</v>
      </c>
      <c r="E467" s="7" t="s">
        <v>826</v>
      </c>
      <c r="F467" s="8">
        <v>235.38924000000006</v>
      </c>
      <c r="G467" s="7" t="s">
        <v>69</v>
      </c>
      <c r="H467" s="7" t="s">
        <v>67</v>
      </c>
      <c r="I467" s="6">
        <v>380</v>
      </c>
      <c r="J467" s="6">
        <v>235871.32000000009</v>
      </c>
      <c r="K467" s="6">
        <v>12695.74000000006</v>
      </c>
    </row>
    <row r="468" spans="1:11" x14ac:dyDescent="0.25">
      <c r="A468" s="5" t="s">
        <v>823</v>
      </c>
      <c r="B468" s="6">
        <f t="shared" si="7"/>
        <v>236.25132000000011</v>
      </c>
      <c r="C468" s="7" t="s">
        <v>631</v>
      </c>
      <c r="D468" s="7" t="s">
        <v>630</v>
      </c>
      <c r="E468" s="7" t="s">
        <v>826</v>
      </c>
      <c r="F468" s="8">
        <v>235.65924000000004</v>
      </c>
      <c r="G468" s="7" t="s">
        <v>67</v>
      </c>
      <c r="H468" s="7" t="s">
        <v>65</v>
      </c>
      <c r="I468" s="6">
        <v>695</v>
      </c>
      <c r="J468" s="6">
        <v>236251.32000000009</v>
      </c>
      <c r="K468" s="6">
        <v>12315.74000000006</v>
      </c>
    </row>
    <row r="469" spans="1:11" x14ac:dyDescent="0.25">
      <c r="A469" s="5" t="s">
        <v>823</v>
      </c>
      <c r="B469" s="6">
        <f t="shared" si="7"/>
        <v>236.9463200000001</v>
      </c>
      <c r="C469" s="7" t="s">
        <v>630</v>
      </c>
      <c r="D469" s="7" t="s">
        <v>629</v>
      </c>
      <c r="E469" s="7" t="s">
        <v>826</v>
      </c>
      <c r="F469" s="8">
        <v>236.09302000000005</v>
      </c>
      <c r="G469" s="7" t="s">
        <v>65</v>
      </c>
      <c r="H469" s="7" t="s">
        <v>63</v>
      </c>
      <c r="I469" s="6">
        <v>600</v>
      </c>
      <c r="J469" s="6">
        <v>236946.32000000009</v>
      </c>
      <c r="K469" s="6">
        <v>11620.74000000006</v>
      </c>
    </row>
    <row r="470" spans="1:11" x14ac:dyDescent="0.25">
      <c r="A470" s="5" t="s">
        <v>823</v>
      </c>
      <c r="B470" s="6">
        <f t="shared" si="7"/>
        <v>237.54632000000009</v>
      </c>
      <c r="C470" s="7" t="s">
        <v>629</v>
      </c>
      <c r="D470" s="7" t="s">
        <v>628</v>
      </c>
      <c r="E470" s="7" t="s">
        <v>826</v>
      </c>
      <c r="F470" s="8">
        <v>236.73847000000006</v>
      </c>
      <c r="G470" s="7" t="s">
        <v>63</v>
      </c>
      <c r="H470" s="7" t="s">
        <v>61</v>
      </c>
      <c r="I470" s="6">
        <v>385.87</v>
      </c>
      <c r="J470" s="6">
        <v>237546.32000000009</v>
      </c>
      <c r="K470" s="6">
        <v>11020.74000000006</v>
      </c>
    </row>
    <row r="471" spans="1:11" x14ac:dyDescent="0.25">
      <c r="A471" s="5" t="s">
        <v>823</v>
      </c>
      <c r="B471" s="6">
        <f t="shared" si="7"/>
        <v>237.93219000000008</v>
      </c>
      <c r="C471" s="7" t="s">
        <v>628</v>
      </c>
      <c r="D471" s="7" t="s">
        <v>627</v>
      </c>
      <c r="E471" s="7" t="s">
        <v>826</v>
      </c>
      <c r="F471" s="8">
        <v>237.48884000000007</v>
      </c>
      <c r="G471" s="7" t="s">
        <v>61</v>
      </c>
      <c r="H471" s="7" t="s">
        <v>59</v>
      </c>
      <c r="I471" s="6">
        <v>345</v>
      </c>
      <c r="J471" s="6">
        <v>237932.19000000009</v>
      </c>
      <c r="K471" s="6">
        <v>10634.870000000059</v>
      </c>
    </row>
    <row r="472" spans="1:11" x14ac:dyDescent="0.25">
      <c r="A472" s="5" t="s">
        <v>823</v>
      </c>
      <c r="B472" s="6">
        <f t="shared" si="7"/>
        <v>238.27719000000008</v>
      </c>
      <c r="C472" s="7" t="s">
        <v>627</v>
      </c>
      <c r="D472" s="7" t="s">
        <v>626</v>
      </c>
      <c r="E472" s="7" t="s">
        <v>826</v>
      </c>
      <c r="F472" s="8">
        <v>237.77992000000003</v>
      </c>
      <c r="G472" s="7" t="s">
        <v>59</v>
      </c>
      <c r="H472" s="7" t="s">
        <v>57</v>
      </c>
      <c r="I472" s="6">
        <v>570.80999999999995</v>
      </c>
      <c r="J472" s="6">
        <v>238277.19000000009</v>
      </c>
      <c r="K472" s="6">
        <v>10289.870000000059</v>
      </c>
    </row>
    <row r="473" spans="1:11" x14ac:dyDescent="0.25">
      <c r="A473" s="5" t="s">
        <v>823</v>
      </c>
      <c r="B473" s="6">
        <f t="shared" si="7"/>
        <v>238.8480000000001</v>
      </c>
      <c r="C473" s="7" t="s">
        <v>626</v>
      </c>
      <c r="D473" s="7" t="s">
        <v>625</v>
      </c>
      <c r="E473" s="7" t="s">
        <v>826</v>
      </c>
      <c r="F473" s="8">
        <v>238.62311000000005</v>
      </c>
      <c r="G473" s="7" t="s">
        <v>57</v>
      </c>
      <c r="H473" s="7" t="s">
        <v>55</v>
      </c>
      <c r="I473" s="6">
        <v>604.19000000000005</v>
      </c>
      <c r="J473" s="6">
        <v>238848.00000000009</v>
      </c>
      <c r="K473" s="6">
        <v>9719.0600000000595</v>
      </c>
    </row>
    <row r="474" spans="1:11" x14ac:dyDescent="0.25">
      <c r="A474" s="5" t="s">
        <v>823</v>
      </c>
      <c r="B474" s="6">
        <f t="shared" si="7"/>
        <v>239.45219000000009</v>
      </c>
      <c r="C474" s="7" t="s">
        <v>625</v>
      </c>
      <c r="D474" s="7" t="s">
        <v>624</v>
      </c>
      <c r="E474" s="7" t="s">
        <v>826</v>
      </c>
      <c r="F474" s="8">
        <v>238.88923000000003</v>
      </c>
      <c r="G474" s="7" t="s">
        <v>55</v>
      </c>
      <c r="H474" s="7" t="s">
        <v>53</v>
      </c>
      <c r="I474" s="6">
        <v>525</v>
      </c>
      <c r="J474" s="6">
        <v>239452.19000000009</v>
      </c>
      <c r="K474" s="6">
        <v>9114.870000000059</v>
      </c>
    </row>
    <row r="475" spans="1:11" x14ac:dyDescent="0.25">
      <c r="A475" s="5" t="s">
        <v>823</v>
      </c>
      <c r="B475" s="6">
        <f t="shared" si="7"/>
        <v>239.97719000000009</v>
      </c>
      <c r="C475" s="7" t="s">
        <v>624</v>
      </c>
      <c r="D475" s="7" t="s">
        <v>623</v>
      </c>
      <c r="E475" s="7" t="s">
        <v>826</v>
      </c>
      <c r="F475" s="8">
        <v>239.78423000000004</v>
      </c>
      <c r="G475" s="7" t="s">
        <v>53</v>
      </c>
      <c r="H475" s="7" t="s">
        <v>51</v>
      </c>
      <c r="I475" s="6">
        <v>740</v>
      </c>
      <c r="J475" s="6">
        <v>239977.19000000009</v>
      </c>
      <c r="K475" s="6">
        <v>8589.870000000059</v>
      </c>
    </row>
    <row r="476" spans="1:11" x14ac:dyDescent="0.25">
      <c r="A476" s="5" t="s">
        <v>823</v>
      </c>
      <c r="B476" s="6">
        <f t="shared" si="7"/>
        <v>240.7171900000001</v>
      </c>
      <c r="C476" s="7" t="s">
        <v>623</v>
      </c>
      <c r="D476" s="7" t="s">
        <v>622</v>
      </c>
      <c r="E476" s="7" t="s">
        <v>826</v>
      </c>
      <c r="F476" s="8">
        <v>240.10423000000003</v>
      </c>
      <c r="G476" s="7" t="s">
        <v>51</v>
      </c>
      <c r="H476" s="7" t="s">
        <v>49</v>
      </c>
      <c r="I476" s="6">
        <v>350.74</v>
      </c>
      <c r="J476" s="6">
        <v>240717.19000000009</v>
      </c>
      <c r="K476" s="6">
        <v>7849.870000000059</v>
      </c>
    </row>
    <row r="477" spans="1:11" x14ac:dyDescent="0.25">
      <c r="A477" s="5" t="s">
        <v>823</v>
      </c>
      <c r="B477" s="6">
        <f t="shared" si="7"/>
        <v>241.06793000000008</v>
      </c>
      <c r="C477" s="7" t="s">
        <v>622</v>
      </c>
      <c r="D477" s="7" t="s">
        <v>621</v>
      </c>
      <c r="E477" s="7" t="s">
        <v>826</v>
      </c>
      <c r="F477" s="8">
        <v>241.04710000000003</v>
      </c>
      <c r="G477" s="7" t="s">
        <v>49</v>
      </c>
      <c r="H477" s="7" t="s">
        <v>47</v>
      </c>
      <c r="I477" s="6">
        <v>589.26</v>
      </c>
      <c r="J477" s="6">
        <v>241067.93000000008</v>
      </c>
      <c r="K477" s="6">
        <v>7499.1300000000592</v>
      </c>
    </row>
    <row r="478" spans="1:11" x14ac:dyDescent="0.25">
      <c r="A478" s="5" t="s">
        <v>823</v>
      </c>
      <c r="B478" s="6">
        <f t="shared" si="7"/>
        <v>241.6571900000001</v>
      </c>
      <c r="C478" s="7" t="s">
        <v>621</v>
      </c>
      <c r="D478" s="7" t="s">
        <v>620</v>
      </c>
      <c r="E478" s="7" t="s">
        <v>826</v>
      </c>
      <c r="F478" s="8">
        <v>241.65979000000004</v>
      </c>
      <c r="G478" s="7" t="s">
        <v>47</v>
      </c>
      <c r="H478" s="7" t="s">
        <v>45</v>
      </c>
      <c r="I478" s="6">
        <v>691.44</v>
      </c>
      <c r="J478" s="6">
        <v>241657.19000000009</v>
      </c>
      <c r="K478" s="6">
        <v>6909.870000000059</v>
      </c>
    </row>
    <row r="479" spans="1:11" x14ac:dyDescent="0.25">
      <c r="A479" s="5" t="s">
        <v>823</v>
      </c>
      <c r="B479" s="6">
        <f t="shared" si="7"/>
        <v>242.3486300000001</v>
      </c>
      <c r="C479" s="7" t="s">
        <v>620</v>
      </c>
      <c r="D479" s="7" t="s">
        <v>619</v>
      </c>
      <c r="E479" s="7" t="s">
        <v>826</v>
      </c>
      <c r="F479" s="8">
        <v>242.11543000000006</v>
      </c>
      <c r="G479" s="7" t="s">
        <v>45</v>
      </c>
      <c r="H479" s="7" t="s">
        <v>43</v>
      </c>
      <c r="I479" s="6">
        <v>553.55999999999995</v>
      </c>
      <c r="J479" s="6">
        <v>242348.63000000009</v>
      </c>
      <c r="K479" s="6">
        <v>6218.4300000000585</v>
      </c>
    </row>
    <row r="480" spans="1:11" x14ac:dyDescent="0.25">
      <c r="A480" s="5" t="s">
        <v>823</v>
      </c>
      <c r="B480" s="6">
        <f t="shared" si="7"/>
        <v>242.90219000000008</v>
      </c>
      <c r="C480" s="7" t="s">
        <v>619</v>
      </c>
      <c r="D480" s="7" t="s">
        <v>618</v>
      </c>
      <c r="E480" s="7" t="s">
        <v>826</v>
      </c>
      <c r="F480" s="8">
        <v>242.56543000000005</v>
      </c>
      <c r="G480" s="7" t="s">
        <v>43</v>
      </c>
      <c r="H480" s="7" t="s">
        <v>41</v>
      </c>
      <c r="I480" s="6">
        <v>570</v>
      </c>
      <c r="J480" s="6">
        <v>242902.19000000009</v>
      </c>
      <c r="K480" s="6">
        <v>5664.870000000059</v>
      </c>
    </row>
    <row r="481" spans="1:11" x14ac:dyDescent="0.25">
      <c r="A481" s="5" t="s">
        <v>823</v>
      </c>
      <c r="B481" s="6">
        <f t="shared" si="7"/>
        <v>243.4721900000001</v>
      </c>
      <c r="C481" s="7" t="s">
        <v>618</v>
      </c>
      <c r="D481" s="7" t="s">
        <v>617</v>
      </c>
      <c r="E481" s="7" t="s">
        <v>826</v>
      </c>
      <c r="F481" s="8">
        <v>242.85443000000006</v>
      </c>
      <c r="G481" s="7" t="s">
        <v>41</v>
      </c>
      <c r="H481" s="7" t="s">
        <v>39</v>
      </c>
      <c r="I481" s="6">
        <v>625</v>
      </c>
      <c r="J481" s="6">
        <v>243472.19000000009</v>
      </c>
      <c r="K481" s="6">
        <v>5094.870000000059</v>
      </c>
    </row>
    <row r="482" spans="1:11" x14ac:dyDescent="0.25">
      <c r="A482" s="5" t="s">
        <v>823</v>
      </c>
      <c r="B482" s="6">
        <f t="shared" si="7"/>
        <v>244.0971900000001</v>
      </c>
      <c r="C482" s="7" t="s">
        <v>617</v>
      </c>
      <c r="D482" s="7" t="s">
        <v>616</v>
      </c>
      <c r="E482" s="7" t="s">
        <v>826</v>
      </c>
      <c r="F482" s="8">
        <v>243.23544000000007</v>
      </c>
      <c r="G482" s="7" t="s">
        <v>39</v>
      </c>
      <c r="H482" s="7" t="s">
        <v>37</v>
      </c>
      <c r="I482" s="6">
        <v>460</v>
      </c>
      <c r="J482" s="6">
        <v>244097.19000000009</v>
      </c>
      <c r="K482" s="6">
        <v>4469.870000000059</v>
      </c>
    </row>
    <row r="483" spans="1:11" x14ac:dyDescent="0.25">
      <c r="A483" s="5" t="s">
        <v>823</v>
      </c>
      <c r="B483" s="6">
        <f t="shared" si="7"/>
        <v>244.55719000000008</v>
      </c>
      <c r="C483" s="7" t="s">
        <v>616</v>
      </c>
      <c r="D483" s="7" t="s">
        <v>615</v>
      </c>
      <c r="E483" s="7" t="s">
        <v>826</v>
      </c>
      <c r="F483" s="8">
        <v>243.96633000000008</v>
      </c>
      <c r="G483" s="7" t="s">
        <v>37</v>
      </c>
      <c r="H483" s="7" t="s">
        <v>35</v>
      </c>
      <c r="I483" s="6">
        <v>428.23</v>
      </c>
      <c r="J483" s="6">
        <v>244557.19000000009</v>
      </c>
      <c r="K483" s="6">
        <v>4009.870000000059</v>
      </c>
    </row>
    <row r="484" spans="1:11" x14ac:dyDescent="0.25">
      <c r="A484" s="5" t="s">
        <v>823</v>
      </c>
      <c r="B484" s="6">
        <f t="shared" si="7"/>
        <v>244.98542000000009</v>
      </c>
      <c r="C484" s="7" t="s">
        <v>615</v>
      </c>
      <c r="D484" s="7" t="s">
        <v>614</v>
      </c>
      <c r="E484" s="7" t="s">
        <v>826</v>
      </c>
      <c r="F484" s="8">
        <v>244.27545000000006</v>
      </c>
      <c r="G484" s="7" t="s">
        <v>35</v>
      </c>
      <c r="H484" s="7" t="s">
        <v>33</v>
      </c>
      <c r="I484" s="6">
        <v>560.25</v>
      </c>
      <c r="J484" s="6">
        <v>244985.4200000001</v>
      </c>
      <c r="K484" s="6">
        <v>3581.640000000059</v>
      </c>
    </row>
    <row r="485" spans="1:11" x14ac:dyDescent="0.25">
      <c r="A485" s="5" t="s">
        <v>823</v>
      </c>
      <c r="B485" s="6">
        <f t="shared" si="7"/>
        <v>245.54567000000009</v>
      </c>
      <c r="C485" s="7" t="s">
        <v>614</v>
      </c>
      <c r="D485" s="7" t="s">
        <v>613</v>
      </c>
      <c r="E485" s="7" t="s">
        <v>826</v>
      </c>
      <c r="F485" s="8">
        <v>245.10545000000008</v>
      </c>
      <c r="G485" s="7" t="s">
        <v>33</v>
      </c>
      <c r="H485" s="7" t="s">
        <v>31</v>
      </c>
      <c r="I485" s="6">
        <v>547.28</v>
      </c>
      <c r="J485" s="6">
        <v>245545.6700000001</v>
      </c>
      <c r="K485" s="6">
        <v>3021.390000000059</v>
      </c>
    </row>
    <row r="486" spans="1:11" x14ac:dyDescent="0.25">
      <c r="A486" s="5" t="s">
        <v>823</v>
      </c>
      <c r="B486" s="6">
        <f t="shared" si="7"/>
        <v>246.09295000000009</v>
      </c>
      <c r="C486" s="7" t="s">
        <v>613</v>
      </c>
      <c r="D486" s="7" t="s">
        <v>612</v>
      </c>
      <c r="E486" s="7" t="s">
        <v>826</v>
      </c>
      <c r="F486" s="8">
        <v>245.61188000000007</v>
      </c>
      <c r="G486" s="7" t="s">
        <v>31</v>
      </c>
      <c r="H486" s="7" t="s">
        <v>29</v>
      </c>
      <c r="I486" s="6">
        <v>440.65</v>
      </c>
      <c r="J486" s="6">
        <v>246092.9500000001</v>
      </c>
      <c r="K486" s="6">
        <v>2474.1100000000588</v>
      </c>
    </row>
    <row r="487" spans="1:11" x14ac:dyDescent="0.25">
      <c r="A487" s="5" t="s">
        <v>823</v>
      </c>
      <c r="B487" s="6">
        <f t="shared" si="7"/>
        <v>246.53360000000009</v>
      </c>
      <c r="C487" s="7" t="s">
        <v>612</v>
      </c>
      <c r="D487" s="7" t="s">
        <v>611</v>
      </c>
      <c r="E487" s="7" t="s">
        <v>826</v>
      </c>
      <c r="F487" s="8">
        <v>246.38545000000008</v>
      </c>
      <c r="G487" s="7" t="s">
        <v>29</v>
      </c>
      <c r="H487" s="7" t="s">
        <v>27</v>
      </c>
      <c r="I487" s="6">
        <v>565</v>
      </c>
      <c r="J487" s="6">
        <v>246533.60000000009</v>
      </c>
      <c r="K487" s="6">
        <v>2033.4600000000587</v>
      </c>
    </row>
    <row r="488" spans="1:11" x14ac:dyDescent="0.25">
      <c r="A488" s="5" t="s">
        <v>823</v>
      </c>
      <c r="B488" s="6">
        <f t="shared" si="7"/>
        <v>247.09860000000009</v>
      </c>
      <c r="C488" s="7" t="s">
        <v>611</v>
      </c>
      <c r="D488" s="7" t="s">
        <v>610</v>
      </c>
      <c r="E488" s="7" t="s">
        <v>826</v>
      </c>
      <c r="F488" s="8">
        <v>246.69445000000007</v>
      </c>
      <c r="G488" s="7" t="s">
        <v>27</v>
      </c>
      <c r="H488" s="7" t="s">
        <v>25</v>
      </c>
      <c r="I488" s="6">
        <v>480</v>
      </c>
      <c r="J488" s="6">
        <v>247098.60000000009</v>
      </c>
      <c r="K488" s="6">
        <v>1468.4600000000587</v>
      </c>
    </row>
    <row r="489" spans="1:11" x14ac:dyDescent="0.25">
      <c r="A489" s="5" t="s">
        <v>823</v>
      </c>
      <c r="B489" s="6">
        <f t="shared" si="7"/>
        <v>247.57860000000008</v>
      </c>
      <c r="C489" s="7" t="s">
        <v>610</v>
      </c>
      <c r="D489" s="7" t="s">
        <v>609</v>
      </c>
      <c r="E489" s="7" t="s">
        <v>826</v>
      </c>
      <c r="F489" s="8">
        <v>247.23680000000007</v>
      </c>
      <c r="G489" s="7" t="s">
        <v>25</v>
      </c>
      <c r="H489" s="7" t="s">
        <v>23</v>
      </c>
      <c r="I489" s="6">
        <v>461</v>
      </c>
      <c r="J489" s="6">
        <v>247578.60000000009</v>
      </c>
      <c r="K489" s="6">
        <v>988.4600000000587</v>
      </c>
    </row>
    <row r="490" spans="1:11" x14ac:dyDescent="0.25">
      <c r="A490" s="5" t="s">
        <v>823</v>
      </c>
      <c r="B490" s="6">
        <f t="shared" si="7"/>
        <v>248.03960000000009</v>
      </c>
      <c r="C490" s="7" t="s">
        <v>609</v>
      </c>
      <c r="D490" s="7" t="s">
        <v>608</v>
      </c>
      <c r="E490" s="7" t="s">
        <v>826</v>
      </c>
      <c r="F490" s="8">
        <v>248.27955000000009</v>
      </c>
      <c r="G490" s="7" t="s">
        <v>23</v>
      </c>
      <c r="H490" s="7" t="s">
        <v>20</v>
      </c>
      <c r="I490" s="6">
        <v>258.58</v>
      </c>
      <c r="J490" s="6">
        <v>248039.60000000009</v>
      </c>
      <c r="K490" s="6">
        <v>527.4600000000587</v>
      </c>
    </row>
    <row r="491" spans="1:11" x14ac:dyDescent="0.25">
      <c r="A491" s="5" t="s">
        <v>823</v>
      </c>
      <c r="B491" s="6">
        <f t="shared" si="7"/>
        <v>248.29818000000009</v>
      </c>
      <c r="C491" s="7" t="s">
        <v>608</v>
      </c>
      <c r="D491" s="7" t="s">
        <v>607</v>
      </c>
      <c r="E491" s="7" t="s">
        <v>826</v>
      </c>
      <c r="F491" s="8">
        <v>248.4322500000001</v>
      </c>
      <c r="G491" s="7" t="s">
        <v>20</v>
      </c>
      <c r="H491" s="7" t="s">
        <v>15</v>
      </c>
      <c r="I491" s="6">
        <v>156.88</v>
      </c>
      <c r="J491" s="6">
        <v>248298.18000000008</v>
      </c>
      <c r="K491" s="6">
        <v>268.88000000005871</v>
      </c>
    </row>
    <row r="492" spans="1:11" x14ac:dyDescent="0.25">
      <c r="A492" s="5" t="s">
        <v>823</v>
      </c>
      <c r="B492" s="6">
        <f t="shared" si="7"/>
        <v>248.45506000000009</v>
      </c>
      <c r="C492" s="7" t="s">
        <v>607</v>
      </c>
      <c r="D492" s="7" t="s">
        <v>824</v>
      </c>
      <c r="E492" s="7" t="s">
        <v>826</v>
      </c>
      <c r="F492" s="8">
        <v>248.53306000000009</v>
      </c>
      <c r="G492" s="7" t="s">
        <v>15</v>
      </c>
      <c r="H492" s="7" t="s">
        <v>14</v>
      </c>
      <c r="I492" s="6">
        <v>112</v>
      </c>
      <c r="J492" s="6">
        <v>248455.06000000008</v>
      </c>
      <c r="K492" s="6">
        <v>112.00000000005872</v>
      </c>
    </row>
    <row r="493" spans="1:11" x14ac:dyDescent="0.25">
      <c r="A493" s="5" t="s">
        <v>823</v>
      </c>
      <c r="B493" s="6">
        <f t="shared" si="7"/>
        <v>248.56706000000008</v>
      </c>
      <c r="C493" s="7" t="s">
        <v>836</v>
      </c>
      <c r="D493" s="7" t="s">
        <v>22</v>
      </c>
      <c r="E493" s="7" t="s">
        <v>826</v>
      </c>
      <c r="F493" s="8">
        <v>248.56706000000008</v>
      </c>
      <c r="G493" s="7" t="s">
        <v>14</v>
      </c>
      <c r="H493" s="7" t="s">
        <v>22</v>
      </c>
      <c r="I493" s="6"/>
      <c r="J493" s="6">
        <v>248567.06000000008</v>
      </c>
      <c r="K493" s="6">
        <v>5.8719251683214679E-11</v>
      </c>
    </row>
    <row r="495" spans="1:11" x14ac:dyDescent="0.25">
      <c r="I495" s="29">
        <f>SUM(I2:I492)/1000</f>
        <v>248.56706000000008</v>
      </c>
      <c r="J495" s="27">
        <v>490</v>
      </c>
    </row>
  </sheetData>
  <dataValidations count="3"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D00-000000000000}">
      <formula1>0</formula1>
      <formula2>30</formula2>
    </dataValidation>
    <dataValidation type="textLength" allowBlank="1" showInputMessage="1" showErrorMessage="1" sqref="A1:B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WVI983041:WVJ983041" xr:uid="{00000000-0002-0000-0D00-000001000000}">
      <formula1>0</formula1>
      <formula2>60</formula2>
    </dataValidation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D00-000002000000}">
      <formula1>0</formula1>
      <formula2>50</formula2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2E77-5901-49A3-AED5-51DE863D5ABA}">
  <dimension ref="A1:G271"/>
  <sheetViews>
    <sheetView workbookViewId="0">
      <selection activeCell="A2" sqref="A2"/>
    </sheetView>
  </sheetViews>
  <sheetFormatPr defaultRowHeight="15" x14ac:dyDescent="0.25"/>
  <cols>
    <col min="1" max="1" width="19.28515625" style="5" bestFit="1" customWidth="1"/>
    <col min="2" max="2" width="10" style="5" bestFit="1" customWidth="1"/>
    <col min="3" max="3" width="20.7109375" style="7" bestFit="1" customWidth="1"/>
    <col min="4" max="4" width="25.85546875" style="7" customWidth="1"/>
    <col min="5" max="5" width="7.140625" style="7" bestFit="1" customWidth="1"/>
    <col min="6" max="6" width="14.28515625" bestFit="1" customWidth="1"/>
    <col min="242" max="242" width="27.28515625" bestFit="1" customWidth="1"/>
    <col min="243" max="243" width="6.5703125" bestFit="1" customWidth="1"/>
    <col min="244" max="245" width="28.140625" bestFit="1" customWidth="1"/>
    <col min="246" max="246" width="6.5703125" bestFit="1" customWidth="1"/>
    <col min="247" max="248" width="28.140625" bestFit="1" customWidth="1"/>
    <col min="249" max="249" width="38.42578125" bestFit="1" customWidth="1"/>
    <col min="250" max="250" width="33.7109375" bestFit="1" customWidth="1"/>
    <col min="251" max="251" width="32" bestFit="1" customWidth="1"/>
    <col min="253" max="253" width="16.85546875" bestFit="1" customWidth="1"/>
    <col min="254" max="254" width="25.85546875" bestFit="1" customWidth="1"/>
    <col min="498" max="498" width="27.28515625" bestFit="1" customWidth="1"/>
    <col min="499" max="499" width="6.5703125" bestFit="1" customWidth="1"/>
    <col min="500" max="501" width="28.140625" bestFit="1" customWidth="1"/>
    <col min="502" max="502" width="6.5703125" bestFit="1" customWidth="1"/>
    <col min="503" max="504" width="28.140625" bestFit="1" customWidth="1"/>
    <col min="505" max="505" width="38.42578125" bestFit="1" customWidth="1"/>
    <col min="506" max="506" width="33.7109375" bestFit="1" customWidth="1"/>
    <col min="507" max="507" width="32" bestFit="1" customWidth="1"/>
    <col min="509" max="509" width="16.85546875" bestFit="1" customWidth="1"/>
    <col min="510" max="510" width="25.85546875" bestFit="1" customWidth="1"/>
    <col min="754" max="754" width="27.28515625" bestFit="1" customWidth="1"/>
    <col min="755" max="755" width="6.5703125" bestFit="1" customWidth="1"/>
    <col min="756" max="757" width="28.140625" bestFit="1" customWidth="1"/>
    <col min="758" max="758" width="6.5703125" bestFit="1" customWidth="1"/>
    <col min="759" max="760" width="28.140625" bestFit="1" customWidth="1"/>
    <col min="761" max="761" width="38.42578125" bestFit="1" customWidth="1"/>
    <col min="762" max="762" width="33.7109375" bestFit="1" customWidth="1"/>
    <col min="763" max="763" width="32" bestFit="1" customWidth="1"/>
    <col min="765" max="765" width="16.85546875" bestFit="1" customWidth="1"/>
    <col min="766" max="766" width="25.85546875" bestFit="1" customWidth="1"/>
    <col min="1010" max="1010" width="27.28515625" bestFit="1" customWidth="1"/>
    <col min="1011" max="1011" width="6.5703125" bestFit="1" customWidth="1"/>
    <col min="1012" max="1013" width="28.140625" bestFit="1" customWidth="1"/>
    <col min="1014" max="1014" width="6.5703125" bestFit="1" customWidth="1"/>
    <col min="1015" max="1016" width="28.140625" bestFit="1" customWidth="1"/>
    <col min="1017" max="1017" width="38.42578125" bestFit="1" customWidth="1"/>
    <col min="1018" max="1018" width="33.7109375" bestFit="1" customWidth="1"/>
    <col min="1019" max="1019" width="32" bestFit="1" customWidth="1"/>
    <col min="1021" max="1021" width="16.85546875" bestFit="1" customWidth="1"/>
    <col min="1022" max="1022" width="25.85546875" bestFit="1" customWidth="1"/>
    <col min="1266" max="1266" width="27.28515625" bestFit="1" customWidth="1"/>
    <col min="1267" max="1267" width="6.5703125" bestFit="1" customWidth="1"/>
    <col min="1268" max="1269" width="28.140625" bestFit="1" customWidth="1"/>
    <col min="1270" max="1270" width="6.5703125" bestFit="1" customWidth="1"/>
    <col min="1271" max="1272" width="28.140625" bestFit="1" customWidth="1"/>
    <col min="1273" max="1273" width="38.42578125" bestFit="1" customWidth="1"/>
    <col min="1274" max="1274" width="33.7109375" bestFit="1" customWidth="1"/>
    <col min="1275" max="1275" width="32" bestFit="1" customWidth="1"/>
    <col min="1277" max="1277" width="16.85546875" bestFit="1" customWidth="1"/>
    <col min="1278" max="1278" width="25.85546875" bestFit="1" customWidth="1"/>
    <col min="1522" max="1522" width="27.28515625" bestFit="1" customWidth="1"/>
    <col min="1523" max="1523" width="6.5703125" bestFit="1" customWidth="1"/>
    <col min="1524" max="1525" width="28.140625" bestFit="1" customWidth="1"/>
    <col min="1526" max="1526" width="6.5703125" bestFit="1" customWidth="1"/>
    <col min="1527" max="1528" width="28.140625" bestFit="1" customWidth="1"/>
    <col min="1529" max="1529" width="38.42578125" bestFit="1" customWidth="1"/>
    <col min="1530" max="1530" width="33.7109375" bestFit="1" customWidth="1"/>
    <col min="1531" max="1531" width="32" bestFit="1" customWidth="1"/>
    <col min="1533" max="1533" width="16.85546875" bestFit="1" customWidth="1"/>
    <col min="1534" max="1534" width="25.85546875" bestFit="1" customWidth="1"/>
    <col min="1778" max="1778" width="27.28515625" bestFit="1" customWidth="1"/>
    <col min="1779" max="1779" width="6.5703125" bestFit="1" customWidth="1"/>
    <col min="1780" max="1781" width="28.140625" bestFit="1" customWidth="1"/>
    <col min="1782" max="1782" width="6.5703125" bestFit="1" customWidth="1"/>
    <col min="1783" max="1784" width="28.140625" bestFit="1" customWidth="1"/>
    <col min="1785" max="1785" width="38.42578125" bestFit="1" customWidth="1"/>
    <col min="1786" max="1786" width="33.7109375" bestFit="1" customWidth="1"/>
    <col min="1787" max="1787" width="32" bestFit="1" customWidth="1"/>
    <col min="1789" max="1789" width="16.85546875" bestFit="1" customWidth="1"/>
    <col min="1790" max="1790" width="25.85546875" bestFit="1" customWidth="1"/>
    <col min="2034" max="2034" width="27.28515625" bestFit="1" customWidth="1"/>
    <col min="2035" max="2035" width="6.5703125" bestFit="1" customWidth="1"/>
    <col min="2036" max="2037" width="28.140625" bestFit="1" customWidth="1"/>
    <col min="2038" max="2038" width="6.5703125" bestFit="1" customWidth="1"/>
    <col min="2039" max="2040" width="28.140625" bestFit="1" customWidth="1"/>
    <col min="2041" max="2041" width="38.42578125" bestFit="1" customWidth="1"/>
    <col min="2042" max="2042" width="33.7109375" bestFit="1" customWidth="1"/>
    <col min="2043" max="2043" width="32" bestFit="1" customWidth="1"/>
    <col min="2045" max="2045" width="16.85546875" bestFit="1" customWidth="1"/>
    <col min="2046" max="2046" width="25.85546875" bestFit="1" customWidth="1"/>
    <col min="2290" max="2290" width="27.28515625" bestFit="1" customWidth="1"/>
    <col min="2291" max="2291" width="6.5703125" bestFit="1" customWidth="1"/>
    <col min="2292" max="2293" width="28.140625" bestFit="1" customWidth="1"/>
    <col min="2294" max="2294" width="6.5703125" bestFit="1" customWidth="1"/>
    <col min="2295" max="2296" width="28.140625" bestFit="1" customWidth="1"/>
    <col min="2297" max="2297" width="38.42578125" bestFit="1" customWidth="1"/>
    <col min="2298" max="2298" width="33.7109375" bestFit="1" customWidth="1"/>
    <col min="2299" max="2299" width="32" bestFit="1" customWidth="1"/>
    <col min="2301" max="2301" width="16.85546875" bestFit="1" customWidth="1"/>
    <col min="2302" max="2302" width="25.85546875" bestFit="1" customWidth="1"/>
    <col min="2546" max="2546" width="27.28515625" bestFit="1" customWidth="1"/>
    <col min="2547" max="2547" width="6.5703125" bestFit="1" customWidth="1"/>
    <col min="2548" max="2549" width="28.140625" bestFit="1" customWidth="1"/>
    <col min="2550" max="2550" width="6.5703125" bestFit="1" customWidth="1"/>
    <col min="2551" max="2552" width="28.140625" bestFit="1" customWidth="1"/>
    <col min="2553" max="2553" width="38.42578125" bestFit="1" customWidth="1"/>
    <col min="2554" max="2554" width="33.7109375" bestFit="1" customWidth="1"/>
    <col min="2555" max="2555" width="32" bestFit="1" customWidth="1"/>
    <col min="2557" max="2557" width="16.85546875" bestFit="1" customWidth="1"/>
    <col min="2558" max="2558" width="25.85546875" bestFit="1" customWidth="1"/>
    <col min="2802" max="2802" width="27.28515625" bestFit="1" customWidth="1"/>
    <col min="2803" max="2803" width="6.5703125" bestFit="1" customWidth="1"/>
    <col min="2804" max="2805" width="28.140625" bestFit="1" customWidth="1"/>
    <col min="2806" max="2806" width="6.5703125" bestFit="1" customWidth="1"/>
    <col min="2807" max="2808" width="28.140625" bestFit="1" customWidth="1"/>
    <col min="2809" max="2809" width="38.42578125" bestFit="1" customWidth="1"/>
    <col min="2810" max="2810" width="33.7109375" bestFit="1" customWidth="1"/>
    <col min="2811" max="2811" width="32" bestFit="1" customWidth="1"/>
    <col min="2813" max="2813" width="16.85546875" bestFit="1" customWidth="1"/>
    <col min="2814" max="2814" width="25.85546875" bestFit="1" customWidth="1"/>
    <col min="3058" max="3058" width="27.28515625" bestFit="1" customWidth="1"/>
    <col min="3059" max="3059" width="6.5703125" bestFit="1" customWidth="1"/>
    <col min="3060" max="3061" width="28.140625" bestFit="1" customWidth="1"/>
    <col min="3062" max="3062" width="6.5703125" bestFit="1" customWidth="1"/>
    <col min="3063" max="3064" width="28.140625" bestFit="1" customWidth="1"/>
    <col min="3065" max="3065" width="38.42578125" bestFit="1" customWidth="1"/>
    <col min="3066" max="3066" width="33.7109375" bestFit="1" customWidth="1"/>
    <col min="3067" max="3067" width="32" bestFit="1" customWidth="1"/>
    <col min="3069" max="3069" width="16.85546875" bestFit="1" customWidth="1"/>
    <col min="3070" max="3070" width="25.85546875" bestFit="1" customWidth="1"/>
    <col min="3314" max="3314" width="27.28515625" bestFit="1" customWidth="1"/>
    <col min="3315" max="3315" width="6.5703125" bestFit="1" customWidth="1"/>
    <col min="3316" max="3317" width="28.140625" bestFit="1" customWidth="1"/>
    <col min="3318" max="3318" width="6.5703125" bestFit="1" customWidth="1"/>
    <col min="3319" max="3320" width="28.140625" bestFit="1" customWidth="1"/>
    <col min="3321" max="3321" width="38.42578125" bestFit="1" customWidth="1"/>
    <col min="3322" max="3322" width="33.7109375" bestFit="1" customWidth="1"/>
    <col min="3323" max="3323" width="32" bestFit="1" customWidth="1"/>
    <col min="3325" max="3325" width="16.85546875" bestFit="1" customWidth="1"/>
    <col min="3326" max="3326" width="25.85546875" bestFit="1" customWidth="1"/>
    <col min="3570" max="3570" width="27.28515625" bestFit="1" customWidth="1"/>
    <col min="3571" max="3571" width="6.5703125" bestFit="1" customWidth="1"/>
    <col min="3572" max="3573" width="28.140625" bestFit="1" customWidth="1"/>
    <col min="3574" max="3574" width="6.5703125" bestFit="1" customWidth="1"/>
    <col min="3575" max="3576" width="28.140625" bestFit="1" customWidth="1"/>
    <col min="3577" max="3577" width="38.42578125" bestFit="1" customWidth="1"/>
    <col min="3578" max="3578" width="33.7109375" bestFit="1" customWidth="1"/>
    <col min="3579" max="3579" width="32" bestFit="1" customWidth="1"/>
    <col min="3581" max="3581" width="16.85546875" bestFit="1" customWidth="1"/>
    <col min="3582" max="3582" width="25.85546875" bestFit="1" customWidth="1"/>
    <col min="3826" max="3826" width="27.28515625" bestFit="1" customWidth="1"/>
    <col min="3827" max="3827" width="6.5703125" bestFit="1" customWidth="1"/>
    <col min="3828" max="3829" width="28.140625" bestFit="1" customWidth="1"/>
    <col min="3830" max="3830" width="6.5703125" bestFit="1" customWidth="1"/>
    <col min="3831" max="3832" width="28.140625" bestFit="1" customWidth="1"/>
    <col min="3833" max="3833" width="38.42578125" bestFit="1" customWidth="1"/>
    <col min="3834" max="3834" width="33.7109375" bestFit="1" customWidth="1"/>
    <col min="3835" max="3835" width="32" bestFit="1" customWidth="1"/>
    <col min="3837" max="3837" width="16.85546875" bestFit="1" customWidth="1"/>
    <col min="3838" max="3838" width="25.85546875" bestFit="1" customWidth="1"/>
    <col min="4082" max="4082" width="27.28515625" bestFit="1" customWidth="1"/>
    <col min="4083" max="4083" width="6.5703125" bestFit="1" customWidth="1"/>
    <col min="4084" max="4085" width="28.140625" bestFit="1" customWidth="1"/>
    <col min="4086" max="4086" width="6.5703125" bestFit="1" customWidth="1"/>
    <col min="4087" max="4088" width="28.140625" bestFit="1" customWidth="1"/>
    <col min="4089" max="4089" width="38.42578125" bestFit="1" customWidth="1"/>
    <col min="4090" max="4090" width="33.7109375" bestFit="1" customWidth="1"/>
    <col min="4091" max="4091" width="32" bestFit="1" customWidth="1"/>
    <col min="4093" max="4093" width="16.85546875" bestFit="1" customWidth="1"/>
    <col min="4094" max="4094" width="25.85546875" bestFit="1" customWidth="1"/>
    <col min="4338" max="4338" width="27.28515625" bestFit="1" customWidth="1"/>
    <col min="4339" max="4339" width="6.5703125" bestFit="1" customWidth="1"/>
    <col min="4340" max="4341" width="28.140625" bestFit="1" customWidth="1"/>
    <col min="4342" max="4342" width="6.5703125" bestFit="1" customWidth="1"/>
    <col min="4343" max="4344" width="28.140625" bestFit="1" customWidth="1"/>
    <col min="4345" max="4345" width="38.42578125" bestFit="1" customWidth="1"/>
    <col min="4346" max="4346" width="33.7109375" bestFit="1" customWidth="1"/>
    <col min="4347" max="4347" width="32" bestFit="1" customWidth="1"/>
    <col min="4349" max="4349" width="16.85546875" bestFit="1" customWidth="1"/>
    <col min="4350" max="4350" width="25.85546875" bestFit="1" customWidth="1"/>
    <col min="4594" max="4594" width="27.28515625" bestFit="1" customWidth="1"/>
    <col min="4595" max="4595" width="6.5703125" bestFit="1" customWidth="1"/>
    <col min="4596" max="4597" width="28.140625" bestFit="1" customWidth="1"/>
    <col min="4598" max="4598" width="6.5703125" bestFit="1" customWidth="1"/>
    <col min="4599" max="4600" width="28.140625" bestFit="1" customWidth="1"/>
    <col min="4601" max="4601" width="38.42578125" bestFit="1" customWidth="1"/>
    <col min="4602" max="4602" width="33.7109375" bestFit="1" customWidth="1"/>
    <col min="4603" max="4603" width="32" bestFit="1" customWidth="1"/>
    <col min="4605" max="4605" width="16.85546875" bestFit="1" customWidth="1"/>
    <col min="4606" max="4606" width="25.85546875" bestFit="1" customWidth="1"/>
    <col min="4850" max="4850" width="27.28515625" bestFit="1" customWidth="1"/>
    <col min="4851" max="4851" width="6.5703125" bestFit="1" customWidth="1"/>
    <col min="4852" max="4853" width="28.140625" bestFit="1" customWidth="1"/>
    <col min="4854" max="4854" width="6.5703125" bestFit="1" customWidth="1"/>
    <col min="4855" max="4856" width="28.140625" bestFit="1" customWidth="1"/>
    <col min="4857" max="4857" width="38.42578125" bestFit="1" customWidth="1"/>
    <col min="4858" max="4858" width="33.7109375" bestFit="1" customWidth="1"/>
    <col min="4859" max="4859" width="32" bestFit="1" customWidth="1"/>
    <col min="4861" max="4861" width="16.85546875" bestFit="1" customWidth="1"/>
    <col min="4862" max="4862" width="25.85546875" bestFit="1" customWidth="1"/>
    <col min="5106" max="5106" width="27.28515625" bestFit="1" customWidth="1"/>
    <col min="5107" max="5107" width="6.5703125" bestFit="1" customWidth="1"/>
    <col min="5108" max="5109" width="28.140625" bestFit="1" customWidth="1"/>
    <col min="5110" max="5110" width="6.5703125" bestFit="1" customWidth="1"/>
    <col min="5111" max="5112" width="28.140625" bestFit="1" customWidth="1"/>
    <col min="5113" max="5113" width="38.42578125" bestFit="1" customWidth="1"/>
    <col min="5114" max="5114" width="33.7109375" bestFit="1" customWidth="1"/>
    <col min="5115" max="5115" width="32" bestFit="1" customWidth="1"/>
    <col min="5117" max="5117" width="16.85546875" bestFit="1" customWidth="1"/>
    <col min="5118" max="5118" width="25.85546875" bestFit="1" customWidth="1"/>
    <col min="5362" max="5362" width="27.28515625" bestFit="1" customWidth="1"/>
    <col min="5363" max="5363" width="6.5703125" bestFit="1" customWidth="1"/>
    <col min="5364" max="5365" width="28.140625" bestFit="1" customWidth="1"/>
    <col min="5366" max="5366" width="6.5703125" bestFit="1" customWidth="1"/>
    <col min="5367" max="5368" width="28.140625" bestFit="1" customWidth="1"/>
    <col min="5369" max="5369" width="38.42578125" bestFit="1" customWidth="1"/>
    <col min="5370" max="5370" width="33.7109375" bestFit="1" customWidth="1"/>
    <col min="5371" max="5371" width="32" bestFit="1" customWidth="1"/>
    <col min="5373" max="5373" width="16.85546875" bestFit="1" customWidth="1"/>
    <col min="5374" max="5374" width="25.85546875" bestFit="1" customWidth="1"/>
    <col min="5618" max="5618" width="27.28515625" bestFit="1" customWidth="1"/>
    <col min="5619" max="5619" width="6.5703125" bestFit="1" customWidth="1"/>
    <col min="5620" max="5621" width="28.140625" bestFit="1" customWidth="1"/>
    <col min="5622" max="5622" width="6.5703125" bestFit="1" customWidth="1"/>
    <col min="5623" max="5624" width="28.140625" bestFit="1" customWidth="1"/>
    <col min="5625" max="5625" width="38.42578125" bestFit="1" customWidth="1"/>
    <col min="5626" max="5626" width="33.7109375" bestFit="1" customWidth="1"/>
    <col min="5627" max="5627" width="32" bestFit="1" customWidth="1"/>
    <col min="5629" max="5629" width="16.85546875" bestFit="1" customWidth="1"/>
    <col min="5630" max="5630" width="25.85546875" bestFit="1" customWidth="1"/>
    <col min="5874" max="5874" width="27.28515625" bestFit="1" customWidth="1"/>
    <col min="5875" max="5875" width="6.5703125" bestFit="1" customWidth="1"/>
    <col min="5876" max="5877" width="28.140625" bestFit="1" customWidth="1"/>
    <col min="5878" max="5878" width="6.5703125" bestFit="1" customWidth="1"/>
    <col min="5879" max="5880" width="28.140625" bestFit="1" customWidth="1"/>
    <col min="5881" max="5881" width="38.42578125" bestFit="1" customWidth="1"/>
    <col min="5882" max="5882" width="33.7109375" bestFit="1" customWidth="1"/>
    <col min="5883" max="5883" width="32" bestFit="1" customWidth="1"/>
    <col min="5885" max="5885" width="16.85546875" bestFit="1" customWidth="1"/>
    <col min="5886" max="5886" width="25.85546875" bestFit="1" customWidth="1"/>
    <col min="6130" max="6130" width="27.28515625" bestFit="1" customWidth="1"/>
    <col min="6131" max="6131" width="6.5703125" bestFit="1" customWidth="1"/>
    <col min="6132" max="6133" width="28.140625" bestFit="1" customWidth="1"/>
    <col min="6134" max="6134" width="6.5703125" bestFit="1" customWidth="1"/>
    <col min="6135" max="6136" width="28.140625" bestFit="1" customWidth="1"/>
    <col min="6137" max="6137" width="38.42578125" bestFit="1" customWidth="1"/>
    <col min="6138" max="6138" width="33.7109375" bestFit="1" customWidth="1"/>
    <col min="6139" max="6139" width="32" bestFit="1" customWidth="1"/>
    <col min="6141" max="6141" width="16.85546875" bestFit="1" customWidth="1"/>
    <col min="6142" max="6142" width="25.85546875" bestFit="1" customWidth="1"/>
    <col min="6386" max="6386" width="27.28515625" bestFit="1" customWidth="1"/>
    <col min="6387" max="6387" width="6.5703125" bestFit="1" customWidth="1"/>
    <col min="6388" max="6389" width="28.140625" bestFit="1" customWidth="1"/>
    <col min="6390" max="6390" width="6.5703125" bestFit="1" customWidth="1"/>
    <col min="6391" max="6392" width="28.140625" bestFit="1" customWidth="1"/>
    <col min="6393" max="6393" width="38.42578125" bestFit="1" customWidth="1"/>
    <col min="6394" max="6394" width="33.7109375" bestFit="1" customWidth="1"/>
    <col min="6395" max="6395" width="32" bestFit="1" customWidth="1"/>
    <col min="6397" max="6397" width="16.85546875" bestFit="1" customWidth="1"/>
    <col min="6398" max="6398" width="25.85546875" bestFit="1" customWidth="1"/>
    <col min="6642" max="6642" width="27.28515625" bestFit="1" customWidth="1"/>
    <col min="6643" max="6643" width="6.5703125" bestFit="1" customWidth="1"/>
    <col min="6644" max="6645" width="28.140625" bestFit="1" customWidth="1"/>
    <col min="6646" max="6646" width="6.5703125" bestFit="1" customWidth="1"/>
    <col min="6647" max="6648" width="28.140625" bestFit="1" customWidth="1"/>
    <col min="6649" max="6649" width="38.42578125" bestFit="1" customWidth="1"/>
    <col min="6650" max="6650" width="33.7109375" bestFit="1" customWidth="1"/>
    <col min="6651" max="6651" width="32" bestFit="1" customWidth="1"/>
    <col min="6653" max="6653" width="16.85546875" bestFit="1" customWidth="1"/>
    <col min="6654" max="6654" width="25.85546875" bestFit="1" customWidth="1"/>
    <col min="6898" max="6898" width="27.28515625" bestFit="1" customWidth="1"/>
    <col min="6899" max="6899" width="6.5703125" bestFit="1" customWidth="1"/>
    <col min="6900" max="6901" width="28.140625" bestFit="1" customWidth="1"/>
    <col min="6902" max="6902" width="6.5703125" bestFit="1" customWidth="1"/>
    <col min="6903" max="6904" width="28.140625" bestFit="1" customWidth="1"/>
    <col min="6905" max="6905" width="38.42578125" bestFit="1" customWidth="1"/>
    <col min="6906" max="6906" width="33.7109375" bestFit="1" customWidth="1"/>
    <col min="6907" max="6907" width="32" bestFit="1" customWidth="1"/>
    <col min="6909" max="6909" width="16.85546875" bestFit="1" customWidth="1"/>
    <col min="6910" max="6910" width="25.85546875" bestFit="1" customWidth="1"/>
    <col min="7154" max="7154" width="27.28515625" bestFit="1" customWidth="1"/>
    <col min="7155" max="7155" width="6.5703125" bestFit="1" customWidth="1"/>
    <col min="7156" max="7157" width="28.140625" bestFit="1" customWidth="1"/>
    <col min="7158" max="7158" width="6.5703125" bestFit="1" customWidth="1"/>
    <col min="7159" max="7160" width="28.140625" bestFit="1" customWidth="1"/>
    <col min="7161" max="7161" width="38.42578125" bestFit="1" customWidth="1"/>
    <col min="7162" max="7162" width="33.7109375" bestFit="1" customWidth="1"/>
    <col min="7163" max="7163" width="32" bestFit="1" customWidth="1"/>
    <col min="7165" max="7165" width="16.85546875" bestFit="1" customWidth="1"/>
    <col min="7166" max="7166" width="25.85546875" bestFit="1" customWidth="1"/>
    <col min="7410" max="7410" width="27.28515625" bestFit="1" customWidth="1"/>
    <col min="7411" max="7411" width="6.5703125" bestFit="1" customWidth="1"/>
    <col min="7412" max="7413" width="28.140625" bestFit="1" customWidth="1"/>
    <col min="7414" max="7414" width="6.5703125" bestFit="1" customWidth="1"/>
    <col min="7415" max="7416" width="28.140625" bestFit="1" customWidth="1"/>
    <col min="7417" max="7417" width="38.42578125" bestFit="1" customWidth="1"/>
    <col min="7418" max="7418" width="33.7109375" bestFit="1" customWidth="1"/>
    <col min="7419" max="7419" width="32" bestFit="1" customWidth="1"/>
    <col min="7421" max="7421" width="16.85546875" bestFit="1" customWidth="1"/>
    <col min="7422" max="7422" width="25.85546875" bestFit="1" customWidth="1"/>
    <col min="7666" max="7666" width="27.28515625" bestFit="1" customWidth="1"/>
    <col min="7667" max="7667" width="6.5703125" bestFit="1" customWidth="1"/>
    <col min="7668" max="7669" width="28.140625" bestFit="1" customWidth="1"/>
    <col min="7670" max="7670" width="6.5703125" bestFit="1" customWidth="1"/>
    <col min="7671" max="7672" width="28.140625" bestFit="1" customWidth="1"/>
    <col min="7673" max="7673" width="38.42578125" bestFit="1" customWidth="1"/>
    <col min="7674" max="7674" width="33.7109375" bestFit="1" customWidth="1"/>
    <col min="7675" max="7675" width="32" bestFit="1" customWidth="1"/>
    <col min="7677" max="7677" width="16.85546875" bestFit="1" customWidth="1"/>
    <col min="7678" max="7678" width="25.85546875" bestFit="1" customWidth="1"/>
    <col min="7922" max="7922" width="27.28515625" bestFit="1" customWidth="1"/>
    <col min="7923" max="7923" width="6.5703125" bestFit="1" customWidth="1"/>
    <col min="7924" max="7925" width="28.140625" bestFit="1" customWidth="1"/>
    <col min="7926" max="7926" width="6.5703125" bestFit="1" customWidth="1"/>
    <col min="7927" max="7928" width="28.140625" bestFit="1" customWidth="1"/>
    <col min="7929" max="7929" width="38.42578125" bestFit="1" customWidth="1"/>
    <col min="7930" max="7930" width="33.7109375" bestFit="1" customWidth="1"/>
    <col min="7931" max="7931" width="32" bestFit="1" customWidth="1"/>
    <col min="7933" max="7933" width="16.85546875" bestFit="1" customWidth="1"/>
    <col min="7934" max="7934" width="25.85546875" bestFit="1" customWidth="1"/>
    <col min="8178" max="8178" width="27.28515625" bestFit="1" customWidth="1"/>
    <col min="8179" max="8179" width="6.5703125" bestFit="1" customWidth="1"/>
    <col min="8180" max="8181" width="28.140625" bestFit="1" customWidth="1"/>
    <col min="8182" max="8182" width="6.5703125" bestFit="1" customWidth="1"/>
    <col min="8183" max="8184" width="28.140625" bestFit="1" customWidth="1"/>
    <col min="8185" max="8185" width="38.42578125" bestFit="1" customWidth="1"/>
    <col min="8186" max="8186" width="33.7109375" bestFit="1" customWidth="1"/>
    <col min="8187" max="8187" width="32" bestFit="1" customWidth="1"/>
    <col min="8189" max="8189" width="16.85546875" bestFit="1" customWidth="1"/>
    <col min="8190" max="8190" width="25.85546875" bestFit="1" customWidth="1"/>
    <col min="8434" max="8434" width="27.28515625" bestFit="1" customWidth="1"/>
    <col min="8435" max="8435" width="6.5703125" bestFit="1" customWidth="1"/>
    <col min="8436" max="8437" width="28.140625" bestFit="1" customWidth="1"/>
    <col min="8438" max="8438" width="6.5703125" bestFit="1" customWidth="1"/>
    <col min="8439" max="8440" width="28.140625" bestFit="1" customWidth="1"/>
    <col min="8441" max="8441" width="38.42578125" bestFit="1" customWidth="1"/>
    <col min="8442" max="8442" width="33.7109375" bestFit="1" customWidth="1"/>
    <col min="8443" max="8443" width="32" bestFit="1" customWidth="1"/>
    <col min="8445" max="8445" width="16.85546875" bestFit="1" customWidth="1"/>
    <col min="8446" max="8446" width="25.85546875" bestFit="1" customWidth="1"/>
    <col min="8690" max="8690" width="27.28515625" bestFit="1" customWidth="1"/>
    <col min="8691" max="8691" width="6.5703125" bestFit="1" customWidth="1"/>
    <col min="8692" max="8693" width="28.140625" bestFit="1" customWidth="1"/>
    <col min="8694" max="8694" width="6.5703125" bestFit="1" customWidth="1"/>
    <col min="8695" max="8696" width="28.140625" bestFit="1" customWidth="1"/>
    <col min="8697" max="8697" width="38.42578125" bestFit="1" customWidth="1"/>
    <col min="8698" max="8698" width="33.7109375" bestFit="1" customWidth="1"/>
    <col min="8699" max="8699" width="32" bestFit="1" customWidth="1"/>
    <col min="8701" max="8701" width="16.85546875" bestFit="1" customWidth="1"/>
    <col min="8702" max="8702" width="25.85546875" bestFit="1" customWidth="1"/>
    <col min="8946" max="8946" width="27.28515625" bestFit="1" customWidth="1"/>
    <col min="8947" max="8947" width="6.5703125" bestFit="1" customWidth="1"/>
    <col min="8948" max="8949" width="28.140625" bestFit="1" customWidth="1"/>
    <col min="8950" max="8950" width="6.5703125" bestFit="1" customWidth="1"/>
    <col min="8951" max="8952" width="28.140625" bestFit="1" customWidth="1"/>
    <col min="8953" max="8953" width="38.42578125" bestFit="1" customWidth="1"/>
    <col min="8954" max="8954" width="33.7109375" bestFit="1" customWidth="1"/>
    <col min="8955" max="8955" width="32" bestFit="1" customWidth="1"/>
    <col min="8957" max="8957" width="16.85546875" bestFit="1" customWidth="1"/>
    <col min="8958" max="8958" width="25.85546875" bestFit="1" customWidth="1"/>
    <col min="9202" max="9202" width="27.28515625" bestFit="1" customWidth="1"/>
    <col min="9203" max="9203" width="6.5703125" bestFit="1" customWidth="1"/>
    <col min="9204" max="9205" width="28.140625" bestFit="1" customWidth="1"/>
    <col min="9206" max="9206" width="6.5703125" bestFit="1" customWidth="1"/>
    <col min="9207" max="9208" width="28.140625" bestFit="1" customWidth="1"/>
    <col min="9209" max="9209" width="38.42578125" bestFit="1" customWidth="1"/>
    <col min="9210" max="9210" width="33.7109375" bestFit="1" customWidth="1"/>
    <col min="9211" max="9211" width="32" bestFit="1" customWidth="1"/>
    <col min="9213" max="9213" width="16.85546875" bestFit="1" customWidth="1"/>
    <col min="9214" max="9214" width="25.85546875" bestFit="1" customWidth="1"/>
    <col min="9458" max="9458" width="27.28515625" bestFit="1" customWidth="1"/>
    <col min="9459" max="9459" width="6.5703125" bestFit="1" customWidth="1"/>
    <col min="9460" max="9461" width="28.140625" bestFit="1" customWidth="1"/>
    <col min="9462" max="9462" width="6.5703125" bestFit="1" customWidth="1"/>
    <col min="9463" max="9464" width="28.140625" bestFit="1" customWidth="1"/>
    <col min="9465" max="9465" width="38.42578125" bestFit="1" customWidth="1"/>
    <col min="9466" max="9466" width="33.7109375" bestFit="1" customWidth="1"/>
    <col min="9467" max="9467" width="32" bestFit="1" customWidth="1"/>
    <col min="9469" max="9469" width="16.85546875" bestFit="1" customWidth="1"/>
    <col min="9470" max="9470" width="25.85546875" bestFit="1" customWidth="1"/>
    <col min="9714" max="9714" width="27.28515625" bestFit="1" customWidth="1"/>
    <col min="9715" max="9715" width="6.5703125" bestFit="1" customWidth="1"/>
    <col min="9716" max="9717" width="28.140625" bestFit="1" customWidth="1"/>
    <col min="9718" max="9718" width="6.5703125" bestFit="1" customWidth="1"/>
    <col min="9719" max="9720" width="28.140625" bestFit="1" customWidth="1"/>
    <col min="9721" max="9721" width="38.42578125" bestFit="1" customWidth="1"/>
    <col min="9722" max="9722" width="33.7109375" bestFit="1" customWidth="1"/>
    <col min="9723" max="9723" width="32" bestFit="1" customWidth="1"/>
    <col min="9725" max="9725" width="16.85546875" bestFit="1" customWidth="1"/>
    <col min="9726" max="9726" width="25.85546875" bestFit="1" customWidth="1"/>
    <col min="9970" max="9970" width="27.28515625" bestFit="1" customWidth="1"/>
    <col min="9971" max="9971" width="6.5703125" bestFit="1" customWidth="1"/>
    <col min="9972" max="9973" width="28.140625" bestFit="1" customWidth="1"/>
    <col min="9974" max="9974" width="6.5703125" bestFit="1" customWidth="1"/>
    <col min="9975" max="9976" width="28.140625" bestFit="1" customWidth="1"/>
    <col min="9977" max="9977" width="38.42578125" bestFit="1" customWidth="1"/>
    <col min="9978" max="9978" width="33.7109375" bestFit="1" customWidth="1"/>
    <col min="9979" max="9979" width="32" bestFit="1" customWidth="1"/>
    <col min="9981" max="9981" width="16.85546875" bestFit="1" customWidth="1"/>
    <col min="9982" max="9982" width="25.85546875" bestFit="1" customWidth="1"/>
    <col min="10226" max="10226" width="27.28515625" bestFit="1" customWidth="1"/>
    <col min="10227" max="10227" width="6.5703125" bestFit="1" customWidth="1"/>
    <col min="10228" max="10229" width="28.140625" bestFit="1" customWidth="1"/>
    <col min="10230" max="10230" width="6.5703125" bestFit="1" customWidth="1"/>
    <col min="10231" max="10232" width="28.140625" bestFit="1" customWidth="1"/>
    <col min="10233" max="10233" width="38.42578125" bestFit="1" customWidth="1"/>
    <col min="10234" max="10234" width="33.7109375" bestFit="1" customWidth="1"/>
    <col min="10235" max="10235" width="32" bestFit="1" customWidth="1"/>
    <col min="10237" max="10237" width="16.85546875" bestFit="1" customWidth="1"/>
    <col min="10238" max="10238" width="25.85546875" bestFit="1" customWidth="1"/>
    <col min="10482" max="10482" width="27.28515625" bestFit="1" customWidth="1"/>
    <col min="10483" max="10483" width="6.5703125" bestFit="1" customWidth="1"/>
    <col min="10484" max="10485" width="28.140625" bestFit="1" customWidth="1"/>
    <col min="10486" max="10486" width="6.5703125" bestFit="1" customWidth="1"/>
    <col min="10487" max="10488" width="28.140625" bestFit="1" customWidth="1"/>
    <col min="10489" max="10489" width="38.42578125" bestFit="1" customWidth="1"/>
    <col min="10490" max="10490" width="33.7109375" bestFit="1" customWidth="1"/>
    <col min="10491" max="10491" width="32" bestFit="1" customWidth="1"/>
    <col min="10493" max="10493" width="16.85546875" bestFit="1" customWidth="1"/>
    <col min="10494" max="10494" width="25.85546875" bestFit="1" customWidth="1"/>
    <col min="10738" max="10738" width="27.28515625" bestFit="1" customWidth="1"/>
    <col min="10739" max="10739" width="6.5703125" bestFit="1" customWidth="1"/>
    <col min="10740" max="10741" width="28.140625" bestFit="1" customWidth="1"/>
    <col min="10742" max="10742" width="6.5703125" bestFit="1" customWidth="1"/>
    <col min="10743" max="10744" width="28.140625" bestFit="1" customWidth="1"/>
    <col min="10745" max="10745" width="38.42578125" bestFit="1" customWidth="1"/>
    <col min="10746" max="10746" width="33.7109375" bestFit="1" customWidth="1"/>
    <col min="10747" max="10747" width="32" bestFit="1" customWidth="1"/>
    <col min="10749" max="10749" width="16.85546875" bestFit="1" customWidth="1"/>
    <col min="10750" max="10750" width="25.85546875" bestFit="1" customWidth="1"/>
    <col min="10994" max="10994" width="27.28515625" bestFit="1" customWidth="1"/>
    <col min="10995" max="10995" width="6.5703125" bestFit="1" customWidth="1"/>
    <col min="10996" max="10997" width="28.140625" bestFit="1" customWidth="1"/>
    <col min="10998" max="10998" width="6.5703125" bestFit="1" customWidth="1"/>
    <col min="10999" max="11000" width="28.140625" bestFit="1" customWidth="1"/>
    <col min="11001" max="11001" width="38.42578125" bestFit="1" customWidth="1"/>
    <col min="11002" max="11002" width="33.7109375" bestFit="1" customWidth="1"/>
    <col min="11003" max="11003" width="32" bestFit="1" customWidth="1"/>
    <col min="11005" max="11005" width="16.85546875" bestFit="1" customWidth="1"/>
    <col min="11006" max="11006" width="25.85546875" bestFit="1" customWidth="1"/>
    <col min="11250" max="11250" width="27.28515625" bestFit="1" customWidth="1"/>
    <col min="11251" max="11251" width="6.5703125" bestFit="1" customWidth="1"/>
    <col min="11252" max="11253" width="28.140625" bestFit="1" customWidth="1"/>
    <col min="11254" max="11254" width="6.5703125" bestFit="1" customWidth="1"/>
    <col min="11255" max="11256" width="28.140625" bestFit="1" customWidth="1"/>
    <col min="11257" max="11257" width="38.42578125" bestFit="1" customWidth="1"/>
    <col min="11258" max="11258" width="33.7109375" bestFit="1" customWidth="1"/>
    <col min="11259" max="11259" width="32" bestFit="1" customWidth="1"/>
    <col min="11261" max="11261" width="16.85546875" bestFit="1" customWidth="1"/>
    <col min="11262" max="11262" width="25.85546875" bestFit="1" customWidth="1"/>
    <col min="11506" max="11506" width="27.28515625" bestFit="1" customWidth="1"/>
    <col min="11507" max="11507" width="6.5703125" bestFit="1" customWidth="1"/>
    <col min="11508" max="11509" width="28.140625" bestFit="1" customWidth="1"/>
    <col min="11510" max="11510" width="6.5703125" bestFit="1" customWidth="1"/>
    <col min="11511" max="11512" width="28.140625" bestFit="1" customWidth="1"/>
    <col min="11513" max="11513" width="38.42578125" bestFit="1" customWidth="1"/>
    <col min="11514" max="11514" width="33.7109375" bestFit="1" customWidth="1"/>
    <col min="11515" max="11515" width="32" bestFit="1" customWidth="1"/>
    <col min="11517" max="11517" width="16.85546875" bestFit="1" customWidth="1"/>
    <col min="11518" max="11518" width="25.85546875" bestFit="1" customWidth="1"/>
    <col min="11762" max="11762" width="27.28515625" bestFit="1" customWidth="1"/>
    <col min="11763" max="11763" width="6.5703125" bestFit="1" customWidth="1"/>
    <col min="11764" max="11765" width="28.140625" bestFit="1" customWidth="1"/>
    <col min="11766" max="11766" width="6.5703125" bestFit="1" customWidth="1"/>
    <col min="11767" max="11768" width="28.140625" bestFit="1" customWidth="1"/>
    <col min="11769" max="11769" width="38.42578125" bestFit="1" customWidth="1"/>
    <col min="11770" max="11770" width="33.7109375" bestFit="1" customWidth="1"/>
    <col min="11771" max="11771" width="32" bestFit="1" customWidth="1"/>
    <col min="11773" max="11773" width="16.85546875" bestFit="1" customWidth="1"/>
    <col min="11774" max="11774" width="25.85546875" bestFit="1" customWidth="1"/>
    <col min="12018" max="12018" width="27.28515625" bestFit="1" customWidth="1"/>
    <col min="12019" max="12019" width="6.5703125" bestFit="1" customWidth="1"/>
    <col min="12020" max="12021" width="28.140625" bestFit="1" customWidth="1"/>
    <col min="12022" max="12022" width="6.5703125" bestFit="1" customWidth="1"/>
    <col min="12023" max="12024" width="28.140625" bestFit="1" customWidth="1"/>
    <col min="12025" max="12025" width="38.42578125" bestFit="1" customWidth="1"/>
    <col min="12026" max="12026" width="33.7109375" bestFit="1" customWidth="1"/>
    <col min="12027" max="12027" width="32" bestFit="1" customWidth="1"/>
    <col min="12029" max="12029" width="16.85546875" bestFit="1" customWidth="1"/>
    <col min="12030" max="12030" width="25.85546875" bestFit="1" customWidth="1"/>
    <col min="12274" max="12274" width="27.28515625" bestFit="1" customWidth="1"/>
    <col min="12275" max="12275" width="6.5703125" bestFit="1" customWidth="1"/>
    <col min="12276" max="12277" width="28.140625" bestFit="1" customWidth="1"/>
    <col min="12278" max="12278" width="6.5703125" bestFit="1" customWidth="1"/>
    <col min="12279" max="12280" width="28.140625" bestFit="1" customWidth="1"/>
    <col min="12281" max="12281" width="38.42578125" bestFit="1" customWidth="1"/>
    <col min="12282" max="12282" width="33.7109375" bestFit="1" customWidth="1"/>
    <col min="12283" max="12283" width="32" bestFit="1" customWidth="1"/>
    <col min="12285" max="12285" width="16.85546875" bestFit="1" customWidth="1"/>
    <col min="12286" max="12286" width="25.85546875" bestFit="1" customWidth="1"/>
    <col min="12530" max="12530" width="27.28515625" bestFit="1" customWidth="1"/>
    <col min="12531" max="12531" width="6.5703125" bestFit="1" customWidth="1"/>
    <col min="12532" max="12533" width="28.140625" bestFit="1" customWidth="1"/>
    <col min="12534" max="12534" width="6.5703125" bestFit="1" customWidth="1"/>
    <col min="12535" max="12536" width="28.140625" bestFit="1" customWidth="1"/>
    <col min="12537" max="12537" width="38.42578125" bestFit="1" customWidth="1"/>
    <col min="12538" max="12538" width="33.7109375" bestFit="1" customWidth="1"/>
    <col min="12539" max="12539" width="32" bestFit="1" customWidth="1"/>
    <col min="12541" max="12541" width="16.85546875" bestFit="1" customWidth="1"/>
    <col min="12542" max="12542" width="25.85546875" bestFit="1" customWidth="1"/>
    <col min="12786" max="12786" width="27.28515625" bestFit="1" customWidth="1"/>
    <col min="12787" max="12787" width="6.5703125" bestFit="1" customWidth="1"/>
    <col min="12788" max="12789" width="28.140625" bestFit="1" customWidth="1"/>
    <col min="12790" max="12790" width="6.5703125" bestFit="1" customWidth="1"/>
    <col min="12791" max="12792" width="28.140625" bestFit="1" customWidth="1"/>
    <col min="12793" max="12793" width="38.42578125" bestFit="1" customWidth="1"/>
    <col min="12794" max="12794" width="33.7109375" bestFit="1" customWidth="1"/>
    <col min="12795" max="12795" width="32" bestFit="1" customWidth="1"/>
    <col min="12797" max="12797" width="16.85546875" bestFit="1" customWidth="1"/>
    <col min="12798" max="12798" width="25.85546875" bestFit="1" customWidth="1"/>
    <col min="13042" max="13042" width="27.28515625" bestFit="1" customWidth="1"/>
    <col min="13043" max="13043" width="6.5703125" bestFit="1" customWidth="1"/>
    <col min="13044" max="13045" width="28.140625" bestFit="1" customWidth="1"/>
    <col min="13046" max="13046" width="6.5703125" bestFit="1" customWidth="1"/>
    <col min="13047" max="13048" width="28.140625" bestFit="1" customWidth="1"/>
    <col min="13049" max="13049" width="38.42578125" bestFit="1" customWidth="1"/>
    <col min="13050" max="13050" width="33.7109375" bestFit="1" customWidth="1"/>
    <col min="13051" max="13051" width="32" bestFit="1" customWidth="1"/>
    <col min="13053" max="13053" width="16.85546875" bestFit="1" customWidth="1"/>
    <col min="13054" max="13054" width="25.85546875" bestFit="1" customWidth="1"/>
    <col min="13298" max="13298" width="27.28515625" bestFit="1" customWidth="1"/>
    <col min="13299" max="13299" width="6.5703125" bestFit="1" customWidth="1"/>
    <col min="13300" max="13301" width="28.140625" bestFit="1" customWidth="1"/>
    <col min="13302" max="13302" width="6.5703125" bestFit="1" customWidth="1"/>
    <col min="13303" max="13304" width="28.140625" bestFit="1" customWidth="1"/>
    <col min="13305" max="13305" width="38.42578125" bestFit="1" customWidth="1"/>
    <col min="13306" max="13306" width="33.7109375" bestFit="1" customWidth="1"/>
    <col min="13307" max="13307" width="32" bestFit="1" customWidth="1"/>
    <col min="13309" max="13309" width="16.85546875" bestFit="1" customWidth="1"/>
    <col min="13310" max="13310" width="25.85546875" bestFit="1" customWidth="1"/>
    <col min="13554" max="13554" width="27.28515625" bestFit="1" customWidth="1"/>
    <col min="13555" max="13555" width="6.5703125" bestFit="1" customWidth="1"/>
    <col min="13556" max="13557" width="28.140625" bestFit="1" customWidth="1"/>
    <col min="13558" max="13558" width="6.5703125" bestFit="1" customWidth="1"/>
    <col min="13559" max="13560" width="28.140625" bestFit="1" customWidth="1"/>
    <col min="13561" max="13561" width="38.42578125" bestFit="1" customWidth="1"/>
    <col min="13562" max="13562" width="33.7109375" bestFit="1" customWidth="1"/>
    <col min="13563" max="13563" width="32" bestFit="1" customWidth="1"/>
    <col min="13565" max="13565" width="16.85546875" bestFit="1" customWidth="1"/>
    <col min="13566" max="13566" width="25.85546875" bestFit="1" customWidth="1"/>
    <col min="13810" max="13810" width="27.28515625" bestFit="1" customWidth="1"/>
    <col min="13811" max="13811" width="6.5703125" bestFit="1" customWidth="1"/>
    <col min="13812" max="13813" width="28.140625" bestFit="1" customWidth="1"/>
    <col min="13814" max="13814" width="6.5703125" bestFit="1" customWidth="1"/>
    <col min="13815" max="13816" width="28.140625" bestFit="1" customWidth="1"/>
    <col min="13817" max="13817" width="38.42578125" bestFit="1" customWidth="1"/>
    <col min="13818" max="13818" width="33.7109375" bestFit="1" customWidth="1"/>
    <col min="13819" max="13819" width="32" bestFit="1" customWidth="1"/>
    <col min="13821" max="13821" width="16.85546875" bestFit="1" customWidth="1"/>
    <col min="13822" max="13822" width="25.85546875" bestFit="1" customWidth="1"/>
    <col min="14066" max="14066" width="27.28515625" bestFit="1" customWidth="1"/>
    <col min="14067" max="14067" width="6.5703125" bestFit="1" customWidth="1"/>
    <col min="14068" max="14069" width="28.140625" bestFit="1" customWidth="1"/>
    <col min="14070" max="14070" width="6.5703125" bestFit="1" customWidth="1"/>
    <col min="14071" max="14072" width="28.140625" bestFit="1" customWidth="1"/>
    <col min="14073" max="14073" width="38.42578125" bestFit="1" customWidth="1"/>
    <col min="14074" max="14074" width="33.7109375" bestFit="1" customWidth="1"/>
    <col min="14075" max="14075" width="32" bestFit="1" customWidth="1"/>
    <col min="14077" max="14077" width="16.85546875" bestFit="1" customWidth="1"/>
    <col min="14078" max="14078" width="25.85546875" bestFit="1" customWidth="1"/>
    <col min="14322" max="14322" width="27.28515625" bestFit="1" customWidth="1"/>
    <col min="14323" max="14323" width="6.5703125" bestFit="1" customWidth="1"/>
    <col min="14324" max="14325" width="28.140625" bestFit="1" customWidth="1"/>
    <col min="14326" max="14326" width="6.5703125" bestFit="1" customWidth="1"/>
    <col min="14327" max="14328" width="28.140625" bestFit="1" customWidth="1"/>
    <col min="14329" max="14329" width="38.42578125" bestFit="1" customWidth="1"/>
    <col min="14330" max="14330" width="33.7109375" bestFit="1" customWidth="1"/>
    <col min="14331" max="14331" width="32" bestFit="1" customWidth="1"/>
    <col min="14333" max="14333" width="16.85546875" bestFit="1" customWidth="1"/>
    <col min="14334" max="14334" width="25.85546875" bestFit="1" customWidth="1"/>
    <col min="14578" max="14578" width="27.28515625" bestFit="1" customWidth="1"/>
    <col min="14579" max="14579" width="6.5703125" bestFit="1" customWidth="1"/>
    <col min="14580" max="14581" width="28.140625" bestFit="1" customWidth="1"/>
    <col min="14582" max="14582" width="6.5703125" bestFit="1" customWidth="1"/>
    <col min="14583" max="14584" width="28.140625" bestFit="1" customWidth="1"/>
    <col min="14585" max="14585" width="38.42578125" bestFit="1" customWidth="1"/>
    <col min="14586" max="14586" width="33.7109375" bestFit="1" customWidth="1"/>
    <col min="14587" max="14587" width="32" bestFit="1" customWidth="1"/>
    <col min="14589" max="14589" width="16.85546875" bestFit="1" customWidth="1"/>
    <col min="14590" max="14590" width="25.85546875" bestFit="1" customWidth="1"/>
    <col min="14834" max="14834" width="27.28515625" bestFit="1" customWidth="1"/>
    <col min="14835" max="14835" width="6.5703125" bestFit="1" customWidth="1"/>
    <col min="14836" max="14837" width="28.140625" bestFit="1" customWidth="1"/>
    <col min="14838" max="14838" width="6.5703125" bestFit="1" customWidth="1"/>
    <col min="14839" max="14840" width="28.140625" bestFit="1" customWidth="1"/>
    <col min="14841" max="14841" width="38.42578125" bestFit="1" customWidth="1"/>
    <col min="14842" max="14842" width="33.7109375" bestFit="1" customWidth="1"/>
    <col min="14843" max="14843" width="32" bestFit="1" customWidth="1"/>
    <col min="14845" max="14845" width="16.85546875" bestFit="1" customWidth="1"/>
    <col min="14846" max="14846" width="25.85546875" bestFit="1" customWidth="1"/>
    <col min="15090" max="15090" width="27.28515625" bestFit="1" customWidth="1"/>
    <col min="15091" max="15091" width="6.5703125" bestFit="1" customWidth="1"/>
    <col min="15092" max="15093" width="28.140625" bestFit="1" customWidth="1"/>
    <col min="15094" max="15094" width="6.5703125" bestFit="1" customWidth="1"/>
    <col min="15095" max="15096" width="28.140625" bestFit="1" customWidth="1"/>
    <col min="15097" max="15097" width="38.42578125" bestFit="1" customWidth="1"/>
    <col min="15098" max="15098" width="33.7109375" bestFit="1" customWidth="1"/>
    <col min="15099" max="15099" width="32" bestFit="1" customWidth="1"/>
    <col min="15101" max="15101" width="16.85546875" bestFit="1" customWidth="1"/>
    <col min="15102" max="15102" width="25.85546875" bestFit="1" customWidth="1"/>
    <col min="15346" max="15346" width="27.28515625" bestFit="1" customWidth="1"/>
    <col min="15347" max="15347" width="6.5703125" bestFit="1" customWidth="1"/>
    <col min="15348" max="15349" width="28.140625" bestFit="1" customWidth="1"/>
    <col min="15350" max="15350" width="6.5703125" bestFit="1" customWidth="1"/>
    <col min="15351" max="15352" width="28.140625" bestFit="1" customWidth="1"/>
    <col min="15353" max="15353" width="38.42578125" bestFit="1" customWidth="1"/>
    <col min="15354" max="15354" width="33.7109375" bestFit="1" customWidth="1"/>
    <col min="15355" max="15355" width="32" bestFit="1" customWidth="1"/>
    <col min="15357" max="15357" width="16.85546875" bestFit="1" customWidth="1"/>
    <col min="15358" max="15358" width="25.85546875" bestFit="1" customWidth="1"/>
    <col min="15602" max="15602" width="27.28515625" bestFit="1" customWidth="1"/>
    <col min="15603" max="15603" width="6.5703125" bestFit="1" customWidth="1"/>
    <col min="15604" max="15605" width="28.140625" bestFit="1" customWidth="1"/>
    <col min="15606" max="15606" width="6.5703125" bestFit="1" customWidth="1"/>
    <col min="15607" max="15608" width="28.140625" bestFit="1" customWidth="1"/>
    <col min="15609" max="15609" width="38.42578125" bestFit="1" customWidth="1"/>
    <col min="15610" max="15610" width="33.7109375" bestFit="1" customWidth="1"/>
    <col min="15611" max="15611" width="32" bestFit="1" customWidth="1"/>
    <col min="15613" max="15613" width="16.85546875" bestFit="1" customWidth="1"/>
    <col min="15614" max="15614" width="25.85546875" bestFit="1" customWidth="1"/>
    <col min="15858" max="15858" width="27.28515625" bestFit="1" customWidth="1"/>
    <col min="15859" max="15859" width="6.5703125" bestFit="1" customWidth="1"/>
    <col min="15860" max="15861" width="28.140625" bestFit="1" customWidth="1"/>
    <col min="15862" max="15862" width="6.5703125" bestFit="1" customWidth="1"/>
    <col min="15863" max="15864" width="28.140625" bestFit="1" customWidth="1"/>
    <col min="15865" max="15865" width="38.42578125" bestFit="1" customWidth="1"/>
    <col min="15866" max="15866" width="33.7109375" bestFit="1" customWidth="1"/>
    <col min="15867" max="15867" width="32" bestFit="1" customWidth="1"/>
    <col min="15869" max="15869" width="16.85546875" bestFit="1" customWidth="1"/>
    <col min="15870" max="15870" width="25.85546875" bestFit="1" customWidth="1"/>
    <col min="16114" max="16114" width="27.28515625" bestFit="1" customWidth="1"/>
    <col min="16115" max="16115" width="6.5703125" bestFit="1" customWidth="1"/>
    <col min="16116" max="16117" width="28.140625" bestFit="1" customWidth="1"/>
    <col min="16118" max="16118" width="6.5703125" bestFit="1" customWidth="1"/>
    <col min="16119" max="16120" width="28.140625" bestFit="1" customWidth="1"/>
    <col min="16121" max="16121" width="38.42578125" bestFit="1" customWidth="1"/>
    <col min="16122" max="16122" width="33.7109375" bestFit="1" customWidth="1"/>
    <col min="16123" max="16123" width="32" bestFit="1" customWidth="1"/>
    <col min="16125" max="16125" width="16.85546875" bestFit="1" customWidth="1"/>
    <col min="16126" max="16126" width="25.85546875" bestFit="1" customWidth="1"/>
  </cols>
  <sheetData>
    <row r="1" spans="1:7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83" t="s">
        <v>1187</v>
      </c>
      <c r="G1" s="83" t="s">
        <v>1186</v>
      </c>
    </row>
    <row r="2" spans="1:7" x14ac:dyDescent="0.25">
      <c r="A2" s="5" t="s">
        <v>901</v>
      </c>
      <c r="B2" s="78">
        <f>F2/1000</f>
        <v>0.24918999999999999</v>
      </c>
      <c r="C2" s="78" t="s">
        <v>903</v>
      </c>
      <c r="D2" s="7" t="s">
        <v>15</v>
      </c>
      <c r="E2" s="80" t="s">
        <v>1173</v>
      </c>
      <c r="F2" s="78">
        <v>249.19</v>
      </c>
      <c r="G2" s="78" t="s">
        <v>1180</v>
      </c>
    </row>
    <row r="3" spans="1:7" x14ac:dyDescent="0.25">
      <c r="A3" s="5" t="s">
        <v>901</v>
      </c>
      <c r="B3" s="78">
        <f t="shared" ref="B3:B66" si="0">F3/1000</f>
        <v>0.42282999999999998</v>
      </c>
      <c r="C3" s="78" t="s">
        <v>904</v>
      </c>
      <c r="D3" s="7" t="s">
        <v>20</v>
      </c>
      <c r="E3" s="80" t="s">
        <v>1173</v>
      </c>
      <c r="F3" s="78">
        <v>422.83</v>
      </c>
      <c r="G3" s="78" t="s">
        <v>1181</v>
      </c>
    </row>
    <row r="4" spans="1:7" x14ac:dyDescent="0.25">
      <c r="A4" s="5" t="s">
        <v>901</v>
      </c>
      <c r="B4" s="78">
        <f t="shared" si="0"/>
        <v>0.73929</v>
      </c>
      <c r="C4" s="78" t="s">
        <v>905</v>
      </c>
      <c r="D4" s="7" t="s">
        <v>23</v>
      </c>
      <c r="E4" s="80" t="s">
        <v>1173</v>
      </c>
      <c r="F4" s="78">
        <v>739.29</v>
      </c>
      <c r="G4" s="78" t="s">
        <v>1180</v>
      </c>
    </row>
    <row r="5" spans="1:7" x14ac:dyDescent="0.25">
      <c r="A5" s="5" t="s">
        <v>901</v>
      </c>
      <c r="B5" s="78">
        <f t="shared" si="0"/>
        <v>1.03929</v>
      </c>
      <c r="C5" s="78" t="s">
        <v>906</v>
      </c>
      <c r="D5" s="7" t="s">
        <v>25</v>
      </c>
      <c r="E5" s="80" t="s">
        <v>1173</v>
      </c>
      <c r="F5" s="78">
        <v>1039.29</v>
      </c>
      <c r="G5" s="78" t="s">
        <v>1182</v>
      </c>
    </row>
    <row r="6" spans="1:7" x14ac:dyDescent="0.25">
      <c r="A6" s="5" t="s">
        <v>901</v>
      </c>
      <c r="B6" s="78">
        <f t="shared" si="0"/>
        <v>1.3392899999999999</v>
      </c>
      <c r="C6" s="78" t="s">
        <v>907</v>
      </c>
      <c r="D6" s="7" t="s">
        <v>27</v>
      </c>
      <c r="E6" s="80" t="s">
        <v>1173</v>
      </c>
      <c r="F6" s="78">
        <v>1339.29</v>
      </c>
      <c r="G6" s="78" t="s">
        <v>1182</v>
      </c>
    </row>
    <row r="7" spans="1:7" x14ac:dyDescent="0.25">
      <c r="A7" s="5" t="s">
        <v>901</v>
      </c>
      <c r="B7" s="78">
        <f t="shared" si="0"/>
        <v>1.76034</v>
      </c>
      <c r="C7" s="78" t="s">
        <v>908</v>
      </c>
      <c r="D7" s="7" t="s">
        <v>29</v>
      </c>
      <c r="E7" s="80" t="s">
        <v>1173</v>
      </c>
      <c r="F7" s="78">
        <v>1760.34</v>
      </c>
      <c r="G7" s="78" t="s">
        <v>1182</v>
      </c>
    </row>
    <row r="8" spans="1:7" x14ac:dyDescent="0.25">
      <c r="A8" s="5" t="s">
        <v>901</v>
      </c>
      <c r="B8" s="78">
        <f t="shared" si="0"/>
        <v>2.2111100000000001</v>
      </c>
      <c r="C8" s="78" t="s">
        <v>909</v>
      </c>
      <c r="D8" s="7" t="s">
        <v>31</v>
      </c>
      <c r="E8" s="80" t="s">
        <v>1173</v>
      </c>
      <c r="F8" s="78">
        <v>2211.11</v>
      </c>
      <c r="G8" s="78" t="s">
        <v>1182</v>
      </c>
    </row>
    <row r="9" spans="1:7" x14ac:dyDescent="0.25">
      <c r="A9" s="5" t="s">
        <v>901</v>
      </c>
      <c r="B9" s="78">
        <f t="shared" si="0"/>
        <v>2.58188</v>
      </c>
      <c r="C9" s="78" t="s">
        <v>910</v>
      </c>
      <c r="D9" s="7" t="s">
        <v>33</v>
      </c>
      <c r="E9" s="80" t="s">
        <v>1173</v>
      </c>
      <c r="F9" s="78">
        <v>2581.88</v>
      </c>
      <c r="G9" s="78" t="s">
        <v>1183</v>
      </c>
    </row>
    <row r="10" spans="1:7" x14ac:dyDescent="0.25">
      <c r="A10" s="5" t="s">
        <v>901</v>
      </c>
      <c r="B10" s="78">
        <f t="shared" si="0"/>
        <v>2.887</v>
      </c>
      <c r="C10" s="78" t="s">
        <v>911</v>
      </c>
      <c r="D10" s="7" t="s">
        <v>35</v>
      </c>
      <c r="E10" s="80" t="s">
        <v>1173</v>
      </c>
      <c r="F10" s="78">
        <v>2887</v>
      </c>
      <c r="G10" s="78" t="s">
        <v>1182</v>
      </c>
    </row>
    <row r="11" spans="1:7" x14ac:dyDescent="0.25">
      <c r="A11" s="5" t="s">
        <v>901</v>
      </c>
      <c r="B11" s="78">
        <f t="shared" si="0"/>
        <v>3.25685</v>
      </c>
      <c r="C11" s="78" t="s">
        <v>912</v>
      </c>
      <c r="D11" s="7" t="s">
        <v>37</v>
      </c>
      <c r="E11" s="80" t="s">
        <v>1173</v>
      </c>
      <c r="F11" s="78">
        <v>3256.85</v>
      </c>
      <c r="G11" s="78" t="s">
        <v>1182</v>
      </c>
    </row>
    <row r="12" spans="1:7" x14ac:dyDescent="0.25">
      <c r="A12" s="5" t="s">
        <v>901</v>
      </c>
      <c r="B12" s="78">
        <f t="shared" si="0"/>
        <v>3.673</v>
      </c>
      <c r="C12" s="78" t="s">
        <v>913</v>
      </c>
      <c r="D12" s="7" t="s">
        <v>39</v>
      </c>
      <c r="E12" s="80" t="s">
        <v>1173</v>
      </c>
      <c r="F12" s="78">
        <v>3673</v>
      </c>
      <c r="G12" s="78" t="s">
        <v>1182</v>
      </c>
    </row>
    <row r="13" spans="1:7" x14ac:dyDescent="0.25">
      <c r="A13" s="5" t="s">
        <v>901</v>
      </c>
      <c r="B13" s="78">
        <f t="shared" si="0"/>
        <v>4.1929999999999996</v>
      </c>
      <c r="C13" s="78" t="s">
        <v>914</v>
      </c>
      <c r="D13" s="7" t="s">
        <v>41</v>
      </c>
      <c r="E13" s="80" t="s">
        <v>1173</v>
      </c>
      <c r="F13" s="78">
        <v>4193</v>
      </c>
      <c r="G13" s="78" t="s">
        <v>1182</v>
      </c>
    </row>
    <row r="14" spans="1:7" x14ac:dyDescent="0.25">
      <c r="A14" s="5" t="s">
        <v>901</v>
      </c>
      <c r="B14" s="78">
        <f t="shared" si="0"/>
        <v>4.665</v>
      </c>
      <c r="C14" s="78" t="s">
        <v>915</v>
      </c>
      <c r="D14" s="7" t="s">
        <v>43</v>
      </c>
      <c r="E14" s="80" t="s">
        <v>1173</v>
      </c>
      <c r="F14" s="78">
        <v>4665</v>
      </c>
      <c r="G14" s="78" t="s">
        <v>1182</v>
      </c>
    </row>
    <row r="15" spans="1:7" x14ac:dyDescent="0.25">
      <c r="A15" s="5" t="s">
        <v>901</v>
      </c>
      <c r="B15" s="78">
        <f t="shared" si="0"/>
        <v>5.19</v>
      </c>
      <c r="C15" s="78" t="s">
        <v>916</v>
      </c>
      <c r="D15" s="7" t="s">
        <v>45</v>
      </c>
      <c r="E15" s="80" t="s">
        <v>1173</v>
      </c>
      <c r="F15" s="78">
        <v>5190</v>
      </c>
      <c r="G15" s="78" t="s">
        <v>1182</v>
      </c>
    </row>
    <row r="16" spans="1:7" x14ac:dyDescent="0.25">
      <c r="A16" s="5" t="s">
        <v>901</v>
      </c>
      <c r="B16" s="78">
        <f t="shared" si="0"/>
        <v>5.6645000000000003</v>
      </c>
      <c r="C16" s="78" t="s">
        <v>917</v>
      </c>
      <c r="D16" s="7" t="s">
        <v>47</v>
      </c>
      <c r="E16" s="80" t="s">
        <v>1173</v>
      </c>
      <c r="F16" s="78">
        <v>5664.5</v>
      </c>
      <c r="G16" s="78" t="s">
        <v>1181</v>
      </c>
    </row>
    <row r="17" spans="1:7" x14ac:dyDescent="0.25">
      <c r="A17" s="5" t="s">
        <v>901</v>
      </c>
      <c r="B17" s="78">
        <f t="shared" si="0"/>
        <v>6.0867500000000003</v>
      </c>
      <c r="C17" s="78" t="s">
        <v>918</v>
      </c>
      <c r="D17" s="7" t="s">
        <v>49</v>
      </c>
      <c r="E17" s="80" t="s">
        <v>1173</v>
      </c>
      <c r="F17" s="78">
        <v>6086.75</v>
      </c>
      <c r="G17" s="78" t="s">
        <v>1181</v>
      </c>
    </row>
    <row r="18" spans="1:7" x14ac:dyDescent="0.25">
      <c r="A18" s="5" t="s">
        <v>901</v>
      </c>
      <c r="B18" s="78">
        <f t="shared" si="0"/>
        <v>6.5830000000000002</v>
      </c>
      <c r="C18" s="78" t="s">
        <v>919</v>
      </c>
      <c r="D18" s="7" t="s">
        <v>51</v>
      </c>
      <c r="E18" s="80" t="s">
        <v>1173</v>
      </c>
      <c r="F18" s="78">
        <v>6583</v>
      </c>
      <c r="G18" s="78" t="s">
        <v>1182</v>
      </c>
    </row>
    <row r="19" spans="1:7" x14ac:dyDescent="0.25">
      <c r="A19" s="5" t="s">
        <v>901</v>
      </c>
      <c r="B19" s="78">
        <f t="shared" si="0"/>
        <v>7.0583100000000005</v>
      </c>
      <c r="C19" s="78" t="s">
        <v>920</v>
      </c>
      <c r="D19" s="7" t="s">
        <v>53</v>
      </c>
      <c r="E19" s="80" t="s">
        <v>1173</v>
      </c>
      <c r="F19" s="78">
        <v>7058.31</v>
      </c>
      <c r="G19" s="78" t="s">
        <v>1181</v>
      </c>
    </row>
    <row r="20" spans="1:7" x14ac:dyDescent="0.25">
      <c r="A20" s="5" t="s">
        <v>901</v>
      </c>
      <c r="B20" s="78">
        <f t="shared" si="0"/>
        <v>7.5655000000000001</v>
      </c>
      <c r="C20" s="78" t="s">
        <v>921</v>
      </c>
      <c r="D20" s="7" t="s">
        <v>55</v>
      </c>
      <c r="E20" s="80" t="s">
        <v>1173</v>
      </c>
      <c r="F20" s="78">
        <v>7565.5</v>
      </c>
      <c r="G20" s="78" t="s">
        <v>1182</v>
      </c>
    </row>
    <row r="21" spans="1:7" x14ac:dyDescent="0.25">
      <c r="A21" s="5" t="s">
        <v>901</v>
      </c>
      <c r="B21" s="78">
        <f t="shared" si="0"/>
        <v>8.0189000000000004</v>
      </c>
      <c r="C21" s="78" t="s">
        <v>922</v>
      </c>
      <c r="D21" s="7" t="s">
        <v>57</v>
      </c>
      <c r="E21" s="80" t="s">
        <v>1173</v>
      </c>
      <c r="F21" s="78">
        <v>8018.9</v>
      </c>
      <c r="G21" s="78" t="s">
        <v>1182</v>
      </c>
    </row>
    <row r="22" spans="1:7" x14ac:dyDescent="0.25">
      <c r="A22" s="5" t="s">
        <v>901</v>
      </c>
      <c r="B22" s="78">
        <f t="shared" si="0"/>
        <v>8.5448599999999999</v>
      </c>
      <c r="C22" s="78" t="s">
        <v>923</v>
      </c>
      <c r="D22" s="7" t="s">
        <v>59</v>
      </c>
      <c r="E22" s="80" t="s">
        <v>1173</v>
      </c>
      <c r="F22" s="78">
        <v>8544.86</v>
      </c>
      <c r="G22" s="78" t="s">
        <v>1182</v>
      </c>
    </row>
    <row r="23" spans="1:7" x14ac:dyDescent="0.25">
      <c r="A23" s="5" t="s">
        <v>901</v>
      </c>
      <c r="B23" s="78">
        <f t="shared" si="0"/>
        <v>9.0175599999999996</v>
      </c>
      <c r="C23" s="78" t="s">
        <v>924</v>
      </c>
      <c r="D23" s="7" t="s">
        <v>61</v>
      </c>
      <c r="E23" s="80" t="s">
        <v>1173</v>
      </c>
      <c r="F23" s="78">
        <v>9017.56</v>
      </c>
      <c r="G23" s="78" t="s">
        <v>1182</v>
      </c>
    </row>
    <row r="24" spans="1:7" x14ac:dyDescent="0.25">
      <c r="A24" s="5" t="s">
        <v>901</v>
      </c>
      <c r="B24" s="78">
        <f t="shared" si="0"/>
        <v>9.51816</v>
      </c>
      <c r="C24" s="78" t="s">
        <v>925</v>
      </c>
      <c r="D24" s="7" t="s">
        <v>63</v>
      </c>
      <c r="E24" s="80" t="s">
        <v>1173</v>
      </c>
      <c r="F24" s="78">
        <v>9518.16</v>
      </c>
      <c r="G24" s="78" t="s">
        <v>1182</v>
      </c>
    </row>
    <row r="25" spans="1:7" x14ac:dyDescent="0.25">
      <c r="A25" s="5" t="s">
        <v>901</v>
      </c>
      <c r="B25" s="78">
        <f t="shared" si="0"/>
        <v>10.00699</v>
      </c>
      <c r="C25" s="78" t="s">
        <v>926</v>
      </c>
      <c r="D25" s="7" t="s">
        <v>65</v>
      </c>
      <c r="E25" s="80" t="s">
        <v>1173</v>
      </c>
      <c r="F25" s="78">
        <v>10006.99</v>
      </c>
      <c r="G25" s="78" t="s">
        <v>1182</v>
      </c>
    </row>
    <row r="26" spans="1:7" x14ac:dyDescent="0.25">
      <c r="A26" s="5" t="s">
        <v>901</v>
      </c>
      <c r="B26" s="78">
        <f t="shared" si="0"/>
        <v>10.456</v>
      </c>
      <c r="C26" s="78" t="s">
        <v>927</v>
      </c>
      <c r="D26" s="7" t="s">
        <v>67</v>
      </c>
      <c r="E26" s="80" t="s">
        <v>1173</v>
      </c>
      <c r="F26" s="78">
        <v>10456</v>
      </c>
      <c r="G26" s="78" t="s">
        <v>1182</v>
      </c>
    </row>
    <row r="27" spans="1:7" x14ac:dyDescent="0.25">
      <c r="A27" s="5" t="s">
        <v>901</v>
      </c>
      <c r="B27" s="78">
        <f t="shared" si="0"/>
        <v>10.81096</v>
      </c>
      <c r="C27" s="78" t="s">
        <v>928</v>
      </c>
      <c r="D27" s="7" t="s">
        <v>69</v>
      </c>
      <c r="E27" s="80" t="s">
        <v>1173</v>
      </c>
      <c r="F27" s="78">
        <v>10810.96</v>
      </c>
      <c r="G27" s="78" t="s">
        <v>1182</v>
      </c>
    </row>
    <row r="28" spans="1:7" x14ac:dyDescent="0.25">
      <c r="A28" s="5" t="s">
        <v>901</v>
      </c>
      <c r="B28" s="78">
        <f t="shared" si="0"/>
        <v>11.274610000000001</v>
      </c>
      <c r="C28" s="78" t="s">
        <v>929</v>
      </c>
      <c r="D28" s="7" t="s">
        <v>71</v>
      </c>
      <c r="E28" s="80" t="s">
        <v>1173</v>
      </c>
      <c r="F28" s="78">
        <v>11274.61</v>
      </c>
      <c r="G28" s="78" t="s">
        <v>1182</v>
      </c>
    </row>
    <row r="29" spans="1:7" x14ac:dyDescent="0.25">
      <c r="A29" s="5" t="s">
        <v>901</v>
      </c>
      <c r="B29" s="78">
        <f t="shared" si="0"/>
        <v>11.719010000000001</v>
      </c>
      <c r="C29" s="78" t="s">
        <v>930</v>
      </c>
      <c r="D29" s="7" t="s">
        <v>73</v>
      </c>
      <c r="E29" s="80" t="s">
        <v>1173</v>
      </c>
      <c r="F29" s="78">
        <v>11719.01</v>
      </c>
      <c r="G29" s="78" t="s">
        <v>1182</v>
      </c>
    </row>
    <row r="30" spans="1:7" x14ac:dyDescent="0.25">
      <c r="A30" s="5" t="s">
        <v>901</v>
      </c>
      <c r="B30" s="78">
        <f t="shared" si="0"/>
        <v>12.23682</v>
      </c>
      <c r="C30" s="78" t="s">
        <v>931</v>
      </c>
      <c r="D30" s="7" t="s">
        <v>75</v>
      </c>
      <c r="E30" s="80" t="s">
        <v>1173</v>
      </c>
      <c r="F30" s="78">
        <v>12236.82</v>
      </c>
      <c r="G30" s="78" t="s">
        <v>1182</v>
      </c>
    </row>
    <row r="31" spans="1:7" x14ac:dyDescent="0.25">
      <c r="A31" s="5" t="s">
        <v>901</v>
      </c>
      <c r="B31" s="78">
        <f t="shared" si="0"/>
        <v>12.652610000000001</v>
      </c>
      <c r="C31" s="78" t="s">
        <v>932</v>
      </c>
      <c r="D31" s="7" t="s">
        <v>77</v>
      </c>
      <c r="E31" s="80" t="s">
        <v>1173</v>
      </c>
      <c r="F31" s="78">
        <v>12652.61</v>
      </c>
      <c r="G31" s="78" t="s">
        <v>1182</v>
      </c>
    </row>
    <row r="32" spans="1:7" x14ac:dyDescent="0.25">
      <c r="A32" s="5" t="s">
        <v>901</v>
      </c>
      <c r="B32" s="78">
        <f t="shared" si="0"/>
        <v>13.03763</v>
      </c>
      <c r="C32" s="78" t="s">
        <v>933</v>
      </c>
      <c r="D32" s="7" t="s">
        <v>79</v>
      </c>
      <c r="E32" s="80" t="s">
        <v>1173</v>
      </c>
      <c r="F32" s="78">
        <v>13037.63</v>
      </c>
      <c r="G32" s="78" t="s">
        <v>1180</v>
      </c>
    </row>
    <row r="33" spans="1:7" x14ac:dyDescent="0.25">
      <c r="A33" s="5" t="s">
        <v>901</v>
      </c>
      <c r="B33" s="78">
        <f t="shared" si="0"/>
        <v>13.50609</v>
      </c>
      <c r="C33" s="78" t="s">
        <v>934</v>
      </c>
      <c r="D33" s="7" t="s">
        <v>81</v>
      </c>
      <c r="E33" s="80" t="s">
        <v>1173</v>
      </c>
      <c r="F33" s="78">
        <v>13506.09</v>
      </c>
      <c r="G33" s="78" t="s">
        <v>1182</v>
      </c>
    </row>
    <row r="34" spans="1:7" x14ac:dyDescent="0.25">
      <c r="A34" s="5" t="s">
        <v>901</v>
      </c>
      <c r="B34" s="78">
        <f t="shared" si="0"/>
        <v>14.035629999999999</v>
      </c>
      <c r="C34" s="78" t="s">
        <v>935</v>
      </c>
      <c r="D34" s="7" t="s">
        <v>83</v>
      </c>
      <c r="E34" s="80" t="s">
        <v>1173</v>
      </c>
      <c r="F34" s="78">
        <v>14035.63</v>
      </c>
      <c r="G34" s="78" t="s">
        <v>1181</v>
      </c>
    </row>
    <row r="35" spans="1:7" x14ac:dyDescent="0.25">
      <c r="A35" s="5" t="s">
        <v>901</v>
      </c>
      <c r="B35" s="78">
        <f t="shared" si="0"/>
        <v>14.440569999999999</v>
      </c>
      <c r="C35" s="78" t="s">
        <v>936</v>
      </c>
      <c r="D35" s="7" t="s">
        <v>85</v>
      </c>
      <c r="E35" s="80" t="s">
        <v>1173</v>
      </c>
      <c r="F35" s="78">
        <v>14440.57</v>
      </c>
      <c r="G35" s="78" t="s">
        <v>1183</v>
      </c>
    </row>
    <row r="36" spans="1:7" x14ac:dyDescent="0.25">
      <c r="A36" s="5" t="s">
        <v>901</v>
      </c>
      <c r="B36" s="78">
        <f t="shared" si="0"/>
        <v>15.181659999999999</v>
      </c>
      <c r="C36" s="78" t="s">
        <v>937</v>
      </c>
      <c r="D36" s="7" t="s">
        <v>87</v>
      </c>
      <c r="E36" s="80" t="s">
        <v>1173</v>
      </c>
      <c r="F36" s="78">
        <v>15181.66</v>
      </c>
      <c r="G36" s="78" t="s">
        <v>1181</v>
      </c>
    </row>
    <row r="37" spans="1:7" x14ac:dyDescent="0.25">
      <c r="A37" s="5" t="s">
        <v>901</v>
      </c>
      <c r="B37" s="78">
        <f t="shared" si="0"/>
        <v>15.42942</v>
      </c>
      <c r="C37" s="78" t="s">
        <v>938</v>
      </c>
      <c r="D37" s="7" t="s">
        <v>89</v>
      </c>
      <c r="E37" s="80" t="s">
        <v>1173</v>
      </c>
      <c r="F37" s="78">
        <v>15429.42</v>
      </c>
      <c r="G37" s="78" t="s">
        <v>1181</v>
      </c>
    </row>
    <row r="38" spans="1:7" x14ac:dyDescent="0.25">
      <c r="A38" s="5" t="s">
        <v>901</v>
      </c>
      <c r="B38" s="78">
        <f t="shared" si="0"/>
        <v>15.650799999999998</v>
      </c>
      <c r="C38" s="78" t="s">
        <v>939</v>
      </c>
      <c r="D38" s="7" t="s">
        <v>91</v>
      </c>
      <c r="E38" s="80" t="s">
        <v>1173</v>
      </c>
      <c r="F38" s="78">
        <v>15650.8</v>
      </c>
      <c r="G38" s="78" t="s">
        <v>1184</v>
      </c>
    </row>
    <row r="39" spans="1:7" x14ac:dyDescent="0.25">
      <c r="A39" s="5" t="s">
        <v>901</v>
      </c>
      <c r="B39" s="78">
        <f t="shared" si="0"/>
        <v>16.414249999999999</v>
      </c>
      <c r="C39" s="78" t="s">
        <v>940</v>
      </c>
      <c r="D39" s="7" t="s">
        <v>93</v>
      </c>
      <c r="E39" s="80" t="s">
        <v>1173</v>
      </c>
      <c r="F39" s="78">
        <v>16414.25</v>
      </c>
      <c r="G39" s="78" t="s">
        <v>1184</v>
      </c>
    </row>
    <row r="40" spans="1:7" x14ac:dyDescent="0.25">
      <c r="A40" s="5" t="s">
        <v>901</v>
      </c>
      <c r="B40" s="78">
        <f t="shared" si="0"/>
        <v>16.640630000000002</v>
      </c>
      <c r="C40" s="78" t="s">
        <v>941</v>
      </c>
      <c r="D40" s="7" t="s">
        <v>95</v>
      </c>
      <c r="E40" s="80" t="s">
        <v>1173</v>
      </c>
      <c r="F40" s="78">
        <v>16640.63</v>
      </c>
      <c r="G40" s="78" t="s">
        <v>1181</v>
      </c>
    </row>
    <row r="41" spans="1:7" x14ac:dyDescent="0.25">
      <c r="A41" s="5" t="s">
        <v>901</v>
      </c>
      <c r="B41" s="78">
        <f t="shared" si="0"/>
        <v>17.049379999999999</v>
      </c>
      <c r="C41" s="78" t="s">
        <v>942</v>
      </c>
      <c r="D41" s="7" t="s">
        <v>97</v>
      </c>
      <c r="E41" s="80" t="s">
        <v>1173</v>
      </c>
      <c r="F41" s="78">
        <v>17049.38</v>
      </c>
      <c r="G41" s="78" t="s">
        <v>1182</v>
      </c>
    </row>
    <row r="42" spans="1:7" x14ac:dyDescent="0.25">
      <c r="A42" s="5" t="s">
        <v>901</v>
      </c>
      <c r="B42" s="78">
        <f t="shared" si="0"/>
        <v>17.634630000000001</v>
      </c>
      <c r="C42" s="78" t="s">
        <v>943</v>
      </c>
      <c r="D42" s="7" t="s">
        <v>99</v>
      </c>
      <c r="E42" s="80" t="s">
        <v>1173</v>
      </c>
      <c r="F42" s="78">
        <v>17634.63</v>
      </c>
      <c r="G42" s="78" t="s">
        <v>1182</v>
      </c>
    </row>
    <row r="43" spans="1:7" x14ac:dyDescent="0.25">
      <c r="A43" s="5" t="s">
        <v>901</v>
      </c>
      <c r="B43" s="78">
        <f t="shared" si="0"/>
        <v>17.927630000000001</v>
      </c>
      <c r="C43" s="78" t="s">
        <v>944</v>
      </c>
      <c r="D43" s="7" t="s">
        <v>101</v>
      </c>
      <c r="E43" s="80" t="s">
        <v>1173</v>
      </c>
      <c r="F43" s="78">
        <v>17927.63</v>
      </c>
      <c r="G43" s="78" t="s">
        <v>1181</v>
      </c>
    </row>
    <row r="44" spans="1:7" x14ac:dyDescent="0.25">
      <c r="A44" s="5" t="s">
        <v>901</v>
      </c>
      <c r="B44" s="78">
        <f t="shared" si="0"/>
        <v>18.312630000000002</v>
      </c>
      <c r="C44" s="78" t="s">
        <v>945</v>
      </c>
      <c r="D44" s="7" t="s">
        <v>103</v>
      </c>
      <c r="E44" s="80" t="s">
        <v>1173</v>
      </c>
      <c r="F44" s="78">
        <v>18312.63</v>
      </c>
      <c r="G44" s="78" t="s">
        <v>1182</v>
      </c>
    </row>
    <row r="45" spans="1:7" x14ac:dyDescent="0.25">
      <c r="A45" s="5" t="s">
        <v>901</v>
      </c>
      <c r="B45" s="78">
        <f t="shared" si="0"/>
        <v>18.89838</v>
      </c>
      <c r="C45" s="78" t="s">
        <v>946</v>
      </c>
      <c r="D45" s="7" t="s">
        <v>105</v>
      </c>
      <c r="E45" s="80" t="s">
        <v>1173</v>
      </c>
      <c r="F45" s="78">
        <v>18898.38</v>
      </c>
      <c r="G45" s="78" t="s">
        <v>1182</v>
      </c>
    </row>
    <row r="46" spans="1:7" x14ac:dyDescent="0.25">
      <c r="A46" s="5" t="s">
        <v>901</v>
      </c>
      <c r="B46" s="78">
        <f t="shared" si="0"/>
        <v>19.218580000000003</v>
      </c>
      <c r="C46" s="78" t="s">
        <v>947</v>
      </c>
      <c r="D46" s="7" t="s">
        <v>107</v>
      </c>
      <c r="E46" s="80" t="s">
        <v>1173</v>
      </c>
      <c r="F46" s="78">
        <v>19218.580000000002</v>
      </c>
      <c r="G46" s="78" t="s">
        <v>1184</v>
      </c>
    </row>
    <row r="47" spans="1:7" x14ac:dyDescent="0.25">
      <c r="A47" s="5" t="s">
        <v>901</v>
      </c>
      <c r="B47" s="78">
        <f t="shared" si="0"/>
        <v>19.48216</v>
      </c>
      <c r="C47" s="78" t="s">
        <v>948</v>
      </c>
      <c r="D47" s="7" t="s">
        <v>109</v>
      </c>
      <c r="E47" s="80" t="s">
        <v>1173</v>
      </c>
      <c r="F47" s="78">
        <v>19482.16</v>
      </c>
      <c r="G47" s="78" t="s">
        <v>1182</v>
      </c>
    </row>
    <row r="48" spans="1:7" x14ac:dyDescent="0.25">
      <c r="A48" s="5" t="s">
        <v>901</v>
      </c>
      <c r="B48" s="78">
        <f t="shared" si="0"/>
        <v>19.96463</v>
      </c>
      <c r="C48" s="78" t="s">
        <v>949</v>
      </c>
      <c r="D48" s="7" t="s">
        <v>111</v>
      </c>
      <c r="E48" s="81" t="s">
        <v>1173</v>
      </c>
      <c r="F48" s="78">
        <v>19964.63</v>
      </c>
      <c r="G48" s="78" t="s">
        <v>1182</v>
      </c>
    </row>
    <row r="49" spans="1:7" x14ac:dyDescent="0.25">
      <c r="A49" s="5" t="s">
        <v>901</v>
      </c>
      <c r="B49" s="78">
        <f t="shared" si="0"/>
        <v>20.37462</v>
      </c>
      <c r="C49" s="78" t="s">
        <v>950</v>
      </c>
      <c r="D49" s="7" t="s">
        <v>113</v>
      </c>
      <c r="E49" s="81" t="s">
        <v>1174</v>
      </c>
      <c r="F49" s="78">
        <v>20374.62</v>
      </c>
      <c r="G49" s="78" t="s">
        <v>1185</v>
      </c>
    </row>
    <row r="50" spans="1:7" x14ac:dyDescent="0.25">
      <c r="A50" s="5" t="s">
        <v>901</v>
      </c>
      <c r="B50" s="78">
        <f t="shared" si="0"/>
        <v>20.801629999999999</v>
      </c>
      <c r="C50" s="78" t="s">
        <v>951</v>
      </c>
      <c r="D50" s="7" t="s">
        <v>115</v>
      </c>
      <c r="E50" s="80" t="s">
        <v>1175</v>
      </c>
      <c r="F50" s="78">
        <v>20801.63</v>
      </c>
      <c r="G50" s="78" t="s">
        <v>1182</v>
      </c>
    </row>
    <row r="51" spans="1:7" x14ac:dyDescent="0.25">
      <c r="A51" s="5" t="s">
        <v>901</v>
      </c>
      <c r="B51" s="78">
        <f t="shared" si="0"/>
        <v>21.371980000000001</v>
      </c>
      <c r="C51" s="78" t="s">
        <v>952</v>
      </c>
      <c r="D51" s="7" t="s">
        <v>18</v>
      </c>
      <c r="E51" s="80" t="s">
        <v>1175</v>
      </c>
      <c r="F51" s="78">
        <v>21371.98</v>
      </c>
      <c r="G51" s="78" t="s">
        <v>1181</v>
      </c>
    </row>
    <row r="52" spans="1:7" x14ac:dyDescent="0.25">
      <c r="A52" s="5" t="s">
        <v>901</v>
      </c>
      <c r="B52" s="78">
        <f t="shared" si="0"/>
        <v>21.78237</v>
      </c>
      <c r="C52" s="78" t="s">
        <v>953</v>
      </c>
      <c r="D52" s="7" t="s">
        <v>19</v>
      </c>
      <c r="E52" s="80" t="s">
        <v>1175</v>
      </c>
      <c r="F52" s="78">
        <v>21782.37</v>
      </c>
      <c r="G52" s="78" t="s">
        <v>1182</v>
      </c>
    </row>
    <row r="53" spans="1:7" x14ac:dyDescent="0.25">
      <c r="A53" s="5" t="s">
        <v>901</v>
      </c>
      <c r="B53" s="78">
        <f t="shared" si="0"/>
        <v>22.171330000000001</v>
      </c>
      <c r="C53" s="78" t="s">
        <v>954</v>
      </c>
      <c r="D53" s="7" t="s">
        <v>119</v>
      </c>
      <c r="E53" s="80" t="s">
        <v>1175</v>
      </c>
      <c r="F53" s="78">
        <v>22171.33</v>
      </c>
      <c r="G53" s="78" t="s">
        <v>1182</v>
      </c>
    </row>
    <row r="54" spans="1:7" x14ac:dyDescent="0.25">
      <c r="A54" s="5" t="s">
        <v>901</v>
      </c>
      <c r="B54" s="78">
        <f t="shared" si="0"/>
        <v>22.62528</v>
      </c>
      <c r="C54" s="78" t="s">
        <v>955</v>
      </c>
      <c r="D54" s="7" t="s">
        <v>121</v>
      </c>
      <c r="E54" s="80" t="s">
        <v>1175</v>
      </c>
      <c r="F54" s="78">
        <v>22625.279999999999</v>
      </c>
      <c r="G54" s="78" t="s">
        <v>1182</v>
      </c>
    </row>
    <row r="55" spans="1:7" x14ac:dyDescent="0.25">
      <c r="A55" s="5" t="s">
        <v>901</v>
      </c>
      <c r="B55" s="78">
        <f t="shared" si="0"/>
        <v>23.158630000000002</v>
      </c>
      <c r="C55" s="78" t="s">
        <v>956</v>
      </c>
      <c r="D55" s="7" t="s">
        <v>123</v>
      </c>
      <c r="E55" s="80" t="s">
        <v>1175</v>
      </c>
      <c r="F55" s="78">
        <v>23158.63</v>
      </c>
      <c r="G55" s="78" t="s">
        <v>1182</v>
      </c>
    </row>
    <row r="56" spans="1:7" x14ac:dyDescent="0.25">
      <c r="A56" s="5" t="s">
        <v>901</v>
      </c>
      <c r="B56" s="78">
        <f t="shared" si="0"/>
        <v>23.623630000000002</v>
      </c>
      <c r="C56" s="78" t="s">
        <v>957</v>
      </c>
      <c r="D56" s="7" t="s">
        <v>125</v>
      </c>
      <c r="E56" s="80" t="s">
        <v>1175</v>
      </c>
      <c r="F56" s="78">
        <v>23623.63</v>
      </c>
      <c r="G56" s="78" t="s">
        <v>1182</v>
      </c>
    </row>
    <row r="57" spans="1:7" x14ac:dyDescent="0.25">
      <c r="A57" s="5" t="s">
        <v>901</v>
      </c>
      <c r="B57" s="78">
        <f t="shared" si="0"/>
        <v>24.100009999999997</v>
      </c>
      <c r="C57" s="78" t="s">
        <v>958</v>
      </c>
      <c r="D57" s="7" t="s">
        <v>127</v>
      </c>
      <c r="E57" s="80" t="s">
        <v>1175</v>
      </c>
      <c r="F57" s="78">
        <v>24100.01</v>
      </c>
      <c r="G57" s="78" t="s">
        <v>1182</v>
      </c>
    </row>
    <row r="58" spans="1:7" x14ac:dyDescent="0.25">
      <c r="A58" s="5" t="s">
        <v>901</v>
      </c>
      <c r="B58" s="78">
        <f t="shared" si="0"/>
        <v>24.436630000000001</v>
      </c>
      <c r="C58" s="78" t="s">
        <v>959</v>
      </c>
      <c r="D58" s="7" t="s">
        <v>129</v>
      </c>
      <c r="E58" s="80" t="s">
        <v>1175</v>
      </c>
      <c r="F58" s="78">
        <v>24436.63</v>
      </c>
      <c r="G58" s="78" t="s">
        <v>1182</v>
      </c>
    </row>
    <row r="59" spans="1:7" x14ac:dyDescent="0.25">
      <c r="A59" s="5" t="s">
        <v>901</v>
      </c>
      <c r="B59" s="78">
        <f t="shared" si="0"/>
        <v>24.875640000000001</v>
      </c>
      <c r="C59" s="78" t="s">
        <v>960</v>
      </c>
      <c r="D59" s="7" t="s">
        <v>131</v>
      </c>
      <c r="E59" s="80" t="s">
        <v>1175</v>
      </c>
      <c r="F59" s="78">
        <v>24875.64</v>
      </c>
      <c r="G59" s="78" t="s">
        <v>1182</v>
      </c>
    </row>
    <row r="60" spans="1:7" x14ac:dyDescent="0.25">
      <c r="A60" s="5" t="s">
        <v>901</v>
      </c>
      <c r="B60" s="78">
        <f t="shared" si="0"/>
        <v>25.267869999999998</v>
      </c>
      <c r="C60" s="78" t="s">
        <v>961</v>
      </c>
      <c r="D60" s="7" t="s">
        <v>133</v>
      </c>
      <c r="E60" s="80" t="s">
        <v>1175</v>
      </c>
      <c r="F60" s="78">
        <v>25267.87</v>
      </c>
      <c r="G60" s="78" t="s">
        <v>1182</v>
      </c>
    </row>
    <row r="61" spans="1:7" x14ac:dyDescent="0.25">
      <c r="A61" s="5" t="s">
        <v>901</v>
      </c>
      <c r="B61" s="78">
        <f t="shared" si="0"/>
        <v>25.535630000000001</v>
      </c>
      <c r="C61" s="78" t="s">
        <v>962</v>
      </c>
      <c r="D61" s="7" t="s">
        <v>135</v>
      </c>
      <c r="E61" s="80" t="s">
        <v>1175</v>
      </c>
      <c r="F61" s="78">
        <v>25535.63</v>
      </c>
      <c r="G61" s="78" t="s">
        <v>1182</v>
      </c>
    </row>
    <row r="62" spans="1:7" x14ac:dyDescent="0.25">
      <c r="A62" s="5" t="s">
        <v>901</v>
      </c>
      <c r="B62" s="78">
        <f t="shared" si="0"/>
        <v>26.013630000000003</v>
      </c>
      <c r="C62" s="78" t="s">
        <v>963</v>
      </c>
      <c r="D62" s="7" t="s">
        <v>137</v>
      </c>
      <c r="E62" s="80" t="s">
        <v>1175</v>
      </c>
      <c r="F62" s="78">
        <v>26013.63</v>
      </c>
      <c r="G62" s="78" t="s">
        <v>1182</v>
      </c>
    </row>
    <row r="63" spans="1:7" x14ac:dyDescent="0.25">
      <c r="A63" s="5" t="s">
        <v>901</v>
      </c>
      <c r="B63" s="78">
        <f t="shared" si="0"/>
        <v>26.459630000000001</v>
      </c>
      <c r="C63" s="78" t="s">
        <v>964</v>
      </c>
      <c r="D63" s="7" t="s">
        <v>139</v>
      </c>
      <c r="E63" s="80" t="s">
        <v>1175</v>
      </c>
      <c r="F63" s="78">
        <v>26459.63</v>
      </c>
      <c r="G63" s="78" t="s">
        <v>1182</v>
      </c>
    </row>
    <row r="64" spans="1:7" x14ac:dyDescent="0.25">
      <c r="A64" s="5" t="s">
        <v>901</v>
      </c>
      <c r="B64" s="78">
        <f t="shared" si="0"/>
        <v>26.922630000000002</v>
      </c>
      <c r="C64" s="78" t="s">
        <v>965</v>
      </c>
      <c r="D64" s="7" t="s">
        <v>141</v>
      </c>
      <c r="E64" s="80" t="s">
        <v>1175</v>
      </c>
      <c r="F64" s="78">
        <v>26922.63</v>
      </c>
      <c r="G64" s="78" t="s">
        <v>1182</v>
      </c>
    </row>
    <row r="65" spans="1:7" x14ac:dyDescent="0.25">
      <c r="A65" s="5" t="s">
        <v>901</v>
      </c>
      <c r="B65" s="78">
        <f t="shared" si="0"/>
        <v>27.375630000000001</v>
      </c>
      <c r="C65" s="78" t="s">
        <v>966</v>
      </c>
      <c r="D65" s="7" t="s">
        <v>143</v>
      </c>
      <c r="E65" s="80" t="s">
        <v>1175</v>
      </c>
      <c r="F65" s="78">
        <v>27375.63</v>
      </c>
      <c r="G65" s="78" t="s">
        <v>1182</v>
      </c>
    </row>
    <row r="66" spans="1:7" x14ac:dyDescent="0.25">
      <c r="A66" s="5" t="s">
        <v>901</v>
      </c>
      <c r="B66" s="78">
        <f t="shared" si="0"/>
        <v>27.802109999999999</v>
      </c>
      <c r="C66" s="78" t="s">
        <v>967</v>
      </c>
      <c r="D66" s="7" t="s">
        <v>145</v>
      </c>
      <c r="E66" s="80" t="s">
        <v>1175</v>
      </c>
      <c r="F66" s="78">
        <v>27802.11</v>
      </c>
      <c r="G66" s="78" t="s">
        <v>1182</v>
      </c>
    </row>
    <row r="67" spans="1:7" x14ac:dyDescent="0.25">
      <c r="A67" s="5" t="s">
        <v>901</v>
      </c>
      <c r="B67" s="78">
        <f t="shared" ref="B67:B130" si="1">F67/1000</f>
        <v>28.301629999999999</v>
      </c>
      <c r="C67" s="78" t="s">
        <v>968</v>
      </c>
      <c r="D67" s="7" t="s">
        <v>147</v>
      </c>
      <c r="E67" s="80" t="s">
        <v>1175</v>
      </c>
      <c r="F67" s="78">
        <v>28301.63</v>
      </c>
      <c r="G67" s="78" t="s">
        <v>1182</v>
      </c>
    </row>
    <row r="68" spans="1:7" x14ac:dyDescent="0.25">
      <c r="A68" s="5" t="s">
        <v>901</v>
      </c>
      <c r="B68" s="78">
        <f t="shared" si="1"/>
        <v>28.739630000000002</v>
      </c>
      <c r="C68" s="78" t="s">
        <v>969</v>
      </c>
      <c r="D68" s="7" t="s">
        <v>149</v>
      </c>
      <c r="E68" s="80" t="s">
        <v>1175</v>
      </c>
      <c r="F68" s="78">
        <v>28739.63</v>
      </c>
      <c r="G68" s="78" t="s">
        <v>1182</v>
      </c>
    </row>
    <row r="69" spans="1:7" x14ac:dyDescent="0.25">
      <c r="A69" s="5" t="s">
        <v>901</v>
      </c>
      <c r="B69" s="78">
        <f t="shared" si="1"/>
        <v>29.143630000000002</v>
      </c>
      <c r="C69" s="78" t="s">
        <v>970</v>
      </c>
      <c r="D69" s="7" t="s">
        <v>151</v>
      </c>
      <c r="E69" s="80" t="s">
        <v>1175</v>
      </c>
      <c r="F69" s="78">
        <v>29143.63</v>
      </c>
      <c r="G69" s="78" t="s">
        <v>1182</v>
      </c>
    </row>
    <row r="70" spans="1:7" x14ac:dyDescent="0.25">
      <c r="A70" s="5" t="s">
        <v>901</v>
      </c>
      <c r="B70" s="78">
        <f t="shared" si="1"/>
        <v>29.668959999999998</v>
      </c>
      <c r="C70" s="78" t="s">
        <v>971</v>
      </c>
      <c r="D70" s="7" t="s">
        <v>153</v>
      </c>
      <c r="E70" s="80" t="s">
        <v>1175</v>
      </c>
      <c r="F70" s="78">
        <v>29668.959999999999</v>
      </c>
      <c r="G70" s="78" t="s">
        <v>1182</v>
      </c>
    </row>
    <row r="71" spans="1:7" x14ac:dyDescent="0.25">
      <c r="A71" s="5" t="s">
        <v>901</v>
      </c>
      <c r="B71" s="78">
        <f t="shared" si="1"/>
        <v>30.13175</v>
      </c>
      <c r="C71" s="78" t="s">
        <v>972</v>
      </c>
      <c r="D71" s="7" t="s">
        <v>155</v>
      </c>
      <c r="E71" s="80" t="s">
        <v>1175</v>
      </c>
      <c r="F71" s="78">
        <v>30131.75</v>
      </c>
      <c r="G71" s="78" t="s">
        <v>1182</v>
      </c>
    </row>
    <row r="72" spans="1:7" x14ac:dyDescent="0.25">
      <c r="A72" s="5" t="s">
        <v>901</v>
      </c>
      <c r="B72" s="78">
        <f t="shared" si="1"/>
        <v>30.55463</v>
      </c>
      <c r="C72" s="78" t="s">
        <v>973</v>
      </c>
      <c r="D72" s="7" t="s">
        <v>157</v>
      </c>
      <c r="E72" s="80" t="s">
        <v>1175</v>
      </c>
      <c r="F72" s="78">
        <v>30554.63</v>
      </c>
      <c r="G72" s="78" t="s">
        <v>1182</v>
      </c>
    </row>
    <row r="73" spans="1:7" x14ac:dyDescent="0.25">
      <c r="A73" s="5" t="s">
        <v>901</v>
      </c>
      <c r="B73" s="78">
        <f t="shared" si="1"/>
        <v>31.081389999999999</v>
      </c>
      <c r="C73" s="78" t="s">
        <v>974</v>
      </c>
      <c r="D73" s="7" t="s">
        <v>159</v>
      </c>
      <c r="E73" s="80" t="s">
        <v>1175</v>
      </c>
      <c r="F73" s="78">
        <v>31081.39</v>
      </c>
      <c r="G73" s="78" t="s">
        <v>1181</v>
      </c>
    </row>
    <row r="74" spans="1:7" x14ac:dyDescent="0.25">
      <c r="A74" s="5" t="s">
        <v>901</v>
      </c>
      <c r="B74" s="78">
        <f t="shared" si="1"/>
        <v>31.549520000000001</v>
      </c>
      <c r="C74" s="78" t="s">
        <v>975</v>
      </c>
      <c r="D74" s="7" t="s">
        <v>161</v>
      </c>
      <c r="E74" s="80" t="s">
        <v>1175</v>
      </c>
      <c r="F74" s="78">
        <v>31549.52</v>
      </c>
      <c r="G74" s="78" t="s">
        <v>1182</v>
      </c>
    </row>
    <row r="75" spans="1:7" x14ac:dyDescent="0.25">
      <c r="A75" s="5" t="s">
        <v>901</v>
      </c>
      <c r="B75" s="78">
        <f t="shared" si="1"/>
        <v>32.02563</v>
      </c>
      <c r="C75" s="78" t="s">
        <v>976</v>
      </c>
      <c r="D75" s="7" t="s">
        <v>163</v>
      </c>
      <c r="E75" s="80" t="s">
        <v>1175</v>
      </c>
      <c r="F75" s="78">
        <v>32025.63</v>
      </c>
      <c r="G75" s="78" t="s">
        <v>1182</v>
      </c>
    </row>
    <row r="76" spans="1:7" x14ac:dyDescent="0.25">
      <c r="A76" s="5" t="s">
        <v>901</v>
      </c>
      <c r="B76" s="78">
        <f t="shared" si="1"/>
        <v>32.393630000000002</v>
      </c>
      <c r="C76" s="78" t="s">
        <v>977</v>
      </c>
      <c r="D76" s="7" t="s">
        <v>165</v>
      </c>
      <c r="E76" s="80" t="s">
        <v>1175</v>
      </c>
      <c r="F76" s="78">
        <v>32393.63</v>
      </c>
      <c r="G76" s="78" t="s">
        <v>1182</v>
      </c>
    </row>
    <row r="77" spans="1:7" x14ac:dyDescent="0.25">
      <c r="A77" s="5" t="s">
        <v>901</v>
      </c>
      <c r="B77" s="78">
        <f t="shared" si="1"/>
        <v>33.024629999999995</v>
      </c>
      <c r="C77" s="78" t="s">
        <v>978</v>
      </c>
      <c r="D77" s="7" t="s">
        <v>167</v>
      </c>
      <c r="E77" s="80" t="s">
        <v>1175</v>
      </c>
      <c r="F77" s="78">
        <v>33024.629999999997</v>
      </c>
      <c r="G77" s="78" t="s">
        <v>1182</v>
      </c>
    </row>
    <row r="78" spans="1:7" x14ac:dyDescent="0.25">
      <c r="A78" s="5" t="s">
        <v>901</v>
      </c>
      <c r="B78" s="78">
        <f t="shared" si="1"/>
        <v>33.387629999999994</v>
      </c>
      <c r="C78" s="78" t="s">
        <v>979</v>
      </c>
      <c r="D78" s="7" t="s">
        <v>169</v>
      </c>
      <c r="E78" s="80" t="s">
        <v>1175</v>
      </c>
      <c r="F78" s="78">
        <v>33387.629999999997</v>
      </c>
      <c r="G78" s="78" t="s">
        <v>1182</v>
      </c>
    </row>
    <row r="79" spans="1:7" x14ac:dyDescent="0.25">
      <c r="A79" s="5" t="s">
        <v>901</v>
      </c>
      <c r="B79" s="78">
        <f t="shared" si="1"/>
        <v>33.863949999999996</v>
      </c>
      <c r="C79" s="78" t="s">
        <v>980</v>
      </c>
      <c r="D79" s="7" t="s">
        <v>171</v>
      </c>
      <c r="E79" s="80" t="s">
        <v>1175</v>
      </c>
      <c r="F79" s="78">
        <v>33863.949999999997</v>
      </c>
      <c r="G79" s="78" t="s">
        <v>1182</v>
      </c>
    </row>
    <row r="80" spans="1:7" x14ac:dyDescent="0.25">
      <c r="A80" s="5" t="s">
        <v>901</v>
      </c>
      <c r="B80" s="78">
        <f t="shared" si="1"/>
        <v>34.378629999999994</v>
      </c>
      <c r="C80" s="78" t="s">
        <v>981</v>
      </c>
      <c r="D80" s="7" t="s">
        <v>173</v>
      </c>
      <c r="E80" s="80" t="s">
        <v>1175</v>
      </c>
      <c r="F80" s="78">
        <v>34378.629999999997</v>
      </c>
      <c r="G80" s="78" t="s">
        <v>1182</v>
      </c>
    </row>
    <row r="81" spans="1:7" x14ac:dyDescent="0.25">
      <c r="A81" s="5" t="s">
        <v>901</v>
      </c>
      <c r="B81" s="78">
        <f t="shared" si="1"/>
        <v>34.740629999999996</v>
      </c>
      <c r="C81" s="78" t="s">
        <v>982</v>
      </c>
      <c r="D81" s="7" t="s">
        <v>175</v>
      </c>
      <c r="E81" s="80" t="s">
        <v>1175</v>
      </c>
      <c r="F81" s="78">
        <v>34740.629999999997</v>
      </c>
      <c r="G81" s="78" t="s">
        <v>1182</v>
      </c>
    </row>
    <row r="82" spans="1:7" x14ac:dyDescent="0.25">
      <c r="A82" s="5" t="s">
        <v>901</v>
      </c>
      <c r="B82" s="78">
        <f t="shared" si="1"/>
        <v>35.070629999999994</v>
      </c>
      <c r="C82" s="78" t="s">
        <v>983</v>
      </c>
      <c r="D82" s="7" t="s">
        <v>177</v>
      </c>
      <c r="E82" s="80" t="s">
        <v>1175</v>
      </c>
      <c r="F82" s="78">
        <v>35070.629999999997</v>
      </c>
      <c r="G82" s="78" t="s">
        <v>1182</v>
      </c>
    </row>
    <row r="83" spans="1:7" x14ac:dyDescent="0.25">
      <c r="A83" s="5" t="s">
        <v>901</v>
      </c>
      <c r="B83" s="78">
        <f t="shared" si="1"/>
        <v>35.510629999999999</v>
      </c>
      <c r="C83" s="78" t="s">
        <v>984</v>
      </c>
      <c r="D83" s="7" t="s">
        <v>179</v>
      </c>
      <c r="E83" s="80" t="s">
        <v>1175</v>
      </c>
      <c r="F83" s="78">
        <v>35510.629999999997</v>
      </c>
      <c r="G83" s="78" t="s">
        <v>1181</v>
      </c>
    </row>
    <row r="84" spans="1:7" x14ac:dyDescent="0.25">
      <c r="A84" s="5" t="s">
        <v>901</v>
      </c>
      <c r="B84" s="78">
        <f t="shared" si="1"/>
        <v>35.935970000000005</v>
      </c>
      <c r="C84" s="78" t="s">
        <v>985</v>
      </c>
      <c r="D84" s="7" t="s">
        <v>181</v>
      </c>
      <c r="E84" s="80" t="s">
        <v>1175</v>
      </c>
      <c r="F84" s="78">
        <v>35935.97</v>
      </c>
      <c r="G84" s="78" t="s">
        <v>1182</v>
      </c>
    </row>
    <row r="85" spans="1:7" x14ac:dyDescent="0.25">
      <c r="A85" s="5" t="s">
        <v>901</v>
      </c>
      <c r="B85" s="78">
        <f t="shared" si="1"/>
        <v>36.420070000000003</v>
      </c>
      <c r="C85" s="78" t="s">
        <v>986</v>
      </c>
      <c r="D85" s="7" t="s">
        <v>183</v>
      </c>
      <c r="E85" s="80" t="s">
        <v>1175</v>
      </c>
      <c r="F85" s="78">
        <v>36420.07</v>
      </c>
      <c r="G85" s="78" t="s">
        <v>1182</v>
      </c>
    </row>
    <row r="86" spans="1:7" x14ac:dyDescent="0.25">
      <c r="A86" s="5" t="s">
        <v>901</v>
      </c>
      <c r="B86" s="78">
        <f t="shared" si="1"/>
        <v>36.918910000000004</v>
      </c>
      <c r="C86" s="78" t="s">
        <v>987</v>
      </c>
      <c r="D86" s="7" t="s">
        <v>272</v>
      </c>
      <c r="E86" s="80" t="s">
        <v>1175</v>
      </c>
      <c r="F86" s="78">
        <v>36918.910000000003</v>
      </c>
      <c r="G86" s="78" t="s">
        <v>1182</v>
      </c>
    </row>
    <row r="87" spans="1:7" x14ac:dyDescent="0.25">
      <c r="A87" s="5" t="s">
        <v>901</v>
      </c>
      <c r="B87" s="78">
        <f t="shared" si="1"/>
        <v>37.404629999999997</v>
      </c>
      <c r="C87" s="78" t="s">
        <v>988</v>
      </c>
      <c r="D87" s="7" t="s">
        <v>274</v>
      </c>
      <c r="E87" s="80" t="s">
        <v>1175</v>
      </c>
      <c r="F87" s="78">
        <v>37404.629999999997</v>
      </c>
      <c r="G87" s="78" t="s">
        <v>1182</v>
      </c>
    </row>
    <row r="88" spans="1:7" x14ac:dyDescent="0.25">
      <c r="A88" s="5" t="s">
        <v>901</v>
      </c>
      <c r="B88" s="78">
        <f t="shared" si="1"/>
        <v>37.916629999999998</v>
      </c>
      <c r="C88" s="78" t="s">
        <v>989</v>
      </c>
      <c r="D88" s="7" t="s">
        <v>276</v>
      </c>
      <c r="E88" s="80" t="s">
        <v>1175</v>
      </c>
      <c r="F88" s="78">
        <v>37916.629999999997</v>
      </c>
      <c r="G88" s="78" t="s">
        <v>1182</v>
      </c>
    </row>
    <row r="89" spans="1:7" x14ac:dyDescent="0.25">
      <c r="A89" s="5" t="s">
        <v>901</v>
      </c>
      <c r="B89" s="78">
        <f t="shared" si="1"/>
        <v>38.301629999999996</v>
      </c>
      <c r="C89" s="78" t="s">
        <v>990</v>
      </c>
      <c r="D89" s="7" t="s">
        <v>278</v>
      </c>
      <c r="E89" s="80" t="s">
        <v>1175</v>
      </c>
      <c r="F89" s="78">
        <v>38301.629999999997</v>
      </c>
      <c r="G89" s="78" t="s">
        <v>1182</v>
      </c>
    </row>
    <row r="90" spans="1:7" x14ac:dyDescent="0.25">
      <c r="A90" s="5" t="s">
        <v>901</v>
      </c>
      <c r="B90" s="78">
        <f t="shared" si="1"/>
        <v>38.654360000000004</v>
      </c>
      <c r="C90" s="78" t="s">
        <v>991</v>
      </c>
      <c r="D90" s="7" t="s">
        <v>280</v>
      </c>
      <c r="E90" s="80" t="s">
        <v>1175</v>
      </c>
      <c r="F90" s="78">
        <v>38654.36</v>
      </c>
      <c r="G90" s="78" t="s">
        <v>1184</v>
      </c>
    </row>
    <row r="91" spans="1:7" x14ac:dyDescent="0.25">
      <c r="A91" s="5" t="s">
        <v>901</v>
      </c>
      <c r="B91" s="78">
        <f t="shared" si="1"/>
        <v>39.116</v>
      </c>
      <c r="C91" s="78" t="s">
        <v>992</v>
      </c>
      <c r="D91" s="7" t="s">
        <v>282</v>
      </c>
      <c r="E91" s="80" t="s">
        <v>1175</v>
      </c>
      <c r="F91" s="78">
        <v>39116</v>
      </c>
      <c r="G91" s="78" t="s">
        <v>1182</v>
      </c>
    </row>
    <row r="92" spans="1:7" x14ac:dyDescent="0.25">
      <c r="A92" s="5" t="s">
        <v>901</v>
      </c>
      <c r="B92" s="78">
        <f t="shared" si="1"/>
        <v>39.637999999999998</v>
      </c>
      <c r="C92" s="78" t="s">
        <v>993</v>
      </c>
      <c r="D92" s="7" t="s">
        <v>284</v>
      </c>
      <c r="E92" s="80" t="s">
        <v>1175</v>
      </c>
      <c r="F92" s="78">
        <v>39638</v>
      </c>
      <c r="G92" s="78" t="s">
        <v>1182</v>
      </c>
    </row>
    <row r="93" spans="1:7" x14ac:dyDescent="0.25">
      <c r="A93" s="5" t="s">
        <v>901</v>
      </c>
      <c r="B93" s="78">
        <f t="shared" si="1"/>
        <v>39.947000000000003</v>
      </c>
      <c r="C93" s="78" t="s">
        <v>994</v>
      </c>
      <c r="D93" s="7" t="s">
        <v>286</v>
      </c>
      <c r="E93" s="80" t="s">
        <v>1175</v>
      </c>
      <c r="F93" s="78">
        <v>39947</v>
      </c>
      <c r="G93" s="78" t="s">
        <v>1182</v>
      </c>
    </row>
    <row r="94" spans="1:7" x14ac:dyDescent="0.25">
      <c r="A94" s="5" t="s">
        <v>901</v>
      </c>
      <c r="B94" s="78">
        <f t="shared" si="1"/>
        <v>40.536999999999999</v>
      </c>
      <c r="C94" s="78" t="s">
        <v>995</v>
      </c>
      <c r="D94" s="7" t="s">
        <v>288</v>
      </c>
      <c r="E94" s="80" t="s">
        <v>1175</v>
      </c>
      <c r="F94" s="78">
        <v>40537</v>
      </c>
      <c r="G94" s="78" t="s">
        <v>1182</v>
      </c>
    </row>
    <row r="95" spans="1:7" x14ac:dyDescent="0.25">
      <c r="A95" s="5" t="s">
        <v>901</v>
      </c>
      <c r="B95" s="78">
        <f t="shared" si="1"/>
        <v>40.945999999999998</v>
      </c>
      <c r="C95" s="78" t="s">
        <v>996</v>
      </c>
      <c r="D95" s="7" t="s">
        <v>290</v>
      </c>
      <c r="E95" s="80" t="s">
        <v>1175</v>
      </c>
      <c r="F95" s="78">
        <v>40946</v>
      </c>
      <c r="G95" s="78" t="s">
        <v>1182</v>
      </c>
    </row>
    <row r="96" spans="1:7" x14ac:dyDescent="0.25">
      <c r="A96" s="5" t="s">
        <v>901</v>
      </c>
      <c r="B96" s="78">
        <f t="shared" si="1"/>
        <v>41.305</v>
      </c>
      <c r="C96" s="78" t="s">
        <v>997</v>
      </c>
      <c r="D96" s="7" t="s">
        <v>292</v>
      </c>
      <c r="E96" s="80" t="s">
        <v>1175</v>
      </c>
      <c r="F96" s="78">
        <v>41305</v>
      </c>
      <c r="G96" s="78" t="s">
        <v>1182</v>
      </c>
    </row>
    <row r="97" spans="1:7" x14ac:dyDescent="0.25">
      <c r="A97" s="5" t="s">
        <v>901</v>
      </c>
      <c r="B97" s="78">
        <f t="shared" si="1"/>
        <v>41.942999999999998</v>
      </c>
      <c r="C97" s="78" t="s">
        <v>998</v>
      </c>
      <c r="D97" s="7" t="s">
        <v>294</v>
      </c>
      <c r="E97" s="80" t="s">
        <v>1175</v>
      </c>
      <c r="F97" s="78">
        <v>41943</v>
      </c>
      <c r="G97" s="78" t="s">
        <v>1182</v>
      </c>
    </row>
    <row r="98" spans="1:7" x14ac:dyDescent="0.25">
      <c r="A98" s="5" t="s">
        <v>901</v>
      </c>
      <c r="B98" s="78">
        <f t="shared" si="1"/>
        <v>42.302999999999997</v>
      </c>
      <c r="C98" s="78" t="s">
        <v>999</v>
      </c>
      <c r="D98" s="7" t="s">
        <v>296</v>
      </c>
      <c r="E98" s="80" t="s">
        <v>1175</v>
      </c>
      <c r="F98" s="78">
        <v>42303</v>
      </c>
      <c r="G98" s="78" t="s">
        <v>1181</v>
      </c>
    </row>
    <row r="99" spans="1:7" x14ac:dyDescent="0.25">
      <c r="A99" s="5" t="s">
        <v>901</v>
      </c>
      <c r="B99" s="78">
        <f t="shared" si="1"/>
        <v>42.655999999999999</v>
      </c>
      <c r="C99" s="78" t="s">
        <v>1000</v>
      </c>
      <c r="D99" s="7" t="s">
        <v>298</v>
      </c>
      <c r="E99" s="80" t="s">
        <v>1175</v>
      </c>
      <c r="F99" s="78">
        <v>42656</v>
      </c>
      <c r="G99" s="78" t="s">
        <v>1181</v>
      </c>
    </row>
    <row r="100" spans="1:7" x14ac:dyDescent="0.25">
      <c r="A100" s="5" t="s">
        <v>901</v>
      </c>
      <c r="B100" s="78">
        <f t="shared" si="1"/>
        <v>43.292999999999999</v>
      </c>
      <c r="C100" s="78" t="s">
        <v>1001</v>
      </c>
      <c r="D100" s="7" t="s">
        <v>300</v>
      </c>
      <c r="E100" s="80" t="s">
        <v>1175</v>
      </c>
      <c r="F100" s="78">
        <v>43293</v>
      </c>
      <c r="G100" s="78" t="s">
        <v>1182</v>
      </c>
    </row>
    <row r="101" spans="1:7" x14ac:dyDescent="0.25">
      <c r="A101" s="5" t="s">
        <v>901</v>
      </c>
      <c r="B101" s="78">
        <f t="shared" si="1"/>
        <v>43.646000000000001</v>
      </c>
      <c r="C101" s="78" t="s">
        <v>1002</v>
      </c>
      <c r="D101" s="7" t="s">
        <v>302</v>
      </c>
      <c r="E101" s="80" t="s">
        <v>1175</v>
      </c>
      <c r="F101" s="78">
        <v>43646</v>
      </c>
      <c r="G101" s="78" t="s">
        <v>1181</v>
      </c>
    </row>
    <row r="102" spans="1:7" x14ac:dyDescent="0.25">
      <c r="A102" s="5" t="s">
        <v>901</v>
      </c>
      <c r="B102" s="78">
        <f t="shared" si="1"/>
        <v>44.123139999999999</v>
      </c>
      <c r="C102" s="78" t="s">
        <v>1003</v>
      </c>
      <c r="D102" s="7" t="s">
        <v>304</v>
      </c>
      <c r="E102" s="80" t="s">
        <v>1175</v>
      </c>
      <c r="F102" s="78">
        <v>44123.14</v>
      </c>
      <c r="G102" s="78" t="s">
        <v>1182</v>
      </c>
    </row>
    <row r="103" spans="1:7" x14ac:dyDescent="0.25">
      <c r="A103" s="5" t="s">
        <v>901</v>
      </c>
      <c r="B103" s="78">
        <f t="shared" si="1"/>
        <v>44.631</v>
      </c>
      <c r="C103" s="78" t="s">
        <v>1004</v>
      </c>
      <c r="D103" s="7" t="s">
        <v>306</v>
      </c>
      <c r="E103" s="80" t="s">
        <v>1175</v>
      </c>
      <c r="F103" s="78">
        <v>44631</v>
      </c>
      <c r="G103" s="78" t="s">
        <v>1182</v>
      </c>
    </row>
    <row r="104" spans="1:7" x14ac:dyDescent="0.25">
      <c r="A104" s="5" t="s">
        <v>901</v>
      </c>
      <c r="B104" s="78">
        <f t="shared" si="1"/>
        <v>45.103000000000002</v>
      </c>
      <c r="C104" s="78" t="s">
        <v>1005</v>
      </c>
      <c r="D104" s="7" t="s">
        <v>308</v>
      </c>
      <c r="E104" s="80" t="s">
        <v>1175</v>
      </c>
      <c r="F104" s="78">
        <v>45103</v>
      </c>
      <c r="G104" s="78" t="s">
        <v>1181</v>
      </c>
    </row>
    <row r="105" spans="1:7" x14ac:dyDescent="0.25">
      <c r="A105" s="5" t="s">
        <v>901</v>
      </c>
      <c r="B105" s="78">
        <f t="shared" si="1"/>
        <v>45.618000000000002</v>
      </c>
      <c r="C105" s="78" t="s">
        <v>1006</v>
      </c>
      <c r="D105" s="7" t="s">
        <v>310</v>
      </c>
      <c r="E105" s="80" t="s">
        <v>1175</v>
      </c>
      <c r="F105" s="78">
        <v>45618</v>
      </c>
      <c r="G105" s="78" t="s">
        <v>1181</v>
      </c>
    </row>
    <row r="106" spans="1:7" x14ac:dyDescent="0.25">
      <c r="A106" s="5" t="s">
        <v>901</v>
      </c>
      <c r="B106" s="78">
        <f t="shared" si="1"/>
        <v>46.094000000000001</v>
      </c>
      <c r="C106" s="78" t="s">
        <v>1007</v>
      </c>
      <c r="D106" s="7" t="s">
        <v>312</v>
      </c>
      <c r="E106" s="80" t="s">
        <v>1175</v>
      </c>
      <c r="F106" s="78">
        <v>46094</v>
      </c>
      <c r="G106" s="78" t="s">
        <v>1182</v>
      </c>
    </row>
    <row r="107" spans="1:7" x14ac:dyDescent="0.25">
      <c r="A107" s="5" t="s">
        <v>901</v>
      </c>
      <c r="B107" s="78">
        <f t="shared" si="1"/>
        <v>46.606000000000002</v>
      </c>
      <c r="C107" s="78" t="s">
        <v>1008</v>
      </c>
      <c r="D107" s="7" t="s">
        <v>314</v>
      </c>
      <c r="E107" s="80" t="s">
        <v>1175</v>
      </c>
      <c r="F107" s="78">
        <v>46606</v>
      </c>
      <c r="G107" s="78" t="s">
        <v>1181</v>
      </c>
    </row>
    <row r="108" spans="1:7" x14ac:dyDescent="0.25">
      <c r="A108" s="5" t="s">
        <v>901</v>
      </c>
      <c r="B108" s="78">
        <f t="shared" si="1"/>
        <v>47.037999999999997</v>
      </c>
      <c r="C108" s="78" t="s">
        <v>1009</v>
      </c>
      <c r="D108" s="7" t="s">
        <v>316</v>
      </c>
      <c r="E108" s="80" t="s">
        <v>1175</v>
      </c>
      <c r="F108" s="78">
        <v>47038</v>
      </c>
      <c r="G108" s="78" t="s">
        <v>1182</v>
      </c>
    </row>
    <row r="109" spans="1:7" x14ac:dyDescent="0.25">
      <c r="A109" s="5" t="s">
        <v>901</v>
      </c>
      <c r="B109" s="78">
        <f t="shared" si="1"/>
        <v>47.499000000000002</v>
      </c>
      <c r="C109" s="78" t="s">
        <v>1010</v>
      </c>
      <c r="D109" s="7" t="s">
        <v>318</v>
      </c>
      <c r="E109" s="80" t="s">
        <v>1175</v>
      </c>
      <c r="F109" s="78">
        <v>47499</v>
      </c>
      <c r="G109" s="78" t="s">
        <v>1181</v>
      </c>
    </row>
    <row r="110" spans="1:7" x14ac:dyDescent="0.25">
      <c r="A110" s="5" t="s">
        <v>901</v>
      </c>
      <c r="B110" s="78">
        <f t="shared" si="1"/>
        <v>48.018999999999998</v>
      </c>
      <c r="C110" s="78" t="s">
        <v>1011</v>
      </c>
      <c r="D110" s="7" t="s">
        <v>320</v>
      </c>
      <c r="E110" s="80" t="s">
        <v>1175</v>
      </c>
      <c r="F110" s="78">
        <v>48019</v>
      </c>
      <c r="G110" s="78" t="s">
        <v>1182</v>
      </c>
    </row>
    <row r="111" spans="1:7" x14ac:dyDescent="0.25">
      <c r="A111" s="5" t="s">
        <v>901</v>
      </c>
      <c r="B111" s="78">
        <f t="shared" si="1"/>
        <v>48.497309999999999</v>
      </c>
      <c r="C111" s="78" t="s">
        <v>1012</v>
      </c>
      <c r="D111" s="7" t="s">
        <v>322</v>
      </c>
      <c r="E111" s="80" t="s">
        <v>1175</v>
      </c>
      <c r="F111" s="78">
        <v>48497.31</v>
      </c>
      <c r="G111" s="78" t="s">
        <v>1182</v>
      </c>
    </row>
    <row r="112" spans="1:7" x14ac:dyDescent="0.25">
      <c r="A112" s="5" t="s">
        <v>901</v>
      </c>
      <c r="B112" s="78">
        <f t="shared" si="1"/>
        <v>48.893000000000001</v>
      </c>
      <c r="C112" s="78" t="s">
        <v>1013</v>
      </c>
      <c r="D112" s="7" t="s">
        <v>324</v>
      </c>
      <c r="E112" s="80" t="s">
        <v>1175</v>
      </c>
      <c r="F112" s="78">
        <v>48893</v>
      </c>
      <c r="G112" s="78" t="s">
        <v>1182</v>
      </c>
    </row>
    <row r="113" spans="1:7" x14ac:dyDescent="0.25">
      <c r="A113" s="5" t="s">
        <v>901</v>
      </c>
      <c r="B113" s="78">
        <f t="shared" si="1"/>
        <v>49.29992</v>
      </c>
      <c r="C113" s="78" t="s">
        <v>1014</v>
      </c>
      <c r="D113" s="7" t="s">
        <v>326</v>
      </c>
      <c r="E113" s="80" t="s">
        <v>1175</v>
      </c>
      <c r="F113" s="78">
        <v>49299.92</v>
      </c>
      <c r="G113" s="78" t="s">
        <v>1182</v>
      </c>
    </row>
    <row r="114" spans="1:7" x14ac:dyDescent="0.25">
      <c r="A114" s="5" t="s">
        <v>901</v>
      </c>
      <c r="B114" s="78">
        <f t="shared" si="1"/>
        <v>49.774999999999999</v>
      </c>
      <c r="C114" s="78" t="s">
        <v>1015</v>
      </c>
      <c r="D114" s="7" t="s">
        <v>328</v>
      </c>
      <c r="E114" s="80" t="s">
        <v>1175</v>
      </c>
      <c r="F114" s="78">
        <v>49775</v>
      </c>
      <c r="G114" s="78" t="s">
        <v>1182</v>
      </c>
    </row>
    <row r="115" spans="1:7" x14ac:dyDescent="0.25">
      <c r="A115" s="5" t="s">
        <v>901</v>
      </c>
      <c r="B115" s="78">
        <f t="shared" si="1"/>
        <v>50.29</v>
      </c>
      <c r="C115" s="78" t="s">
        <v>1016</v>
      </c>
      <c r="D115" s="7" t="s">
        <v>330</v>
      </c>
      <c r="E115" s="80" t="s">
        <v>1175</v>
      </c>
      <c r="F115" s="78">
        <v>50290</v>
      </c>
      <c r="G115" s="78" t="s">
        <v>1182</v>
      </c>
    </row>
    <row r="116" spans="1:7" x14ac:dyDescent="0.25">
      <c r="A116" s="5" t="s">
        <v>901</v>
      </c>
      <c r="B116" s="78">
        <f t="shared" si="1"/>
        <v>50.765000000000001</v>
      </c>
      <c r="C116" s="78" t="s">
        <v>1017</v>
      </c>
      <c r="D116" s="7" t="s">
        <v>332</v>
      </c>
      <c r="E116" s="80" t="s">
        <v>1175</v>
      </c>
      <c r="F116" s="78">
        <v>50765</v>
      </c>
      <c r="G116" s="78" t="s">
        <v>1182</v>
      </c>
    </row>
    <row r="117" spans="1:7" x14ac:dyDescent="0.25">
      <c r="A117" s="5" t="s">
        <v>901</v>
      </c>
      <c r="B117" s="78">
        <f t="shared" si="1"/>
        <v>51.280999999999999</v>
      </c>
      <c r="C117" s="78" t="s">
        <v>1018</v>
      </c>
      <c r="D117" s="7" t="s">
        <v>334</v>
      </c>
      <c r="E117" s="80" t="s">
        <v>1175</v>
      </c>
      <c r="F117" s="78">
        <v>51281</v>
      </c>
      <c r="G117" s="78" t="s">
        <v>1182</v>
      </c>
    </row>
    <row r="118" spans="1:7" x14ac:dyDescent="0.25">
      <c r="A118" s="5" t="s">
        <v>901</v>
      </c>
      <c r="B118" s="78">
        <f t="shared" si="1"/>
        <v>51.764000000000003</v>
      </c>
      <c r="C118" s="78" t="s">
        <v>1019</v>
      </c>
      <c r="D118" s="7" t="s">
        <v>336</v>
      </c>
      <c r="E118" s="80" t="s">
        <v>1175</v>
      </c>
      <c r="F118" s="78">
        <v>51764</v>
      </c>
      <c r="G118" s="78" t="s">
        <v>1182</v>
      </c>
    </row>
    <row r="119" spans="1:7" x14ac:dyDescent="0.25">
      <c r="A119" s="5" t="s">
        <v>901</v>
      </c>
      <c r="B119" s="78">
        <f t="shared" si="1"/>
        <v>52.274000000000001</v>
      </c>
      <c r="C119" s="78" t="s">
        <v>1020</v>
      </c>
      <c r="D119" s="7" t="s">
        <v>338</v>
      </c>
      <c r="E119" s="80" t="s">
        <v>1175</v>
      </c>
      <c r="F119" s="78">
        <v>52274</v>
      </c>
      <c r="G119" s="78" t="s">
        <v>1182</v>
      </c>
    </row>
    <row r="120" spans="1:7" x14ac:dyDescent="0.25">
      <c r="A120" s="5" t="s">
        <v>901</v>
      </c>
      <c r="B120" s="78">
        <f t="shared" si="1"/>
        <v>52.76</v>
      </c>
      <c r="C120" s="78" t="s">
        <v>1021</v>
      </c>
      <c r="D120" s="7" t="s">
        <v>340</v>
      </c>
      <c r="E120" s="80" t="s">
        <v>1175</v>
      </c>
      <c r="F120" s="78">
        <v>52760</v>
      </c>
      <c r="G120" s="78" t="s">
        <v>1182</v>
      </c>
    </row>
    <row r="121" spans="1:7" x14ac:dyDescent="0.25">
      <c r="A121" s="5" t="s">
        <v>901</v>
      </c>
      <c r="B121" s="78">
        <f t="shared" si="1"/>
        <v>53.27</v>
      </c>
      <c r="C121" s="78" t="s">
        <v>1022</v>
      </c>
      <c r="D121" s="7" t="s">
        <v>342</v>
      </c>
      <c r="E121" s="80" t="s">
        <v>1175</v>
      </c>
      <c r="F121" s="78">
        <v>53270</v>
      </c>
      <c r="G121" s="78" t="s">
        <v>1182</v>
      </c>
    </row>
    <row r="122" spans="1:7" x14ac:dyDescent="0.25">
      <c r="A122" s="5" t="s">
        <v>901</v>
      </c>
      <c r="B122" s="78">
        <f t="shared" si="1"/>
        <v>53.758000000000003</v>
      </c>
      <c r="C122" s="78" t="s">
        <v>1023</v>
      </c>
      <c r="D122" s="7" t="s">
        <v>344</v>
      </c>
      <c r="E122" s="80" t="s">
        <v>1175</v>
      </c>
      <c r="F122" s="78">
        <v>53758</v>
      </c>
      <c r="G122" s="78" t="s">
        <v>1182</v>
      </c>
    </row>
    <row r="123" spans="1:7" x14ac:dyDescent="0.25">
      <c r="A123" s="5" t="s">
        <v>901</v>
      </c>
      <c r="B123" s="78">
        <f t="shared" si="1"/>
        <v>54.199940000000005</v>
      </c>
      <c r="C123" s="78" t="s">
        <v>1024</v>
      </c>
      <c r="D123" s="7" t="s">
        <v>346</v>
      </c>
      <c r="E123" s="80" t="s">
        <v>1175</v>
      </c>
      <c r="F123" s="78">
        <v>54199.94</v>
      </c>
      <c r="G123" s="78" t="s">
        <v>1181</v>
      </c>
    </row>
    <row r="124" spans="1:7" x14ac:dyDescent="0.25">
      <c r="A124" s="5" t="s">
        <v>901</v>
      </c>
      <c r="B124" s="78">
        <f t="shared" si="1"/>
        <v>54.755000000000003</v>
      </c>
      <c r="C124" s="78" t="s">
        <v>1025</v>
      </c>
      <c r="D124" s="7" t="s">
        <v>348</v>
      </c>
      <c r="E124" s="80" t="s">
        <v>1175</v>
      </c>
      <c r="F124" s="78">
        <v>54755</v>
      </c>
      <c r="G124" s="78" t="s">
        <v>1182</v>
      </c>
    </row>
    <row r="125" spans="1:7" x14ac:dyDescent="0.25">
      <c r="A125" s="5" t="s">
        <v>901</v>
      </c>
      <c r="B125" s="78">
        <f t="shared" si="1"/>
        <v>55.127000000000002</v>
      </c>
      <c r="C125" s="78" t="s">
        <v>1026</v>
      </c>
      <c r="D125" s="7" t="s">
        <v>350</v>
      </c>
      <c r="E125" s="80" t="s">
        <v>1175</v>
      </c>
      <c r="F125" s="78">
        <v>55127</v>
      </c>
      <c r="G125" s="78" t="s">
        <v>1181</v>
      </c>
    </row>
    <row r="126" spans="1:7" x14ac:dyDescent="0.25">
      <c r="A126" s="5" t="s">
        <v>901</v>
      </c>
      <c r="B126" s="78">
        <f t="shared" si="1"/>
        <v>55.747</v>
      </c>
      <c r="C126" s="78" t="s">
        <v>1027</v>
      </c>
      <c r="D126" s="7" t="s">
        <v>352</v>
      </c>
      <c r="E126" s="80" t="s">
        <v>1175</v>
      </c>
      <c r="F126" s="78">
        <v>55747</v>
      </c>
      <c r="G126" s="78" t="s">
        <v>1182</v>
      </c>
    </row>
    <row r="127" spans="1:7" x14ac:dyDescent="0.25">
      <c r="A127" s="5" t="s">
        <v>901</v>
      </c>
      <c r="B127" s="78">
        <f t="shared" si="1"/>
        <v>56.125</v>
      </c>
      <c r="C127" s="78" t="s">
        <v>1028</v>
      </c>
      <c r="D127" s="7" t="s">
        <v>354</v>
      </c>
      <c r="E127" s="80" t="s">
        <v>1175</v>
      </c>
      <c r="F127" s="78">
        <v>56125</v>
      </c>
      <c r="G127" s="78" t="s">
        <v>1182</v>
      </c>
    </row>
    <row r="128" spans="1:7" x14ac:dyDescent="0.25">
      <c r="A128" s="5" t="s">
        <v>901</v>
      </c>
      <c r="B128" s="78">
        <f t="shared" si="1"/>
        <v>56.63</v>
      </c>
      <c r="C128" s="78" t="s">
        <v>1029</v>
      </c>
      <c r="D128" s="7" t="s">
        <v>356</v>
      </c>
      <c r="E128" s="80" t="s">
        <v>1175</v>
      </c>
      <c r="F128" s="78">
        <v>56630</v>
      </c>
      <c r="G128" s="78" t="s">
        <v>1182</v>
      </c>
    </row>
    <row r="129" spans="1:7" x14ac:dyDescent="0.25">
      <c r="A129" s="5" t="s">
        <v>901</v>
      </c>
      <c r="B129" s="78">
        <f t="shared" si="1"/>
        <v>57.12</v>
      </c>
      <c r="C129" s="78" t="s">
        <v>1030</v>
      </c>
      <c r="D129" s="7" t="s">
        <v>358</v>
      </c>
      <c r="E129" s="80" t="s">
        <v>1175</v>
      </c>
      <c r="F129" s="78">
        <v>57120</v>
      </c>
      <c r="G129" s="78" t="s">
        <v>1181</v>
      </c>
    </row>
    <row r="130" spans="1:7" x14ac:dyDescent="0.25">
      <c r="A130" s="5" t="s">
        <v>901</v>
      </c>
      <c r="B130" s="78">
        <f t="shared" si="1"/>
        <v>57.609000000000002</v>
      </c>
      <c r="C130" s="78" t="s">
        <v>1031</v>
      </c>
      <c r="D130" s="7" t="s">
        <v>360</v>
      </c>
      <c r="E130" s="80" t="s">
        <v>1175</v>
      </c>
      <c r="F130" s="78">
        <v>57609</v>
      </c>
      <c r="G130" s="78" t="s">
        <v>1181</v>
      </c>
    </row>
    <row r="131" spans="1:7" x14ac:dyDescent="0.25">
      <c r="A131" s="5" t="s">
        <v>901</v>
      </c>
      <c r="B131" s="78">
        <f t="shared" ref="B131:B194" si="2">F131/1000</f>
        <v>58.115000000000002</v>
      </c>
      <c r="C131" s="78" t="s">
        <v>1032</v>
      </c>
      <c r="D131" s="7" t="s">
        <v>362</v>
      </c>
      <c r="E131" s="80" t="s">
        <v>1175</v>
      </c>
      <c r="F131" s="78">
        <v>58115</v>
      </c>
      <c r="G131" s="78" t="s">
        <v>1182</v>
      </c>
    </row>
    <row r="132" spans="1:7" x14ac:dyDescent="0.25">
      <c r="A132" s="5" t="s">
        <v>901</v>
      </c>
      <c r="B132" s="78">
        <f t="shared" si="2"/>
        <v>58.582000000000001</v>
      </c>
      <c r="C132" s="78" t="s">
        <v>1033</v>
      </c>
      <c r="D132" s="7" t="s">
        <v>364</v>
      </c>
      <c r="E132" s="80" t="s">
        <v>1175</v>
      </c>
      <c r="F132" s="78">
        <v>58582</v>
      </c>
      <c r="G132" s="78" t="s">
        <v>1182</v>
      </c>
    </row>
    <row r="133" spans="1:7" x14ac:dyDescent="0.25">
      <c r="A133" s="5" t="s">
        <v>901</v>
      </c>
      <c r="B133" s="78">
        <f t="shared" si="2"/>
        <v>59.11</v>
      </c>
      <c r="C133" s="78" t="s">
        <v>1034</v>
      </c>
      <c r="D133" s="7" t="s">
        <v>366</v>
      </c>
      <c r="E133" s="80" t="s">
        <v>1175</v>
      </c>
      <c r="F133" s="78">
        <v>59110</v>
      </c>
      <c r="G133" s="78" t="s">
        <v>1182</v>
      </c>
    </row>
    <row r="134" spans="1:7" x14ac:dyDescent="0.25">
      <c r="A134" s="5" t="s">
        <v>901</v>
      </c>
      <c r="B134" s="78">
        <f t="shared" si="2"/>
        <v>59.499760000000002</v>
      </c>
      <c r="C134" s="78" t="s">
        <v>1035</v>
      </c>
      <c r="D134" s="7" t="s">
        <v>368</v>
      </c>
      <c r="E134" s="80" t="s">
        <v>1175</v>
      </c>
      <c r="F134" s="78">
        <v>59499.76</v>
      </c>
      <c r="G134" s="78" t="s">
        <v>1184</v>
      </c>
    </row>
    <row r="135" spans="1:7" x14ac:dyDescent="0.25">
      <c r="A135" s="5" t="s">
        <v>901</v>
      </c>
      <c r="B135" s="78">
        <f t="shared" si="2"/>
        <v>59.963000000000001</v>
      </c>
      <c r="C135" s="78" t="s">
        <v>1036</v>
      </c>
      <c r="D135" s="7" t="s">
        <v>370</v>
      </c>
      <c r="E135" s="80" t="s">
        <v>1175</v>
      </c>
      <c r="F135" s="78">
        <v>59963</v>
      </c>
      <c r="G135" s="78" t="s">
        <v>1182</v>
      </c>
    </row>
    <row r="136" spans="1:7" x14ac:dyDescent="0.25">
      <c r="A136" s="5" t="s">
        <v>901</v>
      </c>
      <c r="B136" s="78">
        <f t="shared" si="2"/>
        <v>60.387</v>
      </c>
      <c r="C136" s="78" t="s">
        <v>1037</v>
      </c>
      <c r="D136" s="7" t="s">
        <v>372</v>
      </c>
      <c r="E136" s="80" t="s">
        <v>1176</v>
      </c>
      <c r="F136" s="78">
        <v>60387</v>
      </c>
      <c r="G136" s="78" t="s">
        <v>1185</v>
      </c>
    </row>
    <row r="137" spans="1:7" x14ac:dyDescent="0.25">
      <c r="A137" s="5" t="s">
        <v>901</v>
      </c>
      <c r="B137" s="78">
        <f t="shared" si="2"/>
        <v>60.929610000000004</v>
      </c>
      <c r="C137" s="78" t="s">
        <v>1038</v>
      </c>
      <c r="D137" s="7" t="s">
        <v>374</v>
      </c>
      <c r="E137" s="80" t="s">
        <v>1177</v>
      </c>
      <c r="F137" s="78">
        <v>60929.61</v>
      </c>
      <c r="G137" s="78" t="s">
        <v>1182</v>
      </c>
    </row>
    <row r="138" spans="1:7" x14ac:dyDescent="0.25">
      <c r="A138" s="5" t="s">
        <v>901</v>
      </c>
      <c r="B138" s="78">
        <f t="shared" si="2"/>
        <v>61.363669999999999</v>
      </c>
      <c r="C138" s="78" t="s">
        <v>1039</v>
      </c>
      <c r="D138" s="7" t="s">
        <v>376</v>
      </c>
      <c r="E138" s="80" t="s">
        <v>1177</v>
      </c>
      <c r="F138" s="78">
        <v>61363.67</v>
      </c>
      <c r="G138" s="78" t="s">
        <v>1182</v>
      </c>
    </row>
    <row r="139" spans="1:7" x14ac:dyDescent="0.25">
      <c r="A139" s="5" t="s">
        <v>901</v>
      </c>
      <c r="B139" s="78">
        <f t="shared" si="2"/>
        <v>61.511069999999997</v>
      </c>
      <c r="C139" s="78" t="s">
        <v>1040</v>
      </c>
      <c r="D139" s="7" t="s">
        <v>378</v>
      </c>
      <c r="E139" s="80" t="s">
        <v>1177</v>
      </c>
      <c r="F139" s="78">
        <v>61511.07</v>
      </c>
      <c r="G139" s="78" t="s">
        <v>1184</v>
      </c>
    </row>
    <row r="140" spans="1:7" x14ac:dyDescent="0.25">
      <c r="A140" s="5" t="s">
        <v>901</v>
      </c>
      <c r="B140" s="78">
        <f t="shared" si="2"/>
        <v>62.028680000000001</v>
      </c>
      <c r="C140" s="78" t="s">
        <v>1041</v>
      </c>
      <c r="D140" s="7" t="s">
        <v>380</v>
      </c>
      <c r="E140" s="80" t="s">
        <v>1177</v>
      </c>
      <c r="F140" s="78">
        <v>62028.68</v>
      </c>
      <c r="G140" s="78" t="s">
        <v>1184</v>
      </c>
    </row>
    <row r="141" spans="1:7" x14ac:dyDescent="0.25">
      <c r="A141" s="5" t="s">
        <v>901</v>
      </c>
      <c r="B141" s="78">
        <f t="shared" si="2"/>
        <v>62.399230000000003</v>
      </c>
      <c r="C141" s="78" t="s">
        <v>1042</v>
      </c>
      <c r="D141" s="7" t="s">
        <v>382</v>
      </c>
      <c r="E141" s="80" t="s">
        <v>1177</v>
      </c>
      <c r="F141" s="78">
        <v>62399.23</v>
      </c>
      <c r="G141" s="78" t="s">
        <v>1182</v>
      </c>
    </row>
    <row r="142" spans="1:7" x14ac:dyDescent="0.25">
      <c r="A142" s="5" t="s">
        <v>901</v>
      </c>
      <c r="B142" s="78">
        <f t="shared" si="2"/>
        <v>62.597079999999998</v>
      </c>
      <c r="C142" s="78" t="s">
        <v>1043</v>
      </c>
      <c r="D142" s="7" t="s">
        <v>384</v>
      </c>
      <c r="E142" s="80" t="s">
        <v>1177</v>
      </c>
      <c r="F142" s="78">
        <v>62597.08</v>
      </c>
      <c r="G142" s="78" t="s">
        <v>1182</v>
      </c>
    </row>
    <row r="143" spans="1:7" x14ac:dyDescent="0.25">
      <c r="A143" s="5" t="s">
        <v>901</v>
      </c>
      <c r="B143" s="78">
        <f t="shared" si="2"/>
        <v>63.108230000000006</v>
      </c>
      <c r="C143" s="78" t="s">
        <v>1044</v>
      </c>
      <c r="D143" s="7" t="s">
        <v>386</v>
      </c>
      <c r="E143" s="80" t="s">
        <v>1177</v>
      </c>
      <c r="F143" s="78">
        <v>63108.23</v>
      </c>
      <c r="G143" s="78" t="s">
        <v>1182</v>
      </c>
    </row>
    <row r="144" spans="1:7" x14ac:dyDescent="0.25">
      <c r="A144" s="5" t="s">
        <v>901</v>
      </c>
      <c r="B144" s="78">
        <f t="shared" si="2"/>
        <v>63.414360000000002</v>
      </c>
      <c r="C144" s="78" t="s">
        <v>1045</v>
      </c>
      <c r="D144" s="7" t="s">
        <v>388</v>
      </c>
      <c r="E144" s="80" t="s">
        <v>1177</v>
      </c>
      <c r="F144" s="82">
        <v>63414.36</v>
      </c>
      <c r="G144" s="78" t="s">
        <v>1184</v>
      </c>
    </row>
    <row r="145" spans="1:7" x14ac:dyDescent="0.25">
      <c r="A145" s="5" t="s">
        <v>901</v>
      </c>
      <c r="B145" s="78">
        <f t="shared" si="2"/>
        <v>65.53837</v>
      </c>
      <c r="C145" s="78" t="s">
        <v>1046</v>
      </c>
      <c r="D145" s="7" t="s">
        <v>390</v>
      </c>
      <c r="E145" s="80" t="s">
        <v>1177</v>
      </c>
      <c r="F145" s="78">
        <v>65538.37</v>
      </c>
      <c r="G145" s="78" t="s">
        <v>1182</v>
      </c>
    </row>
    <row r="146" spans="1:7" x14ac:dyDescent="0.25">
      <c r="A146" s="5" t="s">
        <v>901</v>
      </c>
      <c r="B146" s="78">
        <f t="shared" si="2"/>
        <v>66.015000000000001</v>
      </c>
      <c r="C146" s="78" t="s">
        <v>1047</v>
      </c>
      <c r="D146" s="7" t="s">
        <v>392</v>
      </c>
      <c r="E146" s="80" t="s">
        <v>1177</v>
      </c>
      <c r="F146" s="78">
        <v>66015</v>
      </c>
      <c r="G146" s="78" t="s">
        <v>1182</v>
      </c>
    </row>
    <row r="147" spans="1:7" x14ac:dyDescent="0.25">
      <c r="A147" s="5" t="s">
        <v>901</v>
      </c>
      <c r="B147" s="78">
        <f t="shared" si="2"/>
        <v>66.518000000000001</v>
      </c>
      <c r="C147" s="78" t="s">
        <v>1048</v>
      </c>
      <c r="D147" s="7" t="s">
        <v>394</v>
      </c>
      <c r="E147" s="80" t="s">
        <v>1177</v>
      </c>
      <c r="F147" s="78">
        <v>66518</v>
      </c>
      <c r="G147" s="78" t="s">
        <v>1182</v>
      </c>
    </row>
    <row r="148" spans="1:7" x14ac:dyDescent="0.25">
      <c r="A148" s="5" t="s">
        <v>901</v>
      </c>
      <c r="B148" s="78">
        <f t="shared" si="2"/>
        <v>66.886880000000005</v>
      </c>
      <c r="C148" s="78" t="s">
        <v>1049</v>
      </c>
      <c r="D148" s="7" t="s">
        <v>396</v>
      </c>
      <c r="E148" s="80" t="s">
        <v>1177</v>
      </c>
      <c r="F148" s="78">
        <v>66886.880000000005</v>
      </c>
      <c r="G148" s="78" t="s">
        <v>1182</v>
      </c>
    </row>
    <row r="149" spans="1:7" x14ac:dyDescent="0.25">
      <c r="A149" s="5" t="s">
        <v>901</v>
      </c>
      <c r="B149" s="78">
        <f t="shared" si="2"/>
        <v>67.323390000000003</v>
      </c>
      <c r="C149" s="78" t="s">
        <v>1050</v>
      </c>
      <c r="D149" s="7" t="s">
        <v>398</v>
      </c>
      <c r="E149" s="80" t="s">
        <v>1177</v>
      </c>
      <c r="F149" s="78">
        <v>67323.39</v>
      </c>
      <c r="G149" s="78" t="s">
        <v>1182</v>
      </c>
    </row>
    <row r="150" spans="1:7" x14ac:dyDescent="0.25">
      <c r="A150" s="5" t="s">
        <v>901</v>
      </c>
      <c r="B150" s="78">
        <f t="shared" si="2"/>
        <v>67.682929999999999</v>
      </c>
      <c r="C150" s="78" t="s">
        <v>1051</v>
      </c>
      <c r="D150" s="7" t="s">
        <v>400</v>
      </c>
      <c r="E150" s="80" t="s">
        <v>1177</v>
      </c>
      <c r="F150" s="78">
        <v>67682.929999999993</v>
      </c>
      <c r="G150" s="78" t="s">
        <v>1183</v>
      </c>
    </row>
    <row r="151" spans="1:7" x14ac:dyDescent="0.25">
      <c r="A151" s="5" t="s">
        <v>901</v>
      </c>
      <c r="B151" s="78">
        <f t="shared" si="2"/>
        <v>68.207999999999998</v>
      </c>
      <c r="C151" s="78" t="s">
        <v>1052</v>
      </c>
      <c r="D151" s="7" t="s">
        <v>402</v>
      </c>
      <c r="E151" s="80" t="s">
        <v>1177</v>
      </c>
      <c r="F151" s="78">
        <v>68208</v>
      </c>
      <c r="G151" s="78" t="s">
        <v>1182</v>
      </c>
    </row>
    <row r="152" spans="1:7" x14ac:dyDescent="0.25">
      <c r="A152" s="5" t="s">
        <v>901</v>
      </c>
      <c r="B152" s="78">
        <f t="shared" si="2"/>
        <v>68.593000000000004</v>
      </c>
      <c r="C152" s="78" t="s">
        <v>1053</v>
      </c>
      <c r="D152" s="7" t="s">
        <v>404</v>
      </c>
      <c r="E152" s="80" t="s">
        <v>1177</v>
      </c>
      <c r="F152" s="78">
        <v>68593</v>
      </c>
      <c r="G152" s="78" t="s">
        <v>1182</v>
      </c>
    </row>
    <row r="153" spans="1:7" x14ac:dyDescent="0.25">
      <c r="A153" s="5" t="s">
        <v>901</v>
      </c>
      <c r="B153" s="78">
        <f t="shared" si="2"/>
        <v>69.066000000000003</v>
      </c>
      <c r="C153" s="78" t="s">
        <v>1054</v>
      </c>
      <c r="D153" s="7" t="s">
        <v>406</v>
      </c>
      <c r="E153" s="80" t="s">
        <v>1177</v>
      </c>
      <c r="F153" s="78">
        <v>69066</v>
      </c>
      <c r="G153" s="78" t="s">
        <v>1182</v>
      </c>
    </row>
    <row r="154" spans="1:7" x14ac:dyDescent="0.25">
      <c r="A154" s="5" t="s">
        <v>901</v>
      </c>
      <c r="B154" s="78">
        <f t="shared" si="2"/>
        <v>69.489000000000004</v>
      </c>
      <c r="C154" s="78" t="s">
        <v>1055</v>
      </c>
      <c r="D154" s="7" t="s">
        <v>408</v>
      </c>
      <c r="E154" s="80" t="s">
        <v>1177</v>
      </c>
      <c r="F154" s="78">
        <v>69489</v>
      </c>
      <c r="G154" s="78" t="s">
        <v>1182</v>
      </c>
    </row>
    <row r="155" spans="1:7" x14ac:dyDescent="0.25">
      <c r="A155" s="5" t="s">
        <v>901</v>
      </c>
      <c r="B155" s="78">
        <f t="shared" si="2"/>
        <v>69.95747999999999</v>
      </c>
      <c r="C155" s="78" t="s">
        <v>1056</v>
      </c>
      <c r="D155" s="7" t="s">
        <v>410</v>
      </c>
      <c r="E155" s="80" t="s">
        <v>1177</v>
      </c>
      <c r="F155" s="78">
        <v>69957.48</v>
      </c>
      <c r="G155" s="78" t="s">
        <v>1183</v>
      </c>
    </row>
    <row r="156" spans="1:7" x14ac:dyDescent="0.25">
      <c r="A156" s="5" t="s">
        <v>901</v>
      </c>
      <c r="B156" s="78">
        <f t="shared" si="2"/>
        <v>70.469340000000003</v>
      </c>
      <c r="C156" s="78" t="s">
        <v>1057</v>
      </c>
      <c r="D156" s="7" t="s">
        <v>412</v>
      </c>
      <c r="E156" s="80" t="s">
        <v>1177</v>
      </c>
      <c r="F156" s="78">
        <v>70469.34</v>
      </c>
      <c r="G156" s="78" t="s">
        <v>1182</v>
      </c>
    </row>
    <row r="157" spans="1:7" x14ac:dyDescent="0.25">
      <c r="A157" s="5" t="s">
        <v>901</v>
      </c>
      <c r="B157" s="78">
        <f t="shared" si="2"/>
        <v>70.918999999999997</v>
      </c>
      <c r="C157" s="78" t="s">
        <v>1058</v>
      </c>
      <c r="D157" s="7" t="s">
        <v>414</v>
      </c>
      <c r="E157" s="80" t="s">
        <v>1177</v>
      </c>
      <c r="F157" s="78">
        <v>70919</v>
      </c>
      <c r="G157" s="78" t="s">
        <v>1182</v>
      </c>
    </row>
    <row r="158" spans="1:7" x14ac:dyDescent="0.25">
      <c r="A158" s="5" t="s">
        <v>901</v>
      </c>
      <c r="B158" s="78">
        <f t="shared" si="2"/>
        <v>71.332999999999998</v>
      </c>
      <c r="C158" s="78" t="s">
        <v>1059</v>
      </c>
      <c r="D158" s="7" t="s">
        <v>416</v>
      </c>
      <c r="E158" s="80" t="s">
        <v>1177</v>
      </c>
      <c r="F158" s="78">
        <v>71333</v>
      </c>
      <c r="G158" s="78" t="s">
        <v>1181</v>
      </c>
    </row>
    <row r="159" spans="1:7" x14ac:dyDescent="0.25">
      <c r="A159" s="5" t="s">
        <v>901</v>
      </c>
      <c r="B159" s="78">
        <f t="shared" si="2"/>
        <v>71.781610000000001</v>
      </c>
      <c r="C159" s="78" t="s">
        <v>1060</v>
      </c>
      <c r="D159" s="7" t="s">
        <v>418</v>
      </c>
      <c r="E159" s="80" t="s">
        <v>1177</v>
      </c>
      <c r="F159" s="82">
        <v>71781.61</v>
      </c>
      <c r="G159" s="78" t="s">
        <v>1183</v>
      </c>
    </row>
    <row r="160" spans="1:7" x14ac:dyDescent="0.25">
      <c r="A160" s="5" t="s">
        <v>901</v>
      </c>
      <c r="B160" s="78">
        <f t="shared" si="2"/>
        <v>72.356999999999999</v>
      </c>
      <c r="C160" s="78" t="s">
        <v>1061</v>
      </c>
      <c r="D160" s="7" t="s">
        <v>420</v>
      </c>
      <c r="E160" s="80" t="s">
        <v>1177</v>
      </c>
      <c r="F160" s="78">
        <v>72357</v>
      </c>
      <c r="G160" s="78" t="s">
        <v>1183</v>
      </c>
    </row>
    <row r="161" spans="1:7" x14ac:dyDescent="0.25">
      <c r="A161" s="5" t="s">
        <v>901</v>
      </c>
      <c r="B161" s="78">
        <f t="shared" si="2"/>
        <v>72.825509999999994</v>
      </c>
      <c r="C161" s="78" t="s">
        <v>1062</v>
      </c>
      <c r="D161" s="7" t="s">
        <v>422</v>
      </c>
      <c r="E161" s="80" t="s">
        <v>1177</v>
      </c>
      <c r="F161" s="78">
        <v>72825.509999999995</v>
      </c>
      <c r="G161" s="78" t="s">
        <v>1182</v>
      </c>
    </row>
    <row r="162" spans="1:7" x14ac:dyDescent="0.25">
      <c r="A162" s="5" t="s">
        <v>901</v>
      </c>
      <c r="B162" s="78">
        <f t="shared" si="2"/>
        <v>73.211320000000001</v>
      </c>
      <c r="C162" s="78" t="s">
        <v>1063</v>
      </c>
      <c r="D162" s="7" t="s">
        <v>424</v>
      </c>
      <c r="E162" s="80" t="s">
        <v>1177</v>
      </c>
      <c r="F162" s="78">
        <v>73211.320000000007</v>
      </c>
      <c r="G162" s="78" t="s">
        <v>1182</v>
      </c>
    </row>
    <row r="163" spans="1:7" x14ac:dyDescent="0.25">
      <c r="A163" s="5" t="s">
        <v>901</v>
      </c>
      <c r="B163" s="78">
        <f t="shared" si="2"/>
        <v>73.824130000000011</v>
      </c>
      <c r="C163" s="78" t="s">
        <v>1064</v>
      </c>
      <c r="D163" s="7" t="s">
        <v>426</v>
      </c>
      <c r="E163" s="80" t="s">
        <v>1177</v>
      </c>
      <c r="F163" s="78">
        <v>73824.13</v>
      </c>
      <c r="G163" s="78" t="s">
        <v>1182</v>
      </c>
    </row>
    <row r="164" spans="1:7" x14ac:dyDescent="0.25">
      <c r="A164" s="5" t="s">
        <v>901</v>
      </c>
      <c r="B164" s="78">
        <f t="shared" si="2"/>
        <v>74.209410000000005</v>
      </c>
      <c r="C164" s="78" t="s">
        <v>1065</v>
      </c>
      <c r="D164" s="7" t="s">
        <v>428</v>
      </c>
      <c r="E164" s="80" t="s">
        <v>1177</v>
      </c>
      <c r="F164" s="78">
        <v>74209.41</v>
      </c>
      <c r="G164" s="78" t="s">
        <v>1182</v>
      </c>
    </row>
    <row r="165" spans="1:7" x14ac:dyDescent="0.25">
      <c r="A165" s="5" t="s">
        <v>901</v>
      </c>
      <c r="B165" s="78">
        <f t="shared" si="2"/>
        <v>74.703270000000003</v>
      </c>
      <c r="C165" s="78" t="s">
        <v>1066</v>
      </c>
      <c r="D165" s="7" t="s">
        <v>430</v>
      </c>
      <c r="E165" s="80" t="s">
        <v>1177</v>
      </c>
      <c r="F165" s="78">
        <v>74703.27</v>
      </c>
      <c r="G165" s="78" t="s">
        <v>1181</v>
      </c>
    </row>
    <row r="166" spans="1:7" x14ac:dyDescent="0.25">
      <c r="A166" s="5" t="s">
        <v>901</v>
      </c>
      <c r="B166" s="78">
        <f t="shared" si="2"/>
        <v>75.107089999999999</v>
      </c>
      <c r="C166" s="78" t="s">
        <v>1067</v>
      </c>
      <c r="D166" s="7" t="s">
        <v>432</v>
      </c>
      <c r="E166" s="80" t="s">
        <v>1177</v>
      </c>
      <c r="F166" s="78">
        <v>75107.09</v>
      </c>
      <c r="G166" s="78" t="s">
        <v>1182</v>
      </c>
    </row>
    <row r="167" spans="1:7" x14ac:dyDescent="0.25">
      <c r="A167" s="5" t="s">
        <v>901</v>
      </c>
      <c r="B167" s="78">
        <f t="shared" si="2"/>
        <v>75.430840000000003</v>
      </c>
      <c r="C167" s="78" t="s">
        <v>1068</v>
      </c>
      <c r="D167" s="7" t="s">
        <v>434</v>
      </c>
      <c r="E167" s="80" t="s">
        <v>1177</v>
      </c>
      <c r="F167" s="78">
        <v>75430.84</v>
      </c>
      <c r="G167" s="78" t="s">
        <v>1182</v>
      </c>
    </row>
    <row r="168" spans="1:7" x14ac:dyDescent="0.25">
      <c r="A168" s="5" t="s">
        <v>901</v>
      </c>
      <c r="B168" s="78">
        <f t="shared" si="2"/>
        <v>76.10114999999999</v>
      </c>
      <c r="C168" s="78" t="s">
        <v>1069</v>
      </c>
      <c r="D168" s="7" t="s">
        <v>436</v>
      </c>
      <c r="E168" s="80" t="s">
        <v>1177</v>
      </c>
      <c r="F168" s="78">
        <v>76101.149999999994</v>
      </c>
      <c r="G168" s="78" t="s">
        <v>1183</v>
      </c>
    </row>
    <row r="169" spans="1:7" x14ac:dyDescent="0.25">
      <c r="A169" s="5" t="s">
        <v>901</v>
      </c>
      <c r="B169" s="78">
        <f t="shared" si="2"/>
        <v>76.581759999999989</v>
      </c>
      <c r="C169" s="78" t="s">
        <v>1070</v>
      </c>
      <c r="D169" s="7" t="s">
        <v>438</v>
      </c>
      <c r="E169" s="80" t="s">
        <v>1177</v>
      </c>
      <c r="F169" s="78">
        <v>76581.759999999995</v>
      </c>
      <c r="G169" s="78" t="s">
        <v>1184</v>
      </c>
    </row>
    <row r="170" spans="1:7" x14ac:dyDescent="0.25">
      <c r="A170" s="5" t="s">
        <v>901</v>
      </c>
      <c r="B170" s="78">
        <f t="shared" si="2"/>
        <v>76.941000000000003</v>
      </c>
      <c r="C170" s="78" t="s">
        <v>1071</v>
      </c>
      <c r="D170" s="7" t="s">
        <v>440</v>
      </c>
      <c r="E170" s="80" t="s">
        <v>1177</v>
      </c>
      <c r="F170" s="78">
        <v>76941</v>
      </c>
      <c r="G170" s="78" t="s">
        <v>1182</v>
      </c>
    </row>
    <row r="171" spans="1:7" x14ac:dyDescent="0.25">
      <c r="A171" s="5" t="s">
        <v>901</v>
      </c>
      <c r="B171" s="78">
        <f t="shared" si="2"/>
        <v>77.319999999999993</v>
      </c>
      <c r="C171" s="78" t="s">
        <v>1072</v>
      </c>
      <c r="D171" s="7" t="s">
        <v>442</v>
      </c>
      <c r="E171" s="80" t="s">
        <v>1177</v>
      </c>
      <c r="F171" s="78">
        <v>77320</v>
      </c>
      <c r="G171" s="78" t="s">
        <v>1182</v>
      </c>
    </row>
    <row r="172" spans="1:7" x14ac:dyDescent="0.25">
      <c r="A172" s="5" t="s">
        <v>901</v>
      </c>
      <c r="B172" s="78">
        <f t="shared" si="2"/>
        <v>77.691009999999991</v>
      </c>
      <c r="C172" s="78" t="s">
        <v>1073</v>
      </c>
      <c r="D172" s="7" t="s">
        <v>444</v>
      </c>
      <c r="E172" s="80" t="s">
        <v>1177</v>
      </c>
      <c r="F172" s="78">
        <v>77691.009999999995</v>
      </c>
      <c r="G172" s="78" t="s">
        <v>1182</v>
      </c>
    </row>
    <row r="173" spans="1:7" x14ac:dyDescent="0.25">
      <c r="A173" s="5" t="s">
        <v>901</v>
      </c>
      <c r="B173" s="78">
        <f t="shared" si="2"/>
        <v>78.185810000000004</v>
      </c>
      <c r="C173" s="78" t="s">
        <v>1074</v>
      </c>
      <c r="D173" s="7" t="s">
        <v>446</v>
      </c>
      <c r="E173" s="80" t="s">
        <v>1177</v>
      </c>
      <c r="F173" s="78">
        <v>78185.81</v>
      </c>
      <c r="G173" s="78" t="s">
        <v>1182</v>
      </c>
    </row>
    <row r="174" spans="1:7" x14ac:dyDescent="0.25">
      <c r="A174" s="5" t="s">
        <v>901</v>
      </c>
      <c r="B174" s="78">
        <f t="shared" si="2"/>
        <v>78.605000000000004</v>
      </c>
      <c r="C174" s="78" t="s">
        <v>1075</v>
      </c>
      <c r="D174" s="7" t="s">
        <v>448</v>
      </c>
      <c r="E174" s="80" t="s">
        <v>1177</v>
      </c>
      <c r="F174" s="78">
        <v>78605</v>
      </c>
      <c r="G174" s="78" t="s">
        <v>1182</v>
      </c>
    </row>
    <row r="175" spans="1:7" x14ac:dyDescent="0.25">
      <c r="A175" s="5" t="s">
        <v>901</v>
      </c>
      <c r="B175" s="78">
        <f t="shared" si="2"/>
        <v>79.132999999999996</v>
      </c>
      <c r="C175" s="78" t="s">
        <v>1076</v>
      </c>
      <c r="D175" s="7" t="s">
        <v>450</v>
      </c>
      <c r="E175" s="80" t="s">
        <v>1177</v>
      </c>
      <c r="F175" s="78">
        <v>79133</v>
      </c>
      <c r="G175" s="78" t="s">
        <v>1182</v>
      </c>
    </row>
    <row r="176" spans="1:7" x14ac:dyDescent="0.25">
      <c r="A176" s="5" t="s">
        <v>901</v>
      </c>
      <c r="B176" s="78">
        <f t="shared" si="2"/>
        <v>79.471999999999994</v>
      </c>
      <c r="C176" s="78" t="s">
        <v>1077</v>
      </c>
      <c r="D176" s="7" t="s">
        <v>452</v>
      </c>
      <c r="E176" s="80" t="s">
        <v>1177</v>
      </c>
      <c r="F176" s="78">
        <v>79472</v>
      </c>
      <c r="G176" s="78" t="s">
        <v>1182</v>
      </c>
    </row>
    <row r="177" spans="1:7" x14ac:dyDescent="0.25">
      <c r="A177" s="5" t="s">
        <v>901</v>
      </c>
      <c r="B177" s="78">
        <f t="shared" si="2"/>
        <v>79.995000000000005</v>
      </c>
      <c r="C177" s="78" t="s">
        <v>1078</v>
      </c>
      <c r="D177" s="7" t="s">
        <v>454</v>
      </c>
      <c r="E177" s="80" t="s">
        <v>1177</v>
      </c>
      <c r="F177" s="78">
        <v>79995</v>
      </c>
      <c r="G177" s="78" t="s">
        <v>1182</v>
      </c>
    </row>
    <row r="178" spans="1:7" x14ac:dyDescent="0.25">
      <c r="A178" s="5" t="s">
        <v>901</v>
      </c>
      <c r="B178" s="78">
        <f t="shared" si="2"/>
        <v>80.468999999999994</v>
      </c>
      <c r="C178" s="78" t="s">
        <v>1079</v>
      </c>
      <c r="D178" s="7" t="s">
        <v>456</v>
      </c>
      <c r="E178" s="80" t="s">
        <v>1177</v>
      </c>
      <c r="F178" s="78">
        <v>80469</v>
      </c>
      <c r="G178" s="78" t="s">
        <v>1182</v>
      </c>
    </row>
    <row r="179" spans="1:7" x14ac:dyDescent="0.25">
      <c r="A179" s="5" t="s">
        <v>901</v>
      </c>
      <c r="B179" s="78">
        <f t="shared" si="2"/>
        <v>80.683000000000007</v>
      </c>
      <c r="C179" s="78" t="s">
        <v>1080</v>
      </c>
      <c r="D179" s="7" t="s">
        <v>458</v>
      </c>
      <c r="E179" s="80" t="s">
        <v>1177</v>
      </c>
      <c r="F179" s="78">
        <v>80683</v>
      </c>
      <c r="G179" s="78" t="s">
        <v>1182</v>
      </c>
    </row>
    <row r="180" spans="1:7" x14ac:dyDescent="0.25">
      <c r="A180" s="5" t="s">
        <v>901</v>
      </c>
      <c r="B180" s="78">
        <f t="shared" si="2"/>
        <v>81.102000000000004</v>
      </c>
      <c r="C180" s="78" t="s">
        <v>1081</v>
      </c>
      <c r="D180" s="7" t="s">
        <v>460</v>
      </c>
      <c r="E180" s="80" t="s">
        <v>1177</v>
      </c>
      <c r="F180" s="78">
        <v>81102</v>
      </c>
      <c r="G180" s="78" t="s">
        <v>1182</v>
      </c>
    </row>
    <row r="181" spans="1:7" x14ac:dyDescent="0.25">
      <c r="A181" s="5" t="s">
        <v>901</v>
      </c>
      <c r="B181" s="78">
        <f t="shared" si="2"/>
        <v>81.522999999999996</v>
      </c>
      <c r="C181" s="78" t="s">
        <v>1082</v>
      </c>
      <c r="D181" s="7" t="s">
        <v>462</v>
      </c>
      <c r="E181" s="80" t="s">
        <v>1177</v>
      </c>
      <c r="F181" s="78">
        <v>81523</v>
      </c>
      <c r="G181" s="78" t="s">
        <v>1182</v>
      </c>
    </row>
    <row r="182" spans="1:7" x14ac:dyDescent="0.25">
      <c r="A182" s="5" t="s">
        <v>901</v>
      </c>
      <c r="B182" s="78">
        <f t="shared" si="2"/>
        <v>81.888689999999997</v>
      </c>
      <c r="C182" s="78" t="s">
        <v>1083</v>
      </c>
      <c r="D182" s="7" t="s">
        <v>464</v>
      </c>
      <c r="E182" s="80" t="s">
        <v>1177</v>
      </c>
      <c r="F182" s="78">
        <v>81888.69</v>
      </c>
      <c r="G182" s="78" t="s">
        <v>1181</v>
      </c>
    </row>
    <row r="183" spans="1:7" x14ac:dyDescent="0.25">
      <c r="A183" s="5" t="s">
        <v>901</v>
      </c>
      <c r="B183" s="78">
        <f t="shared" si="2"/>
        <v>82.347999999999999</v>
      </c>
      <c r="C183" s="78" t="s">
        <v>1084</v>
      </c>
      <c r="D183" s="7" t="s">
        <v>466</v>
      </c>
      <c r="E183" s="80" t="s">
        <v>1177</v>
      </c>
      <c r="F183" s="78">
        <v>82348</v>
      </c>
      <c r="G183" s="78" t="s">
        <v>1182</v>
      </c>
    </row>
    <row r="184" spans="1:7" x14ac:dyDescent="0.25">
      <c r="A184" s="5" t="s">
        <v>901</v>
      </c>
      <c r="B184" s="78">
        <f t="shared" si="2"/>
        <v>82.88</v>
      </c>
      <c r="C184" s="78" t="s">
        <v>1085</v>
      </c>
      <c r="D184" s="7" t="s">
        <v>468</v>
      </c>
      <c r="E184" s="80" t="s">
        <v>1177</v>
      </c>
      <c r="F184" s="78">
        <v>82880</v>
      </c>
      <c r="G184" s="78" t="s">
        <v>1182</v>
      </c>
    </row>
    <row r="185" spans="1:7" x14ac:dyDescent="0.25">
      <c r="A185" s="5" t="s">
        <v>901</v>
      </c>
      <c r="B185" s="78">
        <f t="shared" si="2"/>
        <v>83.33</v>
      </c>
      <c r="C185" s="78" t="s">
        <v>1086</v>
      </c>
      <c r="D185" s="7" t="s">
        <v>470</v>
      </c>
      <c r="E185" s="80" t="s">
        <v>1177</v>
      </c>
      <c r="F185" s="78">
        <v>83330</v>
      </c>
      <c r="G185" s="78" t="s">
        <v>1183</v>
      </c>
    </row>
    <row r="186" spans="1:7" x14ac:dyDescent="0.25">
      <c r="A186" s="5" t="s">
        <v>901</v>
      </c>
      <c r="B186" s="78">
        <f t="shared" si="2"/>
        <v>83.646000000000001</v>
      </c>
      <c r="C186" s="78" t="s">
        <v>1087</v>
      </c>
      <c r="D186" s="7" t="s">
        <v>472</v>
      </c>
      <c r="E186" s="80" t="s">
        <v>1177</v>
      </c>
      <c r="F186" s="78">
        <v>83646</v>
      </c>
      <c r="G186" s="78" t="s">
        <v>1182</v>
      </c>
    </row>
    <row r="187" spans="1:7" x14ac:dyDescent="0.25">
      <c r="A187" s="5" t="s">
        <v>901</v>
      </c>
      <c r="B187" s="78">
        <f t="shared" si="2"/>
        <v>84.046999999999997</v>
      </c>
      <c r="C187" s="78" t="s">
        <v>1088</v>
      </c>
      <c r="D187" s="7" t="s">
        <v>474</v>
      </c>
      <c r="E187" s="80" t="s">
        <v>1177</v>
      </c>
      <c r="F187" s="78">
        <v>84047</v>
      </c>
      <c r="G187" s="78" t="s">
        <v>1181</v>
      </c>
    </row>
    <row r="188" spans="1:7" x14ac:dyDescent="0.25">
      <c r="A188" s="5" t="s">
        <v>901</v>
      </c>
      <c r="B188" s="78">
        <f t="shared" si="2"/>
        <v>84.591970000000003</v>
      </c>
      <c r="C188" s="78" t="s">
        <v>1089</v>
      </c>
      <c r="D188" s="7" t="s">
        <v>476</v>
      </c>
      <c r="E188" s="80" t="s">
        <v>1177</v>
      </c>
      <c r="F188" s="78">
        <v>84591.97</v>
      </c>
      <c r="G188" s="78" t="s">
        <v>1183</v>
      </c>
    </row>
    <row r="189" spans="1:7" x14ac:dyDescent="0.25">
      <c r="A189" s="5" t="s">
        <v>901</v>
      </c>
      <c r="B189" s="78">
        <f t="shared" si="2"/>
        <v>85.293999999999997</v>
      </c>
      <c r="C189" s="78" t="s">
        <v>1090</v>
      </c>
      <c r="D189" s="7" t="s">
        <v>478</v>
      </c>
      <c r="E189" s="80" t="s">
        <v>1177</v>
      </c>
      <c r="F189" s="78">
        <v>85294</v>
      </c>
      <c r="G189" s="78" t="s">
        <v>1183</v>
      </c>
    </row>
    <row r="190" spans="1:7" x14ac:dyDescent="0.25">
      <c r="A190" s="5" t="s">
        <v>901</v>
      </c>
      <c r="B190" s="78">
        <f t="shared" si="2"/>
        <v>85.700980000000001</v>
      </c>
      <c r="C190" s="78" t="s">
        <v>1091</v>
      </c>
      <c r="D190" s="7" t="s">
        <v>480</v>
      </c>
      <c r="E190" s="80" t="s">
        <v>1177</v>
      </c>
      <c r="F190" s="78">
        <v>85700.98</v>
      </c>
      <c r="G190" s="78" t="s">
        <v>1183</v>
      </c>
    </row>
    <row r="191" spans="1:7" x14ac:dyDescent="0.25">
      <c r="A191" s="5" t="s">
        <v>901</v>
      </c>
      <c r="B191" s="78">
        <f t="shared" si="2"/>
        <v>86.224999999999994</v>
      </c>
      <c r="C191" s="78" t="s">
        <v>1092</v>
      </c>
      <c r="D191" s="7" t="s">
        <v>482</v>
      </c>
      <c r="E191" s="80" t="s">
        <v>1177</v>
      </c>
      <c r="F191" s="78">
        <v>86225</v>
      </c>
      <c r="G191" s="78" t="s">
        <v>1182</v>
      </c>
    </row>
    <row r="192" spans="1:7" x14ac:dyDescent="0.25">
      <c r="A192" s="5" t="s">
        <v>901</v>
      </c>
      <c r="B192" s="78">
        <f t="shared" si="2"/>
        <v>86.697000000000003</v>
      </c>
      <c r="C192" s="78" t="s">
        <v>1093</v>
      </c>
      <c r="D192" s="7" t="s">
        <v>484</v>
      </c>
      <c r="E192" s="80" t="s">
        <v>1177</v>
      </c>
      <c r="F192" s="78">
        <v>86697</v>
      </c>
      <c r="G192" s="78" t="s">
        <v>1182</v>
      </c>
    </row>
    <row r="193" spans="1:7" x14ac:dyDescent="0.25">
      <c r="A193" s="5" t="s">
        <v>901</v>
      </c>
      <c r="B193" s="78">
        <f t="shared" si="2"/>
        <v>87.183999999999997</v>
      </c>
      <c r="C193" s="78" t="s">
        <v>1094</v>
      </c>
      <c r="D193" s="7" t="s">
        <v>486</v>
      </c>
      <c r="E193" s="80" t="s">
        <v>1177</v>
      </c>
      <c r="F193" s="78">
        <v>87184</v>
      </c>
      <c r="G193" s="78" t="s">
        <v>1182</v>
      </c>
    </row>
    <row r="194" spans="1:7" x14ac:dyDescent="0.25">
      <c r="A194" s="5" t="s">
        <v>901</v>
      </c>
      <c r="B194" s="78">
        <f t="shared" si="2"/>
        <v>87.692999999999998</v>
      </c>
      <c r="C194" s="78" t="s">
        <v>1095</v>
      </c>
      <c r="D194" s="7" t="s">
        <v>488</v>
      </c>
      <c r="E194" s="80" t="s">
        <v>1177</v>
      </c>
      <c r="F194" s="78">
        <v>87693</v>
      </c>
      <c r="G194" s="78" t="s">
        <v>1182</v>
      </c>
    </row>
    <row r="195" spans="1:7" x14ac:dyDescent="0.25">
      <c r="A195" s="5" t="s">
        <v>901</v>
      </c>
      <c r="B195" s="78">
        <f t="shared" ref="B195:B258" si="3">F195/1000</f>
        <v>88.093999999999994</v>
      </c>
      <c r="C195" s="78" t="s">
        <v>1096</v>
      </c>
      <c r="D195" s="7" t="s">
        <v>490</v>
      </c>
      <c r="E195" s="80" t="s">
        <v>1177</v>
      </c>
      <c r="F195" s="78">
        <v>88094</v>
      </c>
      <c r="G195" s="78" t="s">
        <v>1182</v>
      </c>
    </row>
    <row r="196" spans="1:7" x14ac:dyDescent="0.25">
      <c r="A196" s="5" t="s">
        <v>901</v>
      </c>
      <c r="B196" s="78">
        <f t="shared" si="3"/>
        <v>88.446210000000008</v>
      </c>
      <c r="C196" s="78" t="s">
        <v>1097</v>
      </c>
      <c r="D196" s="7" t="s">
        <v>492</v>
      </c>
      <c r="E196" s="80" t="s">
        <v>1177</v>
      </c>
      <c r="F196" s="78">
        <v>88446.21</v>
      </c>
      <c r="G196" s="78" t="s">
        <v>1182</v>
      </c>
    </row>
    <row r="197" spans="1:7" x14ac:dyDescent="0.25">
      <c r="A197" s="5" t="s">
        <v>901</v>
      </c>
      <c r="B197" s="78">
        <f t="shared" si="3"/>
        <v>88.96499</v>
      </c>
      <c r="C197" s="78" t="s">
        <v>1098</v>
      </c>
      <c r="D197" s="7" t="s">
        <v>494</v>
      </c>
      <c r="E197" s="80" t="s">
        <v>1177</v>
      </c>
      <c r="F197" s="78">
        <v>88964.99</v>
      </c>
      <c r="G197" s="78" t="s">
        <v>1182</v>
      </c>
    </row>
    <row r="198" spans="1:7" x14ac:dyDescent="0.25">
      <c r="A198" s="5" t="s">
        <v>901</v>
      </c>
      <c r="B198" s="78">
        <f t="shared" si="3"/>
        <v>89.360169999999997</v>
      </c>
      <c r="C198" s="78" t="s">
        <v>1099</v>
      </c>
      <c r="D198" s="7" t="s">
        <v>496</v>
      </c>
      <c r="E198" s="80" t="s">
        <v>1177</v>
      </c>
      <c r="F198" s="78">
        <v>89360.17</v>
      </c>
      <c r="G198" s="78" t="s">
        <v>1182</v>
      </c>
    </row>
    <row r="199" spans="1:7" x14ac:dyDescent="0.25">
      <c r="A199" s="5" t="s">
        <v>901</v>
      </c>
      <c r="B199" s="78">
        <f t="shared" si="3"/>
        <v>89.761350000000007</v>
      </c>
      <c r="C199" s="78" t="s">
        <v>1100</v>
      </c>
      <c r="D199" s="7" t="s">
        <v>498</v>
      </c>
      <c r="E199" s="80" t="s">
        <v>1177</v>
      </c>
      <c r="F199" s="78">
        <v>89761.35</v>
      </c>
      <c r="G199" s="78" t="s">
        <v>1182</v>
      </c>
    </row>
    <row r="200" spans="1:7" x14ac:dyDescent="0.25">
      <c r="A200" s="5" t="s">
        <v>901</v>
      </c>
      <c r="B200" s="78">
        <f t="shared" si="3"/>
        <v>90.24457000000001</v>
      </c>
      <c r="C200" s="79" t="s">
        <v>1101</v>
      </c>
      <c r="D200" s="7" t="s">
        <v>500</v>
      </c>
      <c r="E200" s="80" t="s">
        <v>1177</v>
      </c>
      <c r="F200" s="78">
        <v>90244.57</v>
      </c>
      <c r="G200" s="78" t="s">
        <v>1182</v>
      </c>
    </row>
    <row r="201" spans="1:7" x14ac:dyDescent="0.25">
      <c r="A201" s="5" t="s">
        <v>901</v>
      </c>
      <c r="B201" s="78">
        <f t="shared" si="3"/>
        <v>90.755809999999997</v>
      </c>
      <c r="C201" s="78" t="s">
        <v>1102</v>
      </c>
      <c r="D201" s="7" t="s">
        <v>502</v>
      </c>
      <c r="E201" s="80" t="s">
        <v>1177</v>
      </c>
      <c r="F201" s="78">
        <v>90755.81</v>
      </c>
      <c r="G201" s="78" t="s">
        <v>1182</v>
      </c>
    </row>
    <row r="202" spans="1:7" x14ac:dyDescent="0.25">
      <c r="A202" s="5" t="s">
        <v>901</v>
      </c>
      <c r="B202" s="78">
        <f t="shared" si="3"/>
        <v>91.243030000000005</v>
      </c>
      <c r="C202" s="78" t="s">
        <v>1103</v>
      </c>
      <c r="D202" s="7" t="s">
        <v>503</v>
      </c>
      <c r="E202" s="80" t="s">
        <v>1177</v>
      </c>
      <c r="F202" s="78">
        <v>91243.03</v>
      </c>
      <c r="G202" s="78" t="s">
        <v>1182</v>
      </c>
    </row>
    <row r="203" spans="1:7" x14ac:dyDescent="0.25">
      <c r="A203" s="5" t="s">
        <v>901</v>
      </c>
      <c r="B203" s="78">
        <f t="shared" si="3"/>
        <v>91.619579999999999</v>
      </c>
      <c r="C203" s="78" t="s">
        <v>1104</v>
      </c>
      <c r="D203" s="7" t="s">
        <v>501</v>
      </c>
      <c r="E203" s="80" t="s">
        <v>1177</v>
      </c>
      <c r="F203" s="78">
        <v>91619.58</v>
      </c>
      <c r="G203" s="78" t="s">
        <v>1184</v>
      </c>
    </row>
    <row r="204" spans="1:7" x14ac:dyDescent="0.25">
      <c r="A204" s="5" t="s">
        <v>901</v>
      </c>
      <c r="B204" s="78">
        <f t="shared" si="3"/>
        <v>91.923199999999994</v>
      </c>
      <c r="C204" s="78" t="s">
        <v>1105</v>
      </c>
      <c r="D204" s="7" t="s">
        <v>499</v>
      </c>
      <c r="E204" s="80" t="s">
        <v>1177</v>
      </c>
      <c r="F204" s="78">
        <v>91923.199999999997</v>
      </c>
      <c r="G204" s="78" t="s">
        <v>1181</v>
      </c>
    </row>
    <row r="205" spans="1:7" x14ac:dyDescent="0.25">
      <c r="A205" s="5" t="s">
        <v>901</v>
      </c>
      <c r="B205" s="78">
        <f t="shared" si="3"/>
        <v>92.411199999999994</v>
      </c>
      <c r="C205" s="78" t="s">
        <v>1106</v>
      </c>
      <c r="D205" s="7" t="s">
        <v>497</v>
      </c>
      <c r="E205" s="80" t="s">
        <v>1177</v>
      </c>
      <c r="F205" s="78">
        <v>92411.199999999997</v>
      </c>
      <c r="G205" s="78" t="s">
        <v>1182</v>
      </c>
    </row>
    <row r="206" spans="1:7" x14ac:dyDescent="0.25">
      <c r="A206" s="5" t="s">
        <v>901</v>
      </c>
      <c r="B206" s="78">
        <f t="shared" si="3"/>
        <v>92.913200000000003</v>
      </c>
      <c r="C206" s="78" t="s">
        <v>1107</v>
      </c>
      <c r="D206" s="7" t="s">
        <v>495</v>
      </c>
      <c r="E206" s="80" t="s">
        <v>1177</v>
      </c>
      <c r="F206" s="78">
        <v>92913.2</v>
      </c>
      <c r="G206" s="78" t="s">
        <v>1182</v>
      </c>
    </row>
    <row r="207" spans="1:7" x14ac:dyDescent="0.25">
      <c r="A207" s="5" t="s">
        <v>901</v>
      </c>
      <c r="B207" s="78">
        <f t="shared" si="3"/>
        <v>93.407200000000003</v>
      </c>
      <c r="C207" s="78" t="s">
        <v>1108</v>
      </c>
      <c r="D207" s="7" t="s">
        <v>493</v>
      </c>
      <c r="E207" s="80" t="s">
        <v>1177</v>
      </c>
      <c r="F207" s="78">
        <v>93407.2</v>
      </c>
      <c r="G207" s="78" t="s">
        <v>1182</v>
      </c>
    </row>
    <row r="208" spans="1:7" x14ac:dyDescent="0.25">
      <c r="A208" s="5" t="s">
        <v>901</v>
      </c>
      <c r="B208" s="78">
        <f t="shared" si="3"/>
        <v>93.887199999999993</v>
      </c>
      <c r="C208" s="78" t="s">
        <v>1109</v>
      </c>
      <c r="D208" s="7" t="s">
        <v>491</v>
      </c>
      <c r="E208" s="80" t="s">
        <v>1177</v>
      </c>
      <c r="F208" s="78">
        <v>93887.2</v>
      </c>
      <c r="G208" s="78" t="s">
        <v>1182</v>
      </c>
    </row>
    <row r="209" spans="1:7" x14ac:dyDescent="0.25">
      <c r="A209" s="5" t="s">
        <v>901</v>
      </c>
      <c r="B209" s="78">
        <f t="shared" si="3"/>
        <v>94.221199999999996</v>
      </c>
      <c r="C209" s="78" t="s">
        <v>1110</v>
      </c>
      <c r="D209" s="7" t="s">
        <v>489</v>
      </c>
      <c r="E209" s="80" t="s">
        <v>1177</v>
      </c>
      <c r="F209" s="78">
        <v>94221.2</v>
      </c>
      <c r="G209" s="78" t="s">
        <v>1183</v>
      </c>
    </row>
    <row r="210" spans="1:7" x14ac:dyDescent="0.25">
      <c r="A210" s="5" t="s">
        <v>901</v>
      </c>
      <c r="B210" s="78">
        <f t="shared" si="3"/>
        <v>94.429199999999994</v>
      </c>
      <c r="C210" s="78" t="s">
        <v>1111</v>
      </c>
      <c r="D210" s="7" t="s">
        <v>487</v>
      </c>
      <c r="E210" s="80" t="s">
        <v>1177</v>
      </c>
      <c r="F210" s="78">
        <v>94429.2</v>
      </c>
      <c r="G210" s="78" t="s">
        <v>1181</v>
      </c>
    </row>
    <row r="211" spans="1:7" x14ac:dyDescent="0.25">
      <c r="A211" s="5" t="s">
        <v>901</v>
      </c>
      <c r="B211" s="78">
        <f t="shared" si="3"/>
        <v>95.091200000000001</v>
      </c>
      <c r="C211" s="78" t="s">
        <v>1112</v>
      </c>
      <c r="D211" s="7" t="s">
        <v>485</v>
      </c>
      <c r="E211" s="80" t="s">
        <v>1177</v>
      </c>
      <c r="F211" s="78">
        <v>95091.199999999997</v>
      </c>
      <c r="G211" s="78" t="s">
        <v>1182</v>
      </c>
    </row>
    <row r="212" spans="1:7" x14ac:dyDescent="0.25">
      <c r="A212" s="5" t="s">
        <v>901</v>
      </c>
      <c r="B212" s="78">
        <f t="shared" si="3"/>
        <v>95.408100000000005</v>
      </c>
      <c r="C212" s="78" t="s">
        <v>1113</v>
      </c>
      <c r="D212" s="7" t="s">
        <v>483</v>
      </c>
      <c r="E212" s="80" t="s">
        <v>1177</v>
      </c>
      <c r="F212" s="78">
        <v>95408.1</v>
      </c>
      <c r="G212" s="78" t="s">
        <v>1182</v>
      </c>
    </row>
    <row r="213" spans="1:7" x14ac:dyDescent="0.25">
      <c r="A213" s="5" t="s">
        <v>901</v>
      </c>
      <c r="B213" s="78">
        <f t="shared" si="3"/>
        <v>95.928200000000004</v>
      </c>
      <c r="C213" s="78" t="s">
        <v>1114</v>
      </c>
      <c r="D213" s="7" t="s">
        <v>481</v>
      </c>
      <c r="E213" s="80" t="s">
        <v>1177</v>
      </c>
      <c r="F213" s="78">
        <v>95928.2</v>
      </c>
      <c r="G213" s="78" t="s">
        <v>1182</v>
      </c>
    </row>
    <row r="214" spans="1:7" x14ac:dyDescent="0.25">
      <c r="A214" s="5" t="s">
        <v>901</v>
      </c>
      <c r="B214" s="78">
        <f t="shared" si="3"/>
        <v>96.368200000000002</v>
      </c>
      <c r="C214" s="78" t="s">
        <v>1115</v>
      </c>
      <c r="D214" s="7" t="s">
        <v>479</v>
      </c>
      <c r="E214" s="80" t="s">
        <v>1177</v>
      </c>
      <c r="F214" s="78">
        <v>96368.2</v>
      </c>
      <c r="G214" s="78" t="s">
        <v>1182</v>
      </c>
    </row>
    <row r="215" spans="1:7" x14ac:dyDescent="0.25">
      <c r="A215" s="5" t="s">
        <v>901</v>
      </c>
      <c r="B215" s="78">
        <f t="shared" si="3"/>
        <v>96.647199999999998</v>
      </c>
      <c r="C215" s="78" t="s">
        <v>1116</v>
      </c>
      <c r="D215" s="7" t="s">
        <v>477</v>
      </c>
      <c r="E215" s="80" t="s">
        <v>1177</v>
      </c>
      <c r="F215" s="78">
        <v>96647.2</v>
      </c>
      <c r="G215" s="78" t="s">
        <v>1182</v>
      </c>
    </row>
    <row r="216" spans="1:7" x14ac:dyDescent="0.25">
      <c r="A216" s="5" t="s">
        <v>901</v>
      </c>
      <c r="B216" s="78">
        <f t="shared" si="3"/>
        <v>97.197199999999995</v>
      </c>
      <c r="C216" s="78" t="s">
        <v>1117</v>
      </c>
      <c r="D216" s="7" t="s">
        <v>475</v>
      </c>
      <c r="E216" s="80" t="s">
        <v>1177</v>
      </c>
      <c r="F216" s="78">
        <v>97197.2</v>
      </c>
      <c r="G216" s="78" t="s">
        <v>1182</v>
      </c>
    </row>
    <row r="217" spans="1:7" x14ac:dyDescent="0.25">
      <c r="A217" s="5" t="s">
        <v>901</v>
      </c>
      <c r="B217" s="78">
        <f t="shared" si="3"/>
        <v>97.624820000000014</v>
      </c>
      <c r="C217" s="78" t="s">
        <v>1118</v>
      </c>
      <c r="D217" s="7" t="s">
        <v>473</v>
      </c>
      <c r="E217" s="80" t="s">
        <v>1177</v>
      </c>
      <c r="F217" s="78">
        <v>97624.82</v>
      </c>
      <c r="G217" s="78" t="s">
        <v>1182</v>
      </c>
    </row>
    <row r="218" spans="1:7" x14ac:dyDescent="0.25">
      <c r="A218" s="5" t="s">
        <v>901</v>
      </c>
      <c r="B218" s="78">
        <f t="shared" si="3"/>
        <v>98.014200000000002</v>
      </c>
      <c r="C218" s="78" t="s">
        <v>1119</v>
      </c>
      <c r="D218" s="7" t="s">
        <v>471</v>
      </c>
      <c r="E218" s="80" t="s">
        <v>1177</v>
      </c>
      <c r="F218" s="78">
        <v>98014.2</v>
      </c>
      <c r="G218" s="78" t="s">
        <v>1182</v>
      </c>
    </row>
    <row r="219" spans="1:7" x14ac:dyDescent="0.25">
      <c r="A219" s="5" t="s">
        <v>901</v>
      </c>
      <c r="B219" s="78">
        <f t="shared" si="3"/>
        <v>98.41628</v>
      </c>
      <c r="C219" s="78" t="s">
        <v>1120</v>
      </c>
      <c r="D219" s="7" t="s">
        <v>469</v>
      </c>
      <c r="E219" s="80" t="s">
        <v>1177</v>
      </c>
      <c r="F219" s="78">
        <v>98416.28</v>
      </c>
      <c r="G219" s="78" t="s">
        <v>1182</v>
      </c>
    </row>
    <row r="220" spans="1:7" x14ac:dyDescent="0.25">
      <c r="A220" s="5" t="s">
        <v>901</v>
      </c>
      <c r="B220" s="78">
        <f t="shared" si="3"/>
        <v>98.991470000000007</v>
      </c>
      <c r="C220" s="78" t="s">
        <v>1121</v>
      </c>
      <c r="D220" s="7" t="s">
        <v>467</v>
      </c>
      <c r="E220" s="80" t="s">
        <v>1177</v>
      </c>
      <c r="F220" s="78">
        <v>98991.47</v>
      </c>
      <c r="G220" s="78" t="s">
        <v>1183</v>
      </c>
    </row>
    <row r="221" spans="1:7" x14ac:dyDescent="0.25">
      <c r="A221" s="5" t="s">
        <v>901</v>
      </c>
      <c r="B221" s="78">
        <f t="shared" si="3"/>
        <v>99.44019999999999</v>
      </c>
      <c r="C221" s="78" t="s">
        <v>1122</v>
      </c>
      <c r="D221" s="7" t="s">
        <v>465</v>
      </c>
      <c r="E221" s="80" t="s">
        <v>1177</v>
      </c>
      <c r="F221" s="78">
        <v>99440.2</v>
      </c>
      <c r="G221" s="78" t="s">
        <v>1182</v>
      </c>
    </row>
    <row r="222" spans="1:7" x14ac:dyDescent="0.25">
      <c r="A222" s="5" t="s">
        <v>901</v>
      </c>
      <c r="B222" s="78">
        <f t="shared" si="3"/>
        <v>99.793199999999999</v>
      </c>
      <c r="C222" s="78" t="s">
        <v>1123</v>
      </c>
      <c r="D222" s="7" t="s">
        <v>463</v>
      </c>
      <c r="E222" s="80" t="s">
        <v>1178</v>
      </c>
      <c r="F222" s="78">
        <v>99793.2</v>
      </c>
      <c r="G222" s="78" t="s">
        <v>1185</v>
      </c>
    </row>
    <row r="223" spans="1:7" x14ac:dyDescent="0.25">
      <c r="A223" s="5" t="s">
        <v>901</v>
      </c>
      <c r="B223" s="78">
        <f t="shared" si="3"/>
        <v>100.16419999999999</v>
      </c>
      <c r="C223" s="78" t="s">
        <v>1124</v>
      </c>
      <c r="D223" s="7" t="s">
        <v>461</v>
      </c>
      <c r="E223" s="80" t="s">
        <v>1179</v>
      </c>
      <c r="F223" s="78">
        <v>100164.2</v>
      </c>
      <c r="G223" s="78" t="s">
        <v>1181</v>
      </c>
    </row>
    <row r="224" spans="1:7" x14ac:dyDescent="0.25">
      <c r="A224" s="5" t="s">
        <v>901</v>
      </c>
      <c r="B224" s="78">
        <f t="shared" si="3"/>
        <v>100.58767999999999</v>
      </c>
      <c r="C224" s="78" t="s">
        <v>1125</v>
      </c>
      <c r="D224" s="7" t="s">
        <v>459</v>
      </c>
      <c r="E224" s="80" t="s">
        <v>1179</v>
      </c>
      <c r="F224" s="78">
        <v>100587.68</v>
      </c>
      <c r="G224" s="78" t="s">
        <v>1182</v>
      </c>
    </row>
    <row r="225" spans="1:7" x14ac:dyDescent="0.25">
      <c r="A225" s="5" t="s">
        <v>901</v>
      </c>
      <c r="B225" s="78">
        <f t="shared" si="3"/>
        <v>101.08411</v>
      </c>
      <c r="C225" s="78" t="s">
        <v>1126</v>
      </c>
      <c r="D225" s="7" t="s">
        <v>457</v>
      </c>
      <c r="E225" s="80" t="s">
        <v>1179</v>
      </c>
      <c r="F225" s="78">
        <v>101084.11</v>
      </c>
      <c r="G225" s="78" t="s">
        <v>1181</v>
      </c>
    </row>
    <row r="226" spans="1:7" x14ac:dyDescent="0.25">
      <c r="A226" s="5" t="s">
        <v>901</v>
      </c>
      <c r="B226" s="78">
        <f t="shared" si="3"/>
        <v>101.57713000000001</v>
      </c>
      <c r="C226" s="78" t="s">
        <v>1127</v>
      </c>
      <c r="D226" s="7" t="s">
        <v>455</v>
      </c>
      <c r="E226" s="80" t="s">
        <v>1179</v>
      </c>
      <c r="F226" s="78">
        <v>101577.13</v>
      </c>
      <c r="G226" s="78" t="s">
        <v>1182</v>
      </c>
    </row>
    <row r="227" spans="1:7" x14ac:dyDescent="0.25">
      <c r="A227" s="5" t="s">
        <v>901</v>
      </c>
      <c r="B227" s="78">
        <f t="shared" si="3"/>
        <v>102.01819999999999</v>
      </c>
      <c r="C227" s="78" t="s">
        <v>1128</v>
      </c>
      <c r="D227" s="7" t="s">
        <v>453</v>
      </c>
      <c r="E227" s="80" t="s">
        <v>1179</v>
      </c>
      <c r="F227" s="78">
        <v>102018.2</v>
      </c>
      <c r="G227" s="78" t="s">
        <v>1182</v>
      </c>
    </row>
    <row r="228" spans="1:7" x14ac:dyDescent="0.25">
      <c r="A228" s="5" t="s">
        <v>901</v>
      </c>
      <c r="B228" s="78">
        <f t="shared" si="3"/>
        <v>102.40699000000001</v>
      </c>
      <c r="C228" s="78" t="s">
        <v>1129</v>
      </c>
      <c r="D228" s="7" t="s">
        <v>451</v>
      </c>
      <c r="E228" s="80" t="s">
        <v>1179</v>
      </c>
      <c r="F228" s="78">
        <v>102406.99</v>
      </c>
      <c r="G228" s="78" t="s">
        <v>1182</v>
      </c>
    </row>
    <row r="229" spans="1:7" x14ac:dyDescent="0.25">
      <c r="A229" s="5" t="s">
        <v>901</v>
      </c>
      <c r="B229" s="78">
        <f t="shared" si="3"/>
        <v>102.79699000000001</v>
      </c>
      <c r="C229" s="78" t="s">
        <v>1130</v>
      </c>
      <c r="D229" s="7" t="s">
        <v>449</v>
      </c>
      <c r="E229" s="80" t="s">
        <v>1179</v>
      </c>
      <c r="F229" s="78">
        <v>102796.99</v>
      </c>
      <c r="G229" s="78" t="s">
        <v>1181</v>
      </c>
    </row>
    <row r="230" spans="1:7" x14ac:dyDescent="0.25">
      <c r="A230" s="5" t="s">
        <v>901</v>
      </c>
      <c r="B230" s="78">
        <f t="shared" si="3"/>
        <v>103.40467</v>
      </c>
      <c r="C230" s="78" t="s">
        <v>1131</v>
      </c>
      <c r="D230" s="7" t="s">
        <v>447</v>
      </c>
      <c r="E230" s="80" t="s">
        <v>1179</v>
      </c>
      <c r="F230" s="78">
        <v>103404.67</v>
      </c>
      <c r="G230" s="78" t="s">
        <v>1183</v>
      </c>
    </row>
    <row r="231" spans="1:7" x14ac:dyDescent="0.25">
      <c r="A231" s="5" t="s">
        <v>901</v>
      </c>
      <c r="B231" s="78">
        <f t="shared" si="3"/>
        <v>103.94027</v>
      </c>
      <c r="C231" s="78" t="s">
        <v>1132</v>
      </c>
      <c r="D231" s="7" t="s">
        <v>445</v>
      </c>
      <c r="E231" s="80" t="s">
        <v>1179</v>
      </c>
      <c r="F231" s="78">
        <v>103940.27</v>
      </c>
      <c r="G231" s="78" t="s">
        <v>1182</v>
      </c>
    </row>
    <row r="232" spans="1:7" x14ac:dyDescent="0.25">
      <c r="A232" s="5" t="s">
        <v>901</v>
      </c>
      <c r="B232" s="78">
        <f t="shared" si="3"/>
        <v>104.37371</v>
      </c>
      <c r="C232" s="78" t="s">
        <v>1133</v>
      </c>
      <c r="D232" s="7" t="s">
        <v>443</v>
      </c>
      <c r="E232" s="80" t="s">
        <v>1179</v>
      </c>
      <c r="F232" s="78">
        <v>104373.71</v>
      </c>
      <c r="G232" s="78" t="s">
        <v>1183</v>
      </c>
    </row>
    <row r="233" spans="1:7" x14ac:dyDescent="0.25">
      <c r="A233" s="5" t="s">
        <v>901</v>
      </c>
      <c r="B233" s="78">
        <f t="shared" si="3"/>
        <v>104.946</v>
      </c>
      <c r="C233" s="78" t="s">
        <v>1134</v>
      </c>
      <c r="D233" s="7" t="s">
        <v>441</v>
      </c>
      <c r="E233" s="80" t="s">
        <v>1179</v>
      </c>
      <c r="F233" s="78">
        <v>104946</v>
      </c>
      <c r="G233" s="78" t="s">
        <v>1182</v>
      </c>
    </row>
    <row r="234" spans="1:7" x14ac:dyDescent="0.25">
      <c r="A234" s="5" t="s">
        <v>901</v>
      </c>
      <c r="B234" s="78">
        <f t="shared" si="3"/>
        <v>105.37</v>
      </c>
      <c r="C234" s="78" t="s">
        <v>1135</v>
      </c>
      <c r="D234" s="7" t="s">
        <v>439</v>
      </c>
      <c r="E234" s="80" t="s">
        <v>1179</v>
      </c>
      <c r="F234" s="78">
        <v>105370</v>
      </c>
      <c r="G234" s="78" t="s">
        <v>1182</v>
      </c>
    </row>
    <row r="235" spans="1:7" x14ac:dyDescent="0.25">
      <c r="A235" s="5" t="s">
        <v>901</v>
      </c>
      <c r="B235" s="78">
        <f t="shared" si="3"/>
        <v>105.78700000000001</v>
      </c>
      <c r="C235" s="78" t="s">
        <v>1136</v>
      </c>
      <c r="D235" s="7" t="s">
        <v>437</v>
      </c>
      <c r="E235" s="80" t="s">
        <v>1179</v>
      </c>
      <c r="F235" s="78">
        <v>105787</v>
      </c>
      <c r="G235" s="78" t="s">
        <v>1182</v>
      </c>
    </row>
    <row r="236" spans="1:7" x14ac:dyDescent="0.25">
      <c r="A236" s="5" t="s">
        <v>901</v>
      </c>
      <c r="B236" s="78">
        <f t="shared" si="3"/>
        <v>106.367</v>
      </c>
      <c r="C236" s="78" t="s">
        <v>1137</v>
      </c>
      <c r="D236" s="7" t="s">
        <v>435</v>
      </c>
      <c r="E236" s="80" t="s">
        <v>1179</v>
      </c>
      <c r="F236" s="78">
        <v>106367</v>
      </c>
      <c r="G236" s="78" t="s">
        <v>1183</v>
      </c>
    </row>
    <row r="237" spans="1:7" x14ac:dyDescent="0.25">
      <c r="A237" s="5" t="s">
        <v>901</v>
      </c>
      <c r="B237" s="78">
        <f t="shared" si="3"/>
        <v>106.852</v>
      </c>
      <c r="C237" s="78" t="s">
        <v>1138</v>
      </c>
      <c r="D237" s="7" t="s">
        <v>433</v>
      </c>
      <c r="E237" s="80" t="s">
        <v>1179</v>
      </c>
      <c r="F237" s="78">
        <v>106852</v>
      </c>
      <c r="G237" s="78" t="s">
        <v>1182</v>
      </c>
    </row>
    <row r="238" spans="1:7" x14ac:dyDescent="0.25">
      <c r="A238" s="5" t="s">
        <v>901</v>
      </c>
      <c r="B238" s="78">
        <f t="shared" si="3"/>
        <v>107.33199999999999</v>
      </c>
      <c r="C238" s="78" t="s">
        <v>1139</v>
      </c>
      <c r="D238" s="7" t="s">
        <v>431</v>
      </c>
      <c r="E238" s="80" t="s">
        <v>1179</v>
      </c>
      <c r="F238" s="78">
        <v>107332</v>
      </c>
      <c r="G238" s="78" t="s">
        <v>1182</v>
      </c>
    </row>
    <row r="239" spans="1:7" x14ac:dyDescent="0.25">
      <c r="A239" s="5" t="s">
        <v>901</v>
      </c>
      <c r="B239" s="78">
        <f t="shared" si="3"/>
        <v>107.83775999999999</v>
      </c>
      <c r="C239" s="78" t="s">
        <v>1140</v>
      </c>
      <c r="D239" s="7" t="s">
        <v>429</v>
      </c>
      <c r="E239" s="80" t="s">
        <v>1179</v>
      </c>
      <c r="F239" s="78">
        <v>107837.75999999999</v>
      </c>
      <c r="G239" s="78" t="s">
        <v>1183</v>
      </c>
    </row>
    <row r="240" spans="1:7" x14ac:dyDescent="0.25">
      <c r="A240" s="5" t="s">
        <v>901</v>
      </c>
      <c r="B240" s="78">
        <f t="shared" si="3"/>
        <v>108.33121000000001</v>
      </c>
      <c r="C240" s="78" t="s">
        <v>1141</v>
      </c>
      <c r="D240" s="7" t="s">
        <v>427</v>
      </c>
      <c r="E240" s="80" t="s">
        <v>1179</v>
      </c>
      <c r="F240" s="78">
        <v>108331.21</v>
      </c>
      <c r="G240" s="78" t="s">
        <v>1182</v>
      </c>
    </row>
    <row r="241" spans="1:7" x14ac:dyDescent="0.25">
      <c r="A241" s="5" t="s">
        <v>901</v>
      </c>
      <c r="B241" s="78">
        <f t="shared" si="3"/>
        <v>108.71</v>
      </c>
      <c r="C241" s="78" t="s">
        <v>1142</v>
      </c>
      <c r="D241" s="7" t="s">
        <v>425</v>
      </c>
      <c r="E241" s="80" t="s">
        <v>1179</v>
      </c>
      <c r="F241" s="78">
        <v>108710</v>
      </c>
      <c r="G241" s="78" t="s">
        <v>1182</v>
      </c>
    </row>
    <row r="242" spans="1:7" x14ac:dyDescent="0.25">
      <c r="A242" s="5" t="s">
        <v>901</v>
      </c>
      <c r="B242" s="78">
        <f t="shared" si="3"/>
        <v>109.117</v>
      </c>
      <c r="C242" s="78" t="s">
        <v>1143</v>
      </c>
      <c r="D242" s="7" t="s">
        <v>423</v>
      </c>
      <c r="E242" s="80" t="s">
        <v>1179</v>
      </c>
      <c r="F242" s="78">
        <v>109117</v>
      </c>
      <c r="G242" s="78" t="s">
        <v>1182</v>
      </c>
    </row>
    <row r="243" spans="1:7" x14ac:dyDescent="0.25">
      <c r="A243" s="5" t="s">
        <v>901</v>
      </c>
      <c r="B243" s="78">
        <f t="shared" si="3"/>
        <v>109.50700000000001</v>
      </c>
      <c r="C243" s="78" t="s">
        <v>1144</v>
      </c>
      <c r="D243" s="7" t="s">
        <v>421</v>
      </c>
      <c r="E243" s="80" t="s">
        <v>1179</v>
      </c>
      <c r="F243" s="78">
        <v>109507</v>
      </c>
      <c r="G243" s="78" t="s">
        <v>1182</v>
      </c>
    </row>
    <row r="244" spans="1:7" x14ac:dyDescent="0.25">
      <c r="A244" s="5" t="s">
        <v>901</v>
      </c>
      <c r="B244" s="78">
        <f t="shared" si="3"/>
        <v>110.023</v>
      </c>
      <c r="C244" s="78" t="s">
        <v>1145</v>
      </c>
      <c r="D244" s="7" t="s">
        <v>419</v>
      </c>
      <c r="E244" s="80" t="s">
        <v>1179</v>
      </c>
      <c r="F244" s="78">
        <v>110023</v>
      </c>
      <c r="G244" s="78" t="s">
        <v>1182</v>
      </c>
    </row>
    <row r="245" spans="1:7" x14ac:dyDescent="0.25">
      <c r="A245" s="5" t="s">
        <v>901</v>
      </c>
      <c r="B245" s="78">
        <f t="shared" si="3"/>
        <v>110.464</v>
      </c>
      <c r="C245" s="78" t="s">
        <v>1146</v>
      </c>
      <c r="D245" s="7" t="s">
        <v>417</v>
      </c>
      <c r="E245" s="80" t="s">
        <v>1179</v>
      </c>
      <c r="F245" s="78">
        <v>110464</v>
      </c>
      <c r="G245" s="78" t="s">
        <v>1182</v>
      </c>
    </row>
    <row r="246" spans="1:7" x14ac:dyDescent="0.25">
      <c r="A246" s="5" t="s">
        <v>901</v>
      </c>
      <c r="B246" s="78">
        <f t="shared" si="3"/>
        <v>110.911</v>
      </c>
      <c r="C246" s="78" t="s">
        <v>1147</v>
      </c>
      <c r="D246" s="7" t="s">
        <v>415</v>
      </c>
      <c r="E246" s="80" t="s">
        <v>1179</v>
      </c>
      <c r="F246" s="78">
        <v>110911</v>
      </c>
      <c r="G246" s="78" t="s">
        <v>1182</v>
      </c>
    </row>
    <row r="247" spans="1:7" x14ac:dyDescent="0.25">
      <c r="A247" s="5" t="s">
        <v>901</v>
      </c>
      <c r="B247" s="78">
        <f t="shared" si="3"/>
        <v>111.45636999999999</v>
      </c>
      <c r="C247" s="78" t="s">
        <v>1148</v>
      </c>
      <c r="D247" s="7" t="s">
        <v>413</v>
      </c>
      <c r="E247" s="80" t="s">
        <v>1179</v>
      </c>
      <c r="F247" s="78">
        <v>111456.37</v>
      </c>
      <c r="G247" s="78" t="s">
        <v>1182</v>
      </c>
    </row>
    <row r="248" spans="1:7" x14ac:dyDescent="0.25">
      <c r="A248" s="5" t="s">
        <v>901</v>
      </c>
      <c r="B248" s="78">
        <f t="shared" si="3"/>
        <v>111.85122</v>
      </c>
      <c r="C248" s="78" t="s">
        <v>1149</v>
      </c>
      <c r="D248" s="7" t="s">
        <v>411</v>
      </c>
      <c r="E248" s="80" t="s">
        <v>1179</v>
      </c>
      <c r="F248" s="78">
        <v>111851.22</v>
      </c>
      <c r="G248" s="78" t="s">
        <v>1182</v>
      </c>
    </row>
    <row r="249" spans="1:7" x14ac:dyDescent="0.25">
      <c r="A249" s="5" t="s">
        <v>901</v>
      </c>
      <c r="B249" s="78">
        <f t="shared" si="3"/>
        <v>112.321</v>
      </c>
      <c r="C249" s="78" t="s">
        <v>1150</v>
      </c>
      <c r="D249" s="7" t="s">
        <v>409</v>
      </c>
      <c r="E249" s="80" t="s">
        <v>1179</v>
      </c>
      <c r="F249" s="78">
        <v>112321</v>
      </c>
      <c r="G249" s="78" t="s">
        <v>1181</v>
      </c>
    </row>
    <row r="250" spans="1:7" x14ac:dyDescent="0.25">
      <c r="A250" s="5" t="s">
        <v>901</v>
      </c>
      <c r="B250" s="78">
        <f t="shared" si="3"/>
        <v>112.80200000000001</v>
      </c>
      <c r="C250" s="78" t="s">
        <v>1151</v>
      </c>
      <c r="D250" s="7" t="s">
        <v>407</v>
      </c>
      <c r="E250" s="80" t="s">
        <v>1179</v>
      </c>
      <c r="F250" s="78">
        <v>112802</v>
      </c>
      <c r="G250" s="78" t="s">
        <v>1182</v>
      </c>
    </row>
    <row r="251" spans="1:7" x14ac:dyDescent="0.25">
      <c r="A251" s="5" t="s">
        <v>901</v>
      </c>
      <c r="B251" s="78">
        <f t="shared" si="3"/>
        <v>113.31657000000001</v>
      </c>
      <c r="C251" s="78" t="s">
        <v>1152</v>
      </c>
      <c r="D251" s="7" t="s">
        <v>405</v>
      </c>
      <c r="E251" s="80" t="s">
        <v>1179</v>
      </c>
      <c r="F251" s="78">
        <v>113316.57</v>
      </c>
      <c r="G251" s="78" t="s">
        <v>1183</v>
      </c>
    </row>
    <row r="252" spans="1:7" x14ac:dyDescent="0.25">
      <c r="A252" s="5" t="s">
        <v>901</v>
      </c>
      <c r="B252" s="78">
        <f t="shared" si="3"/>
        <v>113.76433</v>
      </c>
      <c r="C252" s="78" t="s">
        <v>1153</v>
      </c>
      <c r="D252" s="7" t="s">
        <v>403</v>
      </c>
      <c r="E252" s="80" t="s">
        <v>1179</v>
      </c>
      <c r="F252" s="78">
        <v>113764.33</v>
      </c>
      <c r="G252" s="78" t="s">
        <v>1181</v>
      </c>
    </row>
    <row r="253" spans="1:7" x14ac:dyDescent="0.25">
      <c r="A253" s="5" t="s">
        <v>901</v>
      </c>
      <c r="B253" s="78">
        <f t="shared" si="3"/>
        <v>114.173</v>
      </c>
      <c r="C253" s="78" t="s">
        <v>1154</v>
      </c>
      <c r="D253" s="7" t="s">
        <v>401</v>
      </c>
      <c r="E253" s="80" t="s">
        <v>1179</v>
      </c>
      <c r="F253" s="78">
        <v>114173</v>
      </c>
      <c r="G253" s="78" t="s">
        <v>1182</v>
      </c>
    </row>
    <row r="254" spans="1:7" x14ac:dyDescent="0.25">
      <c r="A254" s="5" t="s">
        <v>901</v>
      </c>
      <c r="B254" s="78">
        <f t="shared" si="3"/>
        <v>114.54300000000001</v>
      </c>
      <c r="C254" s="78" t="s">
        <v>1155</v>
      </c>
      <c r="D254" s="7" t="s">
        <v>399</v>
      </c>
      <c r="E254" s="80" t="s">
        <v>1179</v>
      </c>
      <c r="F254" s="78">
        <v>114543</v>
      </c>
      <c r="G254" s="78" t="s">
        <v>1182</v>
      </c>
    </row>
    <row r="255" spans="1:7" x14ac:dyDescent="0.25">
      <c r="A255" s="5" t="s">
        <v>901</v>
      </c>
      <c r="B255" s="78">
        <f t="shared" si="3"/>
        <v>114.96</v>
      </c>
      <c r="C255" s="78" t="s">
        <v>1156</v>
      </c>
      <c r="D255" s="7" t="s">
        <v>397</v>
      </c>
      <c r="E255" s="80" t="s">
        <v>1179</v>
      </c>
      <c r="F255" s="78">
        <v>114960</v>
      </c>
      <c r="G255" s="78" t="s">
        <v>1182</v>
      </c>
    </row>
    <row r="256" spans="1:7" x14ac:dyDescent="0.25">
      <c r="A256" s="5" t="s">
        <v>901</v>
      </c>
      <c r="B256" s="78">
        <f t="shared" si="3"/>
        <v>115.30141</v>
      </c>
      <c r="C256" s="78" t="s">
        <v>1157</v>
      </c>
      <c r="D256" s="7" t="s">
        <v>395</v>
      </c>
      <c r="E256" s="80" t="s">
        <v>1179</v>
      </c>
      <c r="F256" s="78">
        <v>115301.41</v>
      </c>
      <c r="G256" s="78" t="s">
        <v>1184</v>
      </c>
    </row>
    <row r="257" spans="1:7" x14ac:dyDescent="0.25">
      <c r="A257" s="5" t="s">
        <v>901</v>
      </c>
      <c r="B257" s="78">
        <f t="shared" si="3"/>
        <v>115.858</v>
      </c>
      <c r="C257" s="78" t="s">
        <v>1158</v>
      </c>
      <c r="D257" s="7" t="s">
        <v>393</v>
      </c>
      <c r="E257" s="80" t="s">
        <v>1179</v>
      </c>
      <c r="F257" s="78">
        <v>115858</v>
      </c>
      <c r="G257" s="78" t="s">
        <v>1182</v>
      </c>
    </row>
    <row r="258" spans="1:7" x14ac:dyDescent="0.25">
      <c r="A258" s="5" t="s">
        <v>901</v>
      </c>
      <c r="B258" s="78">
        <f t="shared" si="3"/>
        <v>116.295</v>
      </c>
      <c r="C258" s="78" t="s">
        <v>1159</v>
      </c>
      <c r="D258" s="7" t="s">
        <v>391</v>
      </c>
      <c r="E258" s="80" t="s">
        <v>1179</v>
      </c>
      <c r="F258" s="78">
        <v>116295</v>
      </c>
      <c r="G258" s="78" t="s">
        <v>1182</v>
      </c>
    </row>
    <row r="259" spans="1:7" x14ac:dyDescent="0.25">
      <c r="A259" s="5" t="s">
        <v>901</v>
      </c>
      <c r="B259" s="78">
        <f t="shared" ref="B259:B271" si="4">F259/1000</f>
        <v>116.82</v>
      </c>
      <c r="C259" s="78" t="s">
        <v>1160</v>
      </c>
      <c r="D259" s="7" t="s">
        <v>389</v>
      </c>
      <c r="E259" s="80" t="s">
        <v>1179</v>
      </c>
      <c r="F259" s="78">
        <v>116820</v>
      </c>
      <c r="G259" s="78" t="s">
        <v>1182</v>
      </c>
    </row>
    <row r="260" spans="1:7" x14ac:dyDescent="0.25">
      <c r="A260" s="5" t="s">
        <v>901</v>
      </c>
      <c r="B260" s="78">
        <f t="shared" si="4"/>
        <v>117.25</v>
      </c>
      <c r="C260" s="78" t="s">
        <v>1161</v>
      </c>
      <c r="D260" s="7" t="s">
        <v>387</v>
      </c>
      <c r="E260" s="80" t="s">
        <v>1179</v>
      </c>
      <c r="F260" s="78">
        <v>117250</v>
      </c>
      <c r="G260" s="78" t="s">
        <v>1181</v>
      </c>
    </row>
    <row r="261" spans="1:7" x14ac:dyDescent="0.25">
      <c r="A261" s="5" t="s">
        <v>901</v>
      </c>
      <c r="B261" s="78">
        <f t="shared" si="4"/>
        <v>117.754</v>
      </c>
      <c r="C261" s="78" t="s">
        <v>1162</v>
      </c>
      <c r="D261" s="7" t="s">
        <v>385</v>
      </c>
      <c r="E261" s="80" t="s">
        <v>1179</v>
      </c>
      <c r="F261" s="78">
        <v>117754</v>
      </c>
      <c r="G261" s="78" t="s">
        <v>1183</v>
      </c>
    </row>
    <row r="262" spans="1:7" x14ac:dyDescent="0.25">
      <c r="A262" s="5" t="s">
        <v>901</v>
      </c>
      <c r="B262" s="78">
        <f t="shared" si="4"/>
        <v>118.20441000000001</v>
      </c>
      <c r="C262" s="78" t="s">
        <v>1163</v>
      </c>
      <c r="D262" s="7" t="s">
        <v>383</v>
      </c>
      <c r="E262" s="80" t="s">
        <v>1179</v>
      </c>
      <c r="F262" s="78">
        <v>118204.41</v>
      </c>
      <c r="G262" s="78" t="s">
        <v>1182</v>
      </c>
    </row>
    <row r="263" spans="1:7" x14ac:dyDescent="0.25">
      <c r="A263" s="5" t="s">
        <v>901</v>
      </c>
      <c r="B263" s="78">
        <f t="shared" si="4"/>
        <v>118.69199999999999</v>
      </c>
      <c r="C263" s="78" t="s">
        <v>1164</v>
      </c>
      <c r="D263" s="7" t="s">
        <v>381</v>
      </c>
      <c r="E263" s="80" t="s">
        <v>1179</v>
      </c>
      <c r="F263" s="78">
        <v>118692</v>
      </c>
      <c r="G263" s="78" t="s">
        <v>1182</v>
      </c>
    </row>
    <row r="264" spans="1:7" x14ac:dyDescent="0.25">
      <c r="A264" s="5" t="s">
        <v>901</v>
      </c>
      <c r="B264" s="78">
        <f t="shared" si="4"/>
        <v>119.00372999999999</v>
      </c>
      <c r="C264" s="78" t="s">
        <v>1165</v>
      </c>
      <c r="D264" s="7" t="s">
        <v>379</v>
      </c>
      <c r="E264" s="80" t="s">
        <v>1179</v>
      </c>
      <c r="F264" s="78">
        <v>119003.73</v>
      </c>
      <c r="G264" s="78" t="s">
        <v>1182</v>
      </c>
    </row>
    <row r="265" spans="1:7" x14ac:dyDescent="0.25">
      <c r="A265" s="5" t="s">
        <v>901</v>
      </c>
      <c r="B265" s="78">
        <f t="shared" si="4"/>
        <v>119.55</v>
      </c>
      <c r="C265" s="78" t="s">
        <v>1166</v>
      </c>
      <c r="D265" s="7" t="s">
        <v>377</v>
      </c>
      <c r="E265" s="80" t="s">
        <v>1179</v>
      </c>
      <c r="F265" s="78">
        <v>119550</v>
      </c>
      <c r="G265" s="78" t="s">
        <v>1181</v>
      </c>
    </row>
    <row r="266" spans="1:7" x14ac:dyDescent="0.25">
      <c r="A266" s="5" t="s">
        <v>901</v>
      </c>
      <c r="B266" s="78">
        <f t="shared" si="4"/>
        <v>120.002</v>
      </c>
      <c r="C266" s="78" t="s">
        <v>1167</v>
      </c>
      <c r="D266" s="7" t="s">
        <v>375</v>
      </c>
      <c r="E266" s="80" t="s">
        <v>1179</v>
      </c>
      <c r="F266" s="78">
        <v>120002</v>
      </c>
      <c r="G266" s="78" t="s">
        <v>1182</v>
      </c>
    </row>
    <row r="267" spans="1:7" x14ac:dyDescent="0.25">
      <c r="A267" s="5" t="s">
        <v>901</v>
      </c>
      <c r="B267" s="78">
        <f t="shared" si="4"/>
        <v>120.41200000000001</v>
      </c>
      <c r="C267" s="78" t="s">
        <v>1168</v>
      </c>
      <c r="D267" s="7" t="s">
        <v>373</v>
      </c>
      <c r="E267" s="80" t="s">
        <v>1179</v>
      </c>
      <c r="F267" s="78">
        <v>120412</v>
      </c>
      <c r="G267" s="78" t="s">
        <v>1182</v>
      </c>
    </row>
    <row r="268" spans="1:7" x14ac:dyDescent="0.25">
      <c r="A268" s="5" t="s">
        <v>901</v>
      </c>
      <c r="B268" s="78">
        <f t="shared" si="4"/>
        <v>120.822</v>
      </c>
      <c r="C268" s="78" t="s">
        <v>1169</v>
      </c>
      <c r="D268" s="7" t="s">
        <v>371</v>
      </c>
      <c r="E268" s="80" t="s">
        <v>1179</v>
      </c>
      <c r="F268" s="78">
        <v>120822</v>
      </c>
      <c r="G268" s="78" t="s">
        <v>1182</v>
      </c>
    </row>
    <row r="269" spans="1:7" x14ac:dyDescent="0.25">
      <c r="A269" s="5" t="s">
        <v>901</v>
      </c>
      <c r="B269" s="78">
        <f t="shared" si="4"/>
        <v>121.18557000000001</v>
      </c>
      <c r="C269" s="78" t="s">
        <v>1170</v>
      </c>
      <c r="D269" s="7" t="s">
        <v>369</v>
      </c>
      <c r="E269" s="80" t="s">
        <v>1179</v>
      </c>
      <c r="F269" s="78">
        <v>121185.57</v>
      </c>
      <c r="G269" s="78" t="s">
        <v>1180</v>
      </c>
    </row>
    <row r="270" spans="1:7" x14ac:dyDescent="0.25">
      <c r="A270" s="5" t="s">
        <v>901</v>
      </c>
      <c r="B270" s="78">
        <f t="shared" si="4"/>
        <v>121.435</v>
      </c>
      <c r="C270" s="78" t="s">
        <v>1171</v>
      </c>
      <c r="D270" s="7" t="s">
        <v>367</v>
      </c>
      <c r="E270" s="80" t="s">
        <v>1179</v>
      </c>
      <c r="F270" s="78">
        <v>121435</v>
      </c>
      <c r="G270" s="78" t="s">
        <v>1182</v>
      </c>
    </row>
    <row r="271" spans="1:7" x14ac:dyDescent="0.25">
      <c r="A271" s="5" t="s">
        <v>901</v>
      </c>
      <c r="B271" s="78">
        <f t="shared" si="4"/>
        <v>121.89729</v>
      </c>
      <c r="C271" s="78" t="s">
        <v>1172</v>
      </c>
      <c r="D271" s="7" t="s">
        <v>365</v>
      </c>
      <c r="E271" s="80" t="s">
        <v>1179</v>
      </c>
      <c r="F271" s="78">
        <v>121897.29</v>
      </c>
      <c r="G271" s="78" t="s">
        <v>1180</v>
      </c>
    </row>
  </sheetData>
  <phoneticPr fontId="7" type="noConversion"/>
  <dataValidations disablePrompts="1" count="3">
    <dataValidation type="textLength" allowBlank="1" showInputMessage="1" showErrorMessage="1" sqref="WUV982075:WVA982075 IJ1:IO1 SF1:SK1 ACB1:ACG1 ALX1:AMC1 AVT1:AVY1 BFP1:BFU1 BPL1:BPQ1 BZH1:BZM1 CJD1:CJI1 CSZ1:CTE1 DCV1:DDA1 DMR1:DMW1 DWN1:DWS1 EGJ1:EGO1 EQF1:EQK1 FAB1:FAG1 FJX1:FKC1 FTT1:FTY1 GDP1:GDU1 GNL1:GNQ1 GXH1:GXM1 HHD1:HHI1 HQZ1:HRE1 IAV1:IBA1 IKR1:IKW1 IUN1:IUS1 JEJ1:JEO1 JOF1:JOK1 JYB1:JYG1 KHX1:KIC1 KRT1:KRY1 LBP1:LBU1 LLL1:LLQ1 LVH1:LVM1 MFD1:MFI1 MOZ1:MPE1 MYV1:MZA1 NIR1:NIW1 NSN1:NSS1 OCJ1:OCO1 OMF1:OMK1 OWB1:OWG1 PFX1:PGC1 PPT1:PPY1 PZP1:PZU1 QJL1:QJQ1 QTH1:QTM1 RDD1:RDI1 RMZ1:RNE1 RWV1:RXA1 SGR1:SGW1 SQN1:SQS1 TAJ1:TAO1 TKF1:TKK1 TUB1:TUG1 UDX1:UEC1 UNT1:UNY1 UXP1:UXU1 VHL1:VHQ1 VRH1:VRM1 WBD1:WBI1 WKZ1:WLE1 WUV1:WVA1 C64571:E64571 IJ64571:IO64571 SF64571:SK64571 ACB64571:ACG64571 ALX64571:AMC64571 AVT64571:AVY64571 BFP64571:BFU64571 BPL64571:BPQ64571 BZH64571:BZM64571 CJD64571:CJI64571 CSZ64571:CTE64571 DCV64571:DDA64571 DMR64571:DMW64571 DWN64571:DWS64571 EGJ64571:EGO64571 EQF64571:EQK64571 FAB64571:FAG64571 FJX64571:FKC64571 FTT64571:FTY64571 GDP64571:GDU64571 GNL64571:GNQ64571 GXH64571:GXM64571 HHD64571:HHI64571 HQZ64571:HRE64571 IAV64571:IBA64571 IKR64571:IKW64571 IUN64571:IUS64571 JEJ64571:JEO64571 JOF64571:JOK64571 JYB64571:JYG64571 KHX64571:KIC64571 KRT64571:KRY64571 LBP64571:LBU64571 LLL64571:LLQ64571 LVH64571:LVM64571 MFD64571:MFI64571 MOZ64571:MPE64571 MYV64571:MZA64571 NIR64571:NIW64571 NSN64571:NSS64571 OCJ64571:OCO64571 OMF64571:OMK64571 OWB64571:OWG64571 PFX64571:PGC64571 PPT64571:PPY64571 PZP64571:PZU64571 QJL64571:QJQ64571 QTH64571:QTM64571 RDD64571:RDI64571 RMZ64571:RNE64571 RWV64571:RXA64571 SGR64571:SGW64571 SQN64571:SQS64571 TAJ64571:TAO64571 TKF64571:TKK64571 TUB64571:TUG64571 UDX64571:UEC64571 UNT64571:UNY64571 UXP64571:UXU64571 VHL64571:VHQ64571 VRH64571:VRM64571 WBD64571:WBI64571 WKZ64571:WLE64571 WUV64571:WVA64571 C130107:E130107 IJ130107:IO130107 SF130107:SK130107 ACB130107:ACG130107 ALX130107:AMC130107 AVT130107:AVY130107 BFP130107:BFU130107 BPL130107:BPQ130107 BZH130107:BZM130107 CJD130107:CJI130107 CSZ130107:CTE130107 DCV130107:DDA130107 DMR130107:DMW130107 DWN130107:DWS130107 EGJ130107:EGO130107 EQF130107:EQK130107 FAB130107:FAG130107 FJX130107:FKC130107 FTT130107:FTY130107 GDP130107:GDU130107 GNL130107:GNQ130107 GXH130107:GXM130107 HHD130107:HHI130107 HQZ130107:HRE130107 IAV130107:IBA130107 IKR130107:IKW130107 IUN130107:IUS130107 JEJ130107:JEO130107 JOF130107:JOK130107 JYB130107:JYG130107 KHX130107:KIC130107 KRT130107:KRY130107 LBP130107:LBU130107 LLL130107:LLQ130107 LVH130107:LVM130107 MFD130107:MFI130107 MOZ130107:MPE130107 MYV130107:MZA130107 NIR130107:NIW130107 NSN130107:NSS130107 OCJ130107:OCO130107 OMF130107:OMK130107 OWB130107:OWG130107 PFX130107:PGC130107 PPT130107:PPY130107 PZP130107:PZU130107 QJL130107:QJQ130107 QTH130107:QTM130107 RDD130107:RDI130107 RMZ130107:RNE130107 RWV130107:RXA130107 SGR130107:SGW130107 SQN130107:SQS130107 TAJ130107:TAO130107 TKF130107:TKK130107 TUB130107:TUG130107 UDX130107:UEC130107 UNT130107:UNY130107 UXP130107:UXU130107 VHL130107:VHQ130107 VRH130107:VRM130107 WBD130107:WBI130107 WKZ130107:WLE130107 WUV130107:WVA130107 C195643:E195643 IJ195643:IO195643 SF195643:SK195643 ACB195643:ACG195643 ALX195643:AMC195643 AVT195643:AVY195643 BFP195643:BFU195643 BPL195643:BPQ195643 BZH195643:BZM195643 CJD195643:CJI195643 CSZ195643:CTE195643 DCV195643:DDA195643 DMR195643:DMW195643 DWN195643:DWS195643 EGJ195643:EGO195643 EQF195643:EQK195643 FAB195643:FAG195643 FJX195643:FKC195643 FTT195643:FTY195643 GDP195643:GDU195643 GNL195643:GNQ195643 GXH195643:GXM195643 HHD195643:HHI195643 HQZ195643:HRE195643 IAV195643:IBA195643 IKR195643:IKW195643 IUN195643:IUS195643 JEJ195643:JEO195643 JOF195643:JOK195643 JYB195643:JYG195643 KHX195643:KIC195643 KRT195643:KRY195643 LBP195643:LBU195643 LLL195643:LLQ195643 LVH195643:LVM195643 MFD195643:MFI195643 MOZ195643:MPE195643 MYV195643:MZA195643 NIR195643:NIW195643 NSN195643:NSS195643 OCJ195643:OCO195643 OMF195643:OMK195643 OWB195643:OWG195643 PFX195643:PGC195643 PPT195643:PPY195643 PZP195643:PZU195643 QJL195643:QJQ195643 QTH195643:QTM195643 RDD195643:RDI195643 RMZ195643:RNE195643 RWV195643:RXA195643 SGR195643:SGW195643 SQN195643:SQS195643 TAJ195643:TAO195643 TKF195643:TKK195643 TUB195643:TUG195643 UDX195643:UEC195643 UNT195643:UNY195643 UXP195643:UXU195643 VHL195643:VHQ195643 VRH195643:VRM195643 WBD195643:WBI195643 WKZ195643:WLE195643 WUV195643:WVA195643 C261179:E261179 IJ261179:IO261179 SF261179:SK261179 ACB261179:ACG261179 ALX261179:AMC261179 AVT261179:AVY261179 BFP261179:BFU261179 BPL261179:BPQ261179 BZH261179:BZM261179 CJD261179:CJI261179 CSZ261179:CTE261179 DCV261179:DDA261179 DMR261179:DMW261179 DWN261179:DWS261179 EGJ261179:EGO261179 EQF261179:EQK261179 FAB261179:FAG261179 FJX261179:FKC261179 FTT261179:FTY261179 GDP261179:GDU261179 GNL261179:GNQ261179 GXH261179:GXM261179 HHD261179:HHI261179 HQZ261179:HRE261179 IAV261179:IBA261179 IKR261179:IKW261179 IUN261179:IUS261179 JEJ261179:JEO261179 JOF261179:JOK261179 JYB261179:JYG261179 KHX261179:KIC261179 KRT261179:KRY261179 LBP261179:LBU261179 LLL261179:LLQ261179 LVH261179:LVM261179 MFD261179:MFI261179 MOZ261179:MPE261179 MYV261179:MZA261179 NIR261179:NIW261179 NSN261179:NSS261179 OCJ261179:OCO261179 OMF261179:OMK261179 OWB261179:OWG261179 PFX261179:PGC261179 PPT261179:PPY261179 PZP261179:PZU261179 QJL261179:QJQ261179 QTH261179:QTM261179 RDD261179:RDI261179 RMZ261179:RNE261179 RWV261179:RXA261179 SGR261179:SGW261179 SQN261179:SQS261179 TAJ261179:TAO261179 TKF261179:TKK261179 TUB261179:TUG261179 UDX261179:UEC261179 UNT261179:UNY261179 UXP261179:UXU261179 VHL261179:VHQ261179 VRH261179:VRM261179 WBD261179:WBI261179 WKZ261179:WLE261179 WUV261179:WVA261179 C326715:E326715 IJ326715:IO326715 SF326715:SK326715 ACB326715:ACG326715 ALX326715:AMC326715 AVT326715:AVY326715 BFP326715:BFU326715 BPL326715:BPQ326715 BZH326715:BZM326715 CJD326715:CJI326715 CSZ326715:CTE326715 DCV326715:DDA326715 DMR326715:DMW326715 DWN326715:DWS326715 EGJ326715:EGO326715 EQF326715:EQK326715 FAB326715:FAG326715 FJX326715:FKC326715 FTT326715:FTY326715 GDP326715:GDU326715 GNL326715:GNQ326715 GXH326715:GXM326715 HHD326715:HHI326715 HQZ326715:HRE326715 IAV326715:IBA326715 IKR326715:IKW326715 IUN326715:IUS326715 JEJ326715:JEO326715 JOF326715:JOK326715 JYB326715:JYG326715 KHX326715:KIC326715 KRT326715:KRY326715 LBP326715:LBU326715 LLL326715:LLQ326715 LVH326715:LVM326715 MFD326715:MFI326715 MOZ326715:MPE326715 MYV326715:MZA326715 NIR326715:NIW326715 NSN326715:NSS326715 OCJ326715:OCO326715 OMF326715:OMK326715 OWB326715:OWG326715 PFX326715:PGC326715 PPT326715:PPY326715 PZP326715:PZU326715 QJL326715:QJQ326715 QTH326715:QTM326715 RDD326715:RDI326715 RMZ326715:RNE326715 RWV326715:RXA326715 SGR326715:SGW326715 SQN326715:SQS326715 TAJ326715:TAO326715 TKF326715:TKK326715 TUB326715:TUG326715 UDX326715:UEC326715 UNT326715:UNY326715 UXP326715:UXU326715 VHL326715:VHQ326715 VRH326715:VRM326715 WBD326715:WBI326715 WKZ326715:WLE326715 WUV326715:WVA326715 C392251:E392251 IJ392251:IO392251 SF392251:SK392251 ACB392251:ACG392251 ALX392251:AMC392251 AVT392251:AVY392251 BFP392251:BFU392251 BPL392251:BPQ392251 BZH392251:BZM392251 CJD392251:CJI392251 CSZ392251:CTE392251 DCV392251:DDA392251 DMR392251:DMW392251 DWN392251:DWS392251 EGJ392251:EGO392251 EQF392251:EQK392251 FAB392251:FAG392251 FJX392251:FKC392251 FTT392251:FTY392251 GDP392251:GDU392251 GNL392251:GNQ392251 GXH392251:GXM392251 HHD392251:HHI392251 HQZ392251:HRE392251 IAV392251:IBA392251 IKR392251:IKW392251 IUN392251:IUS392251 JEJ392251:JEO392251 JOF392251:JOK392251 JYB392251:JYG392251 KHX392251:KIC392251 KRT392251:KRY392251 LBP392251:LBU392251 LLL392251:LLQ392251 LVH392251:LVM392251 MFD392251:MFI392251 MOZ392251:MPE392251 MYV392251:MZA392251 NIR392251:NIW392251 NSN392251:NSS392251 OCJ392251:OCO392251 OMF392251:OMK392251 OWB392251:OWG392251 PFX392251:PGC392251 PPT392251:PPY392251 PZP392251:PZU392251 QJL392251:QJQ392251 QTH392251:QTM392251 RDD392251:RDI392251 RMZ392251:RNE392251 RWV392251:RXA392251 SGR392251:SGW392251 SQN392251:SQS392251 TAJ392251:TAO392251 TKF392251:TKK392251 TUB392251:TUG392251 UDX392251:UEC392251 UNT392251:UNY392251 UXP392251:UXU392251 VHL392251:VHQ392251 VRH392251:VRM392251 WBD392251:WBI392251 WKZ392251:WLE392251 WUV392251:WVA392251 C457787:E457787 IJ457787:IO457787 SF457787:SK457787 ACB457787:ACG457787 ALX457787:AMC457787 AVT457787:AVY457787 BFP457787:BFU457787 BPL457787:BPQ457787 BZH457787:BZM457787 CJD457787:CJI457787 CSZ457787:CTE457787 DCV457787:DDA457787 DMR457787:DMW457787 DWN457787:DWS457787 EGJ457787:EGO457787 EQF457787:EQK457787 FAB457787:FAG457787 FJX457787:FKC457787 FTT457787:FTY457787 GDP457787:GDU457787 GNL457787:GNQ457787 GXH457787:GXM457787 HHD457787:HHI457787 HQZ457787:HRE457787 IAV457787:IBA457787 IKR457787:IKW457787 IUN457787:IUS457787 JEJ457787:JEO457787 JOF457787:JOK457787 JYB457787:JYG457787 KHX457787:KIC457787 KRT457787:KRY457787 LBP457787:LBU457787 LLL457787:LLQ457787 LVH457787:LVM457787 MFD457787:MFI457787 MOZ457787:MPE457787 MYV457787:MZA457787 NIR457787:NIW457787 NSN457787:NSS457787 OCJ457787:OCO457787 OMF457787:OMK457787 OWB457787:OWG457787 PFX457787:PGC457787 PPT457787:PPY457787 PZP457787:PZU457787 QJL457787:QJQ457787 QTH457787:QTM457787 RDD457787:RDI457787 RMZ457787:RNE457787 RWV457787:RXA457787 SGR457787:SGW457787 SQN457787:SQS457787 TAJ457787:TAO457787 TKF457787:TKK457787 TUB457787:TUG457787 UDX457787:UEC457787 UNT457787:UNY457787 UXP457787:UXU457787 VHL457787:VHQ457787 VRH457787:VRM457787 WBD457787:WBI457787 WKZ457787:WLE457787 WUV457787:WVA457787 C523323:E523323 IJ523323:IO523323 SF523323:SK523323 ACB523323:ACG523323 ALX523323:AMC523323 AVT523323:AVY523323 BFP523323:BFU523323 BPL523323:BPQ523323 BZH523323:BZM523323 CJD523323:CJI523323 CSZ523323:CTE523323 DCV523323:DDA523323 DMR523323:DMW523323 DWN523323:DWS523323 EGJ523323:EGO523323 EQF523323:EQK523323 FAB523323:FAG523323 FJX523323:FKC523323 FTT523323:FTY523323 GDP523323:GDU523323 GNL523323:GNQ523323 GXH523323:GXM523323 HHD523323:HHI523323 HQZ523323:HRE523323 IAV523323:IBA523323 IKR523323:IKW523323 IUN523323:IUS523323 JEJ523323:JEO523323 JOF523323:JOK523323 JYB523323:JYG523323 KHX523323:KIC523323 KRT523323:KRY523323 LBP523323:LBU523323 LLL523323:LLQ523323 LVH523323:LVM523323 MFD523323:MFI523323 MOZ523323:MPE523323 MYV523323:MZA523323 NIR523323:NIW523323 NSN523323:NSS523323 OCJ523323:OCO523323 OMF523323:OMK523323 OWB523323:OWG523323 PFX523323:PGC523323 PPT523323:PPY523323 PZP523323:PZU523323 QJL523323:QJQ523323 QTH523323:QTM523323 RDD523323:RDI523323 RMZ523323:RNE523323 RWV523323:RXA523323 SGR523323:SGW523323 SQN523323:SQS523323 TAJ523323:TAO523323 TKF523323:TKK523323 TUB523323:TUG523323 UDX523323:UEC523323 UNT523323:UNY523323 UXP523323:UXU523323 VHL523323:VHQ523323 VRH523323:VRM523323 WBD523323:WBI523323 WKZ523323:WLE523323 WUV523323:WVA523323 C588859:E588859 IJ588859:IO588859 SF588859:SK588859 ACB588859:ACG588859 ALX588859:AMC588859 AVT588859:AVY588859 BFP588859:BFU588859 BPL588859:BPQ588859 BZH588859:BZM588859 CJD588859:CJI588859 CSZ588859:CTE588859 DCV588859:DDA588859 DMR588859:DMW588859 DWN588859:DWS588859 EGJ588859:EGO588859 EQF588859:EQK588859 FAB588859:FAG588859 FJX588859:FKC588859 FTT588859:FTY588859 GDP588859:GDU588859 GNL588859:GNQ588859 GXH588859:GXM588859 HHD588859:HHI588859 HQZ588859:HRE588859 IAV588859:IBA588859 IKR588859:IKW588859 IUN588859:IUS588859 JEJ588859:JEO588859 JOF588859:JOK588859 JYB588859:JYG588859 KHX588859:KIC588859 KRT588859:KRY588859 LBP588859:LBU588859 LLL588859:LLQ588859 LVH588859:LVM588859 MFD588859:MFI588859 MOZ588859:MPE588859 MYV588859:MZA588859 NIR588859:NIW588859 NSN588859:NSS588859 OCJ588859:OCO588859 OMF588859:OMK588859 OWB588859:OWG588859 PFX588859:PGC588859 PPT588859:PPY588859 PZP588859:PZU588859 QJL588859:QJQ588859 QTH588859:QTM588859 RDD588859:RDI588859 RMZ588859:RNE588859 RWV588859:RXA588859 SGR588859:SGW588859 SQN588859:SQS588859 TAJ588859:TAO588859 TKF588859:TKK588859 TUB588859:TUG588859 UDX588859:UEC588859 UNT588859:UNY588859 UXP588859:UXU588859 VHL588859:VHQ588859 VRH588859:VRM588859 WBD588859:WBI588859 WKZ588859:WLE588859 WUV588859:WVA588859 C654395:E654395 IJ654395:IO654395 SF654395:SK654395 ACB654395:ACG654395 ALX654395:AMC654395 AVT654395:AVY654395 BFP654395:BFU654395 BPL654395:BPQ654395 BZH654395:BZM654395 CJD654395:CJI654395 CSZ654395:CTE654395 DCV654395:DDA654395 DMR654395:DMW654395 DWN654395:DWS654395 EGJ654395:EGO654395 EQF654395:EQK654395 FAB654395:FAG654395 FJX654395:FKC654395 FTT654395:FTY654395 GDP654395:GDU654395 GNL654395:GNQ654395 GXH654395:GXM654395 HHD654395:HHI654395 HQZ654395:HRE654395 IAV654395:IBA654395 IKR654395:IKW654395 IUN654395:IUS654395 JEJ654395:JEO654395 JOF654395:JOK654395 JYB654395:JYG654395 KHX654395:KIC654395 KRT654395:KRY654395 LBP654395:LBU654395 LLL654395:LLQ654395 LVH654395:LVM654395 MFD654395:MFI654395 MOZ654395:MPE654395 MYV654395:MZA654395 NIR654395:NIW654395 NSN654395:NSS654395 OCJ654395:OCO654395 OMF654395:OMK654395 OWB654395:OWG654395 PFX654395:PGC654395 PPT654395:PPY654395 PZP654395:PZU654395 QJL654395:QJQ654395 QTH654395:QTM654395 RDD654395:RDI654395 RMZ654395:RNE654395 RWV654395:RXA654395 SGR654395:SGW654395 SQN654395:SQS654395 TAJ654395:TAO654395 TKF654395:TKK654395 TUB654395:TUG654395 UDX654395:UEC654395 UNT654395:UNY654395 UXP654395:UXU654395 VHL654395:VHQ654395 VRH654395:VRM654395 WBD654395:WBI654395 WKZ654395:WLE654395 WUV654395:WVA654395 C719931:E719931 IJ719931:IO719931 SF719931:SK719931 ACB719931:ACG719931 ALX719931:AMC719931 AVT719931:AVY719931 BFP719931:BFU719931 BPL719931:BPQ719931 BZH719931:BZM719931 CJD719931:CJI719931 CSZ719931:CTE719931 DCV719931:DDA719931 DMR719931:DMW719931 DWN719931:DWS719931 EGJ719931:EGO719931 EQF719931:EQK719931 FAB719931:FAG719931 FJX719931:FKC719931 FTT719931:FTY719931 GDP719931:GDU719931 GNL719931:GNQ719931 GXH719931:GXM719931 HHD719931:HHI719931 HQZ719931:HRE719931 IAV719931:IBA719931 IKR719931:IKW719931 IUN719931:IUS719931 JEJ719931:JEO719931 JOF719931:JOK719931 JYB719931:JYG719931 KHX719931:KIC719931 KRT719931:KRY719931 LBP719931:LBU719931 LLL719931:LLQ719931 LVH719931:LVM719931 MFD719931:MFI719931 MOZ719931:MPE719931 MYV719931:MZA719931 NIR719931:NIW719931 NSN719931:NSS719931 OCJ719931:OCO719931 OMF719931:OMK719931 OWB719931:OWG719931 PFX719931:PGC719931 PPT719931:PPY719931 PZP719931:PZU719931 QJL719931:QJQ719931 QTH719931:QTM719931 RDD719931:RDI719931 RMZ719931:RNE719931 RWV719931:RXA719931 SGR719931:SGW719931 SQN719931:SQS719931 TAJ719931:TAO719931 TKF719931:TKK719931 TUB719931:TUG719931 UDX719931:UEC719931 UNT719931:UNY719931 UXP719931:UXU719931 VHL719931:VHQ719931 VRH719931:VRM719931 WBD719931:WBI719931 WKZ719931:WLE719931 WUV719931:WVA719931 C785467:E785467 IJ785467:IO785467 SF785467:SK785467 ACB785467:ACG785467 ALX785467:AMC785467 AVT785467:AVY785467 BFP785467:BFU785467 BPL785467:BPQ785467 BZH785467:BZM785467 CJD785467:CJI785467 CSZ785467:CTE785467 DCV785467:DDA785467 DMR785467:DMW785467 DWN785467:DWS785467 EGJ785467:EGO785467 EQF785467:EQK785467 FAB785467:FAG785467 FJX785467:FKC785467 FTT785467:FTY785467 GDP785467:GDU785467 GNL785467:GNQ785467 GXH785467:GXM785467 HHD785467:HHI785467 HQZ785467:HRE785467 IAV785467:IBA785467 IKR785467:IKW785467 IUN785467:IUS785467 JEJ785467:JEO785467 JOF785467:JOK785467 JYB785467:JYG785467 KHX785467:KIC785467 KRT785467:KRY785467 LBP785467:LBU785467 LLL785467:LLQ785467 LVH785467:LVM785467 MFD785467:MFI785467 MOZ785467:MPE785467 MYV785467:MZA785467 NIR785467:NIW785467 NSN785467:NSS785467 OCJ785467:OCO785467 OMF785467:OMK785467 OWB785467:OWG785467 PFX785467:PGC785467 PPT785467:PPY785467 PZP785467:PZU785467 QJL785467:QJQ785467 QTH785467:QTM785467 RDD785467:RDI785467 RMZ785467:RNE785467 RWV785467:RXA785467 SGR785467:SGW785467 SQN785467:SQS785467 TAJ785467:TAO785467 TKF785467:TKK785467 TUB785467:TUG785467 UDX785467:UEC785467 UNT785467:UNY785467 UXP785467:UXU785467 VHL785467:VHQ785467 VRH785467:VRM785467 WBD785467:WBI785467 WKZ785467:WLE785467 WUV785467:WVA785467 C851003:E851003 IJ851003:IO851003 SF851003:SK851003 ACB851003:ACG851003 ALX851003:AMC851003 AVT851003:AVY851003 BFP851003:BFU851003 BPL851003:BPQ851003 BZH851003:BZM851003 CJD851003:CJI851003 CSZ851003:CTE851003 DCV851003:DDA851003 DMR851003:DMW851003 DWN851003:DWS851003 EGJ851003:EGO851003 EQF851003:EQK851003 FAB851003:FAG851003 FJX851003:FKC851003 FTT851003:FTY851003 GDP851003:GDU851003 GNL851003:GNQ851003 GXH851003:GXM851003 HHD851003:HHI851003 HQZ851003:HRE851003 IAV851003:IBA851003 IKR851003:IKW851003 IUN851003:IUS851003 JEJ851003:JEO851003 JOF851003:JOK851003 JYB851003:JYG851003 KHX851003:KIC851003 KRT851003:KRY851003 LBP851003:LBU851003 LLL851003:LLQ851003 LVH851003:LVM851003 MFD851003:MFI851003 MOZ851003:MPE851003 MYV851003:MZA851003 NIR851003:NIW851003 NSN851003:NSS851003 OCJ851003:OCO851003 OMF851003:OMK851003 OWB851003:OWG851003 PFX851003:PGC851003 PPT851003:PPY851003 PZP851003:PZU851003 QJL851003:QJQ851003 QTH851003:QTM851003 RDD851003:RDI851003 RMZ851003:RNE851003 RWV851003:RXA851003 SGR851003:SGW851003 SQN851003:SQS851003 TAJ851003:TAO851003 TKF851003:TKK851003 TUB851003:TUG851003 UDX851003:UEC851003 UNT851003:UNY851003 UXP851003:UXU851003 VHL851003:VHQ851003 VRH851003:VRM851003 WBD851003:WBI851003 WKZ851003:WLE851003 WUV851003:WVA851003 C916539:E916539 IJ916539:IO916539 SF916539:SK916539 ACB916539:ACG916539 ALX916539:AMC916539 AVT916539:AVY916539 BFP916539:BFU916539 BPL916539:BPQ916539 BZH916539:BZM916539 CJD916539:CJI916539 CSZ916539:CTE916539 DCV916539:DDA916539 DMR916539:DMW916539 DWN916539:DWS916539 EGJ916539:EGO916539 EQF916539:EQK916539 FAB916539:FAG916539 FJX916539:FKC916539 FTT916539:FTY916539 GDP916539:GDU916539 GNL916539:GNQ916539 GXH916539:GXM916539 HHD916539:HHI916539 HQZ916539:HRE916539 IAV916539:IBA916539 IKR916539:IKW916539 IUN916539:IUS916539 JEJ916539:JEO916539 JOF916539:JOK916539 JYB916539:JYG916539 KHX916539:KIC916539 KRT916539:KRY916539 LBP916539:LBU916539 LLL916539:LLQ916539 LVH916539:LVM916539 MFD916539:MFI916539 MOZ916539:MPE916539 MYV916539:MZA916539 NIR916539:NIW916539 NSN916539:NSS916539 OCJ916539:OCO916539 OMF916539:OMK916539 OWB916539:OWG916539 PFX916539:PGC916539 PPT916539:PPY916539 PZP916539:PZU916539 QJL916539:QJQ916539 QTH916539:QTM916539 RDD916539:RDI916539 RMZ916539:RNE916539 RWV916539:RXA916539 SGR916539:SGW916539 SQN916539:SQS916539 TAJ916539:TAO916539 TKF916539:TKK916539 TUB916539:TUG916539 UDX916539:UEC916539 UNT916539:UNY916539 UXP916539:UXU916539 VHL916539:VHQ916539 VRH916539:VRM916539 WBD916539:WBI916539 WKZ916539:WLE916539 WUV916539:WVA916539 C982075:E982075 IJ982075:IO982075 SF982075:SK982075 ACB982075:ACG982075 ALX982075:AMC982075 AVT982075:AVY982075 BFP982075:BFU982075 BPL982075:BPQ982075 BZH982075:BZM982075 CJD982075:CJI982075 CSZ982075:CTE982075 DCV982075:DDA982075 DMR982075:DMW982075 DWN982075:DWS982075 EGJ982075:EGO982075 EQF982075:EQK982075 FAB982075:FAG982075 FJX982075:FKC982075 FTT982075:FTY982075 GDP982075:GDU982075 GNL982075:GNQ982075 GXH982075:GXM982075 HHD982075:HHI982075 HQZ982075:HRE982075 IAV982075:IBA982075 IKR982075:IKW982075 IUN982075:IUS982075 JEJ982075:JEO982075 JOF982075:JOK982075 JYB982075:JYG982075 KHX982075:KIC982075 KRT982075:KRY982075 LBP982075:LBU982075 LLL982075:LLQ982075 LVH982075:LVM982075 MFD982075:MFI982075 MOZ982075:MPE982075 MYV982075:MZA982075 NIR982075:NIW982075 NSN982075:NSS982075 OCJ982075:OCO982075 OMF982075:OMK982075 OWB982075:OWG982075 PFX982075:PGC982075 PPT982075:PPY982075 PZP982075:PZU982075 QJL982075:QJQ982075 QTH982075:QTM982075 RDD982075:RDI982075 RMZ982075:RNE982075 RWV982075:RXA982075 SGR982075:SGW982075 SQN982075:SQS982075 TAJ982075:TAO982075 TKF982075:TKK982075 TUB982075:TUG982075 UDX982075:UEC982075 UNT982075:UNY982075 UXP982075:UXU982075 VHL982075:VHQ982075 VRH982075:VRM982075 WBD982075:WBI982075 WKZ982075:WLE982075 C1:E1" xr:uid="{75660489-51DC-4DCF-BDD4-560FA2DFED1B}">
      <formula1>0</formula1>
      <formula2>30</formula2>
    </dataValidation>
    <dataValidation type="textLength" allowBlank="1" showInputMessage="1" showErrorMessage="1" sqref="WUT982075:WUU982075 IH1:II1 SD1:SE1 ABZ1:ACA1 ALV1:ALW1 AVR1:AVS1 BFN1:BFO1 BPJ1:BPK1 BZF1:BZG1 CJB1:CJC1 CSX1:CSY1 DCT1:DCU1 DMP1:DMQ1 DWL1:DWM1 EGH1:EGI1 EQD1:EQE1 EZZ1:FAA1 FJV1:FJW1 FTR1:FTS1 GDN1:GDO1 GNJ1:GNK1 GXF1:GXG1 HHB1:HHC1 HQX1:HQY1 IAT1:IAU1 IKP1:IKQ1 IUL1:IUM1 JEH1:JEI1 JOD1:JOE1 JXZ1:JYA1 KHV1:KHW1 KRR1:KRS1 LBN1:LBO1 LLJ1:LLK1 LVF1:LVG1 MFB1:MFC1 MOX1:MOY1 MYT1:MYU1 NIP1:NIQ1 NSL1:NSM1 OCH1:OCI1 OMD1:OME1 OVZ1:OWA1 PFV1:PFW1 PPR1:PPS1 PZN1:PZO1 QJJ1:QJK1 QTF1:QTG1 RDB1:RDC1 RMX1:RMY1 RWT1:RWU1 SGP1:SGQ1 SQL1:SQM1 TAH1:TAI1 TKD1:TKE1 TTZ1:TUA1 UDV1:UDW1 UNR1:UNS1 UXN1:UXO1 VHJ1:VHK1 VRF1:VRG1 WBB1:WBC1 WKX1:WKY1 WUT1:WUU1 A64571:B64571 IH64571:II64571 SD64571:SE64571 ABZ64571:ACA64571 ALV64571:ALW64571 AVR64571:AVS64571 BFN64571:BFO64571 BPJ64571:BPK64571 BZF64571:BZG64571 CJB64571:CJC64571 CSX64571:CSY64571 DCT64571:DCU64571 DMP64571:DMQ64571 DWL64571:DWM64571 EGH64571:EGI64571 EQD64571:EQE64571 EZZ64571:FAA64571 FJV64571:FJW64571 FTR64571:FTS64571 GDN64571:GDO64571 GNJ64571:GNK64571 GXF64571:GXG64571 HHB64571:HHC64571 HQX64571:HQY64571 IAT64571:IAU64571 IKP64571:IKQ64571 IUL64571:IUM64571 JEH64571:JEI64571 JOD64571:JOE64571 JXZ64571:JYA64571 KHV64571:KHW64571 KRR64571:KRS64571 LBN64571:LBO64571 LLJ64571:LLK64571 LVF64571:LVG64571 MFB64571:MFC64571 MOX64571:MOY64571 MYT64571:MYU64571 NIP64571:NIQ64571 NSL64571:NSM64571 OCH64571:OCI64571 OMD64571:OME64571 OVZ64571:OWA64571 PFV64571:PFW64571 PPR64571:PPS64571 PZN64571:PZO64571 QJJ64571:QJK64571 QTF64571:QTG64571 RDB64571:RDC64571 RMX64571:RMY64571 RWT64571:RWU64571 SGP64571:SGQ64571 SQL64571:SQM64571 TAH64571:TAI64571 TKD64571:TKE64571 TTZ64571:TUA64571 UDV64571:UDW64571 UNR64571:UNS64571 UXN64571:UXO64571 VHJ64571:VHK64571 VRF64571:VRG64571 WBB64571:WBC64571 WKX64571:WKY64571 WUT64571:WUU64571 A130107:B130107 IH130107:II130107 SD130107:SE130107 ABZ130107:ACA130107 ALV130107:ALW130107 AVR130107:AVS130107 BFN130107:BFO130107 BPJ130107:BPK130107 BZF130107:BZG130107 CJB130107:CJC130107 CSX130107:CSY130107 DCT130107:DCU130107 DMP130107:DMQ130107 DWL130107:DWM130107 EGH130107:EGI130107 EQD130107:EQE130107 EZZ130107:FAA130107 FJV130107:FJW130107 FTR130107:FTS130107 GDN130107:GDO130107 GNJ130107:GNK130107 GXF130107:GXG130107 HHB130107:HHC130107 HQX130107:HQY130107 IAT130107:IAU130107 IKP130107:IKQ130107 IUL130107:IUM130107 JEH130107:JEI130107 JOD130107:JOE130107 JXZ130107:JYA130107 KHV130107:KHW130107 KRR130107:KRS130107 LBN130107:LBO130107 LLJ130107:LLK130107 LVF130107:LVG130107 MFB130107:MFC130107 MOX130107:MOY130107 MYT130107:MYU130107 NIP130107:NIQ130107 NSL130107:NSM130107 OCH130107:OCI130107 OMD130107:OME130107 OVZ130107:OWA130107 PFV130107:PFW130107 PPR130107:PPS130107 PZN130107:PZO130107 QJJ130107:QJK130107 QTF130107:QTG130107 RDB130107:RDC130107 RMX130107:RMY130107 RWT130107:RWU130107 SGP130107:SGQ130107 SQL130107:SQM130107 TAH130107:TAI130107 TKD130107:TKE130107 TTZ130107:TUA130107 UDV130107:UDW130107 UNR130107:UNS130107 UXN130107:UXO130107 VHJ130107:VHK130107 VRF130107:VRG130107 WBB130107:WBC130107 WKX130107:WKY130107 WUT130107:WUU130107 A195643:B195643 IH195643:II195643 SD195643:SE195643 ABZ195643:ACA195643 ALV195643:ALW195643 AVR195643:AVS195643 BFN195643:BFO195643 BPJ195643:BPK195643 BZF195643:BZG195643 CJB195643:CJC195643 CSX195643:CSY195643 DCT195643:DCU195643 DMP195643:DMQ195643 DWL195643:DWM195643 EGH195643:EGI195643 EQD195643:EQE195643 EZZ195643:FAA195643 FJV195643:FJW195643 FTR195643:FTS195643 GDN195643:GDO195643 GNJ195643:GNK195643 GXF195643:GXG195643 HHB195643:HHC195643 HQX195643:HQY195643 IAT195643:IAU195643 IKP195643:IKQ195643 IUL195643:IUM195643 JEH195643:JEI195643 JOD195643:JOE195643 JXZ195643:JYA195643 KHV195643:KHW195643 KRR195643:KRS195643 LBN195643:LBO195643 LLJ195643:LLK195643 LVF195643:LVG195643 MFB195643:MFC195643 MOX195643:MOY195643 MYT195643:MYU195643 NIP195643:NIQ195643 NSL195643:NSM195643 OCH195643:OCI195643 OMD195643:OME195643 OVZ195643:OWA195643 PFV195643:PFW195643 PPR195643:PPS195643 PZN195643:PZO195643 QJJ195643:QJK195643 QTF195643:QTG195643 RDB195643:RDC195643 RMX195643:RMY195643 RWT195643:RWU195643 SGP195643:SGQ195643 SQL195643:SQM195643 TAH195643:TAI195643 TKD195643:TKE195643 TTZ195643:TUA195643 UDV195643:UDW195643 UNR195643:UNS195643 UXN195643:UXO195643 VHJ195643:VHK195643 VRF195643:VRG195643 WBB195643:WBC195643 WKX195643:WKY195643 WUT195643:WUU195643 A261179:B261179 IH261179:II261179 SD261179:SE261179 ABZ261179:ACA261179 ALV261179:ALW261179 AVR261179:AVS261179 BFN261179:BFO261179 BPJ261179:BPK261179 BZF261179:BZG261179 CJB261179:CJC261179 CSX261179:CSY261179 DCT261179:DCU261179 DMP261179:DMQ261179 DWL261179:DWM261179 EGH261179:EGI261179 EQD261179:EQE261179 EZZ261179:FAA261179 FJV261179:FJW261179 FTR261179:FTS261179 GDN261179:GDO261179 GNJ261179:GNK261179 GXF261179:GXG261179 HHB261179:HHC261179 HQX261179:HQY261179 IAT261179:IAU261179 IKP261179:IKQ261179 IUL261179:IUM261179 JEH261179:JEI261179 JOD261179:JOE261179 JXZ261179:JYA261179 KHV261179:KHW261179 KRR261179:KRS261179 LBN261179:LBO261179 LLJ261179:LLK261179 LVF261179:LVG261179 MFB261179:MFC261179 MOX261179:MOY261179 MYT261179:MYU261179 NIP261179:NIQ261179 NSL261179:NSM261179 OCH261179:OCI261179 OMD261179:OME261179 OVZ261179:OWA261179 PFV261179:PFW261179 PPR261179:PPS261179 PZN261179:PZO261179 QJJ261179:QJK261179 QTF261179:QTG261179 RDB261179:RDC261179 RMX261179:RMY261179 RWT261179:RWU261179 SGP261179:SGQ261179 SQL261179:SQM261179 TAH261179:TAI261179 TKD261179:TKE261179 TTZ261179:TUA261179 UDV261179:UDW261179 UNR261179:UNS261179 UXN261179:UXO261179 VHJ261179:VHK261179 VRF261179:VRG261179 WBB261179:WBC261179 WKX261179:WKY261179 WUT261179:WUU261179 A326715:B326715 IH326715:II326715 SD326715:SE326715 ABZ326715:ACA326715 ALV326715:ALW326715 AVR326715:AVS326715 BFN326715:BFO326715 BPJ326715:BPK326715 BZF326715:BZG326715 CJB326715:CJC326715 CSX326715:CSY326715 DCT326715:DCU326715 DMP326715:DMQ326715 DWL326715:DWM326715 EGH326715:EGI326715 EQD326715:EQE326715 EZZ326715:FAA326715 FJV326715:FJW326715 FTR326715:FTS326715 GDN326715:GDO326715 GNJ326715:GNK326715 GXF326715:GXG326715 HHB326715:HHC326715 HQX326715:HQY326715 IAT326715:IAU326715 IKP326715:IKQ326715 IUL326715:IUM326715 JEH326715:JEI326715 JOD326715:JOE326715 JXZ326715:JYA326715 KHV326715:KHW326715 KRR326715:KRS326715 LBN326715:LBO326715 LLJ326715:LLK326715 LVF326715:LVG326715 MFB326715:MFC326715 MOX326715:MOY326715 MYT326715:MYU326715 NIP326715:NIQ326715 NSL326715:NSM326715 OCH326715:OCI326715 OMD326715:OME326715 OVZ326715:OWA326715 PFV326715:PFW326715 PPR326715:PPS326715 PZN326715:PZO326715 QJJ326715:QJK326715 QTF326715:QTG326715 RDB326715:RDC326715 RMX326715:RMY326715 RWT326715:RWU326715 SGP326715:SGQ326715 SQL326715:SQM326715 TAH326715:TAI326715 TKD326715:TKE326715 TTZ326715:TUA326715 UDV326715:UDW326715 UNR326715:UNS326715 UXN326715:UXO326715 VHJ326715:VHK326715 VRF326715:VRG326715 WBB326715:WBC326715 WKX326715:WKY326715 WUT326715:WUU326715 A392251:B392251 IH392251:II392251 SD392251:SE392251 ABZ392251:ACA392251 ALV392251:ALW392251 AVR392251:AVS392251 BFN392251:BFO392251 BPJ392251:BPK392251 BZF392251:BZG392251 CJB392251:CJC392251 CSX392251:CSY392251 DCT392251:DCU392251 DMP392251:DMQ392251 DWL392251:DWM392251 EGH392251:EGI392251 EQD392251:EQE392251 EZZ392251:FAA392251 FJV392251:FJW392251 FTR392251:FTS392251 GDN392251:GDO392251 GNJ392251:GNK392251 GXF392251:GXG392251 HHB392251:HHC392251 HQX392251:HQY392251 IAT392251:IAU392251 IKP392251:IKQ392251 IUL392251:IUM392251 JEH392251:JEI392251 JOD392251:JOE392251 JXZ392251:JYA392251 KHV392251:KHW392251 KRR392251:KRS392251 LBN392251:LBO392251 LLJ392251:LLK392251 LVF392251:LVG392251 MFB392251:MFC392251 MOX392251:MOY392251 MYT392251:MYU392251 NIP392251:NIQ392251 NSL392251:NSM392251 OCH392251:OCI392251 OMD392251:OME392251 OVZ392251:OWA392251 PFV392251:PFW392251 PPR392251:PPS392251 PZN392251:PZO392251 QJJ392251:QJK392251 QTF392251:QTG392251 RDB392251:RDC392251 RMX392251:RMY392251 RWT392251:RWU392251 SGP392251:SGQ392251 SQL392251:SQM392251 TAH392251:TAI392251 TKD392251:TKE392251 TTZ392251:TUA392251 UDV392251:UDW392251 UNR392251:UNS392251 UXN392251:UXO392251 VHJ392251:VHK392251 VRF392251:VRG392251 WBB392251:WBC392251 WKX392251:WKY392251 WUT392251:WUU392251 A457787:B457787 IH457787:II457787 SD457787:SE457787 ABZ457787:ACA457787 ALV457787:ALW457787 AVR457787:AVS457787 BFN457787:BFO457787 BPJ457787:BPK457787 BZF457787:BZG457787 CJB457787:CJC457787 CSX457787:CSY457787 DCT457787:DCU457787 DMP457787:DMQ457787 DWL457787:DWM457787 EGH457787:EGI457787 EQD457787:EQE457787 EZZ457787:FAA457787 FJV457787:FJW457787 FTR457787:FTS457787 GDN457787:GDO457787 GNJ457787:GNK457787 GXF457787:GXG457787 HHB457787:HHC457787 HQX457787:HQY457787 IAT457787:IAU457787 IKP457787:IKQ457787 IUL457787:IUM457787 JEH457787:JEI457787 JOD457787:JOE457787 JXZ457787:JYA457787 KHV457787:KHW457787 KRR457787:KRS457787 LBN457787:LBO457787 LLJ457787:LLK457787 LVF457787:LVG457787 MFB457787:MFC457787 MOX457787:MOY457787 MYT457787:MYU457787 NIP457787:NIQ457787 NSL457787:NSM457787 OCH457787:OCI457787 OMD457787:OME457787 OVZ457787:OWA457787 PFV457787:PFW457787 PPR457787:PPS457787 PZN457787:PZO457787 QJJ457787:QJK457787 QTF457787:QTG457787 RDB457787:RDC457787 RMX457787:RMY457787 RWT457787:RWU457787 SGP457787:SGQ457787 SQL457787:SQM457787 TAH457787:TAI457787 TKD457787:TKE457787 TTZ457787:TUA457787 UDV457787:UDW457787 UNR457787:UNS457787 UXN457787:UXO457787 VHJ457787:VHK457787 VRF457787:VRG457787 WBB457787:WBC457787 WKX457787:WKY457787 WUT457787:WUU457787 A523323:B523323 IH523323:II523323 SD523323:SE523323 ABZ523323:ACA523323 ALV523323:ALW523323 AVR523323:AVS523323 BFN523323:BFO523323 BPJ523323:BPK523323 BZF523323:BZG523323 CJB523323:CJC523323 CSX523323:CSY523323 DCT523323:DCU523323 DMP523323:DMQ523323 DWL523323:DWM523323 EGH523323:EGI523323 EQD523323:EQE523323 EZZ523323:FAA523323 FJV523323:FJW523323 FTR523323:FTS523323 GDN523323:GDO523323 GNJ523323:GNK523323 GXF523323:GXG523323 HHB523323:HHC523323 HQX523323:HQY523323 IAT523323:IAU523323 IKP523323:IKQ523323 IUL523323:IUM523323 JEH523323:JEI523323 JOD523323:JOE523323 JXZ523323:JYA523323 KHV523323:KHW523323 KRR523323:KRS523323 LBN523323:LBO523323 LLJ523323:LLK523323 LVF523323:LVG523323 MFB523323:MFC523323 MOX523323:MOY523323 MYT523323:MYU523323 NIP523323:NIQ523323 NSL523323:NSM523323 OCH523323:OCI523323 OMD523323:OME523323 OVZ523323:OWA523323 PFV523323:PFW523323 PPR523323:PPS523323 PZN523323:PZO523323 QJJ523323:QJK523323 QTF523323:QTG523323 RDB523323:RDC523323 RMX523323:RMY523323 RWT523323:RWU523323 SGP523323:SGQ523323 SQL523323:SQM523323 TAH523323:TAI523323 TKD523323:TKE523323 TTZ523323:TUA523323 UDV523323:UDW523323 UNR523323:UNS523323 UXN523323:UXO523323 VHJ523323:VHK523323 VRF523323:VRG523323 WBB523323:WBC523323 WKX523323:WKY523323 WUT523323:WUU523323 A588859:B588859 IH588859:II588859 SD588859:SE588859 ABZ588859:ACA588859 ALV588859:ALW588859 AVR588859:AVS588859 BFN588859:BFO588859 BPJ588859:BPK588859 BZF588859:BZG588859 CJB588859:CJC588859 CSX588859:CSY588859 DCT588859:DCU588859 DMP588859:DMQ588859 DWL588859:DWM588859 EGH588859:EGI588859 EQD588859:EQE588859 EZZ588859:FAA588859 FJV588859:FJW588859 FTR588859:FTS588859 GDN588859:GDO588859 GNJ588859:GNK588859 GXF588859:GXG588859 HHB588859:HHC588859 HQX588859:HQY588859 IAT588859:IAU588859 IKP588859:IKQ588859 IUL588859:IUM588859 JEH588859:JEI588859 JOD588859:JOE588859 JXZ588859:JYA588859 KHV588859:KHW588859 KRR588859:KRS588859 LBN588859:LBO588859 LLJ588859:LLK588859 LVF588859:LVG588859 MFB588859:MFC588859 MOX588859:MOY588859 MYT588859:MYU588859 NIP588859:NIQ588859 NSL588859:NSM588859 OCH588859:OCI588859 OMD588859:OME588859 OVZ588859:OWA588859 PFV588859:PFW588859 PPR588859:PPS588859 PZN588859:PZO588859 QJJ588859:QJK588859 QTF588859:QTG588859 RDB588859:RDC588859 RMX588859:RMY588859 RWT588859:RWU588859 SGP588859:SGQ588859 SQL588859:SQM588859 TAH588859:TAI588859 TKD588859:TKE588859 TTZ588859:TUA588859 UDV588859:UDW588859 UNR588859:UNS588859 UXN588859:UXO588859 VHJ588859:VHK588859 VRF588859:VRG588859 WBB588859:WBC588859 WKX588859:WKY588859 WUT588859:WUU588859 A654395:B654395 IH654395:II654395 SD654395:SE654395 ABZ654395:ACA654395 ALV654395:ALW654395 AVR654395:AVS654395 BFN654395:BFO654395 BPJ654395:BPK654395 BZF654395:BZG654395 CJB654395:CJC654395 CSX654395:CSY654395 DCT654395:DCU654395 DMP654395:DMQ654395 DWL654395:DWM654395 EGH654395:EGI654395 EQD654395:EQE654395 EZZ654395:FAA654395 FJV654395:FJW654395 FTR654395:FTS654395 GDN654395:GDO654395 GNJ654395:GNK654395 GXF654395:GXG654395 HHB654395:HHC654395 HQX654395:HQY654395 IAT654395:IAU654395 IKP654395:IKQ654395 IUL654395:IUM654395 JEH654395:JEI654395 JOD654395:JOE654395 JXZ654395:JYA654395 KHV654395:KHW654395 KRR654395:KRS654395 LBN654395:LBO654395 LLJ654395:LLK654395 LVF654395:LVG654395 MFB654395:MFC654395 MOX654395:MOY654395 MYT654395:MYU654395 NIP654395:NIQ654395 NSL654395:NSM654395 OCH654395:OCI654395 OMD654395:OME654395 OVZ654395:OWA654395 PFV654395:PFW654395 PPR654395:PPS654395 PZN654395:PZO654395 QJJ654395:QJK654395 QTF654395:QTG654395 RDB654395:RDC654395 RMX654395:RMY654395 RWT654395:RWU654395 SGP654395:SGQ654395 SQL654395:SQM654395 TAH654395:TAI654395 TKD654395:TKE654395 TTZ654395:TUA654395 UDV654395:UDW654395 UNR654395:UNS654395 UXN654395:UXO654395 VHJ654395:VHK654395 VRF654395:VRG654395 WBB654395:WBC654395 WKX654395:WKY654395 WUT654395:WUU654395 A719931:B719931 IH719931:II719931 SD719931:SE719931 ABZ719931:ACA719931 ALV719931:ALW719931 AVR719931:AVS719931 BFN719931:BFO719931 BPJ719931:BPK719931 BZF719931:BZG719931 CJB719931:CJC719931 CSX719931:CSY719931 DCT719931:DCU719931 DMP719931:DMQ719931 DWL719931:DWM719931 EGH719931:EGI719931 EQD719931:EQE719931 EZZ719931:FAA719931 FJV719931:FJW719931 FTR719931:FTS719931 GDN719931:GDO719931 GNJ719931:GNK719931 GXF719931:GXG719931 HHB719931:HHC719931 HQX719931:HQY719931 IAT719931:IAU719931 IKP719931:IKQ719931 IUL719931:IUM719931 JEH719931:JEI719931 JOD719931:JOE719931 JXZ719931:JYA719931 KHV719931:KHW719931 KRR719931:KRS719931 LBN719931:LBO719931 LLJ719931:LLK719931 LVF719931:LVG719931 MFB719931:MFC719931 MOX719931:MOY719931 MYT719931:MYU719931 NIP719931:NIQ719931 NSL719931:NSM719931 OCH719931:OCI719931 OMD719931:OME719931 OVZ719931:OWA719931 PFV719931:PFW719931 PPR719931:PPS719931 PZN719931:PZO719931 QJJ719931:QJK719931 QTF719931:QTG719931 RDB719931:RDC719931 RMX719931:RMY719931 RWT719931:RWU719931 SGP719931:SGQ719931 SQL719931:SQM719931 TAH719931:TAI719931 TKD719931:TKE719931 TTZ719931:TUA719931 UDV719931:UDW719931 UNR719931:UNS719931 UXN719931:UXO719931 VHJ719931:VHK719931 VRF719931:VRG719931 WBB719931:WBC719931 WKX719931:WKY719931 WUT719931:WUU719931 A785467:B785467 IH785467:II785467 SD785467:SE785467 ABZ785467:ACA785467 ALV785467:ALW785467 AVR785467:AVS785467 BFN785467:BFO785467 BPJ785467:BPK785467 BZF785467:BZG785467 CJB785467:CJC785467 CSX785467:CSY785467 DCT785467:DCU785467 DMP785467:DMQ785467 DWL785467:DWM785467 EGH785467:EGI785467 EQD785467:EQE785467 EZZ785467:FAA785467 FJV785467:FJW785467 FTR785467:FTS785467 GDN785467:GDO785467 GNJ785467:GNK785467 GXF785467:GXG785467 HHB785467:HHC785467 HQX785467:HQY785467 IAT785467:IAU785467 IKP785467:IKQ785467 IUL785467:IUM785467 JEH785467:JEI785467 JOD785467:JOE785467 JXZ785467:JYA785467 KHV785467:KHW785467 KRR785467:KRS785467 LBN785467:LBO785467 LLJ785467:LLK785467 LVF785467:LVG785467 MFB785467:MFC785467 MOX785467:MOY785467 MYT785467:MYU785467 NIP785467:NIQ785467 NSL785467:NSM785467 OCH785467:OCI785467 OMD785467:OME785467 OVZ785467:OWA785467 PFV785467:PFW785467 PPR785467:PPS785467 PZN785467:PZO785467 QJJ785467:QJK785467 QTF785467:QTG785467 RDB785467:RDC785467 RMX785467:RMY785467 RWT785467:RWU785467 SGP785467:SGQ785467 SQL785467:SQM785467 TAH785467:TAI785467 TKD785467:TKE785467 TTZ785467:TUA785467 UDV785467:UDW785467 UNR785467:UNS785467 UXN785467:UXO785467 VHJ785467:VHK785467 VRF785467:VRG785467 WBB785467:WBC785467 WKX785467:WKY785467 WUT785467:WUU785467 A851003:B851003 IH851003:II851003 SD851003:SE851003 ABZ851003:ACA851003 ALV851003:ALW851003 AVR851003:AVS851003 BFN851003:BFO851003 BPJ851003:BPK851003 BZF851003:BZG851003 CJB851003:CJC851003 CSX851003:CSY851003 DCT851003:DCU851003 DMP851003:DMQ851003 DWL851003:DWM851003 EGH851003:EGI851003 EQD851003:EQE851003 EZZ851003:FAA851003 FJV851003:FJW851003 FTR851003:FTS851003 GDN851003:GDO851003 GNJ851003:GNK851003 GXF851003:GXG851003 HHB851003:HHC851003 HQX851003:HQY851003 IAT851003:IAU851003 IKP851003:IKQ851003 IUL851003:IUM851003 JEH851003:JEI851003 JOD851003:JOE851003 JXZ851003:JYA851003 KHV851003:KHW851003 KRR851003:KRS851003 LBN851003:LBO851003 LLJ851003:LLK851003 LVF851003:LVG851003 MFB851003:MFC851003 MOX851003:MOY851003 MYT851003:MYU851003 NIP851003:NIQ851003 NSL851003:NSM851003 OCH851003:OCI851003 OMD851003:OME851003 OVZ851003:OWA851003 PFV851003:PFW851003 PPR851003:PPS851003 PZN851003:PZO851003 QJJ851003:QJK851003 QTF851003:QTG851003 RDB851003:RDC851003 RMX851003:RMY851003 RWT851003:RWU851003 SGP851003:SGQ851003 SQL851003:SQM851003 TAH851003:TAI851003 TKD851003:TKE851003 TTZ851003:TUA851003 UDV851003:UDW851003 UNR851003:UNS851003 UXN851003:UXO851003 VHJ851003:VHK851003 VRF851003:VRG851003 WBB851003:WBC851003 WKX851003:WKY851003 WUT851003:WUU851003 A916539:B916539 IH916539:II916539 SD916539:SE916539 ABZ916539:ACA916539 ALV916539:ALW916539 AVR916539:AVS916539 BFN916539:BFO916539 BPJ916539:BPK916539 BZF916539:BZG916539 CJB916539:CJC916539 CSX916539:CSY916539 DCT916539:DCU916539 DMP916539:DMQ916539 DWL916539:DWM916539 EGH916539:EGI916539 EQD916539:EQE916539 EZZ916539:FAA916539 FJV916539:FJW916539 FTR916539:FTS916539 GDN916539:GDO916539 GNJ916539:GNK916539 GXF916539:GXG916539 HHB916539:HHC916539 HQX916539:HQY916539 IAT916539:IAU916539 IKP916539:IKQ916539 IUL916539:IUM916539 JEH916539:JEI916539 JOD916539:JOE916539 JXZ916539:JYA916539 KHV916539:KHW916539 KRR916539:KRS916539 LBN916539:LBO916539 LLJ916539:LLK916539 LVF916539:LVG916539 MFB916539:MFC916539 MOX916539:MOY916539 MYT916539:MYU916539 NIP916539:NIQ916539 NSL916539:NSM916539 OCH916539:OCI916539 OMD916539:OME916539 OVZ916539:OWA916539 PFV916539:PFW916539 PPR916539:PPS916539 PZN916539:PZO916539 QJJ916539:QJK916539 QTF916539:QTG916539 RDB916539:RDC916539 RMX916539:RMY916539 RWT916539:RWU916539 SGP916539:SGQ916539 SQL916539:SQM916539 TAH916539:TAI916539 TKD916539:TKE916539 TTZ916539:TUA916539 UDV916539:UDW916539 UNR916539:UNS916539 UXN916539:UXO916539 VHJ916539:VHK916539 VRF916539:VRG916539 WBB916539:WBC916539 WKX916539:WKY916539 WUT916539:WUU916539 A982075:B982075 IH982075:II982075 SD982075:SE982075 ABZ982075:ACA982075 ALV982075:ALW982075 AVR982075:AVS982075 BFN982075:BFO982075 BPJ982075:BPK982075 BZF982075:BZG982075 CJB982075:CJC982075 CSX982075:CSY982075 DCT982075:DCU982075 DMP982075:DMQ982075 DWL982075:DWM982075 EGH982075:EGI982075 EQD982075:EQE982075 EZZ982075:FAA982075 FJV982075:FJW982075 FTR982075:FTS982075 GDN982075:GDO982075 GNJ982075:GNK982075 GXF982075:GXG982075 HHB982075:HHC982075 HQX982075:HQY982075 IAT982075:IAU982075 IKP982075:IKQ982075 IUL982075:IUM982075 JEH982075:JEI982075 JOD982075:JOE982075 JXZ982075:JYA982075 KHV982075:KHW982075 KRR982075:KRS982075 LBN982075:LBO982075 LLJ982075:LLK982075 LVF982075:LVG982075 MFB982075:MFC982075 MOX982075:MOY982075 MYT982075:MYU982075 NIP982075:NIQ982075 NSL982075:NSM982075 OCH982075:OCI982075 OMD982075:OME982075 OVZ982075:OWA982075 PFV982075:PFW982075 PPR982075:PPS982075 PZN982075:PZO982075 QJJ982075:QJK982075 QTF982075:QTG982075 RDB982075:RDC982075 RMX982075:RMY982075 RWT982075:RWU982075 SGP982075:SGQ982075 SQL982075:SQM982075 TAH982075:TAI982075 TKD982075:TKE982075 TTZ982075:TUA982075 UDV982075:UDW982075 UNR982075:UNS982075 UXN982075:UXO982075 VHJ982075:VHK982075 VRF982075:VRG982075 WBB982075:WBC982075 WKX982075:WKY982075 A1:B1" xr:uid="{E2972D3C-A01F-4829-BA73-EF40D92455D4}">
      <formula1>0</formula1>
      <formula2>60</formula2>
    </dataValidation>
    <dataValidation type="textLength" allowBlank="1" showInputMessage="1" showErrorMessage="1" sqref="IP1:IQ1 SL1:SM1 ACH1:ACI1 AMD1:AME1 AVZ1:AWA1 BFV1:BFW1 BPR1:BPS1 BZN1:BZO1 CJJ1:CJK1 CTF1:CTG1 DDB1:DDC1 DMX1:DMY1 DWT1:DWU1 EGP1:EGQ1 EQL1:EQM1 FAH1:FAI1 FKD1:FKE1 FTZ1:FUA1 GDV1:GDW1 GNR1:GNS1 GXN1:GXO1 HHJ1:HHK1 HRF1:HRG1 IBB1:IBC1 IKX1:IKY1 IUT1:IUU1 JEP1:JEQ1 JOL1:JOM1 JYH1:JYI1 KID1:KIE1 KRZ1:KSA1 LBV1:LBW1 LLR1:LLS1 LVN1:LVO1 MFJ1:MFK1 MPF1:MPG1 MZB1:MZC1 NIX1:NIY1 NST1:NSU1 OCP1:OCQ1 OML1:OMM1 OWH1:OWI1 PGD1:PGE1 PPZ1:PQA1 PZV1:PZW1 QJR1:QJS1 QTN1:QTO1 RDJ1:RDK1 RNF1:RNG1 RXB1:RXC1 SGX1:SGY1 SQT1:SQU1 TAP1:TAQ1 TKL1:TKM1 TUH1:TUI1 UED1:UEE1 UNZ1:UOA1 UXV1:UXW1 VHR1:VHS1 VRN1:VRO1 WBJ1:WBK1 WLF1:WLG1 WVB1:WVC1 IP64571:IQ64571 SL64571:SM64571 ACH64571:ACI64571 AMD64571:AME64571 AVZ64571:AWA64571 BFV64571:BFW64571 BPR64571:BPS64571 BZN64571:BZO64571 CJJ64571:CJK64571 CTF64571:CTG64571 DDB64571:DDC64571 DMX64571:DMY64571 DWT64571:DWU64571 EGP64571:EGQ64571 EQL64571:EQM64571 FAH64571:FAI64571 FKD64571:FKE64571 FTZ64571:FUA64571 GDV64571:GDW64571 GNR64571:GNS64571 GXN64571:GXO64571 HHJ64571:HHK64571 HRF64571:HRG64571 IBB64571:IBC64571 IKX64571:IKY64571 IUT64571:IUU64571 JEP64571:JEQ64571 JOL64571:JOM64571 JYH64571:JYI64571 KID64571:KIE64571 KRZ64571:KSA64571 LBV64571:LBW64571 LLR64571:LLS64571 LVN64571:LVO64571 MFJ64571:MFK64571 MPF64571:MPG64571 MZB64571:MZC64571 NIX64571:NIY64571 NST64571:NSU64571 OCP64571:OCQ64571 OML64571:OMM64571 OWH64571:OWI64571 PGD64571:PGE64571 PPZ64571:PQA64571 PZV64571:PZW64571 QJR64571:QJS64571 QTN64571:QTO64571 RDJ64571:RDK64571 RNF64571:RNG64571 RXB64571:RXC64571 SGX64571:SGY64571 SQT64571:SQU64571 TAP64571:TAQ64571 TKL64571:TKM64571 TUH64571:TUI64571 UED64571:UEE64571 UNZ64571:UOA64571 UXV64571:UXW64571 VHR64571:VHS64571 VRN64571:VRO64571 WBJ64571:WBK64571 WLF64571:WLG64571 WVB64571:WVC64571 IP130107:IQ130107 SL130107:SM130107 ACH130107:ACI130107 AMD130107:AME130107 AVZ130107:AWA130107 BFV130107:BFW130107 BPR130107:BPS130107 BZN130107:BZO130107 CJJ130107:CJK130107 CTF130107:CTG130107 DDB130107:DDC130107 DMX130107:DMY130107 DWT130107:DWU130107 EGP130107:EGQ130107 EQL130107:EQM130107 FAH130107:FAI130107 FKD130107:FKE130107 FTZ130107:FUA130107 GDV130107:GDW130107 GNR130107:GNS130107 GXN130107:GXO130107 HHJ130107:HHK130107 HRF130107:HRG130107 IBB130107:IBC130107 IKX130107:IKY130107 IUT130107:IUU130107 JEP130107:JEQ130107 JOL130107:JOM130107 JYH130107:JYI130107 KID130107:KIE130107 KRZ130107:KSA130107 LBV130107:LBW130107 LLR130107:LLS130107 LVN130107:LVO130107 MFJ130107:MFK130107 MPF130107:MPG130107 MZB130107:MZC130107 NIX130107:NIY130107 NST130107:NSU130107 OCP130107:OCQ130107 OML130107:OMM130107 OWH130107:OWI130107 PGD130107:PGE130107 PPZ130107:PQA130107 PZV130107:PZW130107 QJR130107:QJS130107 QTN130107:QTO130107 RDJ130107:RDK130107 RNF130107:RNG130107 RXB130107:RXC130107 SGX130107:SGY130107 SQT130107:SQU130107 TAP130107:TAQ130107 TKL130107:TKM130107 TUH130107:TUI130107 UED130107:UEE130107 UNZ130107:UOA130107 UXV130107:UXW130107 VHR130107:VHS130107 VRN130107:VRO130107 WBJ130107:WBK130107 WLF130107:WLG130107 WVB130107:WVC130107 IP195643:IQ195643 SL195643:SM195643 ACH195643:ACI195643 AMD195643:AME195643 AVZ195643:AWA195643 BFV195643:BFW195643 BPR195643:BPS195643 BZN195643:BZO195643 CJJ195643:CJK195643 CTF195643:CTG195643 DDB195643:DDC195643 DMX195643:DMY195643 DWT195643:DWU195643 EGP195643:EGQ195643 EQL195643:EQM195643 FAH195643:FAI195643 FKD195643:FKE195643 FTZ195643:FUA195643 GDV195643:GDW195643 GNR195643:GNS195643 GXN195643:GXO195643 HHJ195643:HHK195643 HRF195643:HRG195643 IBB195643:IBC195643 IKX195643:IKY195643 IUT195643:IUU195643 JEP195643:JEQ195643 JOL195643:JOM195643 JYH195643:JYI195643 KID195643:KIE195643 KRZ195643:KSA195643 LBV195643:LBW195643 LLR195643:LLS195643 LVN195643:LVO195643 MFJ195643:MFK195643 MPF195643:MPG195643 MZB195643:MZC195643 NIX195643:NIY195643 NST195643:NSU195643 OCP195643:OCQ195643 OML195643:OMM195643 OWH195643:OWI195643 PGD195643:PGE195643 PPZ195643:PQA195643 PZV195643:PZW195643 QJR195643:QJS195643 QTN195643:QTO195643 RDJ195643:RDK195643 RNF195643:RNG195643 RXB195643:RXC195643 SGX195643:SGY195643 SQT195643:SQU195643 TAP195643:TAQ195643 TKL195643:TKM195643 TUH195643:TUI195643 UED195643:UEE195643 UNZ195643:UOA195643 UXV195643:UXW195643 VHR195643:VHS195643 VRN195643:VRO195643 WBJ195643:WBK195643 WLF195643:WLG195643 WVB195643:WVC195643 IP261179:IQ261179 SL261179:SM261179 ACH261179:ACI261179 AMD261179:AME261179 AVZ261179:AWA261179 BFV261179:BFW261179 BPR261179:BPS261179 BZN261179:BZO261179 CJJ261179:CJK261179 CTF261179:CTG261179 DDB261179:DDC261179 DMX261179:DMY261179 DWT261179:DWU261179 EGP261179:EGQ261179 EQL261179:EQM261179 FAH261179:FAI261179 FKD261179:FKE261179 FTZ261179:FUA261179 GDV261179:GDW261179 GNR261179:GNS261179 GXN261179:GXO261179 HHJ261179:HHK261179 HRF261179:HRG261179 IBB261179:IBC261179 IKX261179:IKY261179 IUT261179:IUU261179 JEP261179:JEQ261179 JOL261179:JOM261179 JYH261179:JYI261179 KID261179:KIE261179 KRZ261179:KSA261179 LBV261179:LBW261179 LLR261179:LLS261179 LVN261179:LVO261179 MFJ261179:MFK261179 MPF261179:MPG261179 MZB261179:MZC261179 NIX261179:NIY261179 NST261179:NSU261179 OCP261179:OCQ261179 OML261179:OMM261179 OWH261179:OWI261179 PGD261179:PGE261179 PPZ261179:PQA261179 PZV261179:PZW261179 QJR261179:QJS261179 QTN261179:QTO261179 RDJ261179:RDK261179 RNF261179:RNG261179 RXB261179:RXC261179 SGX261179:SGY261179 SQT261179:SQU261179 TAP261179:TAQ261179 TKL261179:TKM261179 TUH261179:TUI261179 UED261179:UEE261179 UNZ261179:UOA261179 UXV261179:UXW261179 VHR261179:VHS261179 VRN261179:VRO261179 WBJ261179:WBK261179 WLF261179:WLG261179 WVB261179:WVC261179 IP326715:IQ326715 SL326715:SM326715 ACH326715:ACI326715 AMD326715:AME326715 AVZ326715:AWA326715 BFV326715:BFW326715 BPR326715:BPS326715 BZN326715:BZO326715 CJJ326715:CJK326715 CTF326715:CTG326715 DDB326715:DDC326715 DMX326715:DMY326715 DWT326715:DWU326715 EGP326715:EGQ326715 EQL326715:EQM326715 FAH326715:FAI326715 FKD326715:FKE326715 FTZ326715:FUA326715 GDV326715:GDW326715 GNR326715:GNS326715 GXN326715:GXO326715 HHJ326715:HHK326715 HRF326715:HRG326715 IBB326715:IBC326715 IKX326715:IKY326715 IUT326715:IUU326715 JEP326715:JEQ326715 JOL326715:JOM326715 JYH326715:JYI326715 KID326715:KIE326715 KRZ326715:KSA326715 LBV326715:LBW326715 LLR326715:LLS326715 LVN326715:LVO326715 MFJ326715:MFK326715 MPF326715:MPG326715 MZB326715:MZC326715 NIX326715:NIY326715 NST326715:NSU326715 OCP326715:OCQ326715 OML326715:OMM326715 OWH326715:OWI326715 PGD326715:PGE326715 PPZ326715:PQA326715 PZV326715:PZW326715 QJR326715:QJS326715 QTN326715:QTO326715 RDJ326715:RDK326715 RNF326715:RNG326715 RXB326715:RXC326715 SGX326715:SGY326715 SQT326715:SQU326715 TAP326715:TAQ326715 TKL326715:TKM326715 TUH326715:TUI326715 UED326715:UEE326715 UNZ326715:UOA326715 UXV326715:UXW326715 VHR326715:VHS326715 VRN326715:VRO326715 WBJ326715:WBK326715 WLF326715:WLG326715 WVB326715:WVC326715 IP392251:IQ392251 SL392251:SM392251 ACH392251:ACI392251 AMD392251:AME392251 AVZ392251:AWA392251 BFV392251:BFW392251 BPR392251:BPS392251 BZN392251:BZO392251 CJJ392251:CJK392251 CTF392251:CTG392251 DDB392251:DDC392251 DMX392251:DMY392251 DWT392251:DWU392251 EGP392251:EGQ392251 EQL392251:EQM392251 FAH392251:FAI392251 FKD392251:FKE392251 FTZ392251:FUA392251 GDV392251:GDW392251 GNR392251:GNS392251 GXN392251:GXO392251 HHJ392251:HHK392251 HRF392251:HRG392251 IBB392251:IBC392251 IKX392251:IKY392251 IUT392251:IUU392251 JEP392251:JEQ392251 JOL392251:JOM392251 JYH392251:JYI392251 KID392251:KIE392251 KRZ392251:KSA392251 LBV392251:LBW392251 LLR392251:LLS392251 LVN392251:LVO392251 MFJ392251:MFK392251 MPF392251:MPG392251 MZB392251:MZC392251 NIX392251:NIY392251 NST392251:NSU392251 OCP392251:OCQ392251 OML392251:OMM392251 OWH392251:OWI392251 PGD392251:PGE392251 PPZ392251:PQA392251 PZV392251:PZW392251 QJR392251:QJS392251 QTN392251:QTO392251 RDJ392251:RDK392251 RNF392251:RNG392251 RXB392251:RXC392251 SGX392251:SGY392251 SQT392251:SQU392251 TAP392251:TAQ392251 TKL392251:TKM392251 TUH392251:TUI392251 UED392251:UEE392251 UNZ392251:UOA392251 UXV392251:UXW392251 VHR392251:VHS392251 VRN392251:VRO392251 WBJ392251:WBK392251 WLF392251:WLG392251 WVB392251:WVC392251 IP457787:IQ457787 SL457787:SM457787 ACH457787:ACI457787 AMD457787:AME457787 AVZ457787:AWA457787 BFV457787:BFW457787 BPR457787:BPS457787 BZN457787:BZO457787 CJJ457787:CJK457787 CTF457787:CTG457787 DDB457787:DDC457787 DMX457787:DMY457787 DWT457787:DWU457787 EGP457787:EGQ457787 EQL457787:EQM457787 FAH457787:FAI457787 FKD457787:FKE457787 FTZ457787:FUA457787 GDV457787:GDW457787 GNR457787:GNS457787 GXN457787:GXO457787 HHJ457787:HHK457787 HRF457787:HRG457787 IBB457787:IBC457787 IKX457787:IKY457787 IUT457787:IUU457787 JEP457787:JEQ457787 JOL457787:JOM457787 JYH457787:JYI457787 KID457787:KIE457787 KRZ457787:KSA457787 LBV457787:LBW457787 LLR457787:LLS457787 LVN457787:LVO457787 MFJ457787:MFK457787 MPF457787:MPG457787 MZB457787:MZC457787 NIX457787:NIY457787 NST457787:NSU457787 OCP457787:OCQ457787 OML457787:OMM457787 OWH457787:OWI457787 PGD457787:PGE457787 PPZ457787:PQA457787 PZV457787:PZW457787 QJR457787:QJS457787 QTN457787:QTO457787 RDJ457787:RDK457787 RNF457787:RNG457787 RXB457787:RXC457787 SGX457787:SGY457787 SQT457787:SQU457787 TAP457787:TAQ457787 TKL457787:TKM457787 TUH457787:TUI457787 UED457787:UEE457787 UNZ457787:UOA457787 UXV457787:UXW457787 VHR457787:VHS457787 VRN457787:VRO457787 WBJ457787:WBK457787 WLF457787:WLG457787 WVB457787:WVC457787 IP523323:IQ523323 SL523323:SM523323 ACH523323:ACI523323 AMD523323:AME523323 AVZ523323:AWA523323 BFV523323:BFW523323 BPR523323:BPS523323 BZN523323:BZO523323 CJJ523323:CJK523323 CTF523323:CTG523323 DDB523323:DDC523323 DMX523323:DMY523323 DWT523323:DWU523323 EGP523323:EGQ523323 EQL523323:EQM523323 FAH523323:FAI523323 FKD523323:FKE523323 FTZ523323:FUA523323 GDV523323:GDW523323 GNR523323:GNS523323 GXN523323:GXO523323 HHJ523323:HHK523323 HRF523323:HRG523323 IBB523323:IBC523323 IKX523323:IKY523323 IUT523323:IUU523323 JEP523323:JEQ523323 JOL523323:JOM523323 JYH523323:JYI523323 KID523323:KIE523323 KRZ523323:KSA523323 LBV523323:LBW523323 LLR523323:LLS523323 LVN523323:LVO523323 MFJ523323:MFK523323 MPF523323:MPG523323 MZB523323:MZC523323 NIX523323:NIY523323 NST523323:NSU523323 OCP523323:OCQ523323 OML523323:OMM523323 OWH523323:OWI523323 PGD523323:PGE523323 PPZ523323:PQA523323 PZV523323:PZW523323 QJR523323:QJS523323 QTN523323:QTO523323 RDJ523323:RDK523323 RNF523323:RNG523323 RXB523323:RXC523323 SGX523323:SGY523323 SQT523323:SQU523323 TAP523323:TAQ523323 TKL523323:TKM523323 TUH523323:TUI523323 UED523323:UEE523323 UNZ523323:UOA523323 UXV523323:UXW523323 VHR523323:VHS523323 VRN523323:VRO523323 WBJ523323:WBK523323 WLF523323:WLG523323 WVB523323:WVC523323 IP588859:IQ588859 SL588859:SM588859 ACH588859:ACI588859 AMD588859:AME588859 AVZ588859:AWA588859 BFV588859:BFW588859 BPR588859:BPS588859 BZN588859:BZO588859 CJJ588859:CJK588859 CTF588859:CTG588859 DDB588859:DDC588859 DMX588859:DMY588859 DWT588859:DWU588859 EGP588859:EGQ588859 EQL588859:EQM588859 FAH588859:FAI588859 FKD588859:FKE588859 FTZ588859:FUA588859 GDV588859:GDW588859 GNR588859:GNS588859 GXN588859:GXO588859 HHJ588859:HHK588859 HRF588859:HRG588859 IBB588859:IBC588859 IKX588859:IKY588859 IUT588859:IUU588859 JEP588859:JEQ588859 JOL588859:JOM588859 JYH588859:JYI588859 KID588859:KIE588859 KRZ588859:KSA588859 LBV588859:LBW588859 LLR588859:LLS588859 LVN588859:LVO588859 MFJ588859:MFK588859 MPF588859:MPG588859 MZB588859:MZC588859 NIX588859:NIY588859 NST588859:NSU588859 OCP588859:OCQ588859 OML588859:OMM588859 OWH588859:OWI588859 PGD588859:PGE588859 PPZ588859:PQA588859 PZV588859:PZW588859 QJR588859:QJS588859 QTN588859:QTO588859 RDJ588859:RDK588859 RNF588859:RNG588859 RXB588859:RXC588859 SGX588859:SGY588859 SQT588859:SQU588859 TAP588859:TAQ588859 TKL588859:TKM588859 TUH588859:TUI588859 UED588859:UEE588859 UNZ588859:UOA588859 UXV588859:UXW588859 VHR588859:VHS588859 VRN588859:VRO588859 WBJ588859:WBK588859 WLF588859:WLG588859 WVB588859:WVC588859 IP654395:IQ654395 SL654395:SM654395 ACH654395:ACI654395 AMD654395:AME654395 AVZ654395:AWA654395 BFV654395:BFW654395 BPR654395:BPS654395 BZN654395:BZO654395 CJJ654395:CJK654395 CTF654395:CTG654395 DDB654395:DDC654395 DMX654395:DMY654395 DWT654395:DWU654395 EGP654395:EGQ654395 EQL654395:EQM654395 FAH654395:FAI654395 FKD654395:FKE654395 FTZ654395:FUA654395 GDV654395:GDW654395 GNR654395:GNS654395 GXN654395:GXO654395 HHJ654395:HHK654395 HRF654395:HRG654395 IBB654395:IBC654395 IKX654395:IKY654395 IUT654395:IUU654395 JEP654395:JEQ654395 JOL654395:JOM654395 JYH654395:JYI654395 KID654395:KIE654395 KRZ654395:KSA654395 LBV654395:LBW654395 LLR654395:LLS654395 LVN654395:LVO654395 MFJ654395:MFK654395 MPF654395:MPG654395 MZB654395:MZC654395 NIX654395:NIY654395 NST654395:NSU654395 OCP654395:OCQ654395 OML654395:OMM654395 OWH654395:OWI654395 PGD654395:PGE654395 PPZ654395:PQA654395 PZV654395:PZW654395 QJR654395:QJS654395 QTN654395:QTO654395 RDJ654395:RDK654395 RNF654395:RNG654395 RXB654395:RXC654395 SGX654395:SGY654395 SQT654395:SQU654395 TAP654395:TAQ654395 TKL654395:TKM654395 TUH654395:TUI654395 UED654395:UEE654395 UNZ654395:UOA654395 UXV654395:UXW654395 VHR654395:VHS654395 VRN654395:VRO654395 WBJ654395:WBK654395 WLF654395:WLG654395 WVB654395:WVC654395 IP719931:IQ719931 SL719931:SM719931 ACH719931:ACI719931 AMD719931:AME719931 AVZ719931:AWA719931 BFV719931:BFW719931 BPR719931:BPS719931 BZN719931:BZO719931 CJJ719931:CJK719931 CTF719931:CTG719931 DDB719931:DDC719931 DMX719931:DMY719931 DWT719931:DWU719931 EGP719931:EGQ719931 EQL719931:EQM719931 FAH719931:FAI719931 FKD719931:FKE719931 FTZ719931:FUA719931 GDV719931:GDW719931 GNR719931:GNS719931 GXN719931:GXO719931 HHJ719931:HHK719931 HRF719931:HRG719931 IBB719931:IBC719931 IKX719931:IKY719931 IUT719931:IUU719931 JEP719931:JEQ719931 JOL719931:JOM719931 JYH719931:JYI719931 KID719931:KIE719931 KRZ719931:KSA719931 LBV719931:LBW719931 LLR719931:LLS719931 LVN719931:LVO719931 MFJ719931:MFK719931 MPF719931:MPG719931 MZB719931:MZC719931 NIX719931:NIY719931 NST719931:NSU719931 OCP719931:OCQ719931 OML719931:OMM719931 OWH719931:OWI719931 PGD719931:PGE719931 PPZ719931:PQA719931 PZV719931:PZW719931 QJR719931:QJS719931 QTN719931:QTO719931 RDJ719931:RDK719931 RNF719931:RNG719931 RXB719931:RXC719931 SGX719931:SGY719931 SQT719931:SQU719931 TAP719931:TAQ719931 TKL719931:TKM719931 TUH719931:TUI719931 UED719931:UEE719931 UNZ719931:UOA719931 UXV719931:UXW719931 VHR719931:VHS719931 VRN719931:VRO719931 WBJ719931:WBK719931 WLF719931:WLG719931 WVB719931:WVC719931 IP785467:IQ785467 SL785467:SM785467 ACH785467:ACI785467 AMD785467:AME785467 AVZ785467:AWA785467 BFV785467:BFW785467 BPR785467:BPS785467 BZN785467:BZO785467 CJJ785467:CJK785467 CTF785467:CTG785467 DDB785467:DDC785467 DMX785467:DMY785467 DWT785467:DWU785467 EGP785467:EGQ785467 EQL785467:EQM785467 FAH785467:FAI785467 FKD785467:FKE785467 FTZ785467:FUA785467 GDV785467:GDW785467 GNR785467:GNS785467 GXN785467:GXO785467 HHJ785467:HHK785467 HRF785467:HRG785467 IBB785467:IBC785467 IKX785467:IKY785467 IUT785467:IUU785467 JEP785467:JEQ785467 JOL785467:JOM785467 JYH785467:JYI785467 KID785467:KIE785467 KRZ785467:KSA785467 LBV785467:LBW785467 LLR785467:LLS785467 LVN785467:LVO785467 MFJ785467:MFK785467 MPF785467:MPG785467 MZB785467:MZC785467 NIX785467:NIY785467 NST785467:NSU785467 OCP785467:OCQ785467 OML785467:OMM785467 OWH785467:OWI785467 PGD785467:PGE785467 PPZ785467:PQA785467 PZV785467:PZW785467 QJR785467:QJS785467 QTN785467:QTO785467 RDJ785467:RDK785467 RNF785467:RNG785467 RXB785467:RXC785467 SGX785467:SGY785467 SQT785467:SQU785467 TAP785467:TAQ785467 TKL785467:TKM785467 TUH785467:TUI785467 UED785467:UEE785467 UNZ785467:UOA785467 UXV785467:UXW785467 VHR785467:VHS785467 VRN785467:VRO785467 WBJ785467:WBK785467 WLF785467:WLG785467 WVB785467:WVC785467 IP851003:IQ851003 SL851003:SM851003 ACH851003:ACI851003 AMD851003:AME851003 AVZ851003:AWA851003 BFV851003:BFW851003 BPR851003:BPS851003 BZN851003:BZO851003 CJJ851003:CJK851003 CTF851003:CTG851003 DDB851003:DDC851003 DMX851003:DMY851003 DWT851003:DWU851003 EGP851003:EGQ851003 EQL851003:EQM851003 FAH851003:FAI851003 FKD851003:FKE851003 FTZ851003:FUA851003 GDV851003:GDW851003 GNR851003:GNS851003 GXN851003:GXO851003 HHJ851003:HHK851003 HRF851003:HRG851003 IBB851003:IBC851003 IKX851003:IKY851003 IUT851003:IUU851003 JEP851003:JEQ851003 JOL851003:JOM851003 JYH851003:JYI851003 KID851003:KIE851003 KRZ851003:KSA851003 LBV851003:LBW851003 LLR851003:LLS851003 LVN851003:LVO851003 MFJ851003:MFK851003 MPF851003:MPG851003 MZB851003:MZC851003 NIX851003:NIY851003 NST851003:NSU851003 OCP851003:OCQ851003 OML851003:OMM851003 OWH851003:OWI851003 PGD851003:PGE851003 PPZ851003:PQA851003 PZV851003:PZW851003 QJR851003:QJS851003 QTN851003:QTO851003 RDJ851003:RDK851003 RNF851003:RNG851003 RXB851003:RXC851003 SGX851003:SGY851003 SQT851003:SQU851003 TAP851003:TAQ851003 TKL851003:TKM851003 TUH851003:TUI851003 UED851003:UEE851003 UNZ851003:UOA851003 UXV851003:UXW851003 VHR851003:VHS851003 VRN851003:VRO851003 WBJ851003:WBK851003 WLF851003:WLG851003 WVB851003:WVC851003 IP916539:IQ916539 SL916539:SM916539 ACH916539:ACI916539 AMD916539:AME916539 AVZ916539:AWA916539 BFV916539:BFW916539 BPR916539:BPS916539 BZN916539:BZO916539 CJJ916539:CJK916539 CTF916539:CTG916539 DDB916539:DDC916539 DMX916539:DMY916539 DWT916539:DWU916539 EGP916539:EGQ916539 EQL916539:EQM916539 FAH916539:FAI916539 FKD916539:FKE916539 FTZ916539:FUA916539 GDV916539:GDW916539 GNR916539:GNS916539 GXN916539:GXO916539 HHJ916539:HHK916539 HRF916539:HRG916539 IBB916539:IBC916539 IKX916539:IKY916539 IUT916539:IUU916539 JEP916539:JEQ916539 JOL916539:JOM916539 JYH916539:JYI916539 KID916539:KIE916539 KRZ916539:KSA916539 LBV916539:LBW916539 LLR916539:LLS916539 LVN916539:LVO916539 MFJ916539:MFK916539 MPF916539:MPG916539 MZB916539:MZC916539 NIX916539:NIY916539 NST916539:NSU916539 OCP916539:OCQ916539 OML916539:OMM916539 OWH916539:OWI916539 PGD916539:PGE916539 PPZ916539:PQA916539 PZV916539:PZW916539 QJR916539:QJS916539 QTN916539:QTO916539 RDJ916539:RDK916539 RNF916539:RNG916539 RXB916539:RXC916539 SGX916539:SGY916539 SQT916539:SQU916539 TAP916539:TAQ916539 TKL916539:TKM916539 TUH916539:TUI916539 UED916539:UEE916539 UNZ916539:UOA916539 UXV916539:UXW916539 VHR916539:VHS916539 VRN916539:VRO916539 WBJ916539:WBK916539 WLF916539:WLG916539 WVB916539:WVC916539 IP982075:IQ982075 SL982075:SM982075 ACH982075:ACI982075 AMD982075:AME982075 AVZ982075:AWA982075 BFV982075:BFW982075 BPR982075:BPS982075 BZN982075:BZO982075 CJJ982075:CJK982075 CTF982075:CTG982075 DDB982075:DDC982075 DMX982075:DMY982075 DWT982075:DWU982075 EGP982075:EGQ982075 EQL982075:EQM982075 FAH982075:FAI982075 FKD982075:FKE982075 FTZ982075:FUA982075 GDV982075:GDW982075 GNR982075:GNS982075 GXN982075:GXO982075 HHJ982075:HHK982075 HRF982075:HRG982075 IBB982075:IBC982075 IKX982075:IKY982075 IUT982075:IUU982075 JEP982075:JEQ982075 JOL982075:JOM982075 JYH982075:JYI982075 KID982075:KIE982075 KRZ982075:KSA982075 LBV982075:LBW982075 LLR982075:LLS982075 LVN982075:LVO982075 MFJ982075:MFK982075 MPF982075:MPG982075 MZB982075:MZC982075 NIX982075:NIY982075 NST982075:NSU982075 OCP982075:OCQ982075 OML982075:OMM982075 OWH982075:OWI982075 PGD982075:PGE982075 PPZ982075:PQA982075 PZV982075:PZW982075 QJR982075:QJS982075 QTN982075:QTO982075 RDJ982075:RDK982075 RNF982075:RNG982075 RXB982075:RXC982075 SGX982075:SGY982075 SQT982075:SQU982075 TAP982075:TAQ982075 TKL982075:TKM982075 TUH982075:TUI982075 UED982075:UEE982075 UNZ982075:UOA982075 UXV982075:UXW982075 VHR982075:VHS982075 VRN982075:VRO982075 WBJ982075:WBK982075 WLF982075:WLG982075 WVB982075:WVC982075" xr:uid="{58EE03F5-CC58-422D-9E4F-BBCB25F71EAB}">
      <formula1>0</formula1>
      <formula2>50</formula2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E607-ABF9-4CC3-9E8F-B0FE918D434E}">
  <dimension ref="A1:G271"/>
  <sheetViews>
    <sheetView workbookViewId="0">
      <selection activeCell="J15" sqref="J15"/>
    </sheetView>
  </sheetViews>
  <sheetFormatPr defaultRowHeight="15" x14ac:dyDescent="0.25"/>
  <cols>
    <col min="1" max="1" width="19.28515625" style="5" bestFit="1" customWidth="1"/>
    <col min="2" max="2" width="10" style="5" bestFit="1" customWidth="1"/>
    <col min="3" max="3" width="20.7109375" style="7" bestFit="1" customWidth="1"/>
    <col min="4" max="4" width="25.85546875" style="7" customWidth="1"/>
    <col min="5" max="5" width="7.140625" style="7" bestFit="1" customWidth="1"/>
    <col min="6" max="6" width="14.28515625" bestFit="1" customWidth="1"/>
    <col min="242" max="242" width="27.28515625" bestFit="1" customWidth="1"/>
    <col min="243" max="243" width="6.5703125" bestFit="1" customWidth="1"/>
    <col min="244" max="245" width="28.140625" bestFit="1" customWidth="1"/>
    <col min="246" max="246" width="6.5703125" bestFit="1" customWidth="1"/>
    <col min="247" max="248" width="28.140625" bestFit="1" customWidth="1"/>
    <col min="249" max="249" width="38.42578125" bestFit="1" customWidth="1"/>
    <col min="250" max="250" width="33.7109375" bestFit="1" customWidth="1"/>
    <col min="251" max="251" width="32" bestFit="1" customWidth="1"/>
    <col min="253" max="253" width="16.85546875" bestFit="1" customWidth="1"/>
    <col min="254" max="254" width="25.85546875" bestFit="1" customWidth="1"/>
    <col min="498" max="498" width="27.28515625" bestFit="1" customWidth="1"/>
    <col min="499" max="499" width="6.5703125" bestFit="1" customWidth="1"/>
    <col min="500" max="501" width="28.140625" bestFit="1" customWidth="1"/>
    <col min="502" max="502" width="6.5703125" bestFit="1" customWidth="1"/>
    <col min="503" max="504" width="28.140625" bestFit="1" customWidth="1"/>
    <col min="505" max="505" width="38.42578125" bestFit="1" customWidth="1"/>
    <col min="506" max="506" width="33.7109375" bestFit="1" customWidth="1"/>
    <col min="507" max="507" width="32" bestFit="1" customWidth="1"/>
    <col min="509" max="509" width="16.85546875" bestFit="1" customWidth="1"/>
    <col min="510" max="510" width="25.85546875" bestFit="1" customWidth="1"/>
    <col min="754" max="754" width="27.28515625" bestFit="1" customWidth="1"/>
    <col min="755" max="755" width="6.5703125" bestFit="1" customWidth="1"/>
    <col min="756" max="757" width="28.140625" bestFit="1" customWidth="1"/>
    <col min="758" max="758" width="6.5703125" bestFit="1" customWidth="1"/>
    <col min="759" max="760" width="28.140625" bestFit="1" customWidth="1"/>
    <col min="761" max="761" width="38.42578125" bestFit="1" customWidth="1"/>
    <col min="762" max="762" width="33.7109375" bestFit="1" customWidth="1"/>
    <col min="763" max="763" width="32" bestFit="1" customWidth="1"/>
    <col min="765" max="765" width="16.85546875" bestFit="1" customWidth="1"/>
    <col min="766" max="766" width="25.85546875" bestFit="1" customWidth="1"/>
    <col min="1010" max="1010" width="27.28515625" bestFit="1" customWidth="1"/>
    <col min="1011" max="1011" width="6.5703125" bestFit="1" customWidth="1"/>
    <col min="1012" max="1013" width="28.140625" bestFit="1" customWidth="1"/>
    <col min="1014" max="1014" width="6.5703125" bestFit="1" customWidth="1"/>
    <col min="1015" max="1016" width="28.140625" bestFit="1" customWidth="1"/>
    <col min="1017" max="1017" width="38.42578125" bestFit="1" customWidth="1"/>
    <col min="1018" max="1018" width="33.7109375" bestFit="1" customWidth="1"/>
    <col min="1019" max="1019" width="32" bestFit="1" customWidth="1"/>
    <col min="1021" max="1021" width="16.85546875" bestFit="1" customWidth="1"/>
    <col min="1022" max="1022" width="25.85546875" bestFit="1" customWidth="1"/>
    <col min="1266" max="1266" width="27.28515625" bestFit="1" customWidth="1"/>
    <col min="1267" max="1267" width="6.5703125" bestFit="1" customWidth="1"/>
    <col min="1268" max="1269" width="28.140625" bestFit="1" customWidth="1"/>
    <col min="1270" max="1270" width="6.5703125" bestFit="1" customWidth="1"/>
    <col min="1271" max="1272" width="28.140625" bestFit="1" customWidth="1"/>
    <col min="1273" max="1273" width="38.42578125" bestFit="1" customWidth="1"/>
    <col min="1274" max="1274" width="33.7109375" bestFit="1" customWidth="1"/>
    <col min="1275" max="1275" width="32" bestFit="1" customWidth="1"/>
    <col min="1277" max="1277" width="16.85546875" bestFit="1" customWidth="1"/>
    <col min="1278" max="1278" width="25.85546875" bestFit="1" customWidth="1"/>
    <col min="1522" max="1522" width="27.28515625" bestFit="1" customWidth="1"/>
    <col min="1523" max="1523" width="6.5703125" bestFit="1" customWidth="1"/>
    <col min="1524" max="1525" width="28.140625" bestFit="1" customWidth="1"/>
    <col min="1526" max="1526" width="6.5703125" bestFit="1" customWidth="1"/>
    <col min="1527" max="1528" width="28.140625" bestFit="1" customWidth="1"/>
    <col min="1529" max="1529" width="38.42578125" bestFit="1" customWidth="1"/>
    <col min="1530" max="1530" width="33.7109375" bestFit="1" customWidth="1"/>
    <col min="1531" max="1531" width="32" bestFit="1" customWidth="1"/>
    <col min="1533" max="1533" width="16.85546875" bestFit="1" customWidth="1"/>
    <col min="1534" max="1534" width="25.85546875" bestFit="1" customWidth="1"/>
    <col min="1778" max="1778" width="27.28515625" bestFit="1" customWidth="1"/>
    <col min="1779" max="1779" width="6.5703125" bestFit="1" customWidth="1"/>
    <col min="1780" max="1781" width="28.140625" bestFit="1" customWidth="1"/>
    <col min="1782" max="1782" width="6.5703125" bestFit="1" customWidth="1"/>
    <col min="1783" max="1784" width="28.140625" bestFit="1" customWidth="1"/>
    <col min="1785" max="1785" width="38.42578125" bestFit="1" customWidth="1"/>
    <col min="1786" max="1786" width="33.7109375" bestFit="1" customWidth="1"/>
    <col min="1787" max="1787" width="32" bestFit="1" customWidth="1"/>
    <col min="1789" max="1789" width="16.85546875" bestFit="1" customWidth="1"/>
    <col min="1790" max="1790" width="25.85546875" bestFit="1" customWidth="1"/>
    <col min="2034" max="2034" width="27.28515625" bestFit="1" customWidth="1"/>
    <col min="2035" max="2035" width="6.5703125" bestFit="1" customWidth="1"/>
    <col min="2036" max="2037" width="28.140625" bestFit="1" customWidth="1"/>
    <col min="2038" max="2038" width="6.5703125" bestFit="1" customWidth="1"/>
    <col min="2039" max="2040" width="28.140625" bestFit="1" customWidth="1"/>
    <col min="2041" max="2041" width="38.42578125" bestFit="1" customWidth="1"/>
    <col min="2042" max="2042" width="33.7109375" bestFit="1" customWidth="1"/>
    <col min="2043" max="2043" width="32" bestFit="1" customWidth="1"/>
    <col min="2045" max="2045" width="16.85546875" bestFit="1" customWidth="1"/>
    <col min="2046" max="2046" width="25.85546875" bestFit="1" customWidth="1"/>
    <col min="2290" max="2290" width="27.28515625" bestFit="1" customWidth="1"/>
    <col min="2291" max="2291" width="6.5703125" bestFit="1" customWidth="1"/>
    <col min="2292" max="2293" width="28.140625" bestFit="1" customWidth="1"/>
    <col min="2294" max="2294" width="6.5703125" bestFit="1" customWidth="1"/>
    <col min="2295" max="2296" width="28.140625" bestFit="1" customWidth="1"/>
    <col min="2297" max="2297" width="38.42578125" bestFit="1" customWidth="1"/>
    <col min="2298" max="2298" width="33.7109375" bestFit="1" customWidth="1"/>
    <col min="2299" max="2299" width="32" bestFit="1" customWidth="1"/>
    <col min="2301" max="2301" width="16.85546875" bestFit="1" customWidth="1"/>
    <col min="2302" max="2302" width="25.85546875" bestFit="1" customWidth="1"/>
    <col min="2546" max="2546" width="27.28515625" bestFit="1" customWidth="1"/>
    <col min="2547" max="2547" width="6.5703125" bestFit="1" customWidth="1"/>
    <col min="2548" max="2549" width="28.140625" bestFit="1" customWidth="1"/>
    <col min="2550" max="2550" width="6.5703125" bestFit="1" customWidth="1"/>
    <col min="2551" max="2552" width="28.140625" bestFit="1" customWidth="1"/>
    <col min="2553" max="2553" width="38.42578125" bestFit="1" customWidth="1"/>
    <col min="2554" max="2554" width="33.7109375" bestFit="1" customWidth="1"/>
    <col min="2555" max="2555" width="32" bestFit="1" customWidth="1"/>
    <col min="2557" max="2557" width="16.85546875" bestFit="1" customWidth="1"/>
    <col min="2558" max="2558" width="25.85546875" bestFit="1" customWidth="1"/>
    <col min="2802" max="2802" width="27.28515625" bestFit="1" customWidth="1"/>
    <col min="2803" max="2803" width="6.5703125" bestFit="1" customWidth="1"/>
    <col min="2804" max="2805" width="28.140625" bestFit="1" customWidth="1"/>
    <col min="2806" max="2806" width="6.5703125" bestFit="1" customWidth="1"/>
    <col min="2807" max="2808" width="28.140625" bestFit="1" customWidth="1"/>
    <col min="2809" max="2809" width="38.42578125" bestFit="1" customWidth="1"/>
    <col min="2810" max="2810" width="33.7109375" bestFit="1" customWidth="1"/>
    <col min="2811" max="2811" width="32" bestFit="1" customWidth="1"/>
    <col min="2813" max="2813" width="16.85546875" bestFit="1" customWidth="1"/>
    <col min="2814" max="2814" width="25.85546875" bestFit="1" customWidth="1"/>
    <col min="3058" max="3058" width="27.28515625" bestFit="1" customWidth="1"/>
    <col min="3059" max="3059" width="6.5703125" bestFit="1" customWidth="1"/>
    <col min="3060" max="3061" width="28.140625" bestFit="1" customWidth="1"/>
    <col min="3062" max="3062" width="6.5703125" bestFit="1" customWidth="1"/>
    <col min="3063" max="3064" width="28.140625" bestFit="1" customWidth="1"/>
    <col min="3065" max="3065" width="38.42578125" bestFit="1" customWidth="1"/>
    <col min="3066" max="3066" width="33.7109375" bestFit="1" customWidth="1"/>
    <col min="3067" max="3067" width="32" bestFit="1" customWidth="1"/>
    <col min="3069" max="3069" width="16.85546875" bestFit="1" customWidth="1"/>
    <col min="3070" max="3070" width="25.85546875" bestFit="1" customWidth="1"/>
    <col min="3314" max="3314" width="27.28515625" bestFit="1" customWidth="1"/>
    <col min="3315" max="3315" width="6.5703125" bestFit="1" customWidth="1"/>
    <col min="3316" max="3317" width="28.140625" bestFit="1" customWidth="1"/>
    <col min="3318" max="3318" width="6.5703125" bestFit="1" customWidth="1"/>
    <col min="3319" max="3320" width="28.140625" bestFit="1" customWidth="1"/>
    <col min="3321" max="3321" width="38.42578125" bestFit="1" customWidth="1"/>
    <col min="3322" max="3322" width="33.7109375" bestFit="1" customWidth="1"/>
    <col min="3323" max="3323" width="32" bestFit="1" customWidth="1"/>
    <col min="3325" max="3325" width="16.85546875" bestFit="1" customWidth="1"/>
    <col min="3326" max="3326" width="25.85546875" bestFit="1" customWidth="1"/>
    <col min="3570" max="3570" width="27.28515625" bestFit="1" customWidth="1"/>
    <col min="3571" max="3571" width="6.5703125" bestFit="1" customWidth="1"/>
    <col min="3572" max="3573" width="28.140625" bestFit="1" customWidth="1"/>
    <col min="3574" max="3574" width="6.5703125" bestFit="1" customWidth="1"/>
    <col min="3575" max="3576" width="28.140625" bestFit="1" customWidth="1"/>
    <col min="3577" max="3577" width="38.42578125" bestFit="1" customWidth="1"/>
    <col min="3578" max="3578" width="33.7109375" bestFit="1" customWidth="1"/>
    <col min="3579" max="3579" width="32" bestFit="1" customWidth="1"/>
    <col min="3581" max="3581" width="16.85546875" bestFit="1" customWidth="1"/>
    <col min="3582" max="3582" width="25.85546875" bestFit="1" customWidth="1"/>
    <col min="3826" max="3826" width="27.28515625" bestFit="1" customWidth="1"/>
    <col min="3827" max="3827" width="6.5703125" bestFit="1" customWidth="1"/>
    <col min="3828" max="3829" width="28.140625" bestFit="1" customWidth="1"/>
    <col min="3830" max="3830" width="6.5703125" bestFit="1" customWidth="1"/>
    <col min="3831" max="3832" width="28.140625" bestFit="1" customWidth="1"/>
    <col min="3833" max="3833" width="38.42578125" bestFit="1" customWidth="1"/>
    <col min="3834" max="3834" width="33.7109375" bestFit="1" customWidth="1"/>
    <col min="3835" max="3835" width="32" bestFit="1" customWidth="1"/>
    <col min="3837" max="3837" width="16.85546875" bestFit="1" customWidth="1"/>
    <col min="3838" max="3838" width="25.85546875" bestFit="1" customWidth="1"/>
    <col min="4082" max="4082" width="27.28515625" bestFit="1" customWidth="1"/>
    <col min="4083" max="4083" width="6.5703125" bestFit="1" customWidth="1"/>
    <col min="4084" max="4085" width="28.140625" bestFit="1" customWidth="1"/>
    <col min="4086" max="4086" width="6.5703125" bestFit="1" customWidth="1"/>
    <col min="4087" max="4088" width="28.140625" bestFit="1" customWidth="1"/>
    <col min="4089" max="4089" width="38.42578125" bestFit="1" customWidth="1"/>
    <col min="4090" max="4090" width="33.7109375" bestFit="1" customWidth="1"/>
    <col min="4091" max="4091" width="32" bestFit="1" customWidth="1"/>
    <col min="4093" max="4093" width="16.85546875" bestFit="1" customWidth="1"/>
    <col min="4094" max="4094" width="25.85546875" bestFit="1" customWidth="1"/>
    <col min="4338" max="4338" width="27.28515625" bestFit="1" customWidth="1"/>
    <col min="4339" max="4339" width="6.5703125" bestFit="1" customWidth="1"/>
    <col min="4340" max="4341" width="28.140625" bestFit="1" customWidth="1"/>
    <col min="4342" max="4342" width="6.5703125" bestFit="1" customWidth="1"/>
    <col min="4343" max="4344" width="28.140625" bestFit="1" customWidth="1"/>
    <col min="4345" max="4345" width="38.42578125" bestFit="1" customWidth="1"/>
    <col min="4346" max="4346" width="33.7109375" bestFit="1" customWidth="1"/>
    <col min="4347" max="4347" width="32" bestFit="1" customWidth="1"/>
    <col min="4349" max="4349" width="16.85546875" bestFit="1" customWidth="1"/>
    <col min="4350" max="4350" width="25.85546875" bestFit="1" customWidth="1"/>
    <col min="4594" max="4594" width="27.28515625" bestFit="1" customWidth="1"/>
    <col min="4595" max="4595" width="6.5703125" bestFit="1" customWidth="1"/>
    <col min="4596" max="4597" width="28.140625" bestFit="1" customWidth="1"/>
    <col min="4598" max="4598" width="6.5703125" bestFit="1" customWidth="1"/>
    <col min="4599" max="4600" width="28.140625" bestFit="1" customWidth="1"/>
    <col min="4601" max="4601" width="38.42578125" bestFit="1" customWidth="1"/>
    <col min="4602" max="4602" width="33.7109375" bestFit="1" customWidth="1"/>
    <col min="4603" max="4603" width="32" bestFit="1" customWidth="1"/>
    <col min="4605" max="4605" width="16.85546875" bestFit="1" customWidth="1"/>
    <col min="4606" max="4606" width="25.85546875" bestFit="1" customWidth="1"/>
    <col min="4850" max="4850" width="27.28515625" bestFit="1" customWidth="1"/>
    <col min="4851" max="4851" width="6.5703125" bestFit="1" customWidth="1"/>
    <col min="4852" max="4853" width="28.140625" bestFit="1" customWidth="1"/>
    <col min="4854" max="4854" width="6.5703125" bestFit="1" customWidth="1"/>
    <col min="4855" max="4856" width="28.140625" bestFit="1" customWidth="1"/>
    <col min="4857" max="4857" width="38.42578125" bestFit="1" customWidth="1"/>
    <col min="4858" max="4858" width="33.7109375" bestFit="1" customWidth="1"/>
    <col min="4859" max="4859" width="32" bestFit="1" customWidth="1"/>
    <col min="4861" max="4861" width="16.85546875" bestFit="1" customWidth="1"/>
    <col min="4862" max="4862" width="25.85546875" bestFit="1" customWidth="1"/>
    <col min="5106" max="5106" width="27.28515625" bestFit="1" customWidth="1"/>
    <col min="5107" max="5107" width="6.5703125" bestFit="1" customWidth="1"/>
    <col min="5108" max="5109" width="28.140625" bestFit="1" customWidth="1"/>
    <col min="5110" max="5110" width="6.5703125" bestFit="1" customWidth="1"/>
    <col min="5111" max="5112" width="28.140625" bestFit="1" customWidth="1"/>
    <col min="5113" max="5113" width="38.42578125" bestFit="1" customWidth="1"/>
    <col min="5114" max="5114" width="33.7109375" bestFit="1" customWidth="1"/>
    <col min="5115" max="5115" width="32" bestFit="1" customWidth="1"/>
    <col min="5117" max="5117" width="16.85546875" bestFit="1" customWidth="1"/>
    <col min="5118" max="5118" width="25.85546875" bestFit="1" customWidth="1"/>
    <col min="5362" max="5362" width="27.28515625" bestFit="1" customWidth="1"/>
    <col min="5363" max="5363" width="6.5703125" bestFit="1" customWidth="1"/>
    <col min="5364" max="5365" width="28.140625" bestFit="1" customWidth="1"/>
    <col min="5366" max="5366" width="6.5703125" bestFit="1" customWidth="1"/>
    <col min="5367" max="5368" width="28.140625" bestFit="1" customWidth="1"/>
    <col min="5369" max="5369" width="38.42578125" bestFit="1" customWidth="1"/>
    <col min="5370" max="5370" width="33.7109375" bestFit="1" customWidth="1"/>
    <col min="5371" max="5371" width="32" bestFit="1" customWidth="1"/>
    <col min="5373" max="5373" width="16.85546875" bestFit="1" customWidth="1"/>
    <col min="5374" max="5374" width="25.85546875" bestFit="1" customWidth="1"/>
    <col min="5618" max="5618" width="27.28515625" bestFit="1" customWidth="1"/>
    <col min="5619" max="5619" width="6.5703125" bestFit="1" customWidth="1"/>
    <col min="5620" max="5621" width="28.140625" bestFit="1" customWidth="1"/>
    <col min="5622" max="5622" width="6.5703125" bestFit="1" customWidth="1"/>
    <col min="5623" max="5624" width="28.140625" bestFit="1" customWidth="1"/>
    <col min="5625" max="5625" width="38.42578125" bestFit="1" customWidth="1"/>
    <col min="5626" max="5626" width="33.7109375" bestFit="1" customWidth="1"/>
    <col min="5627" max="5627" width="32" bestFit="1" customWidth="1"/>
    <col min="5629" max="5629" width="16.85546875" bestFit="1" customWidth="1"/>
    <col min="5630" max="5630" width="25.85546875" bestFit="1" customWidth="1"/>
    <col min="5874" max="5874" width="27.28515625" bestFit="1" customWidth="1"/>
    <col min="5875" max="5875" width="6.5703125" bestFit="1" customWidth="1"/>
    <col min="5876" max="5877" width="28.140625" bestFit="1" customWidth="1"/>
    <col min="5878" max="5878" width="6.5703125" bestFit="1" customWidth="1"/>
    <col min="5879" max="5880" width="28.140625" bestFit="1" customWidth="1"/>
    <col min="5881" max="5881" width="38.42578125" bestFit="1" customWidth="1"/>
    <col min="5882" max="5882" width="33.7109375" bestFit="1" customWidth="1"/>
    <col min="5883" max="5883" width="32" bestFit="1" customWidth="1"/>
    <col min="5885" max="5885" width="16.85546875" bestFit="1" customWidth="1"/>
    <col min="5886" max="5886" width="25.85546875" bestFit="1" customWidth="1"/>
    <col min="6130" max="6130" width="27.28515625" bestFit="1" customWidth="1"/>
    <col min="6131" max="6131" width="6.5703125" bestFit="1" customWidth="1"/>
    <col min="6132" max="6133" width="28.140625" bestFit="1" customWidth="1"/>
    <col min="6134" max="6134" width="6.5703125" bestFit="1" customWidth="1"/>
    <col min="6135" max="6136" width="28.140625" bestFit="1" customWidth="1"/>
    <col min="6137" max="6137" width="38.42578125" bestFit="1" customWidth="1"/>
    <col min="6138" max="6138" width="33.7109375" bestFit="1" customWidth="1"/>
    <col min="6139" max="6139" width="32" bestFit="1" customWidth="1"/>
    <col min="6141" max="6141" width="16.85546875" bestFit="1" customWidth="1"/>
    <col min="6142" max="6142" width="25.85546875" bestFit="1" customWidth="1"/>
    <col min="6386" max="6386" width="27.28515625" bestFit="1" customWidth="1"/>
    <col min="6387" max="6387" width="6.5703125" bestFit="1" customWidth="1"/>
    <col min="6388" max="6389" width="28.140625" bestFit="1" customWidth="1"/>
    <col min="6390" max="6390" width="6.5703125" bestFit="1" customWidth="1"/>
    <col min="6391" max="6392" width="28.140625" bestFit="1" customWidth="1"/>
    <col min="6393" max="6393" width="38.42578125" bestFit="1" customWidth="1"/>
    <col min="6394" max="6394" width="33.7109375" bestFit="1" customWidth="1"/>
    <col min="6395" max="6395" width="32" bestFit="1" customWidth="1"/>
    <col min="6397" max="6397" width="16.85546875" bestFit="1" customWidth="1"/>
    <col min="6398" max="6398" width="25.85546875" bestFit="1" customWidth="1"/>
    <col min="6642" max="6642" width="27.28515625" bestFit="1" customWidth="1"/>
    <col min="6643" max="6643" width="6.5703125" bestFit="1" customWidth="1"/>
    <col min="6644" max="6645" width="28.140625" bestFit="1" customWidth="1"/>
    <col min="6646" max="6646" width="6.5703125" bestFit="1" customWidth="1"/>
    <col min="6647" max="6648" width="28.140625" bestFit="1" customWidth="1"/>
    <col min="6649" max="6649" width="38.42578125" bestFit="1" customWidth="1"/>
    <col min="6650" max="6650" width="33.7109375" bestFit="1" customWidth="1"/>
    <col min="6651" max="6651" width="32" bestFit="1" customWidth="1"/>
    <col min="6653" max="6653" width="16.85546875" bestFit="1" customWidth="1"/>
    <col min="6654" max="6654" width="25.85546875" bestFit="1" customWidth="1"/>
    <col min="6898" max="6898" width="27.28515625" bestFit="1" customWidth="1"/>
    <col min="6899" max="6899" width="6.5703125" bestFit="1" customWidth="1"/>
    <col min="6900" max="6901" width="28.140625" bestFit="1" customWidth="1"/>
    <col min="6902" max="6902" width="6.5703125" bestFit="1" customWidth="1"/>
    <col min="6903" max="6904" width="28.140625" bestFit="1" customWidth="1"/>
    <col min="6905" max="6905" width="38.42578125" bestFit="1" customWidth="1"/>
    <col min="6906" max="6906" width="33.7109375" bestFit="1" customWidth="1"/>
    <col min="6907" max="6907" width="32" bestFit="1" customWidth="1"/>
    <col min="6909" max="6909" width="16.85546875" bestFit="1" customWidth="1"/>
    <col min="6910" max="6910" width="25.85546875" bestFit="1" customWidth="1"/>
    <col min="7154" max="7154" width="27.28515625" bestFit="1" customWidth="1"/>
    <col min="7155" max="7155" width="6.5703125" bestFit="1" customWidth="1"/>
    <col min="7156" max="7157" width="28.140625" bestFit="1" customWidth="1"/>
    <col min="7158" max="7158" width="6.5703125" bestFit="1" customWidth="1"/>
    <col min="7159" max="7160" width="28.140625" bestFit="1" customWidth="1"/>
    <col min="7161" max="7161" width="38.42578125" bestFit="1" customWidth="1"/>
    <col min="7162" max="7162" width="33.7109375" bestFit="1" customWidth="1"/>
    <col min="7163" max="7163" width="32" bestFit="1" customWidth="1"/>
    <col min="7165" max="7165" width="16.85546875" bestFit="1" customWidth="1"/>
    <col min="7166" max="7166" width="25.85546875" bestFit="1" customWidth="1"/>
    <col min="7410" max="7410" width="27.28515625" bestFit="1" customWidth="1"/>
    <col min="7411" max="7411" width="6.5703125" bestFit="1" customWidth="1"/>
    <col min="7412" max="7413" width="28.140625" bestFit="1" customWidth="1"/>
    <col min="7414" max="7414" width="6.5703125" bestFit="1" customWidth="1"/>
    <col min="7415" max="7416" width="28.140625" bestFit="1" customWidth="1"/>
    <col min="7417" max="7417" width="38.42578125" bestFit="1" customWidth="1"/>
    <col min="7418" max="7418" width="33.7109375" bestFit="1" customWidth="1"/>
    <col min="7419" max="7419" width="32" bestFit="1" customWidth="1"/>
    <col min="7421" max="7421" width="16.85546875" bestFit="1" customWidth="1"/>
    <col min="7422" max="7422" width="25.85546875" bestFit="1" customWidth="1"/>
    <col min="7666" max="7666" width="27.28515625" bestFit="1" customWidth="1"/>
    <col min="7667" max="7667" width="6.5703125" bestFit="1" customWidth="1"/>
    <col min="7668" max="7669" width="28.140625" bestFit="1" customWidth="1"/>
    <col min="7670" max="7670" width="6.5703125" bestFit="1" customWidth="1"/>
    <col min="7671" max="7672" width="28.140625" bestFit="1" customWidth="1"/>
    <col min="7673" max="7673" width="38.42578125" bestFit="1" customWidth="1"/>
    <col min="7674" max="7674" width="33.7109375" bestFit="1" customWidth="1"/>
    <col min="7675" max="7675" width="32" bestFit="1" customWidth="1"/>
    <col min="7677" max="7677" width="16.85546875" bestFit="1" customWidth="1"/>
    <col min="7678" max="7678" width="25.85546875" bestFit="1" customWidth="1"/>
    <col min="7922" max="7922" width="27.28515625" bestFit="1" customWidth="1"/>
    <col min="7923" max="7923" width="6.5703125" bestFit="1" customWidth="1"/>
    <col min="7924" max="7925" width="28.140625" bestFit="1" customWidth="1"/>
    <col min="7926" max="7926" width="6.5703125" bestFit="1" customWidth="1"/>
    <col min="7927" max="7928" width="28.140625" bestFit="1" customWidth="1"/>
    <col min="7929" max="7929" width="38.42578125" bestFit="1" customWidth="1"/>
    <col min="7930" max="7930" width="33.7109375" bestFit="1" customWidth="1"/>
    <col min="7931" max="7931" width="32" bestFit="1" customWidth="1"/>
    <col min="7933" max="7933" width="16.85546875" bestFit="1" customWidth="1"/>
    <col min="7934" max="7934" width="25.85546875" bestFit="1" customWidth="1"/>
    <col min="8178" max="8178" width="27.28515625" bestFit="1" customWidth="1"/>
    <col min="8179" max="8179" width="6.5703125" bestFit="1" customWidth="1"/>
    <col min="8180" max="8181" width="28.140625" bestFit="1" customWidth="1"/>
    <col min="8182" max="8182" width="6.5703125" bestFit="1" customWidth="1"/>
    <col min="8183" max="8184" width="28.140625" bestFit="1" customWidth="1"/>
    <col min="8185" max="8185" width="38.42578125" bestFit="1" customWidth="1"/>
    <col min="8186" max="8186" width="33.7109375" bestFit="1" customWidth="1"/>
    <col min="8187" max="8187" width="32" bestFit="1" customWidth="1"/>
    <col min="8189" max="8189" width="16.85546875" bestFit="1" customWidth="1"/>
    <col min="8190" max="8190" width="25.85546875" bestFit="1" customWidth="1"/>
    <col min="8434" max="8434" width="27.28515625" bestFit="1" customWidth="1"/>
    <col min="8435" max="8435" width="6.5703125" bestFit="1" customWidth="1"/>
    <col min="8436" max="8437" width="28.140625" bestFit="1" customWidth="1"/>
    <col min="8438" max="8438" width="6.5703125" bestFit="1" customWidth="1"/>
    <col min="8439" max="8440" width="28.140625" bestFit="1" customWidth="1"/>
    <col min="8441" max="8441" width="38.42578125" bestFit="1" customWidth="1"/>
    <col min="8442" max="8442" width="33.7109375" bestFit="1" customWidth="1"/>
    <col min="8443" max="8443" width="32" bestFit="1" customWidth="1"/>
    <col min="8445" max="8445" width="16.85546875" bestFit="1" customWidth="1"/>
    <col min="8446" max="8446" width="25.85546875" bestFit="1" customWidth="1"/>
    <col min="8690" max="8690" width="27.28515625" bestFit="1" customWidth="1"/>
    <col min="8691" max="8691" width="6.5703125" bestFit="1" customWidth="1"/>
    <col min="8692" max="8693" width="28.140625" bestFit="1" customWidth="1"/>
    <col min="8694" max="8694" width="6.5703125" bestFit="1" customWidth="1"/>
    <col min="8695" max="8696" width="28.140625" bestFit="1" customWidth="1"/>
    <col min="8697" max="8697" width="38.42578125" bestFit="1" customWidth="1"/>
    <col min="8698" max="8698" width="33.7109375" bestFit="1" customWidth="1"/>
    <col min="8699" max="8699" width="32" bestFit="1" customWidth="1"/>
    <col min="8701" max="8701" width="16.85546875" bestFit="1" customWidth="1"/>
    <col min="8702" max="8702" width="25.85546875" bestFit="1" customWidth="1"/>
    <col min="8946" max="8946" width="27.28515625" bestFit="1" customWidth="1"/>
    <col min="8947" max="8947" width="6.5703125" bestFit="1" customWidth="1"/>
    <col min="8948" max="8949" width="28.140625" bestFit="1" customWidth="1"/>
    <col min="8950" max="8950" width="6.5703125" bestFit="1" customWidth="1"/>
    <col min="8951" max="8952" width="28.140625" bestFit="1" customWidth="1"/>
    <col min="8953" max="8953" width="38.42578125" bestFit="1" customWidth="1"/>
    <col min="8954" max="8954" width="33.7109375" bestFit="1" customWidth="1"/>
    <col min="8955" max="8955" width="32" bestFit="1" customWidth="1"/>
    <col min="8957" max="8957" width="16.85546875" bestFit="1" customWidth="1"/>
    <col min="8958" max="8958" width="25.85546875" bestFit="1" customWidth="1"/>
    <col min="9202" max="9202" width="27.28515625" bestFit="1" customWidth="1"/>
    <col min="9203" max="9203" width="6.5703125" bestFit="1" customWidth="1"/>
    <col min="9204" max="9205" width="28.140625" bestFit="1" customWidth="1"/>
    <col min="9206" max="9206" width="6.5703125" bestFit="1" customWidth="1"/>
    <col min="9207" max="9208" width="28.140625" bestFit="1" customWidth="1"/>
    <col min="9209" max="9209" width="38.42578125" bestFit="1" customWidth="1"/>
    <col min="9210" max="9210" width="33.7109375" bestFit="1" customWidth="1"/>
    <col min="9211" max="9211" width="32" bestFit="1" customWidth="1"/>
    <col min="9213" max="9213" width="16.85546875" bestFit="1" customWidth="1"/>
    <col min="9214" max="9214" width="25.85546875" bestFit="1" customWidth="1"/>
    <col min="9458" max="9458" width="27.28515625" bestFit="1" customWidth="1"/>
    <col min="9459" max="9459" width="6.5703125" bestFit="1" customWidth="1"/>
    <col min="9460" max="9461" width="28.140625" bestFit="1" customWidth="1"/>
    <col min="9462" max="9462" width="6.5703125" bestFit="1" customWidth="1"/>
    <col min="9463" max="9464" width="28.140625" bestFit="1" customWidth="1"/>
    <col min="9465" max="9465" width="38.42578125" bestFit="1" customWidth="1"/>
    <col min="9466" max="9466" width="33.7109375" bestFit="1" customWidth="1"/>
    <col min="9467" max="9467" width="32" bestFit="1" customWidth="1"/>
    <col min="9469" max="9469" width="16.85546875" bestFit="1" customWidth="1"/>
    <col min="9470" max="9470" width="25.85546875" bestFit="1" customWidth="1"/>
    <col min="9714" max="9714" width="27.28515625" bestFit="1" customWidth="1"/>
    <col min="9715" max="9715" width="6.5703125" bestFit="1" customWidth="1"/>
    <col min="9716" max="9717" width="28.140625" bestFit="1" customWidth="1"/>
    <col min="9718" max="9718" width="6.5703125" bestFit="1" customWidth="1"/>
    <col min="9719" max="9720" width="28.140625" bestFit="1" customWidth="1"/>
    <col min="9721" max="9721" width="38.42578125" bestFit="1" customWidth="1"/>
    <col min="9722" max="9722" width="33.7109375" bestFit="1" customWidth="1"/>
    <col min="9723" max="9723" width="32" bestFit="1" customWidth="1"/>
    <col min="9725" max="9725" width="16.85546875" bestFit="1" customWidth="1"/>
    <col min="9726" max="9726" width="25.85546875" bestFit="1" customWidth="1"/>
    <col min="9970" max="9970" width="27.28515625" bestFit="1" customWidth="1"/>
    <col min="9971" max="9971" width="6.5703125" bestFit="1" customWidth="1"/>
    <col min="9972" max="9973" width="28.140625" bestFit="1" customWidth="1"/>
    <col min="9974" max="9974" width="6.5703125" bestFit="1" customWidth="1"/>
    <col min="9975" max="9976" width="28.140625" bestFit="1" customWidth="1"/>
    <col min="9977" max="9977" width="38.42578125" bestFit="1" customWidth="1"/>
    <col min="9978" max="9978" width="33.7109375" bestFit="1" customWidth="1"/>
    <col min="9979" max="9979" width="32" bestFit="1" customWidth="1"/>
    <col min="9981" max="9981" width="16.85546875" bestFit="1" customWidth="1"/>
    <col min="9982" max="9982" width="25.85546875" bestFit="1" customWidth="1"/>
    <col min="10226" max="10226" width="27.28515625" bestFit="1" customWidth="1"/>
    <col min="10227" max="10227" width="6.5703125" bestFit="1" customWidth="1"/>
    <col min="10228" max="10229" width="28.140625" bestFit="1" customWidth="1"/>
    <col min="10230" max="10230" width="6.5703125" bestFit="1" customWidth="1"/>
    <col min="10231" max="10232" width="28.140625" bestFit="1" customWidth="1"/>
    <col min="10233" max="10233" width="38.42578125" bestFit="1" customWidth="1"/>
    <col min="10234" max="10234" width="33.7109375" bestFit="1" customWidth="1"/>
    <col min="10235" max="10235" width="32" bestFit="1" customWidth="1"/>
    <col min="10237" max="10237" width="16.85546875" bestFit="1" customWidth="1"/>
    <col min="10238" max="10238" width="25.85546875" bestFit="1" customWidth="1"/>
    <col min="10482" max="10482" width="27.28515625" bestFit="1" customWidth="1"/>
    <col min="10483" max="10483" width="6.5703125" bestFit="1" customWidth="1"/>
    <col min="10484" max="10485" width="28.140625" bestFit="1" customWidth="1"/>
    <col min="10486" max="10486" width="6.5703125" bestFit="1" customWidth="1"/>
    <col min="10487" max="10488" width="28.140625" bestFit="1" customWidth="1"/>
    <col min="10489" max="10489" width="38.42578125" bestFit="1" customWidth="1"/>
    <col min="10490" max="10490" width="33.7109375" bestFit="1" customWidth="1"/>
    <col min="10491" max="10491" width="32" bestFit="1" customWidth="1"/>
    <col min="10493" max="10493" width="16.85546875" bestFit="1" customWidth="1"/>
    <col min="10494" max="10494" width="25.85546875" bestFit="1" customWidth="1"/>
    <col min="10738" max="10738" width="27.28515625" bestFit="1" customWidth="1"/>
    <col min="10739" max="10739" width="6.5703125" bestFit="1" customWidth="1"/>
    <col min="10740" max="10741" width="28.140625" bestFit="1" customWidth="1"/>
    <col min="10742" max="10742" width="6.5703125" bestFit="1" customWidth="1"/>
    <col min="10743" max="10744" width="28.140625" bestFit="1" customWidth="1"/>
    <col min="10745" max="10745" width="38.42578125" bestFit="1" customWidth="1"/>
    <col min="10746" max="10746" width="33.7109375" bestFit="1" customWidth="1"/>
    <col min="10747" max="10747" width="32" bestFit="1" customWidth="1"/>
    <col min="10749" max="10749" width="16.85546875" bestFit="1" customWidth="1"/>
    <col min="10750" max="10750" width="25.85546875" bestFit="1" customWidth="1"/>
    <col min="10994" max="10994" width="27.28515625" bestFit="1" customWidth="1"/>
    <col min="10995" max="10995" width="6.5703125" bestFit="1" customWidth="1"/>
    <col min="10996" max="10997" width="28.140625" bestFit="1" customWidth="1"/>
    <col min="10998" max="10998" width="6.5703125" bestFit="1" customWidth="1"/>
    <col min="10999" max="11000" width="28.140625" bestFit="1" customWidth="1"/>
    <col min="11001" max="11001" width="38.42578125" bestFit="1" customWidth="1"/>
    <col min="11002" max="11002" width="33.7109375" bestFit="1" customWidth="1"/>
    <col min="11003" max="11003" width="32" bestFit="1" customWidth="1"/>
    <col min="11005" max="11005" width="16.85546875" bestFit="1" customWidth="1"/>
    <col min="11006" max="11006" width="25.85546875" bestFit="1" customWidth="1"/>
    <col min="11250" max="11250" width="27.28515625" bestFit="1" customWidth="1"/>
    <col min="11251" max="11251" width="6.5703125" bestFit="1" customWidth="1"/>
    <col min="11252" max="11253" width="28.140625" bestFit="1" customWidth="1"/>
    <col min="11254" max="11254" width="6.5703125" bestFit="1" customWidth="1"/>
    <col min="11255" max="11256" width="28.140625" bestFit="1" customWidth="1"/>
    <col min="11257" max="11257" width="38.42578125" bestFit="1" customWidth="1"/>
    <col min="11258" max="11258" width="33.7109375" bestFit="1" customWidth="1"/>
    <col min="11259" max="11259" width="32" bestFit="1" customWidth="1"/>
    <col min="11261" max="11261" width="16.85546875" bestFit="1" customWidth="1"/>
    <col min="11262" max="11262" width="25.85546875" bestFit="1" customWidth="1"/>
    <col min="11506" max="11506" width="27.28515625" bestFit="1" customWidth="1"/>
    <col min="11507" max="11507" width="6.5703125" bestFit="1" customWidth="1"/>
    <col min="11508" max="11509" width="28.140625" bestFit="1" customWidth="1"/>
    <col min="11510" max="11510" width="6.5703125" bestFit="1" customWidth="1"/>
    <col min="11511" max="11512" width="28.140625" bestFit="1" customWidth="1"/>
    <col min="11513" max="11513" width="38.42578125" bestFit="1" customWidth="1"/>
    <col min="11514" max="11514" width="33.7109375" bestFit="1" customWidth="1"/>
    <col min="11515" max="11515" width="32" bestFit="1" customWidth="1"/>
    <col min="11517" max="11517" width="16.85546875" bestFit="1" customWidth="1"/>
    <col min="11518" max="11518" width="25.85546875" bestFit="1" customWidth="1"/>
    <col min="11762" max="11762" width="27.28515625" bestFit="1" customWidth="1"/>
    <col min="11763" max="11763" width="6.5703125" bestFit="1" customWidth="1"/>
    <col min="11764" max="11765" width="28.140625" bestFit="1" customWidth="1"/>
    <col min="11766" max="11766" width="6.5703125" bestFit="1" customWidth="1"/>
    <col min="11767" max="11768" width="28.140625" bestFit="1" customWidth="1"/>
    <col min="11769" max="11769" width="38.42578125" bestFit="1" customWidth="1"/>
    <col min="11770" max="11770" width="33.7109375" bestFit="1" customWidth="1"/>
    <col min="11771" max="11771" width="32" bestFit="1" customWidth="1"/>
    <col min="11773" max="11773" width="16.85546875" bestFit="1" customWidth="1"/>
    <col min="11774" max="11774" width="25.85546875" bestFit="1" customWidth="1"/>
    <col min="12018" max="12018" width="27.28515625" bestFit="1" customWidth="1"/>
    <col min="12019" max="12019" width="6.5703125" bestFit="1" customWidth="1"/>
    <col min="12020" max="12021" width="28.140625" bestFit="1" customWidth="1"/>
    <col min="12022" max="12022" width="6.5703125" bestFit="1" customWidth="1"/>
    <col min="12023" max="12024" width="28.140625" bestFit="1" customWidth="1"/>
    <col min="12025" max="12025" width="38.42578125" bestFit="1" customWidth="1"/>
    <col min="12026" max="12026" width="33.7109375" bestFit="1" customWidth="1"/>
    <col min="12027" max="12027" width="32" bestFit="1" customWidth="1"/>
    <col min="12029" max="12029" width="16.85546875" bestFit="1" customWidth="1"/>
    <col min="12030" max="12030" width="25.85546875" bestFit="1" customWidth="1"/>
    <col min="12274" max="12274" width="27.28515625" bestFit="1" customWidth="1"/>
    <col min="12275" max="12275" width="6.5703125" bestFit="1" customWidth="1"/>
    <col min="12276" max="12277" width="28.140625" bestFit="1" customWidth="1"/>
    <col min="12278" max="12278" width="6.5703125" bestFit="1" customWidth="1"/>
    <col min="12279" max="12280" width="28.140625" bestFit="1" customWidth="1"/>
    <col min="12281" max="12281" width="38.42578125" bestFit="1" customWidth="1"/>
    <col min="12282" max="12282" width="33.7109375" bestFit="1" customWidth="1"/>
    <col min="12283" max="12283" width="32" bestFit="1" customWidth="1"/>
    <col min="12285" max="12285" width="16.85546875" bestFit="1" customWidth="1"/>
    <col min="12286" max="12286" width="25.85546875" bestFit="1" customWidth="1"/>
    <col min="12530" max="12530" width="27.28515625" bestFit="1" customWidth="1"/>
    <col min="12531" max="12531" width="6.5703125" bestFit="1" customWidth="1"/>
    <col min="12532" max="12533" width="28.140625" bestFit="1" customWidth="1"/>
    <col min="12534" max="12534" width="6.5703125" bestFit="1" customWidth="1"/>
    <col min="12535" max="12536" width="28.140625" bestFit="1" customWidth="1"/>
    <col min="12537" max="12537" width="38.42578125" bestFit="1" customWidth="1"/>
    <col min="12538" max="12538" width="33.7109375" bestFit="1" customWidth="1"/>
    <col min="12539" max="12539" width="32" bestFit="1" customWidth="1"/>
    <col min="12541" max="12541" width="16.85546875" bestFit="1" customWidth="1"/>
    <col min="12542" max="12542" width="25.85546875" bestFit="1" customWidth="1"/>
    <col min="12786" max="12786" width="27.28515625" bestFit="1" customWidth="1"/>
    <col min="12787" max="12787" width="6.5703125" bestFit="1" customWidth="1"/>
    <col min="12788" max="12789" width="28.140625" bestFit="1" customWidth="1"/>
    <col min="12790" max="12790" width="6.5703125" bestFit="1" customWidth="1"/>
    <col min="12791" max="12792" width="28.140625" bestFit="1" customWidth="1"/>
    <col min="12793" max="12793" width="38.42578125" bestFit="1" customWidth="1"/>
    <col min="12794" max="12794" width="33.7109375" bestFit="1" customWidth="1"/>
    <col min="12795" max="12795" width="32" bestFit="1" customWidth="1"/>
    <col min="12797" max="12797" width="16.85546875" bestFit="1" customWidth="1"/>
    <col min="12798" max="12798" width="25.85546875" bestFit="1" customWidth="1"/>
    <col min="13042" max="13042" width="27.28515625" bestFit="1" customWidth="1"/>
    <col min="13043" max="13043" width="6.5703125" bestFit="1" customWidth="1"/>
    <col min="13044" max="13045" width="28.140625" bestFit="1" customWidth="1"/>
    <col min="13046" max="13046" width="6.5703125" bestFit="1" customWidth="1"/>
    <col min="13047" max="13048" width="28.140625" bestFit="1" customWidth="1"/>
    <col min="13049" max="13049" width="38.42578125" bestFit="1" customWidth="1"/>
    <col min="13050" max="13050" width="33.7109375" bestFit="1" customWidth="1"/>
    <col min="13051" max="13051" width="32" bestFit="1" customWidth="1"/>
    <col min="13053" max="13053" width="16.85546875" bestFit="1" customWidth="1"/>
    <col min="13054" max="13054" width="25.85546875" bestFit="1" customWidth="1"/>
    <col min="13298" max="13298" width="27.28515625" bestFit="1" customWidth="1"/>
    <col min="13299" max="13299" width="6.5703125" bestFit="1" customWidth="1"/>
    <col min="13300" max="13301" width="28.140625" bestFit="1" customWidth="1"/>
    <col min="13302" max="13302" width="6.5703125" bestFit="1" customWidth="1"/>
    <col min="13303" max="13304" width="28.140625" bestFit="1" customWidth="1"/>
    <col min="13305" max="13305" width="38.42578125" bestFit="1" customWidth="1"/>
    <col min="13306" max="13306" width="33.7109375" bestFit="1" customWidth="1"/>
    <col min="13307" max="13307" width="32" bestFit="1" customWidth="1"/>
    <col min="13309" max="13309" width="16.85546875" bestFit="1" customWidth="1"/>
    <col min="13310" max="13310" width="25.85546875" bestFit="1" customWidth="1"/>
    <col min="13554" max="13554" width="27.28515625" bestFit="1" customWidth="1"/>
    <col min="13555" max="13555" width="6.5703125" bestFit="1" customWidth="1"/>
    <col min="13556" max="13557" width="28.140625" bestFit="1" customWidth="1"/>
    <col min="13558" max="13558" width="6.5703125" bestFit="1" customWidth="1"/>
    <col min="13559" max="13560" width="28.140625" bestFit="1" customWidth="1"/>
    <col min="13561" max="13561" width="38.42578125" bestFit="1" customWidth="1"/>
    <col min="13562" max="13562" width="33.7109375" bestFit="1" customWidth="1"/>
    <col min="13563" max="13563" width="32" bestFit="1" customWidth="1"/>
    <col min="13565" max="13565" width="16.85546875" bestFit="1" customWidth="1"/>
    <col min="13566" max="13566" width="25.85546875" bestFit="1" customWidth="1"/>
    <col min="13810" max="13810" width="27.28515625" bestFit="1" customWidth="1"/>
    <col min="13811" max="13811" width="6.5703125" bestFit="1" customWidth="1"/>
    <col min="13812" max="13813" width="28.140625" bestFit="1" customWidth="1"/>
    <col min="13814" max="13814" width="6.5703125" bestFit="1" customWidth="1"/>
    <col min="13815" max="13816" width="28.140625" bestFit="1" customWidth="1"/>
    <col min="13817" max="13817" width="38.42578125" bestFit="1" customWidth="1"/>
    <col min="13818" max="13818" width="33.7109375" bestFit="1" customWidth="1"/>
    <col min="13819" max="13819" width="32" bestFit="1" customWidth="1"/>
    <col min="13821" max="13821" width="16.85546875" bestFit="1" customWidth="1"/>
    <col min="13822" max="13822" width="25.85546875" bestFit="1" customWidth="1"/>
    <col min="14066" max="14066" width="27.28515625" bestFit="1" customWidth="1"/>
    <col min="14067" max="14067" width="6.5703125" bestFit="1" customWidth="1"/>
    <col min="14068" max="14069" width="28.140625" bestFit="1" customWidth="1"/>
    <col min="14070" max="14070" width="6.5703125" bestFit="1" customWidth="1"/>
    <col min="14071" max="14072" width="28.140625" bestFit="1" customWidth="1"/>
    <col min="14073" max="14073" width="38.42578125" bestFit="1" customWidth="1"/>
    <col min="14074" max="14074" width="33.7109375" bestFit="1" customWidth="1"/>
    <col min="14075" max="14075" width="32" bestFit="1" customWidth="1"/>
    <col min="14077" max="14077" width="16.85546875" bestFit="1" customWidth="1"/>
    <col min="14078" max="14078" width="25.85546875" bestFit="1" customWidth="1"/>
    <col min="14322" max="14322" width="27.28515625" bestFit="1" customWidth="1"/>
    <col min="14323" max="14323" width="6.5703125" bestFit="1" customWidth="1"/>
    <col min="14324" max="14325" width="28.140625" bestFit="1" customWidth="1"/>
    <col min="14326" max="14326" width="6.5703125" bestFit="1" customWidth="1"/>
    <col min="14327" max="14328" width="28.140625" bestFit="1" customWidth="1"/>
    <col min="14329" max="14329" width="38.42578125" bestFit="1" customWidth="1"/>
    <col min="14330" max="14330" width="33.7109375" bestFit="1" customWidth="1"/>
    <col min="14331" max="14331" width="32" bestFit="1" customWidth="1"/>
    <col min="14333" max="14333" width="16.85546875" bestFit="1" customWidth="1"/>
    <col min="14334" max="14334" width="25.85546875" bestFit="1" customWidth="1"/>
    <col min="14578" max="14578" width="27.28515625" bestFit="1" customWidth="1"/>
    <col min="14579" max="14579" width="6.5703125" bestFit="1" customWidth="1"/>
    <col min="14580" max="14581" width="28.140625" bestFit="1" customWidth="1"/>
    <col min="14582" max="14582" width="6.5703125" bestFit="1" customWidth="1"/>
    <col min="14583" max="14584" width="28.140625" bestFit="1" customWidth="1"/>
    <col min="14585" max="14585" width="38.42578125" bestFit="1" customWidth="1"/>
    <col min="14586" max="14586" width="33.7109375" bestFit="1" customWidth="1"/>
    <col min="14587" max="14587" width="32" bestFit="1" customWidth="1"/>
    <col min="14589" max="14589" width="16.85546875" bestFit="1" customWidth="1"/>
    <col min="14590" max="14590" width="25.85546875" bestFit="1" customWidth="1"/>
    <col min="14834" max="14834" width="27.28515625" bestFit="1" customWidth="1"/>
    <col min="14835" max="14835" width="6.5703125" bestFit="1" customWidth="1"/>
    <col min="14836" max="14837" width="28.140625" bestFit="1" customWidth="1"/>
    <col min="14838" max="14838" width="6.5703125" bestFit="1" customWidth="1"/>
    <col min="14839" max="14840" width="28.140625" bestFit="1" customWidth="1"/>
    <col min="14841" max="14841" width="38.42578125" bestFit="1" customWidth="1"/>
    <col min="14842" max="14842" width="33.7109375" bestFit="1" customWidth="1"/>
    <col min="14843" max="14843" width="32" bestFit="1" customWidth="1"/>
    <col min="14845" max="14845" width="16.85546875" bestFit="1" customWidth="1"/>
    <col min="14846" max="14846" width="25.85546875" bestFit="1" customWidth="1"/>
    <col min="15090" max="15090" width="27.28515625" bestFit="1" customWidth="1"/>
    <col min="15091" max="15091" width="6.5703125" bestFit="1" customWidth="1"/>
    <col min="15092" max="15093" width="28.140625" bestFit="1" customWidth="1"/>
    <col min="15094" max="15094" width="6.5703125" bestFit="1" customWidth="1"/>
    <col min="15095" max="15096" width="28.140625" bestFit="1" customWidth="1"/>
    <col min="15097" max="15097" width="38.42578125" bestFit="1" customWidth="1"/>
    <col min="15098" max="15098" width="33.7109375" bestFit="1" customWidth="1"/>
    <col min="15099" max="15099" width="32" bestFit="1" customWidth="1"/>
    <col min="15101" max="15101" width="16.85546875" bestFit="1" customWidth="1"/>
    <col min="15102" max="15102" width="25.85546875" bestFit="1" customWidth="1"/>
    <col min="15346" max="15346" width="27.28515625" bestFit="1" customWidth="1"/>
    <col min="15347" max="15347" width="6.5703125" bestFit="1" customWidth="1"/>
    <col min="15348" max="15349" width="28.140625" bestFit="1" customWidth="1"/>
    <col min="15350" max="15350" width="6.5703125" bestFit="1" customWidth="1"/>
    <col min="15351" max="15352" width="28.140625" bestFit="1" customWidth="1"/>
    <col min="15353" max="15353" width="38.42578125" bestFit="1" customWidth="1"/>
    <col min="15354" max="15354" width="33.7109375" bestFit="1" customWidth="1"/>
    <col min="15355" max="15355" width="32" bestFit="1" customWidth="1"/>
    <col min="15357" max="15357" width="16.85546875" bestFit="1" customWidth="1"/>
    <col min="15358" max="15358" width="25.85546875" bestFit="1" customWidth="1"/>
    <col min="15602" max="15602" width="27.28515625" bestFit="1" customWidth="1"/>
    <col min="15603" max="15603" width="6.5703125" bestFit="1" customWidth="1"/>
    <col min="15604" max="15605" width="28.140625" bestFit="1" customWidth="1"/>
    <col min="15606" max="15606" width="6.5703125" bestFit="1" customWidth="1"/>
    <col min="15607" max="15608" width="28.140625" bestFit="1" customWidth="1"/>
    <col min="15609" max="15609" width="38.42578125" bestFit="1" customWidth="1"/>
    <col min="15610" max="15610" width="33.7109375" bestFit="1" customWidth="1"/>
    <col min="15611" max="15611" width="32" bestFit="1" customWidth="1"/>
    <col min="15613" max="15613" width="16.85546875" bestFit="1" customWidth="1"/>
    <col min="15614" max="15614" width="25.85546875" bestFit="1" customWidth="1"/>
    <col min="15858" max="15858" width="27.28515625" bestFit="1" customWidth="1"/>
    <col min="15859" max="15859" width="6.5703125" bestFit="1" customWidth="1"/>
    <col min="15860" max="15861" width="28.140625" bestFit="1" customWidth="1"/>
    <col min="15862" max="15862" width="6.5703125" bestFit="1" customWidth="1"/>
    <col min="15863" max="15864" width="28.140625" bestFit="1" customWidth="1"/>
    <col min="15865" max="15865" width="38.42578125" bestFit="1" customWidth="1"/>
    <col min="15866" max="15866" width="33.7109375" bestFit="1" customWidth="1"/>
    <col min="15867" max="15867" width="32" bestFit="1" customWidth="1"/>
    <col min="15869" max="15869" width="16.85546875" bestFit="1" customWidth="1"/>
    <col min="15870" max="15870" width="25.85546875" bestFit="1" customWidth="1"/>
    <col min="16114" max="16114" width="27.28515625" bestFit="1" customWidth="1"/>
    <col min="16115" max="16115" width="6.5703125" bestFit="1" customWidth="1"/>
    <col min="16116" max="16117" width="28.140625" bestFit="1" customWidth="1"/>
    <col min="16118" max="16118" width="6.5703125" bestFit="1" customWidth="1"/>
    <col min="16119" max="16120" width="28.140625" bestFit="1" customWidth="1"/>
    <col min="16121" max="16121" width="38.42578125" bestFit="1" customWidth="1"/>
    <col min="16122" max="16122" width="33.7109375" bestFit="1" customWidth="1"/>
    <col min="16123" max="16123" width="32" bestFit="1" customWidth="1"/>
    <col min="16125" max="16125" width="16.85546875" bestFit="1" customWidth="1"/>
    <col min="16126" max="16126" width="25.85546875" bestFit="1" customWidth="1"/>
  </cols>
  <sheetData>
    <row r="1" spans="1:7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83" t="s">
        <v>1187</v>
      </c>
      <c r="G1" s="83" t="s">
        <v>1186</v>
      </c>
    </row>
    <row r="2" spans="1:7" x14ac:dyDescent="0.25">
      <c r="A2" s="5" t="s">
        <v>902</v>
      </c>
      <c r="B2" s="78">
        <f>F2/1000</f>
        <v>0.24918999999999999</v>
      </c>
      <c r="C2" s="78" t="s">
        <v>903</v>
      </c>
      <c r="D2" s="7" t="s">
        <v>15</v>
      </c>
      <c r="E2" s="88" t="s">
        <v>1203</v>
      </c>
      <c r="F2" s="78">
        <v>249.19</v>
      </c>
      <c r="G2" s="78" t="s">
        <v>1180</v>
      </c>
    </row>
    <row r="3" spans="1:7" x14ac:dyDescent="0.25">
      <c r="A3" s="5" t="s">
        <v>902</v>
      </c>
      <c r="B3" s="78">
        <f t="shared" ref="B3:B66" si="0">F3/1000</f>
        <v>0.42282999999999998</v>
      </c>
      <c r="C3" s="78" t="s">
        <v>904</v>
      </c>
      <c r="D3" s="7" t="s">
        <v>20</v>
      </c>
      <c r="E3" s="88" t="s">
        <v>1203</v>
      </c>
      <c r="F3" s="78">
        <v>422.83</v>
      </c>
      <c r="G3" s="78" t="s">
        <v>1181</v>
      </c>
    </row>
    <row r="4" spans="1:7" x14ac:dyDescent="0.25">
      <c r="A4" s="5" t="s">
        <v>902</v>
      </c>
      <c r="B4" s="78">
        <f t="shared" si="0"/>
        <v>0.73929</v>
      </c>
      <c r="C4" s="78" t="s">
        <v>905</v>
      </c>
      <c r="D4" s="7" t="s">
        <v>23</v>
      </c>
      <c r="E4" s="88" t="s">
        <v>1203</v>
      </c>
      <c r="F4" s="78">
        <v>739.29</v>
      </c>
      <c r="G4" s="78" t="s">
        <v>1180</v>
      </c>
    </row>
    <row r="5" spans="1:7" x14ac:dyDescent="0.25">
      <c r="A5" s="5" t="s">
        <v>902</v>
      </c>
      <c r="B5" s="78">
        <f t="shared" si="0"/>
        <v>1.03929</v>
      </c>
      <c r="C5" s="78" t="s">
        <v>906</v>
      </c>
      <c r="D5" s="7" t="s">
        <v>25</v>
      </c>
      <c r="E5" s="88" t="s">
        <v>1203</v>
      </c>
      <c r="F5" s="78">
        <v>1039.29</v>
      </c>
      <c r="G5" s="78" t="s">
        <v>1182</v>
      </c>
    </row>
    <row r="6" spans="1:7" x14ac:dyDescent="0.25">
      <c r="A6" s="5" t="s">
        <v>902</v>
      </c>
      <c r="B6" s="78">
        <f t="shared" si="0"/>
        <v>1.3392899999999999</v>
      </c>
      <c r="C6" s="78" t="s">
        <v>907</v>
      </c>
      <c r="D6" s="7" t="s">
        <v>27</v>
      </c>
      <c r="E6" s="88" t="s">
        <v>1203</v>
      </c>
      <c r="F6" s="78">
        <v>1339.29</v>
      </c>
      <c r="G6" s="78" t="s">
        <v>1182</v>
      </c>
    </row>
    <row r="7" spans="1:7" x14ac:dyDescent="0.25">
      <c r="A7" s="5" t="s">
        <v>902</v>
      </c>
      <c r="B7" s="78">
        <f t="shared" si="0"/>
        <v>1.76034</v>
      </c>
      <c r="C7" s="78" t="s">
        <v>908</v>
      </c>
      <c r="D7" s="7" t="s">
        <v>29</v>
      </c>
      <c r="E7" s="88" t="s">
        <v>1203</v>
      </c>
      <c r="F7" s="78">
        <v>1760.34</v>
      </c>
      <c r="G7" s="78" t="s">
        <v>1182</v>
      </c>
    </row>
    <row r="8" spans="1:7" x14ac:dyDescent="0.25">
      <c r="A8" s="5" t="s">
        <v>902</v>
      </c>
      <c r="B8" s="78">
        <f t="shared" si="0"/>
        <v>2.2111100000000001</v>
      </c>
      <c r="C8" s="78" t="s">
        <v>909</v>
      </c>
      <c r="D8" s="7" t="s">
        <v>31</v>
      </c>
      <c r="E8" s="88" t="s">
        <v>1203</v>
      </c>
      <c r="F8" s="78">
        <v>2211.11</v>
      </c>
      <c r="G8" s="78" t="s">
        <v>1182</v>
      </c>
    </row>
    <row r="9" spans="1:7" x14ac:dyDescent="0.25">
      <c r="A9" s="5" t="s">
        <v>902</v>
      </c>
      <c r="B9" s="78">
        <f t="shared" si="0"/>
        <v>2.58188</v>
      </c>
      <c r="C9" s="78" t="s">
        <v>910</v>
      </c>
      <c r="D9" s="7" t="s">
        <v>33</v>
      </c>
      <c r="E9" s="88" t="s">
        <v>1203</v>
      </c>
      <c r="F9" s="78">
        <v>2581.88</v>
      </c>
      <c r="G9" s="78" t="s">
        <v>1183</v>
      </c>
    </row>
    <row r="10" spans="1:7" x14ac:dyDescent="0.25">
      <c r="A10" s="5" t="s">
        <v>902</v>
      </c>
      <c r="B10" s="78">
        <f t="shared" si="0"/>
        <v>2.887</v>
      </c>
      <c r="C10" s="78" t="s">
        <v>911</v>
      </c>
      <c r="D10" s="7" t="s">
        <v>35</v>
      </c>
      <c r="E10" s="88" t="s">
        <v>1203</v>
      </c>
      <c r="F10" s="78">
        <v>2887</v>
      </c>
      <c r="G10" s="78" t="s">
        <v>1182</v>
      </c>
    </row>
    <row r="11" spans="1:7" x14ac:dyDescent="0.25">
      <c r="A11" s="5" t="s">
        <v>902</v>
      </c>
      <c r="B11" s="78">
        <f t="shared" si="0"/>
        <v>3.25685</v>
      </c>
      <c r="C11" s="78" t="s">
        <v>912</v>
      </c>
      <c r="D11" s="7" t="s">
        <v>37</v>
      </c>
      <c r="E11" s="88" t="s">
        <v>1203</v>
      </c>
      <c r="F11" s="78">
        <v>3256.85</v>
      </c>
      <c r="G11" s="78" t="s">
        <v>1182</v>
      </c>
    </row>
    <row r="12" spans="1:7" x14ac:dyDescent="0.25">
      <c r="A12" s="5" t="s">
        <v>902</v>
      </c>
      <c r="B12" s="78">
        <f t="shared" si="0"/>
        <v>3.673</v>
      </c>
      <c r="C12" s="78" t="s">
        <v>913</v>
      </c>
      <c r="D12" s="7" t="s">
        <v>39</v>
      </c>
      <c r="E12" s="88" t="s">
        <v>1203</v>
      </c>
      <c r="F12" s="78">
        <v>3673</v>
      </c>
      <c r="G12" s="78" t="s">
        <v>1182</v>
      </c>
    </row>
    <row r="13" spans="1:7" x14ac:dyDescent="0.25">
      <c r="A13" s="5" t="s">
        <v>902</v>
      </c>
      <c r="B13" s="78">
        <f t="shared" si="0"/>
        <v>4.1929999999999996</v>
      </c>
      <c r="C13" s="78" t="s">
        <v>914</v>
      </c>
      <c r="D13" s="7" t="s">
        <v>41</v>
      </c>
      <c r="E13" s="88" t="s">
        <v>1203</v>
      </c>
      <c r="F13" s="78">
        <v>4193</v>
      </c>
      <c r="G13" s="78" t="s">
        <v>1182</v>
      </c>
    </row>
    <row r="14" spans="1:7" x14ac:dyDescent="0.25">
      <c r="A14" s="5" t="s">
        <v>902</v>
      </c>
      <c r="B14" s="78">
        <f t="shared" si="0"/>
        <v>4.665</v>
      </c>
      <c r="C14" s="78" t="s">
        <v>915</v>
      </c>
      <c r="D14" s="7" t="s">
        <v>43</v>
      </c>
      <c r="E14" s="88" t="s">
        <v>1203</v>
      </c>
      <c r="F14" s="78">
        <v>4665</v>
      </c>
      <c r="G14" s="78" t="s">
        <v>1182</v>
      </c>
    </row>
    <row r="15" spans="1:7" x14ac:dyDescent="0.25">
      <c r="A15" s="5" t="s">
        <v>902</v>
      </c>
      <c r="B15" s="78">
        <f t="shared" si="0"/>
        <v>5.19</v>
      </c>
      <c r="C15" s="78" t="s">
        <v>916</v>
      </c>
      <c r="D15" s="7" t="s">
        <v>45</v>
      </c>
      <c r="E15" s="88" t="s">
        <v>1203</v>
      </c>
      <c r="F15" s="78">
        <v>5190</v>
      </c>
      <c r="G15" s="78" t="s">
        <v>1182</v>
      </c>
    </row>
    <row r="16" spans="1:7" x14ac:dyDescent="0.25">
      <c r="A16" s="5" t="s">
        <v>902</v>
      </c>
      <c r="B16" s="78">
        <f t="shared" si="0"/>
        <v>5.6645000000000003</v>
      </c>
      <c r="C16" s="78" t="s">
        <v>917</v>
      </c>
      <c r="D16" s="7" t="s">
        <v>47</v>
      </c>
      <c r="E16" s="88" t="s">
        <v>1203</v>
      </c>
      <c r="F16" s="78">
        <v>5664.5</v>
      </c>
      <c r="G16" s="78" t="s">
        <v>1181</v>
      </c>
    </row>
    <row r="17" spans="1:7" x14ac:dyDescent="0.25">
      <c r="A17" s="5" t="s">
        <v>902</v>
      </c>
      <c r="B17" s="78">
        <f t="shared" si="0"/>
        <v>6.0867500000000003</v>
      </c>
      <c r="C17" s="78" t="s">
        <v>918</v>
      </c>
      <c r="D17" s="7" t="s">
        <v>49</v>
      </c>
      <c r="E17" s="88" t="s">
        <v>1203</v>
      </c>
      <c r="F17" s="78">
        <v>6086.75</v>
      </c>
      <c r="G17" s="78" t="s">
        <v>1181</v>
      </c>
    </row>
    <row r="18" spans="1:7" x14ac:dyDescent="0.25">
      <c r="A18" s="5" t="s">
        <v>902</v>
      </c>
      <c r="B18" s="78">
        <f t="shared" si="0"/>
        <v>6.5830000000000002</v>
      </c>
      <c r="C18" s="78" t="s">
        <v>919</v>
      </c>
      <c r="D18" s="7" t="s">
        <v>51</v>
      </c>
      <c r="E18" s="88" t="s">
        <v>1203</v>
      </c>
      <c r="F18" s="78">
        <v>6583</v>
      </c>
      <c r="G18" s="78" t="s">
        <v>1182</v>
      </c>
    </row>
    <row r="19" spans="1:7" x14ac:dyDescent="0.25">
      <c r="A19" s="5" t="s">
        <v>902</v>
      </c>
      <c r="B19" s="78">
        <f t="shared" si="0"/>
        <v>7.0583100000000005</v>
      </c>
      <c r="C19" s="78" t="s">
        <v>920</v>
      </c>
      <c r="D19" s="7" t="s">
        <v>53</v>
      </c>
      <c r="E19" s="88" t="s">
        <v>1203</v>
      </c>
      <c r="F19" s="78">
        <v>7058.31</v>
      </c>
      <c r="G19" s="78" t="s">
        <v>1181</v>
      </c>
    </row>
    <row r="20" spans="1:7" x14ac:dyDescent="0.25">
      <c r="A20" s="5" t="s">
        <v>902</v>
      </c>
      <c r="B20" s="78">
        <f t="shared" si="0"/>
        <v>7.5655000000000001</v>
      </c>
      <c r="C20" s="78" t="s">
        <v>921</v>
      </c>
      <c r="D20" s="7" t="s">
        <v>55</v>
      </c>
      <c r="E20" s="88" t="s">
        <v>1203</v>
      </c>
      <c r="F20" s="78">
        <v>7565.5</v>
      </c>
      <c r="G20" s="78" t="s">
        <v>1182</v>
      </c>
    </row>
    <row r="21" spans="1:7" x14ac:dyDescent="0.25">
      <c r="A21" s="5" t="s">
        <v>902</v>
      </c>
      <c r="B21" s="78">
        <f t="shared" si="0"/>
        <v>8.0189000000000004</v>
      </c>
      <c r="C21" s="78" t="s">
        <v>922</v>
      </c>
      <c r="D21" s="7" t="s">
        <v>57</v>
      </c>
      <c r="E21" s="88" t="s">
        <v>1203</v>
      </c>
      <c r="F21" s="78">
        <v>8018.9</v>
      </c>
      <c r="G21" s="78" t="s">
        <v>1182</v>
      </c>
    </row>
    <row r="22" spans="1:7" x14ac:dyDescent="0.25">
      <c r="A22" s="5" t="s">
        <v>902</v>
      </c>
      <c r="B22" s="78">
        <f t="shared" si="0"/>
        <v>8.5448599999999999</v>
      </c>
      <c r="C22" s="78" t="s">
        <v>923</v>
      </c>
      <c r="D22" s="7" t="s">
        <v>59</v>
      </c>
      <c r="E22" s="88" t="s">
        <v>1203</v>
      </c>
      <c r="F22" s="78">
        <v>8544.86</v>
      </c>
      <c r="G22" s="78" t="s">
        <v>1182</v>
      </c>
    </row>
    <row r="23" spans="1:7" x14ac:dyDescent="0.25">
      <c r="A23" s="5" t="s">
        <v>902</v>
      </c>
      <c r="B23" s="78">
        <f t="shared" si="0"/>
        <v>9.0175599999999996</v>
      </c>
      <c r="C23" s="78" t="s">
        <v>924</v>
      </c>
      <c r="D23" s="7" t="s">
        <v>61</v>
      </c>
      <c r="E23" s="88" t="s">
        <v>1203</v>
      </c>
      <c r="F23" s="78">
        <v>9017.56</v>
      </c>
      <c r="G23" s="78" t="s">
        <v>1182</v>
      </c>
    </row>
    <row r="24" spans="1:7" x14ac:dyDescent="0.25">
      <c r="A24" s="5" t="s">
        <v>902</v>
      </c>
      <c r="B24" s="78">
        <f t="shared" si="0"/>
        <v>9.51816</v>
      </c>
      <c r="C24" s="78" t="s">
        <v>925</v>
      </c>
      <c r="D24" s="7" t="s">
        <v>63</v>
      </c>
      <c r="E24" s="88" t="s">
        <v>1203</v>
      </c>
      <c r="F24" s="78">
        <v>9518.16</v>
      </c>
      <c r="G24" s="78" t="s">
        <v>1182</v>
      </c>
    </row>
    <row r="25" spans="1:7" x14ac:dyDescent="0.25">
      <c r="A25" s="5" t="s">
        <v>902</v>
      </c>
      <c r="B25" s="78">
        <f t="shared" si="0"/>
        <v>10.00699</v>
      </c>
      <c r="C25" s="78" t="s">
        <v>926</v>
      </c>
      <c r="D25" s="7" t="s">
        <v>65</v>
      </c>
      <c r="E25" s="88" t="s">
        <v>1203</v>
      </c>
      <c r="F25" s="78">
        <v>10006.99</v>
      </c>
      <c r="G25" s="78" t="s">
        <v>1182</v>
      </c>
    </row>
    <row r="26" spans="1:7" x14ac:dyDescent="0.25">
      <c r="A26" s="5" t="s">
        <v>902</v>
      </c>
      <c r="B26" s="78">
        <f t="shared" si="0"/>
        <v>10.456</v>
      </c>
      <c r="C26" s="78" t="s">
        <v>927</v>
      </c>
      <c r="D26" s="7" t="s">
        <v>67</v>
      </c>
      <c r="E26" s="88" t="s">
        <v>1203</v>
      </c>
      <c r="F26" s="78">
        <v>10456</v>
      </c>
      <c r="G26" s="78" t="s">
        <v>1182</v>
      </c>
    </row>
    <row r="27" spans="1:7" x14ac:dyDescent="0.25">
      <c r="A27" s="5" t="s">
        <v>902</v>
      </c>
      <c r="B27" s="78">
        <f t="shared" si="0"/>
        <v>10.81096</v>
      </c>
      <c r="C27" s="78" t="s">
        <v>928</v>
      </c>
      <c r="D27" s="7" t="s">
        <v>69</v>
      </c>
      <c r="E27" s="88" t="s">
        <v>1203</v>
      </c>
      <c r="F27" s="78">
        <v>10810.96</v>
      </c>
      <c r="G27" s="78" t="s">
        <v>1182</v>
      </c>
    </row>
    <row r="28" spans="1:7" x14ac:dyDescent="0.25">
      <c r="A28" s="5" t="s">
        <v>902</v>
      </c>
      <c r="B28" s="78">
        <f t="shared" si="0"/>
        <v>11.274610000000001</v>
      </c>
      <c r="C28" s="78" t="s">
        <v>929</v>
      </c>
      <c r="D28" s="7" t="s">
        <v>71</v>
      </c>
      <c r="E28" s="88" t="s">
        <v>1203</v>
      </c>
      <c r="F28" s="78">
        <v>11274.61</v>
      </c>
      <c r="G28" s="78" t="s">
        <v>1182</v>
      </c>
    </row>
    <row r="29" spans="1:7" x14ac:dyDescent="0.25">
      <c r="A29" s="5" t="s">
        <v>902</v>
      </c>
      <c r="B29" s="78">
        <f t="shared" si="0"/>
        <v>11.719010000000001</v>
      </c>
      <c r="C29" s="78" t="s">
        <v>930</v>
      </c>
      <c r="D29" s="7" t="s">
        <v>73</v>
      </c>
      <c r="E29" s="88" t="s">
        <v>1203</v>
      </c>
      <c r="F29" s="78">
        <v>11719.01</v>
      </c>
      <c r="G29" s="78" t="s">
        <v>1182</v>
      </c>
    </row>
    <row r="30" spans="1:7" x14ac:dyDescent="0.25">
      <c r="A30" s="5" t="s">
        <v>902</v>
      </c>
      <c r="B30" s="78">
        <f t="shared" si="0"/>
        <v>12.23682</v>
      </c>
      <c r="C30" s="78" t="s">
        <v>931</v>
      </c>
      <c r="D30" s="7" t="s">
        <v>75</v>
      </c>
      <c r="E30" s="88" t="s">
        <v>1203</v>
      </c>
      <c r="F30" s="78">
        <v>12236.82</v>
      </c>
      <c r="G30" s="78" t="s">
        <v>1182</v>
      </c>
    </row>
    <row r="31" spans="1:7" x14ac:dyDescent="0.25">
      <c r="A31" s="5" t="s">
        <v>902</v>
      </c>
      <c r="B31" s="78">
        <f t="shared" si="0"/>
        <v>12.652610000000001</v>
      </c>
      <c r="C31" s="78" t="s">
        <v>932</v>
      </c>
      <c r="D31" s="7" t="s">
        <v>77</v>
      </c>
      <c r="E31" s="88" t="s">
        <v>1203</v>
      </c>
      <c r="F31" s="78">
        <v>12652.61</v>
      </c>
      <c r="G31" s="78" t="s">
        <v>1182</v>
      </c>
    </row>
    <row r="32" spans="1:7" x14ac:dyDescent="0.25">
      <c r="A32" s="5" t="s">
        <v>902</v>
      </c>
      <c r="B32" s="78">
        <f t="shared" si="0"/>
        <v>13.03763</v>
      </c>
      <c r="C32" s="78" t="s">
        <v>933</v>
      </c>
      <c r="D32" s="7" t="s">
        <v>79</v>
      </c>
      <c r="E32" s="88" t="s">
        <v>1203</v>
      </c>
      <c r="F32" s="78">
        <v>13037.63</v>
      </c>
      <c r="G32" s="78" t="s">
        <v>1180</v>
      </c>
    </row>
    <row r="33" spans="1:7" x14ac:dyDescent="0.25">
      <c r="A33" s="5" t="s">
        <v>902</v>
      </c>
      <c r="B33" s="78">
        <f t="shared" si="0"/>
        <v>13.50609</v>
      </c>
      <c r="C33" s="78" t="s">
        <v>934</v>
      </c>
      <c r="D33" s="7" t="s">
        <v>81</v>
      </c>
      <c r="E33" s="88" t="s">
        <v>1203</v>
      </c>
      <c r="F33" s="78">
        <v>13506.09</v>
      </c>
      <c r="G33" s="78" t="s">
        <v>1182</v>
      </c>
    </row>
    <row r="34" spans="1:7" x14ac:dyDescent="0.25">
      <c r="A34" s="5" t="s">
        <v>902</v>
      </c>
      <c r="B34" s="78">
        <f t="shared" si="0"/>
        <v>14.035629999999999</v>
      </c>
      <c r="C34" s="78" t="s">
        <v>935</v>
      </c>
      <c r="D34" s="7" t="s">
        <v>83</v>
      </c>
      <c r="E34" s="88" t="s">
        <v>1203</v>
      </c>
      <c r="F34" s="78">
        <v>14035.63</v>
      </c>
      <c r="G34" s="78" t="s">
        <v>1181</v>
      </c>
    </row>
    <row r="35" spans="1:7" x14ac:dyDescent="0.25">
      <c r="A35" s="5" t="s">
        <v>902</v>
      </c>
      <c r="B35" s="78">
        <f t="shared" si="0"/>
        <v>14.440569999999999</v>
      </c>
      <c r="C35" s="78" t="s">
        <v>936</v>
      </c>
      <c r="D35" s="7" t="s">
        <v>85</v>
      </c>
      <c r="E35" s="88" t="s">
        <v>1203</v>
      </c>
      <c r="F35" s="78">
        <v>14440.57</v>
      </c>
      <c r="G35" s="78" t="s">
        <v>1183</v>
      </c>
    </row>
    <row r="36" spans="1:7" x14ac:dyDescent="0.25">
      <c r="A36" s="5" t="s">
        <v>902</v>
      </c>
      <c r="B36" s="78">
        <f t="shared" si="0"/>
        <v>15.181659999999999</v>
      </c>
      <c r="C36" s="78" t="s">
        <v>937</v>
      </c>
      <c r="D36" s="7" t="s">
        <v>87</v>
      </c>
      <c r="E36" s="88" t="s">
        <v>1203</v>
      </c>
      <c r="F36" s="78">
        <v>15181.66</v>
      </c>
      <c r="G36" s="78" t="s">
        <v>1181</v>
      </c>
    </row>
    <row r="37" spans="1:7" x14ac:dyDescent="0.25">
      <c r="A37" s="5" t="s">
        <v>902</v>
      </c>
      <c r="B37" s="78">
        <f t="shared" si="0"/>
        <v>15.42942</v>
      </c>
      <c r="C37" s="78" t="s">
        <v>938</v>
      </c>
      <c r="D37" s="7" t="s">
        <v>89</v>
      </c>
      <c r="E37" s="88" t="s">
        <v>1203</v>
      </c>
      <c r="F37" s="78">
        <v>15429.42</v>
      </c>
      <c r="G37" s="78" t="s">
        <v>1181</v>
      </c>
    </row>
    <row r="38" spans="1:7" x14ac:dyDescent="0.25">
      <c r="A38" s="5" t="s">
        <v>902</v>
      </c>
      <c r="B38" s="78">
        <f t="shared" si="0"/>
        <v>15.650799999999998</v>
      </c>
      <c r="C38" s="78" t="s">
        <v>939</v>
      </c>
      <c r="D38" s="7" t="s">
        <v>91</v>
      </c>
      <c r="E38" s="88" t="s">
        <v>1203</v>
      </c>
      <c r="F38" s="78">
        <v>15650.8</v>
      </c>
      <c r="G38" s="78" t="s">
        <v>1184</v>
      </c>
    </row>
    <row r="39" spans="1:7" x14ac:dyDescent="0.25">
      <c r="A39" s="5" t="s">
        <v>902</v>
      </c>
      <c r="B39" s="78">
        <f t="shared" si="0"/>
        <v>16.414249999999999</v>
      </c>
      <c r="C39" s="78" t="s">
        <v>940</v>
      </c>
      <c r="D39" s="7" t="s">
        <v>93</v>
      </c>
      <c r="E39" s="88" t="s">
        <v>1203</v>
      </c>
      <c r="F39" s="78">
        <v>16414.25</v>
      </c>
      <c r="G39" s="78" t="s">
        <v>1184</v>
      </c>
    </row>
    <row r="40" spans="1:7" x14ac:dyDescent="0.25">
      <c r="A40" s="5" t="s">
        <v>902</v>
      </c>
      <c r="B40" s="78">
        <f t="shared" si="0"/>
        <v>16.640630000000002</v>
      </c>
      <c r="C40" s="78" t="s">
        <v>941</v>
      </c>
      <c r="D40" s="7" t="s">
        <v>95</v>
      </c>
      <c r="E40" s="88" t="s">
        <v>1203</v>
      </c>
      <c r="F40" s="78">
        <v>16640.63</v>
      </c>
      <c r="G40" s="78" t="s">
        <v>1181</v>
      </c>
    </row>
    <row r="41" spans="1:7" x14ac:dyDescent="0.25">
      <c r="A41" s="5" t="s">
        <v>902</v>
      </c>
      <c r="B41" s="78">
        <f t="shared" si="0"/>
        <v>17.049379999999999</v>
      </c>
      <c r="C41" s="78" t="s">
        <v>942</v>
      </c>
      <c r="D41" s="7" t="s">
        <v>97</v>
      </c>
      <c r="E41" s="88" t="s">
        <v>1203</v>
      </c>
      <c r="F41" s="78">
        <v>17049.38</v>
      </c>
      <c r="G41" s="78" t="s">
        <v>1182</v>
      </c>
    </row>
    <row r="42" spans="1:7" x14ac:dyDescent="0.25">
      <c r="A42" s="5" t="s">
        <v>902</v>
      </c>
      <c r="B42" s="78">
        <f t="shared" si="0"/>
        <v>17.634630000000001</v>
      </c>
      <c r="C42" s="78" t="s">
        <v>943</v>
      </c>
      <c r="D42" s="7" t="s">
        <v>99</v>
      </c>
      <c r="E42" s="88" t="s">
        <v>1203</v>
      </c>
      <c r="F42" s="78">
        <v>17634.63</v>
      </c>
      <c r="G42" s="78" t="s">
        <v>1182</v>
      </c>
    </row>
    <row r="43" spans="1:7" x14ac:dyDescent="0.25">
      <c r="A43" s="5" t="s">
        <v>902</v>
      </c>
      <c r="B43" s="78">
        <f t="shared" si="0"/>
        <v>17.927630000000001</v>
      </c>
      <c r="C43" s="78" t="s">
        <v>944</v>
      </c>
      <c r="D43" s="7" t="s">
        <v>101</v>
      </c>
      <c r="E43" s="88" t="s">
        <v>1203</v>
      </c>
      <c r="F43" s="78">
        <v>17927.63</v>
      </c>
      <c r="G43" s="78" t="s">
        <v>1181</v>
      </c>
    </row>
    <row r="44" spans="1:7" x14ac:dyDescent="0.25">
      <c r="A44" s="5" t="s">
        <v>902</v>
      </c>
      <c r="B44" s="78">
        <f t="shared" si="0"/>
        <v>18.312630000000002</v>
      </c>
      <c r="C44" s="78" t="s">
        <v>945</v>
      </c>
      <c r="D44" s="7" t="s">
        <v>103</v>
      </c>
      <c r="E44" s="88" t="s">
        <v>1203</v>
      </c>
      <c r="F44" s="78">
        <v>18312.63</v>
      </c>
      <c r="G44" s="78" t="s">
        <v>1182</v>
      </c>
    </row>
    <row r="45" spans="1:7" x14ac:dyDescent="0.25">
      <c r="A45" s="5" t="s">
        <v>902</v>
      </c>
      <c r="B45" s="78">
        <f t="shared" si="0"/>
        <v>18.89838</v>
      </c>
      <c r="C45" s="78" t="s">
        <v>946</v>
      </c>
      <c r="D45" s="7" t="s">
        <v>105</v>
      </c>
      <c r="E45" s="88" t="s">
        <v>1203</v>
      </c>
      <c r="F45" s="78">
        <v>18898.38</v>
      </c>
      <c r="G45" s="78" t="s">
        <v>1182</v>
      </c>
    </row>
    <row r="46" spans="1:7" x14ac:dyDescent="0.25">
      <c r="A46" s="5" t="s">
        <v>902</v>
      </c>
      <c r="B46" s="78">
        <f t="shared" si="0"/>
        <v>19.218580000000003</v>
      </c>
      <c r="C46" s="78" t="s">
        <v>947</v>
      </c>
      <c r="D46" s="7" t="s">
        <v>107</v>
      </c>
      <c r="E46" s="88" t="s">
        <v>1203</v>
      </c>
      <c r="F46" s="78">
        <v>19218.580000000002</v>
      </c>
      <c r="G46" s="78" t="s">
        <v>1184</v>
      </c>
    </row>
    <row r="47" spans="1:7" x14ac:dyDescent="0.25">
      <c r="A47" s="5" t="s">
        <v>902</v>
      </c>
      <c r="B47" s="78">
        <f t="shared" si="0"/>
        <v>19.48216</v>
      </c>
      <c r="C47" s="78" t="s">
        <v>948</v>
      </c>
      <c r="D47" s="7" t="s">
        <v>109</v>
      </c>
      <c r="E47" s="88" t="s">
        <v>1203</v>
      </c>
      <c r="F47" s="78">
        <v>19482.16</v>
      </c>
      <c r="G47" s="78" t="s">
        <v>1182</v>
      </c>
    </row>
    <row r="48" spans="1:7" x14ac:dyDescent="0.25">
      <c r="A48" s="5" t="s">
        <v>902</v>
      </c>
      <c r="B48" s="78">
        <f t="shared" si="0"/>
        <v>19.96463</v>
      </c>
      <c r="C48" s="78" t="s">
        <v>949</v>
      </c>
      <c r="D48" s="7" t="s">
        <v>111</v>
      </c>
      <c r="E48" s="89" t="s">
        <v>1203</v>
      </c>
      <c r="F48" s="78">
        <v>19964.63</v>
      </c>
      <c r="G48" s="78" t="s">
        <v>1182</v>
      </c>
    </row>
    <row r="49" spans="1:7" x14ac:dyDescent="0.25">
      <c r="A49" s="5" t="s">
        <v>902</v>
      </c>
      <c r="B49" s="78">
        <f t="shared" si="0"/>
        <v>20.37462</v>
      </c>
      <c r="C49" s="78" t="s">
        <v>950</v>
      </c>
      <c r="D49" s="7" t="s">
        <v>113</v>
      </c>
      <c r="E49" s="89" t="s">
        <v>1204</v>
      </c>
      <c r="F49" s="78">
        <v>20374.62</v>
      </c>
      <c r="G49" s="78" t="s">
        <v>1185</v>
      </c>
    </row>
    <row r="50" spans="1:7" x14ac:dyDescent="0.25">
      <c r="A50" s="5" t="s">
        <v>902</v>
      </c>
      <c r="B50" s="78">
        <f t="shared" si="0"/>
        <v>20.801629999999999</v>
      </c>
      <c r="C50" s="78" t="s">
        <v>951</v>
      </c>
      <c r="D50" s="7" t="s">
        <v>115</v>
      </c>
      <c r="E50" s="88" t="s">
        <v>1205</v>
      </c>
      <c r="F50" s="78">
        <v>20801.63</v>
      </c>
      <c r="G50" s="78" t="s">
        <v>1182</v>
      </c>
    </row>
    <row r="51" spans="1:7" x14ac:dyDescent="0.25">
      <c r="A51" s="5" t="s">
        <v>902</v>
      </c>
      <c r="B51" s="78">
        <f t="shared" si="0"/>
        <v>21.371980000000001</v>
      </c>
      <c r="C51" s="78" t="s">
        <v>952</v>
      </c>
      <c r="D51" s="7" t="s">
        <v>18</v>
      </c>
      <c r="E51" s="88" t="s">
        <v>1205</v>
      </c>
      <c r="F51" s="78">
        <v>21371.98</v>
      </c>
      <c r="G51" s="78" t="s">
        <v>1181</v>
      </c>
    </row>
    <row r="52" spans="1:7" x14ac:dyDescent="0.25">
      <c r="A52" s="5" t="s">
        <v>902</v>
      </c>
      <c r="B52" s="78">
        <f t="shared" si="0"/>
        <v>21.78237</v>
      </c>
      <c r="C52" s="78" t="s">
        <v>953</v>
      </c>
      <c r="D52" s="7" t="s">
        <v>19</v>
      </c>
      <c r="E52" s="88" t="s">
        <v>1205</v>
      </c>
      <c r="F52" s="78">
        <v>21782.37</v>
      </c>
      <c r="G52" s="78" t="s">
        <v>1182</v>
      </c>
    </row>
    <row r="53" spans="1:7" x14ac:dyDescent="0.25">
      <c r="A53" s="5" t="s">
        <v>902</v>
      </c>
      <c r="B53" s="78">
        <f t="shared" si="0"/>
        <v>22.171330000000001</v>
      </c>
      <c r="C53" s="78" t="s">
        <v>954</v>
      </c>
      <c r="D53" s="7" t="s">
        <v>119</v>
      </c>
      <c r="E53" s="88" t="s">
        <v>1205</v>
      </c>
      <c r="F53" s="78">
        <v>22171.33</v>
      </c>
      <c r="G53" s="78" t="s">
        <v>1182</v>
      </c>
    </row>
    <row r="54" spans="1:7" x14ac:dyDescent="0.25">
      <c r="A54" s="5" t="s">
        <v>902</v>
      </c>
      <c r="B54" s="78">
        <f t="shared" si="0"/>
        <v>22.62528</v>
      </c>
      <c r="C54" s="78" t="s">
        <v>955</v>
      </c>
      <c r="D54" s="7" t="s">
        <v>121</v>
      </c>
      <c r="E54" s="88" t="s">
        <v>1205</v>
      </c>
      <c r="F54" s="78">
        <v>22625.279999999999</v>
      </c>
      <c r="G54" s="78" t="s">
        <v>1182</v>
      </c>
    </row>
    <row r="55" spans="1:7" x14ac:dyDescent="0.25">
      <c r="A55" s="5" t="s">
        <v>902</v>
      </c>
      <c r="B55" s="78">
        <f t="shared" si="0"/>
        <v>23.158630000000002</v>
      </c>
      <c r="C55" s="78" t="s">
        <v>956</v>
      </c>
      <c r="D55" s="7" t="s">
        <v>123</v>
      </c>
      <c r="E55" s="88" t="s">
        <v>1205</v>
      </c>
      <c r="F55" s="78">
        <v>23158.63</v>
      </c>
      <c r="G55" s="78" t="s">
        <v>1182</v>
      </c>
    </row>
    <row r="56" spans="1:7" x14ac:dyDescent="0.25">
      <c r="A56" s="5" t="s">
        <v>902</v>
      </c>
      <c r="B56" s="78">
        <f t="shared" si="0"/>
        <v>23.623630000000002</v>
      </c>
      <c r="C56" s="78" t="s">
        <v>957</v>
      </c>
      <c r="D56" s="7" t="s">
        <v>125</v>
      </c>
      <c r="E56" s="88" t="s">
        <v>1205</v>
      </c>
      <c r="F56" s="78">
        <v>23623.63</v>
      </c>
      <c r="G56" s="78" t="s">
        <v>1182</v>
      </c>
    </row>
    <row r="57" spans="1:7" x14ac:dyDescent="0.25">
      <c r="A57" s="5" t="s">
        <v>902</v>
      </c>
      <c r="B57" s="78">
        <f t="shared" si="0"/>
        <v>24.100009999999997</v>
      </c>
      <c r="C57" s="78" t="s">
        <v>958</v>
      </c>
      <c r="D57" s="7" t="s">
        <v>127</v>
      </c>
      <c r="E57" s="88" t="s">
        <v>1205</v>
      </c>
      <c r="F57" s="78">
        <v>24100.01</v>
      </c>
      <c r="G57" s="78" t="s">
        <v>1182</v>
      </c>
    </row>
    <row r="58" spans="1:7" x14ac:dyDescent="0.25">
      <c r="A58" s="5" t="s">
        <v>902</v>
      </c>
      <c r="B58" s="78">
        <f t="shared" si="0"/>
        <v>24.436630000000001</v>
      </c>
      <c r="C58" s="78" t="s">
        <v>959</v>
      </c>
      <c r="D58" s="7" t="s">
        <v>129</v>
      </c>
      <c r="E58" s="88" t="s">
        <v>1205</v>
      </c>
      <c r="F58" s="78">
        <v>24436.63</v>
      </c>
      <c r="G58" s="78" t="s">
        <v>1182</v>
      </c>
    </row>
    <row r="59" spans="1:7" x14ac:dyDescent="0.25">
      <c r="A59" s="5" t="s">
        <v>902</v>
      </c>
      <c r="B59" s="78">
        <f t="shared" si="0"/>
        <v>24.875640000000001</v>
      </c>
      <c r="C59" s="78" t="s">
        <v>960</v>
      </c>
      <c r="D59" s="7" t="s">
        <v>131</v>
      </c>
      <c r="E59" s="88" t="s">
        <v>1205</v>
      </c>
      <c r="F59" s="78">
        <v>24875.64</v>
      </c>
      <c r="G59" s="78" t="s">
        <v>1182</v>
      </c>
    </row>
    <row r="60" spans="1:7" x14ac:dyDescent="0.25">
      <c r="A60" s="5" t="s">
        <v>902</v>
      </c>
      <c r="B60" s="78">
        <f t="shared" si="0"/>
        <v>25.267869999999998</v>
      </c>
      <c r="C60" s="78" t="s">
        <v>961</v>
      </c>
      <c r="D60" s="7" t="s">
        <v>133</v>
      </c>
      <c r="E60" s="88" t="s">
        <v>1205</v>
      </c>
      <c r="F60" s="78">
        <v>25267.87</v>
      </c>
      <c r="G60" s="78" t="s">
        <v>1182</v>
      </c>
    </row>
    <row r="61" spans="1:7" x14ac:dyDescent="0.25">
      <c r="A61" s="5" t="s">
        <v>902</v>
      </c>
      <c r="B61" s="78">
        <f t="shared" si="0"/>
        <v>25.535630000000001</v>
      </c>
      <c r="C61" s="78" t="s">
        <v>962</v>
      </c>
      <c r="D61" s="7" t="s">
        <v>135</v>
      </c>
      <c r="E61" s="88" t="s">
        <v>1205</v>
      </c>
      <c r="F61" s="78">
        <v>25535.63</v>
      </c>
      <c r="G61" s="78" t="s">
        <v>1182</v>
      </c>
    </row>
    <row r="62" spans="1:7" x14ac:dyDescent="0.25">
      <c r="A62" s="5" t="s">
        <v>902</v>
      </c>
      <c r="B62" s="78">
        <f t="shared" si="0"/>
        <v>26.013630000000003</v>
      </c>
      <c r="C62" s="78" t="s">
        <v>963</v>
      </c>
      <c r="D62" s="7" t="s">
        <v>137</v>
      </c>
      <c r="E62" s="88" t="s">
        <v>1205</v>
      </c>
      <c r="F62" s="78">
        <v>26013.63</v>
      </c>
      <c r="G62" s="78" t="s">
        <v>1182</v>
      </c>
    </row>
    <row r="63" spans="1:7" x14ac:dyDescent="0.25">
      <c r="A63" s="5" t="s">
        <v>902</v>
      </c>
      <c r="B63" s="78">
        <f t="shared" si="0"/>
        <v>26.459630000000001</v>
      </c>
      <c r="C63" s="78" t="s">
        <v>964</v>
      </c>
      <c r="D63" s="7" t="s">
        <v>139</v>
      </c>
      <c r="E63" s="88" t="s">
        <v>1205</v>
      </c>
      <c r="F63" s="78">
        <v>26459.63</v>
      </c>
      <c r="G63" s="78" t="s">
        <v>1182</v>
      </c>
    </row>
    <row r="64" spans="1:7" x14ac:dyDescent="0.25">
      <c r="A64" s="5" t="s">
        <v>902</v>
      </c>
      <c r="B64" s="78">
        <f t="shared" si="0"/>
        <v>26.922630000000002</v>
      </c>
      <c r="C64" s="78" t="s">
        <v>965</v>
      </c>
      <c r="D64" s="7" t="s">
        <v>141</v>
      </c>
      <c r="E64" s="88" t="s">
        <v>1205</v>
      </c>
      <c r="F64" s="78">
        <v>26922.63</v>
      </c>
      <c r="G64" s="78" t="s">
        <v>1182</v>
      </c>
    </row>
    <row r="65" spans="1:7" x14ac:dyDescent="0.25">
      <c r="A65" s="5" t="s">
        <v>902</v>
      </c>
      <c r="B65" s="78">
        <f t="shared" si="0"/>
        <v>27.375630000000001</v>
      </c>
      <c r="C65" s="78" t="s">
        <v>966</v>
      </c>
      <c r="D65" s="7" t="s">
        <v>143</v>
      </c>
      <c r="E65" s="88" t="s">
        <v>1205</v>
      </c>
      <c r="F65" s="78">
        <v>27375.63</v>
      </c>
      <c r="G65" s="78" t="s">
        <v>1182</v>
      </c>
    </row>
    <row r="66" spans="1:7" x14ac:dyDescent="0.25">
      <c r="A66" s="5" t="s">
        <v>902</v>
      </c>
      <c r="B66" s="78">
        <f t="shared" si="0"/>
        <v>27.802109999999999</v>
      </c>
      <c r="C66" s="78" t="s">
        <v>967</v>
      </c>
      <c r="D66" s="7" t="s">
        <v>145</v>
      </c>
      <c r="E66" s="88" t="s">
        <v>1205</v>
      </c>
      <c r="F66" s="78">
        <v>27802.11</v>
      </c>
      <c r="G66" s="78" t="s">
        <v>1182</v>
      </c>
    </row>
    <row r="67" spans="1:7" x14ac:dyDescent="0.25">
      <c r="A67" s="5" t="s">
        <v>902</v>
      </c>
      <c r="B67" s="78">
        <f t="shared" ref="B67:B130" si="1">F67/1000</f>
        <v>28.301629999999999</v>
      </c>
      <c r="C67" s="78" t="s">
        <v>968</v>
      </c>
      <c r="D67" s="7" t="s">
        <v>147</v>
      </c>
      <c r="E67" s="88" t="s">
        <v>1205</v>
      </c>
      <c r="F67" s="78">
        <v>28301.63</v>
      </c>
      <c r="G67" s="78" t="s">
        <v>1182</v>
      </c>
    </row>
    <row r="68" spans="1:7" x14ac:dyDescent="0.25">
      <c r="A68" s="5" t="s">
        <v>902</v>
      </c>
      <c r="B68" s="78">
        <f t="shared" si="1"/>
        <v>28.739630000000002</v>
      </c>
      <c r="C68" s="78" t="s">
        <v>969</v>
      </c>
      <c r="D68" s="7" t="s">
        <v>149</v>
      </c>
      <c r="E68" s="88" t="s">
        <v>1205</v>
      </c>
      <c r="F68" s="78">
        <v>28739.63</v>
      </c>
      <c r="G68" s="78" t="s">
        <v>1182</v>
      </c>
    </row>
    <row r="69" spans="1:7" x14ac:dyDescent="0.25">
      <c r="A69" s="5" t="s">
        <v>902</v>
      </c>
      <c r="B69" s="78">
        <f t="shared" si="1"/>
        <v>29.143630000000002</v>
      </c>
      <c r="C69" s="78" t="s">
        <v>970</v>
      </c>
      <c r="D69" s="7" t="s">
        <v>151</v>
      </c>
      <c r="E69" s="88" t="s">
        <v>1205</v>
      </c>
      <c r="F69" s="78">
        <v>29143.63</v>
      </c>
      <c r="G69" s="78" t="s">
        <v>1182</v>
      </c>
    </row>
    <row r="70" spans="1:7" x14ac:dyDescent="0.25">
      <c r="A70" s="5" t="s">
        <v>902</v>
      </c>
      <c r="B70" s="78">
        <f t="shared" si="1"/>
        <v>29.668959999999998</v>
      </c>
      <c r="C70" s="78" t="s">
        <v>971</v>
      </c>
      <c r="D70" s="7" t="s">
        <v>153</v>
      </c>
      <c r="E70" s="88" t="s">
        <v>1205</v>
      </c>
      <c r="F70" s="78">
        <v>29668.959999999999</v>
      </c>
      <c r="G70" s="78" t="s">
        <v>1182</v>
      </c>
    </row>
    <row r="71" spans="1:7" x14ac:dyDescent="0.25">
      <c r="A71" s="5" t="s">
        <v>902</v>
      </c>
      <c r="B71" s="78">
        <f t="shared" si="1"/>
        <v>30.13175</v>
      </c>
      <c r="C71" s="78" t="s">
        <v>972</v>
      </c>
      <c r="D71" s="7" t="s">
        <v>155</v>
      </c>
      <c r="E71" s="88" t="s">
        <v>1205</v>
      </c>
      <c r="F71" s="78">
        <v>30131.75</v>
      </c>
      <c r="G71" s="78" t="s">
        <v>1182</v>
      </c>
    </row>
    <row r="72" spans="1:7" x14ac:dyDescent="0.25">
      <c r="A72" s="5" t="s">
        <v>902</v>
      </c>
      <c r="B72" s="78">
        <f t="shared" si="1"/>
        <v>30.55463</v>
      </c>
      <c r="C72" s="78" t="s">
        <v>973</v>
      </c>
      <c r="D72" s="7" t="s">
        <v>157</v>
      </c>
      <c r="E72" s="88" t="s">
        <v>1205</v>
      </c>
      <c r="F72" s="78">
        <v>30554.63</v>
      </c>
      <c r="G72" s="78" t="s">
        <v>1182</v>
      </c>
    </row>
    <row r="73" spans="1:7" x14ac:dyDescent="0.25">
      <c r="A73" s="5" t="s">
        <v>902</v>
      </c>
      <c r="B73" s="78">
        <f t="shared" si="1"/>
        <v>31.081389999999999</v>
      </c>
      <c r="C73" s="78" t="s">
        <v>974</v>
      </c>
      <c r="D73" s="7" t="s">
        <v>159</v>
      </c>
      <c r="E73" s="88" t="s">
        <v>1205</v>
      </c>
      <c r="F73" s="78">
        <v>31081.39</v>
      </c>
      <c r="G73" s="78" t="s">
        <v>1181</v>
      </c>
    </row>
    <row r="74" spans="1:7" x14ac:dyDescent="0.25">
      <c r="A74" s="5" t="s">
        <v>902</v>
      </c>
      <c r="B74" s="78">
        <f t="shared" si="1"/>
        <v>31.549520000000001</v>
      </c>
      <c r="C74" s="78" t="s">
        <v>975</v>
      </c>
      <c r="D74" s="7" t="s">
        <v>161</v>
      </c>
      <c r="E74" s="88" t="s">
        <v>1205</v>
      </c>
      <c r="F74" s="78">
        <v>31549.52</v>
      </c>
      <c r="G74" s="78" t="s">
        <v>1182</v>
      </c>
    </row>
    <row r="75" spans="1:7" x14ac:dyDescent="0.25">
      <c r="A75" s="5" t="s">
        <v>902</v>
      </c>
      <c r="B75" s="78">
        <f t="shared" si="1"/>
        <v>32.02563</v>
      </c>
      <c r="C75" s="78" t="s">
        <v>976</v>
      </c>
      <c r="D75" s="7" t="s">
        <v>163</v>
      </c>
      <c r="E75" s="88" t="s">
        <v>1205</v>
      </c>
      <c r="F75" s="78">
        <v>32025.63</v>
      </c>
      <c r="G75" s="78" t="s">
        <v>1182</v>
      </c>
    </row>
    <row r="76" spans="1:7" x14ac:dyDescent="0.25">
      <c r="A76" s="5" t="s">
        <v>902</v>
      </c>
      <c r="B76" s="78">
        <f t="shared" si="1"/>
        <v>32.393630000000002</v>
      </c>
      <c r="C76" s="78" t="s">
        <v>977</v>
      </c>
      <c r="D76" s="7" t="s">
        <v>165</v>
      </c>
      <c r="E76" s="88" t="s">
        <v>1205</v>
      </c>
      <c r="F76" s="78">
        <v>32393.63</v>
      </c>
      <c r="G76" s="78" t="s">
        <v>1182</v>
      </c>
    </row>
    <row r="77" spans="1:7" x14ac:dyDescent="0.25">
      <c r="A77" s="5" t="s">
        <v>902</v>
      </c>
      <c r="B77" s="78">
        <f t="shared" si="1"/>
        <v>33.024629999999995</v>
      </c>
      <c r="C77" s="78" t="s">
        <v>978</v>
      </c>
      <c r="D77" s="7" t="s">
        <v>167</v>
      </c>
      <c r="E77" s="88" t="s">
        <v>1205</v>
      </c>
      <c r="F77" s="78">
        <v>33024.629999999997</v>
      </c>
      <c r="G77" s="78" t="s">
        <v>1182</v>
      </c>
    </row>
    <row r="78" spans="1:7" x14ac:dyDescent="0.25">
      <c r="A78" s="5" t="s">
        <v>902</v>
      </c>
      <c r="B78" s="78">
        <f t="shared" si="1"/>
        <v>33.387629999999994</v>
      </c>
      <c r="C78" s="78" t="s">
        <v>979</v>
      </c>
      <c r="D78" s="7" t="s">
        <v>169</v>
      </c>
      <c r="E78" s="88" t="s">
        <v>1205</v>
      </c>
      <c r="F78" s="78">
        <v>33387.629999999997</v>
      </c>
      <c r="G78" s="78" t="s">
        <v>1182</v>
      </c>
    </row>
    <row r="79" spans="1:7" x14ac:dyDescent="0.25">
      <c r="A79" s="5" t="s">
        <v>902</v>
      </c>
      <c r="B79" s="78">
        <f t="shared" si="1"/>
        <v>33.863949999999996</v>
      </c>
      <c r="C79" s="78" t="s">
        <v>980</v>
      </c>
      <c r="D79" s="7" t="s">
        <v>171</v>
      </c>
      <c r="E79" s="88" t="s">
        <v>1205</v>
      </c>
      <c r="F79" s="78">
        <v>33863.949999999997</v>
      </c>
      <c r="G79" s="78" t="s">
        <v>1182</v>
      </c>
    </row>
    <row r="80" spans="1:7" x14ac:dyDescent="0.25">
      <c r="A80" s="5" t="s">
        <v>902</v>
      </c>
      <c r="B80" s="78">
        <f t="shared" si="1"/>
        <v>34.378629999999994</v>
      </c>
      <c r="C80" s="78" t="s">
        <v>981</v>
      </c>
      <c r="D80" s="7" t="s">
        <v>173</v>
      </c>
      <c r="E80" s="88" t="s">
        <v>1205</v>
      </c>
      <c r="F80" s="78">
        <v>34378.629999999997</v>
      </c>
      <c r="G80" s="78" t="s">
        <v>1182</v>
      </c>
    </row>
    <row r="81" spans="1:7" x14ac:dyDescent="0.25">
      <c r="A81" s="5" t="s">
        <v>902</v>
      </c>
      <c r="B81" s="78">
        <f t="shared" si="1"/>
        <v>34.740629999999996</v>
      </c>
      <c r="C81" s="78" t="s">
        <v>982</v>
      </c>
      <c r="D81" s="7" t="s">
        <v>175</v>
      </c>
      <c r="E81" s="88" t="s">
        <v>1205</v>
      </c>
      <c r="F81" s="78">
        <v>34740.629999999997</v>
      </c>
      <c r="G81" s="78" t="s">
        <v>1182</v>
      </c>
    </row>
    <row r="82" spans="1:7" x14ac:dyDescent="0.25">
      <c r="A82" s="5" t="s">
        <v>902</v>
      </c>
      <c r="B82" s="78">
        <f t="shared" si="1"/>
        <v>35.070629999999994</v>
      </c>
      <c r="C82" s="78" t="s">
        <v>983</v>
      </c>
      <c r="D82" s="7" t="s">
        <v>177</v>
      </c>
      <c r="E82" s="88" t="s">
        <v>1205</v>
      </c>
      <c r="F82" s="78">
        <v>35070.629999999997</v>
      </c>
      <c r="G82" s="78" t="s">
        <v>1182</v>
      </c>
    </row>
    <row r="83" spans="1:7" x14ac:dyDescent="0.25">
      <c r="A83" s="5" t="s">
        <v>902</v>
      </c>
      <c r="B83" s="78">
        <f t="shared" si="1"/>
        <v>35.510629999999999</v>
      </c>
      <c r="C83" s="78" t="s">
        <v>984</v>
      </c>
      <c r="D83" s="7" t="s">
        <v>179</v>
      </c>
      <c r="E83" s="88" t="s">
        <v>1205</v>
      </c>
      <c r="F83" s="78">
        <v>35510.629999999997</v>
      </c>
      <c r="G83" s="78" t="s">
        <v>1181</v>
      </c>
    </row>
    <row r="84" spans="1:7" x14ac:dyDescent="0.25">
      <c r="A84" s="5" t="s">
        <v>902</v>
      </c>
      <c r="B84" s="78">
        <f t="shared" si="1"/>
        <v>35.935970000000005</v>
      </c>
      <c r="C84" s="78" t="s">
        <v>985</v>
      </c>
      <c r="D84" s="7" t="s">
        <v>181</v>
      </c>
      <c r="E84" s="88" t="s">
        <v>1205</v>
      </c>
      <c r="F84" s="78">
        <v>35935.97</v>
      </c>
      <c r="G84" s="78" t="s">
        <v>1182</v>
      </c>
    </row>
    <row r="85" spans="1:7" x14ac:dyDescent="0.25">
      <c r="A85" s="5" t="s">
        <v>902</v>
      </c>
      <c r="B85" s="78">
        <f t="shared" si="1"/>
        <v>36.420070000000003</v>
      </c>
      <c r="C85" s="78" t="s">
        <v>986</v>
      </c>
      <c r="D85" s="7" t="s">
        <v>183</v>
      </c>
      <c r="E85" s="88" t="s">
        <v>1205</v>
      </c>
      <c r="F85" s="78">
        <v>36420.07</v>
      </c>
      <c r="G85" s="78" t="s">
        <v>1182</v>
      </c>
    </row>
    <row r="86" spans="1:7" x14ac:dyDescent="0.25">
      <c r="A86" s="5" t="s">
        <v>902</v>
      </c>
      <c r="B86" s="78">
        <f t="shared" si="1"/>
        <v>36.918910000000004</v>
      </c>
      <c r="C86" s="78" t="s">
        <v>987</v>
      </c>
      <c r="D86" s="7" t="s">
        <v>272</v>
      </c>
      <c r="E86" s="88" t="s">
        <v>1205</v>
      </c>
      <c r="F86" s="78">
        <v>36918.910000000003</v>
      </c>
      <c r="G86" s="78" t="s">
        <v>1182</v>
      </c>
    </row>
    <row r="87" spans="1:7" x14ac:dyDescent="0.25">
      <c r="A87" s="5" t="s">
        <v>902</v>
      </c>
      <c r="B87" s="78">
        <f t="shared" si="1"/>
        <v>37.404629999999997</v>
      </c>
      <c r="C87" s="78" t="s">
        <v>988</v>
      </c>
      <c r="D87" s="7" t="s">
        <v>274</v>
      </c>
      <c r="E87" s="88" t="s">
        <v>1205</v>
      </c>
      <c r="F87" s="78">
        <v>37404.629999999997</v>
      </c>
      <c r="G87" s="78" t="s">
        <v>1182</v>
      </c>
    </row>
    <row r="88" spans="1:7" x14ac:dyDescent="0.25">
      <c r="A88" s="5" t="s">
        <v>902</v>
      </c>
      <c r="B88" s="78">
        <f t="shared" si="1"/>
        <v>37.916629999999998</v>
      </c>
      <c r="C88" s="78" t="s">
        <v>989</v>
      </c>
      <c r="D88" s="7" t="s">
        <v>276</v>
      </c>
      <c r="E88" s="88" t="s">
        <v>1205</v>
      </c>
      <c r="F88" s="78">
        <v>37916.629999999997</v>
      </c>
      <c r="G88" s="78" t="s">
        <v>1182</v>
      </c>
    </row>
    <row r="89" spans="1:7" x14ac:dyDescent="0.25">
      <c r="A89" s="5" t="s">
        <v>902</v>
      </c>
      <c r="B89" s="78">
        <f t="shared" si="1"/>
        <v>38.301629999999996</v>
      </c>
      <c r="C89" s="78" t="s">
        <v>990</v>
      </c>
      <c r="D89" s="7" t="s">
        <v>278</v>
      </c>
      <c r="E89" s="88" t="s">
        <v>1205</v>
      </c>
      <c r="F89" s="78">
        <v>38301.629999999997</v>
      </c>
      <c r="G89" s="78" t="s">
        <v>1182</v>
      </c>
    </row>
    <row r="90" spans="1:7" x14ac:dyDescent="0.25">
      <c r="A90" s="5" t="s">
        <v>902</v>
      </c>
      <c r="B90" s="78">
        <f t="shared" si="1"/>
        <v>38.654360000000004</v>
      </c>
      <c r="C90" s="78" t="s">
        <v>991</v>
      </c>
      <c r="D90" s="7" t="s">
        <v>280</v>
      </c>
      <c r="E90" s="88" t="s">
        <v>1205</v>
      </c>
      <c r="F90" s="78">
        <v>38654.36</v>
      </c>
      <c r="G90" s="78" t="s">
        <v>1184</v>
      </c>
    </row>
    <row r="91" spans="1:7" x14ac:dyDescent="0.25">
      <c r="A91" s="5" t="s">
        <v>902</v>
      </c>
      <c r="B91" s="78">
        <f t="shared" si="1"/>
        <v>39.116</v>
      </c>
      <c r="C91" s="78" t="s">
        <v>992</v>
      </c>
      <c r="D91" s="7" t="s">
        <v>282</v>
      </c>
      <c r="E91" s="88" t="s">
        <v>1205</v>
      </c>
      <c r="F91" s="78">
        <v>39116</v>
      </c>
      <c r="G91" s="78" t="s">
        <v>1182</v>
      </c>
    </row>
    <row r="92" spans="1:7" x14ac:dyDescent="0.25">
      <c r="A92" s="5" t="s">
        <v>902</v>
      </c>
      <c r="B92" s="78">
        <f t="shared" si="1"/>
        <v>39.637999999999998</v>
      </c>
      <c r="C92" s="78" t="s">
        <v>993</v>
      </c>
      <c r="D92" s="7" t="s">
        <v>284</v>
      </c>
      <c r="E92" s="88" t="s">
        <v>1205</v>
      </c>
      <c r="F92" s="78">
        <v>39638</v>
      </c>
      <c r="G92" s="78" t="s">
        <v>1182</v>
      </c>
    </row>
    <row r="93" spans="1:7" x14ac:dyDescent="0.25">
      <c r="A93" s="5" t="s">
        <v>902</v>
      </c>
      <c r="B93" s="78">
        <f t="shared" si="1"/>
        <v>39.947000000000003</v>
      </c>
      <c r="C93" s="78" t="s">
        <v>994</v>
      </c>
      <c r="D93" s="7" t="s">
        <v>286</v>
      </c>
      <c r="E93" s="88" t="s">
        <v>1205</v>
      </c>
      <c r="F93" s="78">
        <v>39947</v>
      </c>
      <c r="G93" s="78" t="s">
        <v>1182</v>
      </c>
    </row>
    <row r="94" spans="1:7" x14ac:dyDescent="0.25">
      <c r="A94" s="5" t="s">
        <v>902</v>
      </c>
      <c r="B94" s="78">
        <f t="shared" si="1"/>
        <v>40.536999999999999</v>
      </c>
      <c r="C94" s="78" t="s">
        <v>995</v>
      </c>
      <c r="D94" s="7" t="s">
        <v>288</v>
      </c>
      <c r="E94" s="88" t="s">
        <v>1205</v>
      </c>
      <c r="F94" s="78">
        <v>40537</v>
      </c>
      <c r="G94" s="78" t="s">
        <v>1182</v>
      </c>
    </row>
    <row r="95" spans="1:7" x14ac:dyDescent="0.25">
      <c r="A95" s="5" t="s">
        <v>902</v>
      </c>
      <c r="B95" s="78">
        <f t="shared" si="1"/>
        <v>40.945999999999998</v>
      </c>
      <c r="C95" s="78" t="s">
        <v>996</v>
      </c>
      <c r="D95" s="7" t="s">
        <v>290</v>
      </c>
      <c r="E95" s="88" t="s">
        <v>1205</v>
      </c>
      <c r="F95" s="78">
        <v>40946</v>
      </c>
      <c r="G95" s="78" t="s">
        <v>1182</v>
      </c>
    </row>
    <row r="96" spans="1:7" x14ac:dyDescent="0.25">
      <c r="A96" s="5" t="s">
        <v>902</v>
      </c>
      <c r="B96" s="78">
        <f t="shared" si="1"/>
        <v>41.305</v>
      </c>
      <c r="C96" s="78" t="s">
        <v>997</v>
      </c>
      <c r="D96" s="7" t="s">
        <v>292</v>
      </c>
      <c r="E96" s="88" t="s">
        <v>1205</v>
      </c>
      <c r="F96" s="78">
        <v>41305</v>
      </c>
      <c r="G96" s="78" t="s">
        <v>1182</v>
      </c>
    </row>
    <row r="97" spans="1:7" x14ac:dyDescent="0.25">
      <c r="A97" s="5" t="s">
        <v>902</v>
      </c>
      <c r="B97" s="78">
        <f t="shared" si="1"/>
        <v>41.942999999999998</v>
      </c>
      <c r="C97" s="78" t="s">
        <v>998</v>
      </c>
      <c r="D97" s="7" t="s">
        <v>294</v>
      </c>
      <c r="E97" s="88" t="s">
        <v>1205</v>
      </c>
      <c r="F97" s="78">
        <v>41943</v>
      </c>
      <c r="G97" s="78" t="s">
        <v>1182</v>
      </c>
    </row>
    <row r="98" spans="1:7" x14ac:dyDescent="0.25">
      <c r="A98" s="5" t="s">
        <v>902</v>
      </c>
      <c r="B98" s="78">
        <f t="shared" si="1"/>
        <v>42.302999999999997</v>
      </c>
      <c r="C98" s="78" t="s">
        <v>999</v>
      </c>
      <c r="D98" s="7" t="s">
        <v>296</v>
      </c>
      <c r="E98" s="88" t="s">
        <v>1205</v>
      </c>
      <c r="F98" s="78">
        <v>42303</v>
      </c>
      <c r="G98" s="78" t="s">
        <v>1181</v>
      </c>
    </row>
    <row r="99" spans="1:7" x14ac:dyDescent="0.25">
      <c r="A99" s="5" t="s">
        <v>902</v>
      </c>
      <c r="B99" s="78">
        <f t="shared" si="1"/>
        <v>42.655999999999999</v>
      </c>
      <c r="C99" s="78" t="s">
        <v>1000</v>
      </c>
      <c r="D99" s="7" t="s">
        <v>298</v>
      </c>
      <c r="E99" s="88" t="s">
        <v>1205</v>
      </c>
      <c r="F99" s="78">
        <v>42656</v>
      </c>
      <c r="G99" s="78" t="s">
        <v>1181</v>
      </c>
    </row>
    <row r="100" spans="1:7" x14ac:dyDescent="0.25">
      <c r="A100" s="5" t="s">
        <v>902</v>
      </c>
      <c r="B100" s="78">
        <f t="shared" si="1"/>
        <v>43.292999999999999</v>
      </c>
      <c r="C100" s="78" t="s">
        <v>1001</v>
      </c>
      <c r="D100" s="7" t="s">
        <v>300</v>
      </c>
      <c r="E100" s="88" t="s">
        <v>1205</v>
      </c>
      <c r="F100" s="78">
        <v>43293</v>
      </c>
      <c r="G100" s="78" t="s">
        <v>1182</v>
      </c>
    </row>
    <row r="101" spans="1:7" x14ac:dyDescent="0.25">
      <c r="A101" s="5" t="s">
        <v>902</v>
      </c>
      <c r="B101" s="78">
        <f t="shared" si="1"/>
        <v>43.646000000000001</v>
      </c>
      <c r="C101" s="78" t="s">
        <v>1002</v>
      </c>
      <c r="D101" s="7" t="s">
        <v>302</v>
      </c>
      <c r="E101" s="88" t="s">
        <v>1205</v>
      </c>
      <c r="F101" s="78">
        <v>43646</v>
      </c>
      <c r="G101" s="78" t="s">
        <v>1181</v>
      </c>
    </row>
    <row r="102" spans="1:7" x14ac:dyDescent="0.25">
      <c r="A102" s="5" t="s">
        <v>902</v>
      </c>
      <c r="B102" s="78">
        <f t="shared" si="1"/>
        <v>44.123139999999999</v>
      </c>
      <c r="C102" s="78" t="s">
        <v>1003</v>
      </c>
      <c r="D102" s="7" t="s">
        <v>304</v>
      </c>
      <c r="E102" s="88" t="s">
        <v>1205</v>
      </c>
      <c r="F102" s="78">
        <v>44123.14</v>
      </c>
      <c r="G102" s="78" t="s">
        <v>1182</v>
      </c>
    </row>
    <row r="103" spans="1:7" x14ac:dyDescent="0.25">
      <c r="A103" s="5" t="s">
        <v>902</v>
      </c>
      <c r="B103" s="78">
        <f t="shared" si="1"/>
        <v>44.631</v>
      </c>
      <c r="C103" s="78" t="s">
        <v>1004</v>
      </c>
      <c r="D103" s="7" t="s">
        <v>306</v>
      </c>
      <c r="E103" s="88" t="s">
        <v>1205</v>
      </c>
      <c r="F103" s="78">
        <v>44631</v>
      </c>
      <c r="G103" s="78" t="s">
        <v>1182</v>
      </c>
    </row>
    <row r="104" spans="1:7" x14ac:dyDescent="0.25">
      <c r="A104" s="5" t="s">
        <v>902</v>
      </c>
      <c r="B104" s="78">
        <f t="shared" si="1"/>
        <v>45.103000000000002</v>
      </c>
      <c r="C104" s="78" t="s">
        <v>1005</v>
      </c>
      <c r="D104" s="7" t="s">
        <v>308</v>
      </c>
      <c r="E104" s="88" t="s">
        <v>1205</v>
      </c>
      <c r="F104" s="78">
        <v>45103</v>
      </c>
      <c r="G104" s="78" t="s">
        <v>1181</v>
      </c>
    </row>
    <row r="105" spans="1:7" x14ac:dyDescent="0.25">
      <c r="A105" s="5" t="s">
        <v>902</v>
      </c>
      <c r="B105" s="78">
        <f t="shared" si="1"/>
        <v>45.618000000000002</v>
      </c>
      <c r="C105" s="78" t="s">
        <v>1006</v>
      </c>
      <c r="D105" s="7" t="s">
        <v>310</v>
      </c>
      <c r="E105" s="88" t="s">
        <v>1205</v>
      </c>
      <c r="F105" s="78">
        <v>45618</v>
      </c>
      <c r="G105" s="78" t="s">
        <v>1181</v>
      </c>
    </row>
    <row r="106" spans="1:7" x14ac:dyDescent="0.25">
      <c r="A106" s="5" t="s">
        <v>902</v>
      </c>
      <c r="B106" s="78">
        <f t="shared" si="1"/>
        <v>46.094000000000001</v>
      </c>
      <c r="C106" s="78" t="s">
        <v>1007</v>
      </c>
      <c r="D106" s="7" t="s">
        <v>312</v>
      </c>
      <c r="E106" s="88" t="s">
        <v>1205</v>
      </c>
      <c r="F106" s="78">
        <v>46094</v>
      </c>
      <c r="G106" s="78" t="s">
        <v>1182</v>
      </c>
    </row>
    <row r="107" spans="1:7" x14ac:dyDescent="0.25">
      <c r="A107" s="5" t="s">
        <v>902</v>
      </c>
      <c r="B107" s="78">
        <f t="shared" si="1"/>
        <v>46.606000000000002</v>
      </c>
      <c r="C107" s="78" t="s">
        <v>1008</v>
      </c>
      <c r="D107" s="7" t="s">
        <v>314</v>
      </c>
      <c r="E107" s="88" t="s">
        <v>1205</v>
      </c>
      <c r="F107" s="78">
        <v>46606</v>
      </c>
      <c r="G107" s="78" t="s">
        <v>1181</v>
      </c>
    </row>
    <row r="108" spans="1:7" x14ac:dyDescent="0.25">
      <c r="A108" s="5" t="s">
        <v>902</v>
      </c>
      <c r="B108" s="78">
        <f t="shared" si="1"/>
        <v>47.037999999999997</v>
      </c>
      <c r="C108" s="78" t="s">
        <v>1009</v>
      </c>
      <c r="D108" s="7" t="s">
        <v>316</v>
      </c>
      <c r="E108" s="88" t="s">
        <v>1205</v>
      </c>
      <c r="F108" s="78">
        <v>47038</v>
      </c>
      <c r="G108" s="78" t="s">
        <v>1182</v>
      </c>
    </row>
    <row r="109" spans="1:7" x14ac:dyDescent="0.25">
      <c r="A109" s="5" t="s">
        <v>902</v>
      </c>
      <c r="B109" s="78">
        <f t="shared" si="1"/>
        <v>47.499000000000002</v>
      </c>
      <c r="C109" s="78" t="s">
        <v>1010</v>
      </c>
      <c r="D109" s="7" t="s">
        <v>318</v>
      </c>
      <c r="E109" s="88" t="s">
        <v>1205</v>
      </c>
      <c r="F109" s="78">
        <v>47499</v>
      </c>
      <c r="G109" s="78" t="s">
        <v>1181</v>
      </c>
    </row>
    <row r="110" spans="1:7" x14ac:dyDescent="0.25">
      <c r="A110" s="5" t="s">
        <v>902</v>
      </c>
      <c r="B110" s="78">
        <f t="shared" si="1"/>
        <v>48.018999999999998</v>
      </c>
      <c r="C110" s="78" t="s">
        <v>1011</v>
      </c>
      <c r="D110" s="7" t="s">
        <v>320</v>
      </c>
      <c r="E110" s="88" t="s">
        <v>1205</v>
      </c>
      <c r="F110" s="78">
        <v>48019</v>
      </c>
      <c r="G110" s="78" t="s">
        <v>1182</v>
      </c>
    </row>
    <row r="111" spans="1:7" x14ac:dyDescent="0.25">
      <c r="A111" s="5" t="s">
        <v>902</v>
      </c>
      <c r="B111" s="78">
        <f t="shared" si="1"/>
        <v>48.497309999999999</v>
      </c>
      <c r="C111" s="78" t="s">
        <v>1012</v>
      </c>
      <c r="D111" s="7" t="s">
        <v>322</v>
      </c>
      <c r="E111" s="88" t="s">
        <v>1205</v>
      </c>
      <c r="F111" s="78">
        <v>48497.31</v>
      </c>
      <c r="G111" s="78" t="s">
        <v>1182</v>
      </c>
    </row>
    <row r="112" spans="1:7" x14ac:dyDescent="0.25">
      <c r="A112" s="5" t="s">
        <v>902</v>
      </c>
      <c r="B112" s="78">
        <f t="shared" si="1"/>
        <v>48.893000000000001</v>
      </c>
      <c r="C112" s="78" t="s">
        <v>1013</v>
      </c>
      <c r="D112" s="7" t="s">
        <v>324</v>
      </c>
      <c r="E112" s="88" t="s">
        <v>1205</v>
      </c>
      <c r="F112" s="78">
        <v>48893</v>
      </c>
      <c r="G112" s="78" t="s">
        <v>1182</v>
      </c>
    </row>
    <row r="113" spans="1:7" x14ac:dyDescent="0.25">
      <c r="A113" s="5" t="s">
        <v>902</v>
      </c>
      <c r="B113" s="78">
        <f t="shared" si="1"/>
        <v>49.29992</v>
      </c>
      <c r="C113" s="78" t="s">
        <v>1014</v>
      </c>
      <c r="D113" s="7" t="s">
        <v>326</v>
      </c>
      <c r="E113" s="88" t="s">
        <v>1205</v>
      </c>
      <c r="F113" s="78">
        <v>49299.92</v>
      </c>
      <c r="G113" s="78" t="s">
        <v>1182</v>
      </c>
    </row>
    <row r="114" spans="1:7" x14ac:dyDescent="0.25">
      <c r="A114" s="5" t="s">
        <v>902</v>
      </c>
      <c r="B114" s="78">
        <f t="shared" si="1"/>
        <v>49.774999999999999</v>
      </c>
      <c r="C114" s="78" t="s">
        <v>1015</v>
      </c>
      <c r="D114" s="7" t="s">
        <v>328</v>
      </c>
      <c r="E114" s="88" t="s">
        <v>1205</v>
      </c>
      <c r="F114" s="78">
        <v>49775</v>
      </c>
      <c r="G114" s="78" t="s">
        <v>1182</v>
      </c>
    </row>
    <row r="115" spans="1:7" x14ac:dyDescent="0.25">
      <c r="A115" s="5" t="s">
        <v>902</v>
      </c>
      <c r="B115" s="78">
        <f t="shared" si="1"/>
        <v>50.29</v>
      </c>
      <c r="C115" s="78" t="s">
        <v>1016</v>
      </c>
      <c r="D115" s="7" t="s">
        <v>330</v>
      </c>
      <c r="E115" s="88" t="s">
        <v>1205</v>
      </c>
      <c r="F115" s="78">
        <v>50290</v>
      </c>
      <c r="G115" s="78" t="s">
        <v>1182</v>
      </c>
    </row>
    <row r="116" spans="1:7" x14ac:dyDescent="0.25">
      <c r="A116" s="5" t="s">
        <v>902</v>
      </c>
      <c r="B116" s="78">
        <f t="shared" si="1"/>
        <v>50.765000000000001</v>
      </c>
      <c r="C116" s="78" t="s">
        <v>1017</v>
      </c>
      <c r="D116" s="7" t="s">
        <v>332</v>
      </c>
      <c r="E116" s="88" t="s">
        <v>1205</v>
      </c>
      <c r="F116" s="78">
        <v>50765</v>
      </c>
      <c r="G116" s="78" t="s">
        <v>1182</v>
      </c>
    </row>
    <row r="117" spans="1:7" x14ac:dyDescent="0.25">
      <c r="A117" s="5" t="s">
        <v>902</v>
      </c>
      <c r="B117" s="78">
        <f t="shared" si="1"/>
        <v>51.280999999999999</v>
      </c>
      <c r="C117" s="78" t="s">
        <v>1018</v>
      </c>
      <c r="D117" s="7" t="s">
        <v>334</v>
      </c>
      <c r="E117" s="88" t="s">
        <v>1205</v>
      </c>
      <c r="F117" s="78">
        <v>51281</v>
      </c>
      <c r="G117" s="78" t="s">
        <v>1182</v>
      </c>
    </row>
    <row r="118" spans="1:7" x14ac:dyDescent="0.25">
      <c r="A118" s="5" t="s">
        <v>902</v>
      </c>
      <c r="B118" s="78">
        <f t="shared" si="1"/>
        <v>51.764000000000003</v>
      </c>
      <c r="C118" s="78" t="s">
        <v>1019</v>
      </c>
      <c r="D118" s="7" t="s">
        <v>336</v>
      </c>
      <c r="E118" s="88" t="s">
        <v>1205</v>
      </c>
      <c r="F118" s="78">
        <v>51764</v>
      </c>
      <c r="G118" s="78" t="s">
        <v>1182</v>
      </c>
    </row>
    <row r="119" spans="1:7" x14ac:dyDescent="0.25">
      <c r="A119" s="5" t="s">
        <v>902</v>
      </c>
      <c r="B119" s="78">
        <f t="shared" si="1"/>
        <v>52.274000000000001</v>
      </c>
      <c r="C119" s="78" t="s">
        <v>1020</v>
      </c>
      <c r="D119" s="7" t="s">
        <v>338</v>
      </c>
      <c r="E119" s="88" t="s">
        <v>1205</v>
      </c>
      <c r="F119" s="78">
        <v>52274</v>
      </c>
      <c r="G119" s="78" t="s">
        <v>1182</v>
      </c>
    </row>
    <row r="120" spans="1:7" x14ac:dyDescent="0.25">
      <c r="A120" s="5" t="s">
        <v>902</v>
      </c>
      <c r="B120" s="78">
        <f t="shared" si="1"/>
        <v>52.76</v>
      </c>
      <c r="C120" s="78" t="s">
        <v>1021</v>
      </c>
      <c r="D120" s="7" t="s">
        <v>340</v>
      </c>
      <c r="E120" s="88" t="s">
        <v>1205</v>
      </c>
      <c r="F120" s="78">
        <v>52760</v>
      </c>
      <c r="G120" s="78" t="s">
        <v>1182</v>
      </c>
    </row>
    <row r="121" spans="1:7" x14ac:dyDescent="0.25">
      <c r="A121" s="5" t="s">
        <v>902</v>
      </c>
      <c r="B121" s="78">
        <f t="shared" si="1"/>
        <v>53.27</v>
      </c>
      <c r="C121" s="78" t="s">
        <v>1022</v>
      </c>
      <c r="D121" s="7" t="s">
        <v>342</v>
      </c>
      <c r="E121" s="88" t="s">
        <v>1205</v>
      </c>
      <c r="F121" s="78">
        <v>53270</v>
      </c>
      <c r="G121" s="78" t="s">
        <v>1182</v>
      </c>
    </row>
    <row r="122" spans="1:7" x14ac:dyDescent="0.25">
      <c r="A122" s="5" t="s">
        <v>902</v>
      </c>
      <c r="B122" s="78">
        <f t="shared" si="1"/>
        <v>53.758000000000003</v>
      </c>
      <c r="C122" s="78" t="s">
        <v>1023</v>
      </c>
      <c r="D122" s="7" t="s">
        <v>344</v>
      </c>
      <c r="E122" s="88" t="s">
        <v>1205</v>
      </c>
      <c r="F122" s="78">
        <v>53758</v>
      </c>
      <c r="G122" s="78" t="s">
        <v>1182</v>
      </c>
    </row>
    <row r="123" spans="1:7" x14ac:dyDescent="0.25">
      <c r="A123" s="5" t="s">
        <v>902</v>
      </c>
      <c r="B123" s="78">
        <f t="shared" si="1"/>
        <v>54.199940000000005</v>
      </c>
      <c r="C123" s="78" t="s">
        <v>1024</v>
      </c>
      <c r="D123" s="7" t="s">
        <v>346</v>
      </c>
      <c r="E123" s="88" t="s">
        <v>1205</v>
      </c>
      <c r="F123" s="78">
        <v>54199.94</v>
      </c>
      <c r="G123" s="78" t="s">
        <v>1181</v>
      </c>
    </row>
    <row r="124" spans="1:7" x14ac:dyDescent="0.25">
      <c r="A124" s="5" t="s">
        <v>902</v>
      </c>
      <c r="B124" s="78">
        <f t="shared" si="1"/>
        <v>54.755000000000003</v>
      </c>
      <c r="C124" s="78" t="s">
        <v>1025</v>
      </c>
      <c r="D124" s="7" t="s">
        <v>348</v>
      </c>
      <c r="E124" s="88" t="s">
        <v>1205</v>
      </c>
      <c r="F124" s="78">
        <v>54755</v>
      </c>
      <c r="G124" s="78" t="s">
        <v>1182</v>
      </c>
    </row>
    <row r="125" spans="1:7" x14ac:dyDescent="0.25">
      <c r="A125" s="5" t="s">
        <v>902</v>
      </c>
      <c r="B125" s="78">
        <f t="shared" si="1"/>
        <v>55.127000000000002</v>
      </c>
      <c r="C125" s="78" t="s">
        <v>1026</v>
      </c>
      <c r="D125" s="7" t="s">
        <v>350</v>
      </c>
      <c r="E125" s="88" t="s">
        <v>1205</v>
      </c>
      <c r="F125" s="78">
        <v>55127</v>
      </c>
      <c r="G125" s="78" t="s">
        <v>1181</v>
      </c>
    </row>
    <row r="126" spans="1:7" x14ac:dyDescent="0.25">
      <c r="A126" s="5" t="s">
        <v>902</v>
      </c>
      <c r="B126" s="78">
        <f t="shared" si="1"/>
        <v>55.747</v>
      </c>
      <c r="C126" s="78" t="s">
        <v>1027</v>
      </c>
      <c r="D126" s="7" t="s">
        <v>352</v>
      </c>
      <c r="E126" s="88" t="s">
        <v>1205</v>
      </c>
      <c r="F126" s="78">
        <v>55747</v>
      </c>
      <c r="G126" s="78" t="s">
        <v>1182</v>
      </c>
    </row>
    <row r="127" spans="1:7" x14ac:dyDescent="0.25">
      <c r="A127" s="5" t="s">
        <v>902</v>
      </c>
      <c r="B127" s="78">
        <f t="shared" si="1"/>
        <v>56.125</v>
      </c>
      <c r="C127" s="78" t="s">
        <v>1028</v>
      </c>
      <c r="D127" s="7" t="s">
        <v>354</v>
      </c>
      <c r="E127" s="88" t="s">
        <v>1205</v>
      </c>
      <c r="F127" s="78">
        <v>56125</v>
      </c>
      <c r="G127" s="78" t="s">
        <v>1182</v>
      </c>
    </row>
    <row r="128" spans="1:7" x14ac:dyDescent="0.25">
      <c r="A128" s="5" t="s">
        <v>902</v>
      </c>
      <c r="B128" s="78">
        <f t="shared" si="1"/>
        <v>56.63</v>
      </c>
      <c r="C128" s="78" t="s">
        <v>1029</v>
      </c>
      <c r="D128" s="7" t="s">
        <v>356</v>
      </c>
      <c r="E128" s="88" t="s">
        <v>1205</v>
      </c>
      <c r="F128" s="78">
        <v>56630</v>
      </c>
      <c r="G128" s="78" t="s">
        <v>1182</v>
      </c>
    </row>
    <row r="129" spans="1:7" x14ac:dyDescent="0.25">
      <c r="A129" s="5" t="s">
        <v>902</v>
      </c>
      <c r="B129" s="78">
        <f t="shared" si="1"/>
        <v>57.12</v>
      </c>
      <c r="C129" s="78" t="s">
        <v>1030</v>
      </c>
      <c r="D129" s="7" t="s">
        <v>358</v>
      </c>
      <c r="E129" s="88" t="s">
        <v>1205</v>
      </c>
      <c r="F129" s="78">
        <v>57120</v>
      </c>
      <c r="G129" s="78" t="s">
        <v>1181</v>
      </c>
    </row>
    <row r="130" spans="1:7" x14ac:dyDescent="0.25">
      <c r="A130" s="5" t="s">
        <v>902</v>
      </c>
      <c r="B130" s="78">
        <f t="shared" si="1"/>
        <v>57.609000000000002</v>
      </c>
      <c r="C130" s="78" t="s">
        <v>1031</v>
      </c>
      <c r="D130" s="7" t="s">
        <v>360</v>
      </c>
      <c r="E130" s="88" t="s">
        <v>1205</v>
      </c>
      <c r="F130" s="78">
        <v>57609</v>
      </c>
      <c r="G130" s="78" t="s">
        <v>1181</v>
      </c>
    </row>
    <row r="131" spans="1:7" x14ac:dyDescent="0.25">
      <c r="A131" s="5" t="s">
        <v>902</v>
      </c>
      <c r="B131" s="78">
        <f t="shared" ref="B131:B194" si="2">F131/1000</f>
        <v>58.115000000000002</v>
      </c>
      <c r="C131" s="78" t="s">
        <v>1032</v>
      </c>
      <c r="D131" s="7" t="s">
        <v>362</v>
      </c>
      <c r="E131" s="88" t="s">
        <v>1205</v>
      </c>
      <c r="F131" s="78">
        <v>58115</v>
      </c>
      <c r="G131" s="78" t="s">
        <v>1182</v>
      </c>
    </row>
    <row r="132" spans="1:7" x14ac:dyDescent="0.25">
      <c r="A132" s="5" t="s">
        <v>902</v>
      </c>
      <c r="B132" s="78">
        <f t="shared" si="2"/>
        <v>58.582000000000001</v>
      </c>
      <c r="C132" s="78" t="s">
        <v>1033</v>
      </c>
      <c r="D132" s="7" t="s">
        <v>364</v>
      </c>
      <c r="E132" s="88" t="s">
        <v>1205</v>
      </c>
      <c r="F132" s="78">
        <v>58582</v>
      </c>
      <c r="G132" s="78" t="s">
        <v>1182</v>
      </c>
    </row>
    <row r="133" spans="1:7" x14ac:dyDescent="0.25">
      <c r="A133" s="5" t="s">
        <v>902</v>
      </c>
      <c r="B133" s="78">
        <f t="shared" si="2"/>
        <v>59.11</v>
      </c>
      <c r="C133" s="78" t="s">
        <v>1034</v>
      </c>
      <c r="D133" s="7" t="s">
        <v>366</v>
      </c>
      <c r="E133" s="88" t="s">
        <v>1205</v>
      </c>
      <c r="F133" s="78">
        <v>59110</v>
      </c>
      <c r="G133" s="78" t="s">
        <v>1182</v>
      </c>
    </row>
    <row r="134" spans="1:7" x14ac:dyDescent="0.25">
      <c r="A134" s="5" t="s">
        <v>902</v>
      </c>
      <c r="B134" s="78">
        <f t="shared" si="2"/>
        <v>59.499760000000002</v>
      </c>
      <c r="C134" s="78" t="s">
        <v>1035</v>
      </c>
      <c r="D134" s="7" t="s">
        <v>368</v>
      </c>
      <c r="E134" s="88" t="s">
        <v>1205</v>
      </c>
      <c r="F134" s="78">
        <v>59499.76</v>
      </c>
      <c r="G134" s="78" t="s">
        <v>1184</v>
      </c>
    </row>
    <row r="135" spans="1:7" x14ac:dyDescent="0.25">
      <c r="A135" s="5" t="s">
        <v>902</v>
      </c>
      <c r="B135" s="78">
        <f t="shared" si="2"/>
        <v>59.963000000000001</v>
      </c>
      <c r="C135" s="78" t="s">
        <v>1036</v>
      </c>
      <c r="D135" s="7" t="s">
        <v>370</v>
      </c>
      <c r="E135" s="88" t="s">
        <v>1205</v>
      </c>
      <c r="F135" s="78">
        <v>59963</v>
      </c>
      <c r="G135" s="78" t="s">
        <v>1182</v>
      </c>
    </row>
    <row r="136" spans="1:7" x14ac:dyDescent="0.25">
      <c r="A136" s="5" t="s">
        <v>902</v>
      </c>
      <c r="B136" s="78">
        <f t="shared" si="2"/>
        <v>60.387</v>
      </c>
      <c r="C136" s="78" t="s">
        <v>1037</v>
      </c>
      <c r="D136" s="7" t="s">
        <v>372</v>
      </c>
      <c r="E136" s="88" t="s">
        <v>1206</v>
      </c>
      <c r="F136" s="78">
        <v>60387</v>
      </c>
      <c r="G136" s="78" t="s">
        <v>1185</v>
      </c>
    </row>
    <row r="137" spans="1:7" x14ac:dyDescent="0.25">
      <c r="A137" s="5" t="s">
        <v>902</v>
      </c>
      <c r="B137" s="78">
        <f t="shared" si="2"/>
        <v>60.929610000000004</v>
      </c>
      <c r="C137" s="78" t="s">
        <v>1038</v>
      </c>
      <c r="D137" s="7" t="s">
        <v>374</v>
      </c>
      <c r="E137" s="88" t="s">
        <v>1207</v>
      </c>
      <c r="F137" s="78">
        <v>60929.61</v>
      </c>
      <c r="G137" s="78" t="s">
        <v>1182</v>
      </c>
    </row>
    <row r="138" spans="1:7" x14ac:dyDescent="0.25">
      <c r="A138" s="5" t="s">
        <v>902</v>
      </c>
      <c r="B138" s="78">
        <f t="shared" si="2"/>
        <v>61.363669999999999</v>
      </c>
      <c r="C138" s="78" t="s">
        <v>1039</v>
      </c>
      <c r="D138" s="7" t="s">
        <v>376</v>
      </c>
      <c r="E138" s="88" t="s">
        <v>1207</v>
      </c>
      <c r="F138" s="78">
        <v>61363.67</v>
      </c>
      <c r="G138" s="78" t="s">
        <v>1182</v>
      </c>
    </row>
    <row r="139" spans="1:7" x14ac:dyDescent="0.25">
      <c r="A139" s="5" t="s">
        <v>902</v>
      </c>
      <c r="B139" s="78">
        <f t="shared" si="2"/>
        <v>61.511069999999997</v>
      </c>
      <c r="C139" s="78" t="s">
        <v>1040</v>
      </c>
      <c r="D139" s="7" t="s">
        <v>378</v>
      </c>
      <c r="E139" s="88" t="s">
        <v>1207</v>
      </c>
      <c r="F139" s="78">
        <v>61511.07</v>
      </c>
      <c r="G139" s="78" t="s">
        <v>1184</v>
      </c>
    </row>
    <row r="140" spans="1:7" x14ac:dyDescent="0.25">
      <c r="A140" s="5" t="s">
        <v>902</v>
      </c>
      <c r="B140" s="78">
        <f t="shared" si="2"/>
        <v>62.028680000000001</v>
      </c>
      <c r="C140" s="78" t="s">
        <v>1041</v>
      </c>
      <c r="D140" s="7" t="s">
        <v>380</v>
      </c>
      <c r="E140" s="88" t="s">
        <v>1207</v>
      </c>
      <c r="F140" s="78">
        <v>62028.68</v>
      </c>
      <c r="G140" s="78" t="s">
        <v>1184</v>
      </c>
    </row>
    <row r="141" spans="1:7" x14ac:dyDescent="0.25">
      <c r="A141" s="5" t="s">
        <v>902</v>
      </c>
      <c r="B141" s="78">
        <f t="shared" si="2"/>
        <v>62.399230000000003</v>
      </c>
      <c r="C141" s="78" t="s">
        <v>1042</v>
      </c>
      <c r="D141" s="7" t="s">
        <v>382</v>
      </c>
      <c r="E141" s="88" t="s">
        <v>1207</v>
      </c>
      <c r="F141" s="78">
        <v>62399.23</v>
      </c>
      <c r="G141" s="78" t="s">
        <v>1182</v>
      </c>
    </row>
    <row r="142" spans="1:7" x14ac:dyDescent="0.25">
      <c r="A142" s="5" t="s">
        <v>902</v>
      </c>
      <c r="B142" s="78">
        <f t="shared" si="2"/>
        <v>62.597079999999998</v>
      </c>
      <c r="C142" s="78" t="s">
        <v>1043</v>
      </c>
      <c r="D142" s="7" t="s">
        <v>384</v>
      </c>
      <c r="E142" s="88" t="s">
        <v>1207</v>
      </c>
      <c r="F142" s="78">
        <v>62597.08</v>
      </c>
      <c r="G142" s="78" t="s">
        <v>1182</v>
      </c>
    </row>
    <row r="143" spans="1:7" x14ac:dyDescent="0.25">
      <c r="A143" s="5" t="s">
        <v>902</v>
      </c>
      <c r="B143" s="78">
        <f t="shared" si="2"/>
        <v>63.108230000000006</v>
      </c>
      <c r="C143" s="78" t="s">
        <v>1044</v>
      </c>
      <c r="D143" s="7" t="s">
        <v>386</v>
      </c>
      <c r="E143" s="88" t="s">
        <v>1207</v>
      </c>
      <c r="F143" s="78">
        <v>63108.23</v>
      </c>
      <c r="G143" s="78" t="s">
        <v>1182</v>
      </c>
    </row>
    <row r="144" spans="1:7" x14ac:dyDescent="0.25">
      <c r="A144" s="5" t="s">
        <v>902</v>
      </c>
      <c r="B144" s="78">
        <f t="shared" si="2"/>
        <v>63.414360000000002</v>
      </c>
      <c r="C144" s="78" t="s">
        <v>1045</v>
      </c>
      <c r="D144" s="7" t="s">
        <v>388</v>
      </c>
      <c r="E144" s="88" t="s">
        <v>1207</v>
      </c>
      <c r="F144" s="82">
        <v>63414.36</v>
      </c>
      <c r="G144" s="78" t="s">
        <v>1184</v>
      </c>
    </row>
    <row r="145" spans="1:7" x14ac:dyDescent="0.25">
      <c r="A145" s="5" t="s">
        <v>902</v>
      </c>
      <c r="B145" s="78">
        <f t="shared" si="2"/>
        <v>65.53837</v>
      </c>
      <c r="C145" s="78" t="s">
        <v>1046</v>
      </c>
      <c r="D145" s="7" t="s">
        <v>390</v>
      </c>
      <c r="E145" s="88" t="s">
        <v>1207</v>
      </c>
      <c r="F145" s="78">
        <v>65538.37</v>
      </c>
      <c r="G145" s="78" t="s">
        <v>1182</v>
      </c>
    </row>
    <row r="146" spans="1:7" x14ac:dyDescent="0.25">
      <c r="A146" s="5" t="s">
        <v>902</v>
      </c>
      <c r="B146" s="78">
        <f t="shared" si="2"/>
        <v>66.015000000000001</v>
      </c>
      <c r="C146" s="78" t="s">
        <v>1047</v>
      </c>
      <c r="D146" s="7" t="s">
        <v>392</v>
      </c>
      <c r="E146" s="88" t="s">
        <v>1207</v>
      </c>
      <c r="F146" s="78">
        <v>66015</v>
      </c>
      <c r="G146" s="78" t="s">
        <v>1182</v>
      </c>
    </row>
    <row r="147" spans="1:7" x14ac:dyDescent="0.25">
      <c r="A147" s="5" t="s">
        <v>902</v>
      </c>
      <c r="B147" s="78">
        <f t="shared" si="2"/>
        <v>66.518000000000001</v>
      </c>
      <c r="C147" s="78" t="s">
        <v>1048</v>
      </c>
      <c r="D147" s="7" t="s">
        <v>394</v>
      </c>
      <c r="E147" s="88" t="s">
        <v>1207</v>
      </c>
      <c r="F147" s="78">
        <v>66518</v>
      </c>
      <c r="G147" s="78" t="s">
        <v>1182</v>
      </c>
    </row>
    <row r="148" spans="1:7" x14ac:dyDescent="0.25">
      <c r="A148" s="5" t="s">
        <v>902</v>
      </c>
      <c r="B148" s="78">
        <f t="shared" si="2"/>
        <v>66.886880000000005</v>
      </c>
      <c r="C148" s="78" t="s">
        <v>1049</v>
      </c>
      <c r="D148" s="7" t="s">
        <v>396</v>
      </c>
      <c r="E148" s="88" t="s">
        <v>1207</v>
      </c>
      <c r="F148" s="78">
        <v>66886.880000000005</v>
      </c>
      <c r="G148" s="78" t="s">
        <v>1182</v>
      </c>
    </row>
    <row r="149" spans="1:7" x14ac:dyDescent="0.25">
      <c r="A149" s="5" t="s">
        <v>902</v>
      </c>
      <c r="B149" s="78">
        <f t="shared" si="2"/>
        <v>67.323390000000003</v>
      </c>
      <c r="C149" s="78" t="s">
        <v>1050</v>
      </c>
      <c r="D149" s="7" t="s">
        <v>398</v>
      </c>
      <c r="E149" s="88" t="s">
        <v>1207</v>
      </c>
      <c r="F149" s="78">
        <v>67323.39</v>
      </c>
      <c r="G149" s="78" t="s">
        <v>1182</v>
      </c>
    </row>
    <row r="150" spans="1:7" x14ac:dyDescent="0.25">
      <c r="A150" s="5" t="s">
        <v>902</v>
      </c>
      <c r="B150" s="78">
        <f t="shared" si="2"/>
        <v>67.682929999999999</v>
      </c>
      <c r="C150" s="78" t="s">
        <v>1051</v>
      </c>
      <c r="D150" s="7" t="s">
        <v>400</v>
      </c>
      <c r="E150" s="88" t="s">
        <v>1207</v>
      </c>
      <c r="F150" s="78">
        <v>67682.929999999993</v>
      </c>
      <c r="G150" s="78" t="s">
        <v>1183</v>
      </c>
    </row>
    <row r="151" spans="1:7" x14ac:dyDescent="0.25">
      <c r="A151" s="5" t="s">
        <v>902</v>
      </c>
      <c r="B151" s="78">
        <f t="shared" si="2"/>
        <v>68.207999999999998</v>
      </c>
      <c r="C151" s="78" t="s">
        <v>1052</v>
      </c>
      <c r="D151" s="7" t="s">
        <v>402</v>
      </c>
      <c r="E151" s="88" t="s">
        <v>1207</v>
      </c>
      <c r="F151" s="78">
        <v>68208</v>
      </c>
      <c r="G151" s="78" t="s">
        <v>1182</v>
      </c>
    </row>
    <row r="152" spans="1:7" x14ac:dyDescent="0.25">
      <c r="A152" s="5" t="s">
        <v>902</v>
      </c>
      <c r="B152" s="78">
        <f t="shared" si="2"/>
        <v>68.593000000000004</v>
      </c>
      <c r="C152" s="78" t="s">
        <v>1053</v>
      </c>
      <c r="D152" s="7" t="s">
        <v>404</v>
      </c>
      <c r="E152" s="88" t="s">
        <v>1207</v>
      </c>
      <c r="F152" s="78">
        <v>68593</v>
      </c>
      <c r="G152" s="78" t="s">
        <v>1182</v>
      </c>
    </row>
    <row r="153" spans="1:7" x14ac:dyDescent="0.25">
      <c r="A153" s="5" t="s">
        <v>902</v>
      </c>
      <c r="B153" s="78">
        <f t="shared" si="2"/>
        <v>69.066000000000003</v>
      </c>
      <c r="C153" s="78" t="s">
        <v>1054</v>
      </c>
      <c r="D153" s="7" t="s">
        <v>406</v>
      </c>
      <c r="E153" s="88" t="s">
        <v>1207</v>
      </c>
      <c r="F153" s="78">
        <v>69066</v>
      </c>
      <c r="G153" s="78" t="s">
        <v>1182</v>
      </c>
    </row>
    <row r="154" spans="1:7" x14ac:dyDescent="0.25">
      <c r="A154" s="5" t="s">
        <v>902</v>
      </c>
      <c r="B154" s="78">
        <f t="shared" si="2"/>
        <v>69.489000000000004</v>
      </c>
      <c r="C154" s="78" t="s">
        <v>1055</v>
      </c>
      <c r="D154" s="7" t="s">
        <v>408</v>
      </c>
      <c r="E154" s="88" t="s">
        <v>1207</v>
      </c>
      <c r="F154" s="78">
        <v>69489</v>
      </c>
      <c r="G154" s="78" t="s">
        <v>1182</v>
      </c>
    </row>
    <row r="155" spans="1:7" x14ac:dyDescent="0.25">
      <c r="A155" s="5" t="s">
        <v>902</v>
      </c>
      <c r="B155" s="78">
        <f t="shared" si="2"/>
        <v>69.95747999999999</v>
      </c>
      <c r="C155" s="78" t="s">
        <v>1056</v>
      </c>
      <c r="D155" s="7" t="s">
        <v>410</v>
      </c>
      <c r="E155" s="88" t="s">
        <v>1207</v>
      </c>
      <c r="F155" s="78">
        <v>69957.48</v>
      </c>
      <c r="G155" s="78" t="s">
        <v>1183</v>
      </c>
    </row>
    <row r="156" spans="1:7" x14ac:dyDescent="0.25">
      <c r="A156" s="5" t="s">
        <v>902</v>
      </c>
      <c r="B156" s="78">
        <f t="shared" si="2"/>
        <v>70.469340000000003</v>
      </c>
      <c r="C156" s="78" t="s">
        <v>1057</v>
      </c>
      <c r="D156" s="7" t="s">
        <v>412</v>
      </c>
      <c r="E156" s="88" t="s">
        <v>1207</v>
      </c>
      <c r="F156" s="78">
        <v>70469.34</v>
      </c>
      <c r="G156" s="78" t="s">
        <v>1182</v>
      </c>
    </row>
    <row r="157" spans="1:7" x14ac:dyDescent="0.25">
      <c r="A157" s="5" t="s">
        <v>902</v>
      </c>
      <c r="B157" s="78">
        <f t="shared" si="2"/>
        <v>70.918999999999997</v>
      </c>
      <c r="C157" s="78" t="s">
        <v>1058</v>
      </c>
      <c r="D157" s="7" t="s">
        <v>414</v>
      </c>
      <c r="E157" s="88" t="s">
        <v>1207</v>
      </c>
      <c r="F157" s="78">
        <v>70919</v>
      </c>
      <c r="G157" s="78" t="s">
        <v>1182</v>
      </c>
    </row>
    <row r="158" spans="1:7" x14ac:dyDescent="0.25">
      <c r="A158" s="5" t="s">
        <v>902</v>
      </c>
      <c r="B158" s="78">
        <f t="shared" si="2"/>
        <v>71.332999999999998</v>
      </c>
      <c r="C158" s="78" t="s">
        <v>1059</v>
      </c>
      <c r="D158" s="7" t="s">
        <v>416</v>
      </c>
      <c r="E158" s="88" t="s">
        <v>1207</v>
      </c>
      <c r="F158" s="78">
        <v>71333</v>
      </c>
      <c r="G158" s="78" t="s">
        <v>1181</v>
      </c>
    </row>
    <row r="159" spans="1:7" x14ac:dyDescent="0.25">
      <c r="A159" s="5" t="s">
        <v>902</v>
      </c>
      <c r="B159" s="78">
        <f t="shared" si="2"/>
        <v>71.781610000000001</v>
      </c>
      <c r="C159" s="78" t="s">
        <v>1060</v>
      </c>
      <c r="D159" s="7" t="s">
        <v>418</v>
      </c>
      <c r="E159" s="88" t="s">
        <v>1207</v>
      </c>
      <c r="F159" s="82">
        <v>71781.61</v>
      </c>
      <c r="G159" s="78" t="s">
        <v>1183</v>
      </c>
    </row>
    <row r="160" spans="1:7" x14ac:dyDescent="0.25">
      <c r="A160" s="5" t="s">
        <v>902</v>
      </c>
      <c r="B160" s="78">
        <f t="shared" si="2"/>
        <v>72.356999999999999</v>
      </c>
      <c r="C160" s="78" t="s">
        <v>1061</v>
      </c>
      <c r="D160" s="7" t="s">
        <v>420</v>
      </c>
      <c r="E160" s="88" t="s">
        <v>1207</v>
      </c>
      <c r="F160" s="78">
        <v>72357</v>
      </c>
      <c r="G160" s="78" t="s">
        <v>1183</v>
      </c>
    </row>
    <row r="161" spans="1:7" x14ac:dyDescent="0.25">
      <c r="A161" s="5" t="s">
        <v>902</v>
      </c>
      <c r="B161" s="78">
        <f t="shared" si="2"/>
        <v>72.825509999999994</v>
      </c>
      <c r="C161" s="78" t="s">
        <v>1062</v>
      </c>
      <c r="D161" s="7" t="s">
        <v>422</v>
      </c>
      <c r="E161" s="88" t="s">
        <v>1207</v>
      </c>
      <c r="F161" s="78">
        <v>72825.509999999995</v>
      </c>
      <c r="G161" s="78" t="s">
        <v>1182</v>
      </c>
    </row>
    <row r="162" spans="1:7" x14ac:dyDescent="0.25">
      <c r="A162" s="5" t="s">
        <v>902</v>
      </c>
      <c r="B162" s="78">
        <f t="shared" si="2"/>
        <v>73.211320000000001</v>
      </c>
      <c r="C162" s="78" t="s">
        <v>1063</v>
      </c>
      <c r="D162" s="7" t="s">
        <v>424</v>
      </c>
      <c r="E162" s="88" t="s">
        <v>1207</v>
      </c>
      <c r="F162" s="78">
        <v>73211.320000000007</v>
      </c>
      <c r="G162" s="78" t="s">
        <v>1182</v>
      </c>
    </row>
    <row r="163" spans="1:7" x14ac:dyDescent="0.25">
      <c r="A163" s="5" t="s">
        <v>902</v>
      </c>
      <c r="B163" s="78">
        <f t="shared" si="2"/>
        <v>73.824130000000011</v>
      </c>
      <c r="C163" s="78" t="s">
        <v>1064</v>
      </c>
      <c r="D163" s="7" t="s">
        <v>426</v>
      </c>
      <c r="E163" s="88" t="s">
        <v>1207</v>
      </c>
      <c r="F163" s="78">
        <v>73824.13</v>
      </c>
      <c r="G163" s="78" t="s">
        <v>1182</v>
      </c>
    </row>
    <row r="164" spans="1:7" x14ac:dyDescent="0.25">
      <c r="A164" s="5" t="s">
        <v>902</v>
      </c>
      <c r="B164" s="78">
        <f t="shared" si="2"/>
        <v>74.209410000000005</v>
      </c>
      <c r="C164" s="78" t="s">
        <v>1065</v>
      </c>
      <c r="D164" s="7" t="s">
        <v>428</v>
      </c>
      <c r="E164" s="88" t="s">
        <v>1207</v>
      </c>
      <c r="F164" s="78">
        <v>74209.41</v>
      </c>
      <c r="G164" s="78" t="s">
        <v>1182</v>
      </c>
    </row>
    <row r="165" spans="1:7" x14ac:dyDescent="0.25">
      <c r="A165" s="5" t="s">
        <v>902</v>
      </c>
      <c r="B165" s="78">
        <f t="shared" si="2"/>
        <v>74.703270000000003</v>
      </c>
      <c r="C165" s="78" t="s">
        <v>1066</v>
      </c>
      <c r="D165" s="7" t="s">
        <v>430</v>
      </c>
      <c r="E165" s="88" t="s">
        <v>1207</v>
      </c>
      <c r="F165" s="78">
        <v>74703.27</v>
      </c>
      <c r="G165" s="78" t="s">
        <v>1181</v>
      </c>
    </row>
    <row r="166" spans="1:7" x14ac:dyDescent="0.25">
      <c r="A166" s="5" t="s">
        <v>902</v>
      </c>
      <c r="B166" s="78">
        <f t="shared" si="2"/>
        <v>75.107089999999999</v>
      </c>
      <c r="C166" s="78" t="s">
        <v>1067</v>
      </c>
      <c r="D166" s="7" t="s">
        <v>432</v>
      </c>
      <c r="E166" s="88" t="s">
        <v>1207</v>
      </c>
      <c r="F166" s="78">
        <v>75107.09</v>
      </c>
      <c r="G166" s="78" t="s">
        <v>1182</v>
      </c>
    </row>
    <row r="167" spans="1:7" x14ac:dyDescent="0.25">
      <c r="A167" s="5" t="s">
        <v>902</v>
      </c>
      <c r="B167" s="78">
        <f t="shared" si="2"/>
        <v>75.430840000000003</v>
      </c>
      <c r="C167" s="78" t="s">
        <v>1068</v>
      </c>
      <c r="D167" s="7" t="s">
        <v>434</v>
      </c>
      <c r="E167" s="88" t="s">
        <v>1207</v>
      </c>
      <c r="F167" s="78">
        <v>75430.84</v>
      </c>
      <c r="G167" s="78" t="s">
        <v>1182</v>
      </c>
    </row>
    <row r="168" spans="1:7" x14ac:dyDescent="0.25">
      <c r="A168" s="5" t="s">
        <v>902</v>
      </c>
      <c r="B168" s="78">
        <f t="shared" si="2"/>
        <v>76.10114999999999</v>
      </c>
      <c r="C168" s="78" t="s">
        <v>1069</v>
      </c>
      <c r="D168" s="7" t="s">
        <v>436</v>
      </c>
      <c r="E168" s="88" t="s">
        <v>1207</v>
      </c>
      <c r="F168" s="78">
        <v>76101.149999999994</v>
      </c>
      <c r="G168" s="78" t="s">
        <v>1183</v>
      </c>
    </row>
    <row r="169" spans="1:7" x14ac:dyDescent="0.25">
      <c r="A169" s="5" t="s">
        <v>902</v>
      </c>
      <c r="B169" s="78">
        <f t="shared" si="2"/>
        <v>76.581759999999989</v>
      </c>
      <c r="C169" s="78" t="s">
        <v>1070</v>
      </c>
      <c r="D169" s="7" t="s">
        <v>438</v>
      </c>
      <c r="E169" s="88" t="s">
        <v>1207</v>
      </c>
      <c r="F169" s="78">
        <v>76581.759999999995</v>
      </c>
      <c r="G169" s="78" t="s">
        <v>1184</v>
      </c>
    </row>
    <row r="170" spans="1:7" x14ac:dyDescent="0.25">
      <c r="A170" s="5" t="s">
        <v>902</v>
      </c>
      <c r="B170" s="78">
        <f t="shared" si="2"/>
        <v>76.941000000000003</v>
      </c>
      <c r="C170" s="78" t="s">
        <v>1071</v>
      </c>
      <c r="D170" s="7" t="s">
        <v>440</v>
      </c>
      <c r="E170" s="88" t="s">
        <v>1207</v>
      </c>
      <c r="F170" s="78">
        <v>76941</v>
      </c>
      <c r="G170" s="78" t="s">
        <v>1182</v>
      </c>
    </row>
    <row r="171" spans="1:7" x14ac:dyDescent="0.25">
      <c r="A171" s="5" t="s">
        <v>902</v>
      </c>
      <c r="B171" s="78">
        <f t="shared" si="2"/>
        <v>77.319999999999993</v>
      </c>
      <c r="C171" s="78" t="s">
        <v>1072</v>
      </c>
      <c r="D171" s="7" t="s">
        <v>442</v>
      </c>
      <c r="E171" s="88" t="s">
        <v>1207</v>
      </c>
      <c r="F171" s="78">
        <v>77320</v>
      </c>
      <c r="G171" s="78" t="s">
        <v>1182</v>
      </c>
    </row>
    <row r="172" spans="1:7" x14ac:dyDescent="0.25">
      <c r="A172" s="5" t="s">
        <v>902</v>
      </c>
      <c r="B172" s="78">
        <f t="shared" si="2"/>
        <v>77.691009999999991</v>
      </c>
      <c r="C172" s="78" t="s">
        <v>1073</v>
      </c>
      <c r="D172" s="7" t="s">
        <v>444</v>
      </c>
      <c r="E172" s="88" t="s">
        <v>1207</v>
      </c>
      <c r="F172" s="78">
        <v>77691.009999999995</v>
      </c>
      <c r="G172" s="78" t="s">
        <v>1182</v>
      </c>
    </row>
    <row r="173" spans="1:7" x14ac:dyDescent="0.25">
      <c r="A173" s="5" t="s">
        <v>902</v>
      </c>
      <c r="B173" s="78">
        <f t="shared" si="2"/>
        <v>78.185810000000004</v>
      </c>
      <c r="C173" s="78" t="s">
        <v>1074</v>
      </c>
      <c r="D173" s="7" t="s">
        <v>446</v>
      </c>
      <c r="E173" s="88" t="s">
        <v>1207</v>
      </c>
      <c r="F173" s="78">
        <v>78185.81</v>
      </c>
      <c r="G173" s="78" t="s">
        <v>1182</v>
      </c>
    </row>
    <row r="174" spans="1:7" x14ac:dyDescent="0.25">
      <c r="A174" s="5" t="s">
        <v>902</v>
      </c>
      <c r="B174" s="78">
        <f t="shared" si="2"/>
        <v>78.605000000000004</v>
      </c>
      <c r="C174" s="78" t="s">
        <v>1075</v>
      </c>
      <c r="D174" s="7" t="s">
        <v>448</v>
      </c>
      <c r="E174" s="88" t="s">
        <v>1207</v>
      </c>
      <c r="F174" s="78">
        <v>78605</v>
      </c>
      <c r="G174" s="78" t="s">
        <v>1182</v>
      </c>
    </row>
    <row r="175" spans="1:7" x14ac:dyDescent="0.25">
      <c r="A175" s="5" t="s">
        <v>902</v>
      </c>
      <c r="B175" s="78">
        <f t="shared" si="2"/>
        <v>79.132999999999996</v>
      </c>
      <c r="C175" s="78" t="s">
        <v>1076</v>
      </c>
      <c r="D175" s="7" t="s">
        <v>450</v>
      </c>
      <c r="E175" s="88" t="s">
        <v>1207</v>
      </c>
      <c r="F175" s="78">
        <v>79133</v>
      </c>
      <c r="G175" s="78" t="s">
        <v>1182</v>
      </c>
    </row>
    <row r="176" spans="1:7" x14ac:dyDescent="0.25">
      <c r="A176" s="5" t="s">
        <v>902</v>
      </c>
      <c r="B176" s="78">
        <f t="shared" si="2"/>
        <v>79.471999999999994</v>
      </c>
      <c r="C176" s="78" t="s">
        <v>1077</v>
      </c>
      <c r="D176" s="7" t="s">
        <v>452</v>
      </c>
      <c r="E176" s="88" t="s">
        <v>1207</v>
      </c>
      <c r="F176" s="78">
        <v>79472</v>
      </c>
      <c r="G176" s="78" t="s">
        <v>1182</v>
      </c>
    </row>
    <row r="177" spans="1:7" x14ac:dyDescent="0.25">
      <c r="A177" s="5" t="s">
        <v>902</v>
      </c>
      <c r="B177" s="78">
        <f t="shared" si="2"/>
        <v>79.995000000000005</v>
      </c>
      <c r="C177" s="78" t="s">
        <v>1078</v>
      </c>
      <c r="D177" s="7" t="s">
        <v>454</v>
      </c>
      <c r="E177" s="88" t="s">
        <v>1207</v>
      </c>
      <c r="F177" s="78">
        <v>79995</v>
      </c>
      <c r="G177" s="78" t="s">
        <v>1182</v>
      </c>
    </row>
    <row r="178" spans="1:7" x14ac:dyDescent="0.25">
      <c r="A178" s="5" t="s">
        <v>902</v>
      </c>
      <c r="B178" s="78">
        <f t="shared" si="2"/>
        <v>80.468999999999994</v>
      </c>
      <c r="C178" s="78" t="s">
        <v>1079</v>
      </c>
      <c r="D178" s="7" t="s">
        <v>456</v>
      </c>
      <c r="E178" s="88" t="s">
        <v>1207</v>
      </c>
      <c r="F178" s="78">
        <v>80469</v>
      </c>
      <c r="G178" s="78" t="s">
        <v>1182</v>
      </c>
    </row>
    <row r="179" spans="1:7" x14ac:dyDescent="0.25">
      <c r="A179" s="5" t="s">
        <v>902</v>
      </c>
      <c r="B179" s="78">
        <f t="shared" si="2"/>
        <v>80.683000000000007</v>
      </c>
      <c r="C179" s="78" t="s">
        <v>1080</v>
      </c>
      <c r="D179" s="7" t="s">
        <v>458</v>
      </c>
      <c r="E179" s="88" t="s">
        <v>1207</v>
      </c>
      <c r="F179" s="78">
        <v>80683</v>
      </c>
      <c r="G179" s="78" t="s">
        <v>1182</v>
      </c>
    </row>
    <row r="180" spans="1:7" x14ac:dyDescent="0.25">
      <c r="A180" s="5" t="s">
        <v>902</v>
      </c>
      <c r="B180" s="78">
        <f t="shared" si="2"/>
        <v>81.102000000000004</v>
      </c>
      <c r="C180" s="78" t="s">
        <v>1081</v>
      </c>
      <c r="D180" s="7" t="s">
        <v>460</v>
      </c>
      <c r="E180" s="88" t="s">
        <v>1207</v>
      </c>
      <c r="F180" s="78">
        <v>81102</v>
      </c>
      <c r="G180" s="78" t="s">
        <v>1182</v>
      </c>
    </row>
    <row r="181" spans="1:7" x14ac:dyDescent="0.25">
      <c r="A181" s="5" t="s">
        <v>902</v>
      </c>
      <c r="B181" s="78">
        <f t="shared" si="2"/>
        <v>81.522999999999996</v>
      </c>
      <c r="C181" s="78" t="s">
        <v>1082</v>
      </c>
      <c r="D181" s="7" t="s">
        <v>462</v>
      </c>
      <c r="E181" s="88" t="s">
        <v>1207</v>
      </c>
      <c r="F181" s="78">
        <v>81523</v>
      </c>
      <c r="G181" s="78" t="s">
        <v>1182</v>
      </c>
    </row>
    <row r="182" spans="1:7" x14ac:dyDescent="0.25">
      <c r="A182" s="5" t="s">
        <v>902</v>
      </c>
      <c r="B182" s="78">
        <f t="shared" si="2"/>
        <v>81.888689999999997</v>
      </c>
      <c r="C182" s="78" t="s">
        <v>1083</v>
      </c>
      <c r="D182" s="7" t="s">
        <v>464</v>
      </c>
      <c r="E182" s="88" t="s">
        <v>1207</v>
      </c>
      <c r="F182" s="78">
        <v>81888.69</v>
      </c>
      <c r="G182" s="78" t="s">
        <v>1181</v>
      </c>
    </row>
    <row r="183" spans="1:7" x14ac:dyDescent="0.25">
      <c r="A183" s="5" t="s">
        <v>902</v>
      </c>
      <c r="B183" s="78">
        <f t="shared" si="2"/>
        <v>82.347999999999999</v>
      </c>
      <c r="C183" s="78" t="s">
        <v>1084</v>
      </c>
      <c r="D183" s="7" t="s">
        <v>466</v>
      </c>
      <c r="E183" s="88" t="s">
        <v>1207</v>
      </c>
      <c r="F183" s="78">
        <v>82348</v>
      </c>
      <c r="G183" s="78" t="s">
        <v>1182</v>
      </c>
    </row>
    <row r="184" spans="1:7" x14ac:dyDescent="0.25">
      <c r="A184" s="5" t="s">
        <v>902</v>
      </c>
      <c r="B184" s="78">
        <f t="shared" si="2"/>
        <v>82.88</v>
      </c>
      <c r="C184" s="78" t="s">
        <v>1085</v>
      </c>
      <c r="D184" s="7" t="s">
        <v>468</v>
      </c>
      <c r="E184" s="88" t="s">
        <v>1207</v>
      </c>
      <c r="F184" s="78">
        <v>82880</v>
      </c>
      <c r="G184" s="78" t="s">
        <v>1182</v>
      </c>
    </row>
    <row r="185" spans="1:7" x14ac:dyDescent="0.25">
      <c r="A185" s="5" t="s">
        <v>902</v>
      </c>
      <c r="B185" s="78">
        <f t="shared" si="2"/>
        <v>83.33</v>
      </c>
      <c r="C185" s="78" t="s">
        <v>1086</v>
      </c>
      <c r="D185" s="7" t="s">
        <v>470</v>
      </c>
      <c r="E185" s="88" t="s">
        <v>1207</v>
      </c>
      <c r="F185" s="78">
        <v>83330</v>
      </c>
      <c r="G185" s="78" t="s">
        <v>1183</v>
      </c>
    </row>
    <row r="186" spans="1:7" x14ac:dyDescent="0.25">
      <c r="A186" s="5" t="s">
        <v>902</v>
      </c>
      <c r="B186" s="78">
        <f t="shared" si="2"/>
        <v>83.646000000000001</v>
      </c>
      <c r="C186" s="78" t="s">
        <v>1087</v>
      </c>
      <c r="D186" s="7" t="s">
        <v>472</v>
      </c>
      <c r="E186" s="88" t="s">
        <v>1207</v>
      </c>
      <c r="F186" s="78">
        <v>83646</v>
      </c>
      <c r="G186" s="78" t="s">
        <v>1182</v>
      </c>
    </row>
    <row r="187" spans="1:7" x14ac:dyDescent="0.25">
      <c r="A187" s="5" t="s">
        <v>902</v>
      </c>
      <c r="B187" s="78">
        <f t="shared" si="2"/>
        <v>84.046999999999997</v>
      </c>
      <c r="C187" s="78" t="s">
        <v>1088</v>
      </c>
      <c r="D187" s="7" t="s">
        <v>474</v>
      </c>
      <c r="E187" s="88" t="s">
        <v>1207</v>
      </c>
      <c r="F187" s="78">
        <v>84047</v>
      </c>
      <c r="G187" s="78" t="s">
        <v>1181</v>
      </c>
    </row>
    <row r="188" spans="1:7" x14ac:dyDescent="0.25">
      <c r="A188" s="5" t="s">
        <v>902</v>
      </c>
      <c r="B188" s="78">
        <f t="shared" si="2"/>
        <v>84.591970000000003</v>
      </c>
      <c r="C188" s="78" t="s">
        <v>1089</v>
      </c>
      <c r="D188" s="7" t="s">
        <v>476</v>
      </c>
      <c r="E188" s="88" t="s">
        <v>1207</v>
      </c>
      <c r="F188" s="78">
        <v>84591.97</v>
      </c>
      <c r="G188" s="78" t="s">
        <v>1183</v>
      </c>
    </row>
    <row r="189" spans="1:7" x14ac:dyDescent="0.25">
      <c r="A189" s="5" t="s">
        <v>902</v>
      </c>
      <c r="B189" s="78">
        <f t="shared" si="2"/>
        <v>85.293999999999997</v>
      </c>
      <c r="C189" s="78" t="s">
        <v>1090</v>
      </c>
      <c r="D189" s="7" t="s">
        <v>478</v>
      </c>
      <c r="E189" s="88" t="s">
        <v>1207</v>
      </c>
      <c r="F189" s="78">
        <v>85294</v>
      </c>
      <c r="G189" s="78" t="s">
        <v>1183</v>
      </c>
    </row>
    <row r="190" spans="1:7" x14ac:dyDescent="0.25">
      <c r="A190" s="5" t="s">
        <v>902</v>
      </c>
      <c r="B190" s="78">
        <f t="shared" si="2"/>
        <v>85.700980000000001</v>
      </c>
      <c r="C190" s="78" t="s">
        <v>1091</v>
      </c>
      <c r="D190" s="7" t="s">
        <v>480</v>
      </c>
      <c r="E190" s="88" t="s">
        <v>1207</v>
      </c>
      <c r="F190" s="78">
        <v>85700.98</v>
      </c>
      <c r="G190" s="78" t="s">
        <v>1183</v>
      </c>
    </row>
    <row r="191" spans="1:7" x14ac:dyDescent="0.25">
      <c r="A191" s="5" t="s">
        <v>902</v>
      </c>
      <c r="B191" s="78">
        <f t="shared" si="2"/>
        <v>86.224999999999994</v>
      </c>
      <c r="C191" s="78" t="s">
        <v>1092</v>
      </c>
      <c r="D191" s="7" t="s">
        <v>482</v>
      </c>
      <c r="E191" s="88" t="s">
        <v>1207</v>
      </c>
      <c r="F191" s="78">
        <v>86225</v>
      </c>
      <c r="G191" s="78" t="s">
        <v>1182</v>
      </c>
    </row>
    <row r="192" spans="1:7" x14ac:dyDescent="0.25">
      <c r="A192" s="5" t="s">
        <v>902</v>
      </c>
      <c r="B192" s="78">
        <f t="shared" si="2"/>
        <v>86.697000000000003</v>
      </c>
      <c r="C192" s="78" t="s">
        <v>1093</v>
      </c>
      <c r="D192" s="7" t="s">
        <v>484</v>
      </c>
      <c r="E192" s="88" t="s">
        <v>1207</v>
      </c>
      <c r="F192" s="78">
        <v>86697</v>
      </c>
      <c r="G192" s="78" t="s">
        <v>1182</v>
      </c>
    </row>
    <row r="193" spans="1:7" x14ac:dyDescent="0.25">
      <c r="A193" s="5" t="s">
        <v>902</v>
      </c>
      <c r="B193" s="78">
        <f t="shared" si="2"/>
        <v>87.183999999999997</v>
      </c>
      <c r="C193" s="78" t="s">
        <v>1094</v>
      </c>
      <c r="D193" s="7" t="s">
        <v>486</v>
      </c>
      <c r="E193" s="88" t="s">
        <v>1207</v>
      </c>
      <c r="F193" s="78">
        <v>87184</v>
      </c>
      <c r="G193" s="78" t="s">
        <v>1182</v>
      </c>
    </row>
    <row r="194" spans="1:7" x14ac:dyDescent="0.25">
      <c r="A194" s="5" t="s">
        <v>902</v>
      </c>
      <c r="B194" s="78">
        <f t="shared" si="2"/>
        <v>87.692999999999998</v>
      </c>
      <c r="C194" s="78" t="s">
        <v>1095</v>
      </c>
      <c r="D194" s="7" t="s">
        <v>488</v>
      </c>
      <c r="E194" s="88" t="s">
        <v>1207</v>
      </c>
      <c r="F194" s="78">
        <v>87693</v>
      </c>
      <c r="G194" s="78" t="s">
        <v>1182</v>
      </c>
    </row>
    <row r="195" spans="1:7" x14ac:dyDescent="0.25">
      <c r="A195" s="5" t="s">
        <v>902</v>
      </c>
      <c r="B195" s="78">
        <f t="shared" ref="B195:B258" si="3">F195/1000</f>
        <v>88.093999999999994</v>
      </c>
      <c r="C195" s="78" t="s">
        <v>1096</v>
      </c>
      <c r="D195" s="7" t="s">
        <v>490</v>
      </c>
      <c r="E195" s="88" t="s">
        <v>1207</v>
      </c>
      <c r="F195" s="78">
        <v>88094</v>
      </c>
      <c r="G195" s="78" t="s">
        <v>1182</v>
      </c>
    </row>
    <row r="196" spans="1:7" x14ac:dyDescent="0.25">
      <c r="A196" s="5" t="s">
        <v>902</v>
      </c>
      <c r="B196" s="78">
        <f t="shared" si="3"/>
        <v>88.446210000000008</v>
      </c>
      <c r="C196" s="78" t="s">
        <v>1097</v>
      </c>
      <c r="D196" s="7" t="s">
        <v>492</v>
      </c>
      <c r="E196" s="88" t="s">
        <v>1207</v>
      </c>
      <c r="F196" s="78">
        <v>88446.21</v>
      </c>
      <c r="G196" s="78" t="s">
        <v>1182</v>
      </c>
    </row>
    <row r="197" spans="1:7" x14ac:dyDescent="0.25">
      <c r="A197" s="5" t="s">
        <v>902</v>
      </c>
      <c r="B197" s="78">
        <f t="shared" si="3"/>
        <v>88.96499</v>
      </c>
      <c r="C197" s="78" t="s">
        <v>1098</v>
      </c>
      <c r="D197" s="7" t="s">
        <v>494</v>
      </c>
      <c r="E197" s="88" t="s">
        <v>1207</v>
      </c>
      <c r="F197" s="78">
        <v>88964.99</v>
      </c>
      <c r="G197" s="78" t="s">
        <v>1182</v>
      </c>
    </row>
    <row r="198" spans="1:7" x14ac:dyDescent="0.25">
      <c r="A198" s="5" t="s">
        <v>902</v>
      </c>
      <c r="B198" s="78">
        <f t="shared" si="3"/>
        <v>89.360169999999997</v>
      </c>
      <c r="C198" s="78" t="s">
        <v>1099</v>
      </c>
      <c r="D198" s="7" t="s">
        <v>496</v>
      </c>
      <c r="E198" s="88" t="s">
        <v>1207</v>
      </c>
      <c r="F198" s="78">
        <v>89360.17</v>
      </c>
      <c r="G198" s="78" t="s">
        <v>1182</v>
      </c>
    </row>
    <row r="199" spans="1:7" x14ac:dyDescent="0.25">
      <c r="A199" s="5" t="s">
        <v>902</v>
      </c>
      <c r="B199" s="78">
        <f t="shared" si="3"/>
        <v>89.761350000000007</v>
      </c>
      <c r="C199" s="78" t="s">
        <v>1100</v>
      </c>
      <c r="D199" s="7" t="s">
        <v>498</v>
      </c>
      <c r="E199" s="88" t="s">
        <v>1207</v>
      </c>
      <c r="F199" s="78">
        <v>89761.35</v>
      </c>
      <c r="G199" s="78" t="s">
        <v>1182</v>
      </c>
    </row>
    <row r="200" spans="1:7" x14ac:dyDescent="0.25">
      <c r="A200" s="5" t="s">
        <v>902</v>
      </c>
      <c r="B200" s="78">
        <f t="shared" si="3"/>
        <v>90.24457000000001</v>
      </c>
      <c r="C200" s="79" t="s">
        <v>1101</v>
      </c>
      <c r="D200" s="7" t="s">
        <v>500</v>
      </c>
      <c r="E200" s="88" t="s">
        <v>1207</v>
      </c>
      <c r="F200" s="78">
        <v>90244.57</v>
      </c>
      <c r="G200" s="78" t="s">
        <v>1182</v>
      </c>
    </row>
    <row r="201" spans="1:7" x14ac:dyDescent="0.25">
      <c r="A201" s="5" t="s">
        <v>902</v>
      </c>
      <c r="B201" s="78">
        <f t="shared" si="3"/>
        <v>90.755809999999997</v>
      </c>
      <c r="C201" s="78" t="s">
        <v>1102</v>
      </c>
      <c r="D201" s="7" t="s">
        <v>502</v>
      </c>
      <c r="E201" s="88" t="s">
        <v>1207</v>
      </c>
      <c r="F201" s="78">
        <v>90755.81</v>
      </c>
      <c r="G201" s="78" t="s">
        <v>1182</v>
      </c>
    </row>
    <row r="202" spans="1:7" x14ac:dyDescent="0.25">
      <c r="A202" s="5" t="s">
        <v>902</v>
      </c>
      <c r="B202" s="78">
        <f t="shared" si="3"/>
        <v>91.243030000000005</v>
      </c>
      <c r="C202" s="78" t="s">
        <v>1103</v>
      </c>
      <c r="D202" s="7" t="s">
        <v>503</v>
      </c>
      <c r="E202" s="88" t="s">
        <v>1207</v>
      </c>
      <c r="F202" s="78">
        <v>91243.03</v>
      </c>
      <c r="G202" s="78" t="s">
        <v>1182</v>
      </c>
    </row>
    <row r="203" spans="1:7" x14ac:dyDescent="0.25">
      <c r="A203" s="5" t="s">
        <v>902</v>
      </c>
      <c r="B203" s="78">
        <f t="shared" si="3"/>
        <v>91.619579999999999</v>
      </c>
      <c r="C203" s="78" t="s">
        <v>1104</v>
      </c>
      <c r="D203" s="7" t="s">
        <v>501</v>
      </c>
      <c r="E203" s="88" t="s">
        <v>1207</v>
      </c>
      <c r="F203" s="78">
        <v>91619.58</v>
      </c>
      <c r="G203" s="78" t="s">
        <v>1184</v>
      </c>
    </row>
    <row r="204" spans="1:7" x14ac:dyDescent="0.25">
      <c r="A204" s="5" t="s">
        <v>902</v>
      </c>
      <c r="B204" s="78">
        <f t="shared" si="3"/>
        <v>91.923199999999994</v>
      </c>
      <c r="C204" s="78" t="s">
        <v>1105</v>
      </c>
      <c r="D204" s="7" t="s">
        <v>499</v>
      </c>
      <c r="E204" s="88" t="s">
        <v>1207</v>
      </c>
      <c r="F204" s="78">
        <v>91923.199999999997</v>
      </c>
      <c r="G204" s="78" t="s">
        <v>1181</v>
      </c>
    </row>
    <row r="205" spans="1:7" x14ac:dyDescent="0.25">
      <c r="A205" s="5" t="s">
        <v>902</v>
      </c>
      <c r="B205" s="78">
        <f t="shared" si="3"/>
        <v>92.411199999999994</v>
      </c>
      <c r="C205" s="78" t="s">
        <v>1106</v>
      </c>
      <c r="D205" s="7" t="s">
        <v>497</v>
      </c>
      <c r="E205" s="88" t="s">
        <v>1207</v>
      </c>
      <c r="F205" s="78">
        <v>92411.199999999997</v>
      </c>
      <c r="G205" s="78" t="s">
        <v>1182</v>
      </c>
    </row>
    <row r="206" spans="1:7" x14ac:dyDescent="0.25">
      <c r="A206" s="5" t="s">
        <v>902</v>
      </c>
      <c r="B206" s="78">
        <f t="shared" si="3"/>
        <v>92.913200000000003</v>
      </c>
      <c r="C206" s="78" t="s">
        <v>1107</v>
      </c>
      <c r="D206" s="7" t="s">
        <v>495</v>
      </c>
      <c r="E206" s="88" t="s">
        <v>1207</v>
      </c>
      <c r="F206" s="78">
        <v>92913.2</v>
      </c>
      <c r="G206" s="78" t="s">
        <v>1182</v>
      </c>
    </row>
    <row r="207" spans="1:7" x14ac:dyDescent="0.25">
      <c r="A207" s="5" t="s">
        <v>902</v>
      </c>
      <c r="B207" s="78">
        <f t="shared" si="3"/>
        <v>93.407200000000003</v>
      </c>
      <c r="C207" s="78" t="s">
        <v>1108</v>
      </c>
      <c r="D207" s="7" t="s">
        <v>493</v>
      </c>
      <c r="E207" s="88" t="s">
        <v>1207</v>
      </c>
      <c r="F207" s="78">
        <v>93407.2</v>
      </c>
      <c r="G207" s="78" t="s">
        <v>1182</v>
      </c>
    </row>
    <row r="208" spans="1:7" x14ac:dyDescent="0.25">
      <c r="A208" s="5" t="s">
        <v>902</v>
      </c>
      <c r="B208" s="78">
        <f t="shared" si="3"/>
        <v>93.887199999999993</v>
      </c>
      <c r="C208" s="78" t="s">
        <v>1109</v>
      </c>
      <c r="D208" s="7" t="s">
        <v>491</v>
      </c>
      <c r="E208" s="88" t="s">
        <v>1207</v>
      </c>
      <c r="F208" s="78">
        <v>93887.2</v>
      </c>
      <c r="G208" s="78" t="s">
        <v>1182</v>
      </c>
    </row>
    <row r="209" spans="1:7" x14ac:dyDescent="0.25">
      <c r="A209" s="5" t="s">
        <v>902</v>
      </c>
      <c r="B209" s="78">
        <f t="shared" si="3"/>
        <v>94.221199999999996</v>
      </c>
      <c r="C209" s="78" t="s">
        <v>1110</v>
      </c>
      <c r="D209" s="7" t="s">
        <v>489</v>
      </c>
      <c r="E209" s="88" t="s">
        <v>1207</v>
      </c>
      <c r="F209" s="78">
        <v>94221.2</v>
      </c>
      <c r="G209" s="78" t="s">
        <v>1183</v>
      </c>
    </row>
    <row r="210" spans="1:7" x14ac:dyDescent="0.25">
      <c r="A210" s="5" t="s">
        <v>902</v>
      </c>
      <c r="B210" s="78">
        <f t="shared" si="3"/>
        <v>94.429199999999994</v>
      </c>
      <c r="C210" s="78" t="s">
        <v>1111</v>
      </c>
      <c r="D210" s="7" t="s">
        <v>487</v>
      </c>
      <c r="E210" s="88" t="s">
        <v>1207</v>
      </c>
      <c r="F210" s="78">
        <v>94429.2</v>
      </c>
      <c r="G210" s="78" t="s">
        <v>1181</v>
      </c>
    </row>
    <row r="211" spans="1:7" x14ac:dyDescent="0.25">
      <c r="A211" s="5" t="s">
        <v>902</v>
      </c>
      <c r="B211" s="78">
        <f t="shared" si="3"/>
        <v>95.091200000000001</v>
      </c>
      <c r="C211" s="78" t="s">
        <v>1112</v>
      </c>
      <c r="D211" s="7" t="s">
        <v>485</v>
      </c>
      <c r="E211" s="88" t="s">
        <v>1207</v>
      </c>
      <c r="F211" s="78">
        <v>95091.199999999997</v>
      </c>
      <c r="G211" s="78" t="s">
        <v>1182</v>
      </c>
    </row>
    <row r="212" spans="1:7" x14ac:dyDescent="0.25">
      <c r="A212" s="5" t="s">
        <v>902</v>
      </c>
      <c r="B212" s="78">
        <f t="shared" si="3"/>
        <v>95.408100000000005</v>
      </c>
      <c r="C212" s="78" t="s">
        <v>1113</v>
      </c>
      <c r="D212" s="7" t="s">
        <v>483</v>
      </c>
      <c r="E212" s="88" t="s">
        <v>1207</v>
      </c>
      <c r="F212" s="78">
        <v>95408.1</v>
      </c>
      <c r="G212" s="78" t="s">
        <v>1182</v>
      </c>
    </row>
    <row r="213" spans="1:7" x14ac:dyDescent="0.25">
      <c r="A213" s="5" t="s">
        <v>902</v>
      </c>
      <c r="B213" s="78">
        <f t="shared" si="3"/>
        <v>95.928200000000004</v>
      </c>
      <c r="C213" s="78" t="s">
        <v>1114</v>
      </c>
      <c r="D213" s="7" t="s">
        <v>481</v>
      </c>
      <c r="E213" s="88" t="s">
        <v>1207</v>
      </c>
      <c r="F213" s="78">
        <v>95928.2</v>
      </c>
      <c r="G213" s="78" t="s">
        <v>1182</v>
      </c>
    </row>
    <row r="214" spans="1:7" x14ac:dyDescent="0.25">
      <c r="A214" s="5" t="s">
        <v>902</v>
      </c>
      <c r="B214" s="78">
        <f t="shared" si="3"/>
        <v>96.368200000000002</v>
      </c>
      <c r="C214" s="78" t="s">
        <v>1115</v>
      </c>
      <c r="D214" s="7" t="s">
        <v>479</v>
      </c>
      <c r="E214" s="88" t="s">
        <v>1207</v>
      </c>
      <c r="F214" s="78">
        <v>96368.2</v>
      </c>
      <c r="G214" s="78" t="s">
        <v>1182</v>
      </c>
    </row>
    <row r="215" spans="1:7" x14ac:dyDescent="0.25">
      <c r="A215" s="5" t="s">
        <v>902</v>
      </c>
      <c r="B215" s="78">
        <f t="shared" si="3"/>
        <v>96.647199999999998</v>
      </c>
      <c r="C215" s="78" t="s">
        <v>1116</v>
      </c>
      <c r="D215" s="7" t="s">
        <v>477</v>
      </c>
      <c r="E215" s="88" t="s">
        <v>1207</v>
      </c>
      <c r="F215" s="78">
        <v>96647.2</v>
      </c>
      <c r="G215" s="78" t="s">
        <v>1182</v>
      </c>
    </row>
    <row r="216" spans="1:7" x14ac:dyDescent="0.25">
      <c r="A216" s="5" t="s">
        <v>902</v>
      </c>
      <c r="B216" s="78">
        <f t="shared" si="3"/>
        <v>97.197199999999995</v>
      </c>
      <c r="C216" s="78" t="s">
        <v>1117</v>
      </c>
      <c r="D216" s="7" t="s">
        <v>475</v>
      </c>
      <c r="E216" s="88" t="s">
        <v>1207</v>
      </c>
      <c r="F216" s="78">
        <v>97197.2</v>
      </c>
      <c r="G216" s="78" t="s">
        <v>1182</v>
      </c>
    </row>
    <row r="217" spans="1:7" x14ac:dyDescent="0.25">
      <c r="A217" s="5" t="s">
        <v>902</v>
      </c>
      <c r="B217" s="78">
        <f t="shared" si="3"/>
        <v>97.624820000000014</v>
      </c>
      <c r="C217" s="78" t="s">
        <v>1118</v>
      </c>
      <c r="D217" s="7" t="s">
        <v>473</v>
      </c>
      <c r="E217" s="88" t="s">
        <v>1207</v>
      </c>
      <c r="F217" s="78">
        <v>97624.82</v>
      </c>
      <c r="G217" s="78" t="s">
        <v>1182</v>
      </c>
    </row>
    <row r="218" spans="1:7" x14ac:dyDescent="0.25">
      <c r="A218" s="5" t="s">
        <v>902</v>
      </c>
      <c r="B218" s="78">
        <f t="shared" si="3"/>
        <v>98.014200000000002</v>
      </c>
      <c r="C218" s="78" t="s">
        <v>1119</v>
      </c>
      <c r="D218" s="7" t="s">
        <v>471</v>
      </c>
      <c r="E218" s="88" t="s">
        <v>1207</v>
      </c>
      <c r="F218" s="78">
        <v>98014.2</v>
      </c>
      <c r="G218" s="78" t="s">
        <v>1182</v>
      </c>
    </row>
    <row r="219" spans="1:7" x14ac:dyDescent="0.25">
      <c r="A219" s="5" t="s">
        <v>902</v>
      </c>
      <c r="B219" s="78">
        <f t="shared" si="3"/>
        <v>98.41628</v>
      </c>
      <c r="C219" s="78" t="s">
        <v>1120</v>
      </c>
      <c r="D219" s="7" t="s">
        <v>469</v>
      </c>
      <c r="E219" s="88" t="s">
        <v>1207</v>
      </c>
      <c r="F219" s="78">
        <v>98416.28</v>
      </c>
      <c r="G219" s="78" t="s">
        <v>1182</v>
      </c>
    </row>
    <row r="220" spans="1:7" x14ac:dyDescent="0.25">
      <c r="A220" s="5" t="s">
        <v>902</v>
      </c>
      <c r="B220" s="78">
        <f t="shared" si="3"/>
        <v>98.991470000000007</v>
      </c>
      <c r="C220" s="78" t="s">
        <v>1121</v>
      </c>
      <c r="D220" s="7" t="s">
        <v>467</v>
      </c>
      <c r="E220" s="88" t="s">
        <v>1207</v>
      </c>
      <c r="F220" s="78">
        <v>98991.47</v>
      </c>
      <c r="G220" s="78" t="s">
        <v>1183</v>
      </c>
    </row>
    <row r="221" spans="1:7" x14ac:dyDescent="0.25">
      <c r="A221" s="5" t="s">
        <v>902</v>
      </c>
      <c r="B221" s="78">
        <f t="shared" si="3"/>
        <v>99.44019999999999</v>
      </c>
      <c r="C221" s="78" t="s">
        <v>1122</v>
      </c>
      <c r="D221" s="7" t="s">
        <v>465</v>
      </c>
      <c r="E221" s="88" t="s">
        <v>1207</v>
      </c>
      <c r="F221" s="78">
        <v>99440.2</v>
      </c>
      <c r="G221" s="78" t="s">
        <v>1182</v>
      </c>
    </row>
    <row r="222" spans="1:7" x14ac:dyDescent="0.25">
      <c r="A222" s="5" t="s">
        <v>902</v>
      </c>
      <c r="B222" s="78">
        <f t="shared" si="3"/>
        <v>99.793199999999999</v>
      </c>
      <c r="C222" s="78" t="s">
        <v>1123</v>
      </c>
      <c r="D222" s="7" t="s">
        <v>463</v>
      </c>
      <c r="E222" s="88" t="s">
        <v>1208</v>
      </c>
      <c r="F222" s="78">
        <v>99793.2</v>
      </c>
      <c r="G222" s="78" t="s">
        <v>1185</v>
      </c>
    </row>
    <row r="223" spans="1:7" x14ac:dyDescent="0.25">
      <c r="A223" s="5" t="s">
        <v>902</v>
      </c>
      <c r="B223" s="78">
        <f t="shared" si="3"/>
        <v>100.16419999999999</v>
      </c>
      <c r="C223" s="78" t="s">
        <v>1124</v>
      </c>
      <c r="D223" s="7" t="s">
        <v>461</v>
      </c>
      <c r="E223" s="88" t="s">
        <v>1209</v>
      </c>
      <c r="F223" s="78">
        <v>100164.2</v>
      </c>
      <c r="G223" s="78" t="s">
        <v>1181</v>
      </c>
    </row>
    <row r="224" spans="1:7" x14ac:dyDescent="0.25">
      <c r="A224" s="5" t="s">
        <v>902</v>
      </c>
      <c r="B224" s="78">
        <f t="shared" si="3"/>
        <v>100.58767999999999</v>
      </c>
      <c r="C224" s="78" t="s">
        <v>1125</v>
      </c>
      <c r="D224" s="7" t="s">
        <v>459</v>
      </c>
      <c r="E224" s="88" t="s">
        <v>1209</v>
      </c>
      <c r="F224" s="78">
        <v>100587.68</v>
      </c>
      <c r="G224" s="78" t="s">
        <v>1182</v>
      </c>
    </row>
    <row r="225" spans="1:7" x14ac:dyDescent="0.25">
      <c r="A225" s="5" t="s">
        <v>902</v>
      </c>
      <c r="B225" s="78">
        <f t="shared" si="3"/>
        <v>101.08411</v>
      </c>
      <c r="C225" s="78" t="s">
        <v>1126</v>
      </c>
      <c r="D225" s="7" t="s">
        <v>457</v>
      </c>
      <c r="E225" s="88" t="s">
        <v>1209</v>
      </c>
      <c r="F225" s="78">
        <v>101084.11</v>
      </c>
      <c r="G225" s="78" t="s">
        <v>1181</v>
      </c>
    </row>
    <row r="226" spans="1:7" x14ac:dyDescent="0.25">
      <c r="A226" s="5" t="s">
        <v>902</v>
      </c>
      <c r="B226" s="78">
        <f t="shared" si="3"/>
        <v>101.57713000000001</v>
      </c>
      <c r="C226" s="78" t="s">
        <v>1127</v>
      </c>
      <c r="D226" s="7" t="s">
        <v>455</v>
      </c>
      <c r="E226" s="88" t="s">
        <v>1209</v>
      </c>
      <c r="F226" s="78">
        <v>101577.13</v>
      </c>
      <c r="G226" s="78" t="s">
        <v>1182</v>
      </c>
    </row>
    <row r="227" spans="1:7" x14ac:dyDescent="0.25">
      <c r="A227" s="5" t="s">
        <v>902</v>
      </c>
      <c r="B227" s="78">
        <f t="shared" si="3"/>
        <v>102.01819999999999</v>
      </c>
      <c r="C227" s="78" t="s">
        <v>1128</v>
      </c>
      <c r="D227" s="7" t="s">
        <v>453</v>
      </c>
      <c r="E227" s="88" t="s">
        <v>1209</v>
      </c>
      <c r="F227" s="78">
        <v>102018.2</v>
      </c>
      <c r="G227" s="78" t="s">
        <v>1182</v>
      </c>
    </row>
    <row r="228" spans="1:7" x14ac:dyDescent="0.25">
      <c r="A228" s="5" t="s">
        <v>902</v>
      </c>
      <c r="B228" s="78">
        <f t="shared" si="3"/>
        <v>102.40699000000001</v>
      </c>
      <c r="C228" s="78" t="s">
        <v>1129</v>
      </c>
      <c r="D228" s="7" t="s">
        <v>451</v>
      </c>
      <c r="E228" s="88" t="s">
        <v>1209</v>
      </c>
      <c r="F228" s="78">
        <v>102406.99</v>
      </c>
      <c r="G228" s="78" t="s">
        <v>1182</v>
      </c>
    </row>
    <row r="229" spans="1:7" x14ac:dyDescent="0.25">
      <c r="A229" s="5" t="s">
        <v>902</v>
      </c>
      <c r="B229" s="78">
        <f t="shared" si="3"/>
        <v>102.79699000000001</v>
      </c>
      <c r="C229" s="78" t="s">
        <v>1130</v>
      </c>
      <c r="D229" s="7" t="s">
        <v>449</v>
      </c>
      <c r="E229" s="88" t="s">
        <v>1209</v>
      </c>
      <c r="F229" s="78">
        <v>102796.99</v>
      </c>
      <c r="G229" s="78" t="s">
        <v>1181</v>
      </c>
    </row>
    <row r="230" spans="1:7" x14ac:dyDescent="0.25">
      <c r="A230" s="5" t="s">
        <v>902</v>
      </c>
      <c r="B230" s="78">
        <f t="shared" si="3"/>
        <v>103.40467</v>
      </c>
      <c r="C230" s="78" t="s">
        <v>1131</v>
      </c>
      <c r="D230" s="7" t="s">
        <v>447</v>
      </c>
      <c r="E230" s="88" t="s">
        <v>1209</v>
      </c>
      <c r="F230" s="78">
        <v>103404.67</v>
      </c>
      <c r="G230" s="78" t="s">
        <v>1183</v>
      </c>
    </row>
    <row r="231" spans="1:7" x14ac:dyDescent="0.25">
      <c r="A231" s="5" t="s">
        <v>902</v>
      </c>
      <c r="B231" s="78">
        <f t="shared" si="3"/>
        <v>103.94027</v>
      </c>
      <c r="C231" s="78" t="s">
        <v>1132</v>
      </c>
      <c r="D231" s="7" t="s">
        <v>445</v>
      </c>
      <c r="E231" s="88" t="s">
        <v>1209</v>
      </c>
      <c r="F231" s="78">
        <v>103940.27</v>
      </c>
      <c r="G231" s="78" t="s">
        <v>1182</v>
      </c>
    </row>
    <row r="232" spans="1:7" x14ac:dyDescent="0.25">
      <c r="A232" s="5" t="s">
        <v>902</v>
      </c>
      <c r="B232" s="78">
        <f t="shared" si="3"/>
        <v>104.37371</v>
      </c>
      <c r="C232" s="78" t="s">
        <v>1133</v>
      </c>
      <c r="D232" s="7" t="s">
        <v>443</v>
      </c>
      <c r="E232" s="88" t="s">
        <v>1209</v>
      </c>
      <c r="F232" s="78">
        <v>104373.71</v>
      </c>
      <c r="G232" s="78" t="s">
        <v>1183</v>
      </c>
    </row>
    <row r="233" spans="1:7" x14ac:dyDescent="0.25">
      <c r="A233" s="5" t="s">
        <v>902</v>
      </c>
      <c r="B233" s="78">
        <f t="shared" si="3"/>
        <v>104.946</v>
      </c>
      <c r="C233" s="78" t="s">
        <v>1134</v>
      </c>
      <c r="D233" s="7" t="s">
        <v>441</v>
      </c>
      <c r="E233" s="88" t="s">
        <v>1209</v>
      </c>
      <c r="F233" s="78">
        <v>104946</v>
      </c>
      <c r="G233" s="78" t="s">
        <v>1182</v>
      </c>
    </row>
    <row r="234" spans="1:7" x14ac:dyDescent="0.25">
      <c r="A234" s="5" t="s">
        <v>902</v>
      </c>
      <c r="B234" s="78">
        <f t="shared" si="3"/>
        <v>105.37</v>
      </c>
      <c r="C234" s="78" t="s">
        <v>1135</v>
      </c>
      <c r="D234" s="7" t="s">
        <v>439</v>
      </c>
      <c r="E234" s="88" t="s">
        <v>1209</v>
      </c>
      <c r="F234" s="78">
        <v>105370</v>
      </c>
      <c r="G234" s="78" t="s">
        <v>1182</v>
      </c>
    </row>
    <row r="235" spans="1:7" x14ac:dyDescent="0.25">
      <c r="A235" s="5" t="s">
        <v>902</v>
      </c>
      <c r="B235" s="78">
        <f t="shared" si="3"/>
        <v>105.78700000000001</v>
      </c>
      <c r="C235" s="78" t="s">
        <v>1136</v>
      </c>
      <c r="D235" s="7" t="s">
        <v>437</v>
      </c>
      <c r="E235" s="88" t="s">
        <v>1209</v>
      </c>
      <c r="F235" s="78">
        <v>105787</v>
      </c>
      <c r="G235" s="78" t="s">
        <v>1182</v>
      </c>
    </row>
    <row r="236" spans="1:7" x14ac:dyDescent="0.25">
      <c r="A236" s="5" t="s">
        <v>902</v>
      </c>
      <c r="B236" s="78">
        <f t="shared" si="3"/>
        <v>106.367</v>
      </c>
      <c r="C236" s="78" t="s">
        <v>1137</v>
      </c>
      <c r="D236" s="7" t="s">
        <v>435</v>
      </c>
      <c r="E236" s="88" t="s">
        <v>1209</v>
      </c>
      <c r="F236" s="78">
        <v>106367</v>
      </c>
      <c r="G236" s="78" t="s">
        <v>1183</v>
      </c>
    </row>
    <row r="237" spans="1:7" x14ac:dyDescent="0.25">
      <c r="A237" s="5" t="s">
        <v>902</v>
      </c>
      <c r="B237" s="78">
        <f t="shared" si="3"/>
        <v>106.852</v>
      </c>
      <c r="C237" s="78" t="s">
        <v>1138</v>
      </c>
      <c r="D237" s="7" t="s">
        <v>433</v>
      </c>
      <c r="E237" s="88" t="s">
        <v>1209</v>
      </c>
      <c r="F237" s="78">
        <v>106852</v>
      </c>
      <c r="G237" s="78" t="s">
        <v>1182</v>
      </c>
    </row>
    <row r="238" spans="1:7" x14ac:dyDescent="0.25">
      <c r="A238" s="5" t="s">
        <v>902</v>
      </c>
      <c r="B238" s="78">
        <f t="shared" si="3"/>
        <v>107.33199999999999</v>
      </c>
      <c r="C238" s="78" t="s">
        <v>1139</v>
      </c>
      <c r="D238" s="7" t="s">
        <v>431</v>
      </c>
      <c r="E238" s="88" t="s">
        <v>1209</v>
      </c>
      <c r="F238" s="78">
        <v>107332</v>
      </c>
      <c r="G238" s="78" t="s">
        <v>1182</v>
      </c>
    </row>
    <row r="239" spans="1:7" x14ac:dyDescent="0.25">
      <c r="A239" s="5" t="s">
        <v>902</v>
      </c>
      <c r="B239" s="78">
        <f t="shared" si="3"/>
        <v>107.83775999999999</v>
      </c>
      <c r="C239" s="78" t="s">
        <v>1140</v>
      </c>
      <c r="D239" s="7" t="s">
        <v>429</v>
      </c>
      <c r="E239" s="88" t="s">
        <v>1209</v>
      </c>
      <c r="F239" s="78">
        <v>107837.75999999999</v>
      </c>
      <c r="G239" s="78" t="s">
        <v>1183</v>
      </c>
    </row>
    <row r="240" spans="1:7" x14ac:dyDescent="0.25">
      <c r="A240" s="5" t="s">
        <v>902</v>
      </c>
      <c r="B240" s="78">
        <f t="shared" si="3"/>
        <v>108.33121000000001</v>
      </c>
      <c r="C240" s="78" t="s">
        <v>1141</v>
      </c>
      <c r="D240" s="7" t="s">
        <v>427</v>
      </c>
      <c r="E240" s="88" t="s">
        <v>1209</v>
      </c>
      <c r="F240" s="78">
        <v>108331.21</v>
      </c>
      <c r="G240" s="78" t="s">
        <v>1182</v>
      </c>
    </row>
    <row r="241" spans="1:7" x14ac:dyDescent="0.25">
      <c r="A241" s="5" t="s">
        <v>902</v>
      </c>
      <c r="B241" s="78">
        <f t="shared" si="3"/>
        <v>108.71</v>
      </c>
      <c r="C241" s="78" t="s">
        <v>1142</v>
      </c>
      <c r="D241" s="7" t="s">
        <v>425</v>
      </c>
      <c r="E241" s="88" t="s">
        <v>1209</v>
      </c>
      <c r="F241" s="78">
        <v>108710</v>
      </c>
      <c r="G241" s="78" t="s">
        <v>1182</v>
      </c>
    </row>
    <row r="242" spans="1:7" x14ac:dyDescent="0.25">
      <c r="A242" s="5" t="s">
        <v>902</v>
      </c>
      <c r="B242" s="78">
        <f t="shared" si="3"/>
        <v>109.117</v>
      </c>
      <c r="C242" s="78" t="s">
        <v>1143</v>
      </c>
      <c r="D242" s="7" t="s">
        <v>423</v>
      </c>
      <c r="E242" s="88" t="s">
        <v>1209</v>
      </c>
      <c r="F242" s="78">
        <v>109117</v>
      </c>
      <c r="G242" s="78" t="s">
        <v>1182</v>
      </c>
    </row>
    <row r="243" spans="1:7" x14ac:dyDescent="0.25">
      <c r="A243" s="5" t="s">
        <v>902</v>
      </c>
      <c r="B243" s="78">
        <f t="shared" si="3"/>
        <v>109.50700000000001</v>
      </c>
      <c r="C243" s="78" t="s">
        <v>1144</v>
      </c>
      <c r="D243" s="7" t="s">
        <v>421</v>
      </c>
      <c r="E243" s="88" t="s">
        <v>1209</v>
      </c>
      <c r="F243" s="78">
        <v>109507</v>
      </c>
      <c r="G243" s="78" t="s">
        <v>1182</v>
      </c>
    </row>
    <row r="244" spans="1:7" x14ac:dyDescent="0.25">
      <c r="A244" s="5" t="s">
        <v>902</v>
      </c>
      <c r="B244" s="78">
        <f t="shared" si="3"/>
        <v>110.023</v>
      </c>
      <c r="C244" s="78" t="s">
        <v>1145</v>
      </c>
      <c r="D244" s="7" t="s">
        <v>419</v>
      </c>
      <c r="E244" s="88" t="s">
        <v>1209</v>
      </c>
      <c r="F244" s="78">
        <v>110023</v>
      </c>
      <c r="G244" s="78" t="s">
        <v>1182</v>
      </c>
    </row>
    <row r="245" spans="1:7" x14ac:dyDescent="0.25">
      <c r="A245" s="5" t="s">
        <v>902</v>
      </c>
      <c r="B245" s="78">
        <f t="shared" si="3"/>
        <v>110.464</v>
      </c>
      <c r="C245" s="78" t="s">
        <v>1146</v>
      </c>
      <c r="D245" s="7" t="s">
        <v>417</v>
      </c>
      <c r="E245" s="88" t="s">
        <v>1209</v>
      </c>
      <c r="F245" s="78">
        <v>110464</v>
      </c>
      <c r="G245" s="78" t="s">
        <v>1182</v>
      </c>
    </row>
    <row r="246" spans="1:7" x14ac:dyDescent="0.25">
      <c r="A246" s="5" t="s">
        <v>902</v>
      </c>
      <c r="B246" s="78">
        <f t="shared" si="3"/>
        <v>110.911</v>
      </c>
      <c r="C246" s="78" t="s">
        <v>1147</v>
      </c>
      <c r="D246" s="7" t="s">
        <v>415</v>
      </c>
      <c r="E246" s="88" t="s">
        <v>1209</v>
      </c>
      <c r="F246" s="78">
        <v>110911</v>
      </c>
      <c r="G246" s="78" t="s">
        <v>1182</v>
      </c>
    </row>
    <row r="247" spans="1:7" x14ac:dyDescent="0.25">
      <c r="A247" s="5" t="s">
        <v>902</v>
      </c>
      <c r="B247" s="78">
        <f t="shared" si="3"/>
        <v>111.45636999999999</v>
      </c>
      <c r="C247" s="78" t="s">
        <v>1148</v>
      </c>
      <c r="D247" s="7" t="s">
        <v>413</v>
      </c>
      <c r="E247" s="88" t="s">
        <v>1209</v>
      </c>
      <c r="F247" s="78">
        <v>111456.37</v>
      </c>
      <c r="G247" s="78" t="s">
        <v>1182</v>
      </c>
    </row>
    <row r="248" spans="1:7" x14ac:dyDescent="0.25">
      <c r="A248" s="5" t="s">
        <v>902</v>
      </c>
      <c r="B248" s="78">
        <f t="shared" si="3"/>
        <v>111.85122</v>
      </c>
      <c r="C248" s="78" t="s">
        <v>1149</v>
      </c>
      <c r="D248" s="7" t="s">
        <v>411</v>
      </c>
      <c r="E248" s="88" t="s">
        <v>1209</v>
      </c>
      <c r="F248" s="78">
        <v>111851.22</v>
      </c>
      <c r="G248" s="78" t="s">
        <v>1182</v>
      </c>
    </row>
    <row r="249" spans="1:7" x14ac:dyDescent="0.25">
      <c r="A249" s="5" t="s">
        <v>902</v>
      </c>
      <c r="B249" s="78">
        <f t="shared" si="3"/>
        <v>112.321</v>
      </c>
      <c r="C249" s="78" t="s">
        <v>1150</v>
      </c>
      <c r="D249" s="7" t="s">
        <v>409</v>
      </c>
      <c r="E249" s="88" t="s">
        <v>1209</v>
      </c>
      <c r="F249" s="78">
        <v>112321</v>
      </c>
      <c r="G249" s="78" t="s">
        <v>1181</v>
      </c>
    </row>
    <row r="250" spans="1:7" x14ac:dyDescent="0.25">
      <c r="A250" s="5" t="s">
        <v>902</v>
      </c>
      <c r="B250" s="78">
        <f t="shared" si="3"/>
        <v>112.80200000000001</v>
      </c>
      <c r="C250" s="78" t="s">
        <v>1151</v>
      </c>
      <c r="D250" s="7" t="s">
        <v>407</v>
      </c>
      <c r="E250" s="88" t="s">
        <v>1209</v>
      </c>
      <c r="F250" s="78">
        <v>112802</v>
      </c>
      <c r="G250" s="78" t="s">
        <v>1182</v>
      </c>
    </row>
    <row r="251" spans="1:7" x14ac:dyDescent="0.25">
      <c r="A251" s="5" t="s">
        <v>902</v>
      </c>
      <c r="B251" s="78">
        <f t="shared" si="3"/>
        <v>113.31657000000001</v>
      </c>
      <c r="C251" s="78" t="s">
        <v>1152</v>
      </c>
      <c r="D251" s="7" t="s">
        <v>405</v>
      </c>
      <c r="E251" s="88" t="s">
        <v>1209</v>
      </c>
      <c r="F251" s="78">
        <v>113316.57</v>
      </c>
      <c r="G251" s="78" t="s">
        <v>1183</v>
      </c>
    </row>
    <row r="252" spans="1:7" x14ac:dyDescent="0.25">
      <c r="A252" s="5" t="s">
        <v>902</v>
      </c>
      <c r="B252" s="78">
        <f t="shared" si="3"/>
        <v>113.76433</v>
      </c>
      <c r="C252" s="78" t="s">
        <v>1153</v>
      </c>
      <c r="D252" s="7" t="s">
        <v>403</v>
      </c>
      <c r="E252" s="88" t="s">
        <v>1209</v>
      </c>
      <c r="F252" s="78">
        <v>113764.33</v>
      </c>
      <c r="G252" s="78" t="s">
        <v>1181</v>
      </c>
    </row>
    <row r="253" spans="1:7" x14ac:dyDescent="0.25">
      <c r="A253" s="5" t="s">
        <v>902</v>
      </c>
      <c r="B253" s="78">
        <f t="shared" si="3"/>
        <v>114.173</v>
      </c>
      <c r="C253" s="78" t="s">
        <v>1154</v>
      </c>
      <c r="D253" s="7" t="s">
        <v>401</v>
      </c>
      <c r="E253" s="88" t="s">
        <v>1209</v>
      </c>
      <c r="F253" s="78">
        <v>114173</v>
      </c>
      <c r="G253" s="78" t="s">
        <v>1182</v>
      </c>
    </row>
    <row r="254" spans="1:7" x14ac:dyDescent="0.25">
      <c r="A254" s="5" t="s">
        <v>902</v>
      </c>
      <c r="B254" s="78">
        <f t="shared" si="3"/>
        <v>114.54300000000001</v>
      </c>
      <c r="C254" s="78" t="s">
        <v>1155</v>
      </c>
      <c r="D254" s="7" t="s">
        <v>399</v>
      </c>
      <c r="E254" s="88" t="s">
        <v>1209</v>
      </c>
      <c r="F254" s="78">
        <v>114543</v>
      </c>
      <c r="G254" s="78" t="s">
        <v>1182</v>
      </c>
    </row>
    <row r="255" spans="1:7" x14ac:dyDescent="0.25">
      <c r="A255" s="5" t="s">
        <v>902</v>
      </c>
      <c r="B255" s="78">
        <f t="shared" si="3"/>
        <v>114.96</v>
      </c>
      <c r="C255" s="78" t="s">
        <v>1156</v>
      </c>
      <c r="D255" s="7" t="s">
        <v>397</v>
      </c>
      <c r="E255" s="88" t="s">
        <v>1209</v>
      </c>
      <c r="F255" s="78">
        <v>114960</v>
      </c>
      <c r="G255" s="78" t="s">
        <v>1182</v>
      </c>
    </row>
    <row r="256" spans="1:7" x14ac:dyDescent="0.25">
      <c r="A256" s="5" t="s">
        <v>902</v>
      </c>
      <c r="B256" s="78">
        <f t="shared" si="3"/>
        <v>115.30141</v>
      </c>
      <c r="C256" s="78" t="s">
        <v>1157</v>
      </c>
      <c r="D256" s="7" t="s">
        <v>395</v>
      </c>
      <c r="E256" s="88" t="s">
        <v>1209</v>
      </c>
      <c r="F256" s="78">
        <v>115301.41</v>
      </c>
      <c r="G256" s="78" t="s">
        <v>1184</v>
      </c>
    </row>
    <row r="257" spans="1:7" x14ac:dyDescent="0.25">
      <c r="A257" s="5" t="s">
        <v>902</v>
      </c>
      <c r="B257" s="78">
        <f t="shared" si="3"/>
        <v>115.858</v>
      </c>
      <c r="C257" s="78" t="s">
        <v>1158</v>
      </c>
      <c r="D257" s="7" t="s">
        <v>393</v>
      </c>
      <c r="E257" s="88" t="s">
        <v>1209</v>
      </c>
      <c r="F257" s="78">
        <v>115858</v>
      </c>
      <c r="G257" s="78" t="s">
        <v>1182</v>
      </c>
    </row>
    <row r="258" spans="1:7" x14ac:dyDescent="0.25">
      <c r="A258" s="5" t="s">
        <v>902</v>
      </c>
      <c r="B258" s="78">
        <f t="shared" si="3"/>
        <v>116.295</v>
      </c>
      <c r="C258" s="78" t="s">
        <v>1159</v>
      </c>
      <c r="D258" s="7" t="s">
        <v>391</v>
      </c>
      <c r="E258" s="88" t="s">
        <v>1209</v>
      </c>
      <c r="F258" s="78">
        <v>116295</v>
      </c>
      <c r="G258" s="78" t="s">
        <v>1182</v>
      </c>
    </row>
    <row r="259" spans="1:7" x14ac:dyDescent="0.25">
      <c r="A259" s="5" t="s">
        <v>902</v>
      </c>
      <c r="B259" s="78">
        <f t="shared" ref="B259:B271" si="4">F259/1000</f>
        <v>116.82</v>
      </c>
      <c r="C259" s="78" t="s">
        <v>1160</v>
      </c>
      <c r="D259" s="7" t="s">
        <v>389</v>
      </c>
      <c r="E259" s="88" t="s">
        <v>1209</v>
      </c>
      <c r="F259" s="78">
        <v>116820</v>
      </c>
      <c r="G259" s="78" t="s">
        <v>1182</v>
      </c>
    </row>
    <row r="260" spans="1:7" x14ac:dyDescent="0.25">
      <c r="A260" s="5" t="s">
        <v>902</v>
      </c>
      <c r="B260" s="78">
        <f t="shared" si="4"/>
        <v>117.25</v>
      </c>
      <c r="C260" s="78" t="s">
        <v>1161</v>
      </c>
      <c r="D260" s="7" t="s">
        <v>387</v>
      </c>
      <c r="E260" s="88" t="s">
        <v>1209</v>
      </c>
      <c r="F260" s="78">
        <v>117250</v>
      </c>
      <c r="G260" s="78" t="s">
        <v>1181</v>
      </c>
    </row>
    <row r="261" spans="1:7" x14ac:dyDescent="0.25">
      <c r="A261" s="5" t="s">
        <v>902</v>
      </c>
      <c r="B261" s="78">
        <f t="shared" si="4"/>
        <v>117.754</v>
      </c>
      <c r="C261" s="78" t="s">
        <v>1162</v>
      </c>
      <c r="D261" s="7" t="s">
        <v>385</v>
      </c>
      <c r="E261" s="88" t="s">
        <v>1209</v>
      </c>
      <c r="F261" s="78">
        <v>117754</v>
      </c>
      <c r="G261" s="78" t="s">
        <v>1183</v>
      </c>
    </row>
    <row r="262" spans="1:7" x14ac:dyDescent="0.25">
      <c r="A262" s="5" t="s">
        <v>902</v>
      </c>
      <c r="B262" s="78">
        <f t="shared" si="4"/>
        <v>118.20441000000001</v>
      </c>
      <c r="C262" s="78" t="s">
        <v>1163</v>
      </c>
      <c r="D262" s="7" t="s">
        <v>383</v>
      </c>
      <c r="E262" s="88" t="s">
        <v>1209</v>
      </c>
      <c r="F262" s="78">
        <v>118204.41</v>
      </c>
      <c r="G262" s="78" t="s">
        <v>1182</v>
      </c>
    </row>
    <row r="263" spans="1:7" x14ac:dyDescent="0.25">
      <c r="A263" s="5" t="s">
        <v>902</v>
      </c>
      <c r="B263" s="78">
        <f t="shared" si="4"/>
        <v>118.69199999999999</v>
      </c>
      <c r="C263" s="78" t="s">
        <v>1164</v>
      </c>
      <c r="D263" s="7" t="s">
        <v>381</v>
      </c>
      <c r="E263" s="88" t="s">
        <v>1209</v>
      </c>
      <c r="F263" s="78">
        <v>118692</v>
      </c>
      <c r="G263" s="78" t="s">
        <v>1182</v>
      </c>
    </row>
    <row r="264" spans="1:7" x14ac:dyDescent="0.25">
      <c r="A264" s="5" t="s">
        <v>902</v>
      </c>
      <c r="B264" s="78">
        <f t="shared" si="4"/>
        <v>119.00372999999999</v>
      </c>
      <c r="C264" s="78" t="s">
        <v>1165</v>
      </c>
      <c r="D264" s="7" t="s">
        <v>379</v>
      </c>
      <c r="E264" s="88" t="s">
        <v>1209</v>
      </c>
      <c r="F264" s="78">
        <v>119003.73</v>
      </c>
      <c r="G264" s="78" t="s">
        <v>1182</v>
      </c>
    </row>
    <row r="265" spans="1:7" x14ac:dyDescent="0.25">
      <c r="A265" s="5" t="s">
        <v>902</v>
      </c>
      <c r="B265" s="78">
        <f t="shared" si="4"/>
        <v>119.55</v>
      </c>
      <c r="C265" s="78" t="s">
        <v>1166</v>
      </c>
      <c r="D265" s="7" t="s">
        <v>377</v>
      </c>
      <c r="E265" s="88" t="s">
        <v>1209</v>
      </c>
      <c r="F265" s="78">
        <v>119550</v>
      </c>
      <c r="G265" s="78" t="s">
        <v>1181</v>
      </c>
    </row>
    <row r="266" spans="1:7" x14ac:dyDescent="0.25">
      <c r="A266" s="5" t="s">
        <v>902</v>
      </c>
      <c r="B266" s="78">
        <f t="shared" si="4"/>
        <v>120.002</v>
      </c>
      <c r="C266" s="78" t="s">
        <v>1167</v>
      </c>
      <c r="D266" s="7" t="s">
        <v>375</v>
      </c>
      <c r="E266" s="88" t="s">
        <v>1209</v>
      </c>
      <c r="F266" s="78">
        <v>120002</v>
      </c>
      <c r="G266" s="78" t="s">
        <v>1182</v>
      </c>
    </row>
    <row r="267" spans="1:7" x14ac:dyDescent="0.25">
      <c r="A267" s="5" t="s">
        <v>902</v>
      </c>
      <c r="B267" s="78">
        <f t="shared" si="4"/>
        <v>120.41200000000001</v>
      </c>
      <c r="C267" s="78" t="s">
        <v>1168</v>
      </c>
      <c r="D267" s="7" t="s">
        <v>373</v>
      </c>
      <c r="E267" s="88" t="s">
        <v>1209</v>
      </c>
      <c r="F267" s="78">
        <v>120412</v>
      </c>
      <c r="G267" s="78" t="s">
        <v>1182</v>
      </c>
    </row>
    <row r="268" spans="1:7" x14ac:dyDescent="0.25">
      <c r="A268" s="5" t="s">
        <v>902</v>
      </c>
      <c r="B268" s="78">
        <f t="shared" si="4"/>
        <v>120.822</v>
      </c>
      <c r="C268" s="78" t="s">
        <v>1169</v>
      </c>
      <c r="D268" s="7" t="s">
        <v>371</v>
      </c>
      <c r="E268" s="88" t="s">
        <v>1209</v>
      </c>
      <c r="F268" s="78">
        <v>120822</v>
      </c>
      <c r="G268" s="78" t="s">
        <v>1182</v>
      </c>
    </row>
    <row r="269" spans="1:7" x14ac:dyDescent="0.25">
      <c r="A269" s="5" t="s">
        <v>902</v>
      </c>
      <c r="B269" s="78">
        <f t="shared" si="4"/>
        <v>121.18557000000001</v>
      </c>
      <c r="C269" s="78" t="s">
        <v>1170</v>
      </c>
      <c r="D269" s="7" t="s">
        <v>369</v>
      </c>
      <c r="E269" s="88" t="s">
        <v>1209</v>
      </c>
      <c r="F269" s="78">
        <v>121185.57</v>
      </c>
      <c r="G269" s="78" t="s">
        <v>1180</v>
      </c>
    </row>
    <row r="270" spans="1:7" x14ac:dyDescent="0.25">
      <c r="A270" s="5" t="s">
        <v>902</v>
      </c>
      <c r="B270" s="78">
        <f t="shared" si="4"/>
        <v>121.435</v>
      </c>
      <c r="C270" s="78" t="s">
        <v>1171</v>
      </c>
      <c r="D270" s="7" t="s">
        <v>367</v>
      </c>
      <c r="E270" s="88" t="s">
        <v>1209</v>
      </c>
      <c r="F270" s="78">
        <v>121435</v>
      </c>
      <c r="G270" s="78" t="s">
        <v>1182</v>
      </c>
    </row>
    <row r="271" spans="1:7" x14ac:dyDescent="0.25">
      <c r="A271" s="5" t="s">
        <v>902</v>
      </c>
      <c r="B271" s="78">
        <f t="shared" si="4"/>
        <v>121.89729</v>
      </c>
      <c r="C271" s="78" t="s">
        <v>1172</v>
      </c>
      <c r="D271" s="7" t="s">
        <v>365</v>
      </c>
      <c r="E271" s="88" t="s">
        <v>1209</v>
      </c>
      <c r="F271" s="78">
        <v>121897.29</v>
      </c>
      <c r="G271" s="78" t="s">
        <v>1180</v>
      </c>
    </row>
  </sheetData>
  <dataValidations count="3">
    <dataValidation type="textLength" allowBlank="1" showInputMessage="1" showErrorMessage="1" sqref="IP1:IQ1 SL1:SM1 ACH1:ACI1 AMD1:AME1 AVZ1:AWA1 BFV1:BFW1 BPR1:BPS1 BZN1:BZO1 CJJ1:CJK1 CTF1:CTG1 DDB1:DDC1 DMX1:DMY1 DWT1:DWU1 EGP1:EGQ1 EQL1:EQM1 FAH1:FAI1 FKD1:FKE1 FTZ1:FUA1 GDV1:GDW1 GNR1:GNS1 GXN1:GXO1 HHJ1:HHK1 HRF1:HRG1 IBB1:IBC1 IKX1:IKY1 IUT1:IUU1 JEP1:JEQ1 JOL1:JOM1 JYH1:JYI1 KID1:KIE1 KRZ1:KSA1 LBV1:LBW1 LLR1:LLS1 LVN1:LVO1 MFJ1:MFK1 MPF1:MPG1 MZB1:MZC1 NIX1:NIY1 NST1:NSU1 OCP1:OCQ1 OML1:OMM1 OWH1:OWI1 PGD1:PGE1 PPZ1:PQA1 PZV1:PZW1 QJR1:QJS1 QTN1:QTO1 RDJ1:RDK1 RNF1:RNG1 RXB1:RXC1 SGX1:SGY1 SQT1:SQU1 TAP1:TAQ1 TKL1:TKM1 TUH1:TUI1 UED1:UEE1 UNZ1:UOA1 UXV1:UXW1 VHR1:VHS1 VRN1:VRO1 WBJ1:WBK1 WLF1:WLG1 WVB1:WVC1 IP65290:IQ65290 SL65290:SM65290 ACH65290:ACI65290 AMD65290:AME65290 AVZ65290:AWA65290 BFV65290:BFW65290 BPR65290:BPS65290 BZN65290:BZO65290 CJJ65290:CJK65290 CTF65290:CTG65290 DDB65290:DDC65290 DMX65290:DMY65290 DWT65290:DWU65290 EGP65290:EGQ65290 EQL65290:EQM65290 FAH65290:FAI65290 FKD65290:FKE65290 FTZ65290:FUA65290 GDV65290:GDW65290 GNR65290:GNS65290 GXN65290:GXO65290 HHJ65290:HHK65290 HRF65290:HRG65290 IBB65290:IBC65290 IKX65290:IKY65290 IUT65290:IUU65290 JEP65290:JEQ65290 JOL65290:JOM65290 JYH65290:JYI65290 KID65290:KIE65290 KRZ65290:KSA65290 LBV65290:LBW65290 LLR65290:LLS65290 LVN65290:LVO65290 MFJ65290:MFK65290 MPF65290:MPG65290 MZB65290:MZC65290 NIX65290:NIY65290 NST65290:NSU65290 OCP65290:OCQ65290 OML65290:OMM65290 OWH65290:OWI65290 PGD65290:PGE65290 PPZ65290:PQA65290 PZV65290:PZW65290 QJR65290:QJS65290 QTN65290:QTO65290 RDJ65290:RDK65290 RNF65290:RNG65290 RXB65290:RXC65290 SGX65290:SGY65290 SQT65290:SQU65290 TAP65290:TAQ65290 TKL65290:TKM65290 TUH65290:TUI65290 UED65290:UEE65290 UNZ65290:UOA65290 UXV65290:UXW65290 VHR65290:VHS65290 VRN65290:VRO65290 WBJ65290:WBK65290 WLF65290:WLG65290 WVB65290:WVC65290 IP130826:IQ130826 SL130826:SM130826 ACH130826:ACI130826 AMD130826:AME130826 AVZ130826:AWA130826 BFV130826:BFW130826 BPR130826:BPS130826 BZN130826:BZO130826 CJJ130826:CJK130826 CTF130826:CTG130826 DDB130826:DDC130826 DMX130826:DMY130826 DWT130826:DWU130826 EGP130826:EGQ130826 EQL130826:EQM130826 FAH130826:FAI130826 FKD130826:FKE130826 FTZ130826:FUA130826 GDV130826:GDW130826 GNR130826:GNS130826 GXN130826:GXO130826 HHJ130826:HHK130826 HRF130826:HRG130826 IBB130826:IBC130826 IKX130826:IKY130826 IUT130826:IUU130826 JEP130826:JEQ130826 JOL130826:JOM130826 JYH130826:JYI130826 KID130826:KIE130826 KRZ130826:KSA130826 LBV130826:LBW130826 LLR130826:LLS130826 LVN130826:LVO130826 MFJ130826:MFK130826 MPF130826:MPG130826 MZB130826:MZC130826 NIX130826:NIY130826 NST130826:NSU130826 OCP130826:OCQ130826 OML130826:OMM130826 OWH130826:OWI130826 PGD130826:PGE130826 PPZ130826:PQA130826 PZV130826:PZW130826 QJR130826:QJS130826 QTN130826:QTO130826 RDJ130826:RDK130826 RNF130826:RNG130826 RXB130826:RXC130826 SGX130826:SGY130826 SQT130826:SQU130826 TAP130826:TAQ130826 TKL130826:TKM130826 TUH130826:TUI130826 UED130826:UEE130826 UNZ130826:UOA130826 UXV130826:UXW130826 VHR130826:VHS130826 VRN130826:VRO130826 WBJ130826:WBK130826 WLF130826:WLG130826 WVB130826:WVC130826 IP196362:IQ196362 SL196362:SM196362 ACH196362:ACI196362 AMD196362:AME196362 AVZ196362:AWA196362 BFV196362:BFW196362 BPR196362:BPS196362 BZN196362:BZO196362 CJJ196362:CJK196362 CTF196362:CTG196362 DDB196362:DDC196362 DMX196362:DMY196362 DWT196362:DWU196362 EGP196362:EGQ196362 EQL196362:EQM196362 FAH196362:FAI196362 FKD196362:FKE196362 FTZ196362:FUA196362 GDV196362:GDW196362 GNR196362:GNS196362 GXN196362:GXO196362 HHJ196362:HHK196362 HRF196362:HRG196362 IBB196362:IBC196362 IKX196362:IKY196362 IUT196362:IUU196362 JEP196362:JEQ196362 JOL196362:JOM196362 JYH196362:JYI196362 KID196362:KIE196362 KRZ196362:KSA196362 LBV196362:LBW196362 LLR196362:LLS196362 LVN196362:LVO196362 MFJ196362:MFK196362 MPF196362:MPG196362 MZB196362:MZC196362 NIX196362:NIY196362 NST196362:NSU196362 OCP196362:OCQ196362 OML196362:OMM196362 OWH196362:OWI196362 PGD196362:PGE196362 PPZ196362:PQA196362 PZV196362:PZW196362 QJR196362:QJS196362 QTN196362:QTO196362 RDJ196362:RDK196362 RNF196362:RNG196362 RXB196362:RXC196362 SGX196362:SGY196362 SQT196362:SQU196362 TAP196362:TAQ196362 TKL196362:TKM196362 TUH196362:TUI196362 UED196362:UEE196362 UNZ196362:UOA196362 UXV196362:UXW196362 VHR196362:VHS196362 VRN196362:VRO196362 WBJ196362:WBK196362 WLF196362:WLG196362 WVB196362:WVC196362 IP261898:IQ261898 SL261898:SM261898 ACH261898:ACI261898 AMD261898:AME261898 AVZ261898:AWA261898 BFV261898:BFW261898 BPR261898:BPS261898 BZN261898:BZO261898 CJJ261898:CJK261898 CTF261898:CTG261898 DDB261898:DDC261898 DMX261898:DMY261898 DWT261898:DWU261898 EGP261898:EGQ261898 EQL261898:EQM261898 FAH261898:FAI261898 FKD261898:FKE261898 FTZ261898:FUA261898 GDV261898:GDW261898 GNR261898:GNS261898 GXN261898:GXO261898 HHJ261898:HHK261898 HRF261898:HRG261898 IBB261898:IBC261898 IKX261898:IKY261898 IUT261898:IUU261898 JEP261898:JEQ261898 JOL261898:JOM261898 JYH261898:JYI261898 KID261898:KIE261898 KRZ261898:KSA261898 LBV261898:LBW261898 LLR261898:LLS261898 LVN261898:LVO261898 MFJ261898:MFK261898 MPF261898:MPG261898 MZB261898:MZC261898 NIX261898:NIY261898 NST261898:NSU261898 OCP261898:OCQ261898 OML261898:OMM261898 OWH261898:OWI261898 PGD261898:PGE261898 PPZ261898:PQA261898 PZV261898:PZW261898 QJR261898:QJS261898 QTN261898:QTO261898 RDJ261898:RDK261898 RNF261898:RNG261898 RXB261898:RXC261898 SGX261898:SGY261898 SQT261898:SQU261898 TAP261898:TAQ261898 TKL261898:TKM261898 TUH261898:TUI261898 UED261898:UEE261898 UNZ261898:UOA261898 UXV261898:UXW261898 VHR261898:VHS261898 VRN261898:VRO261898 WBJ261898:WBK261898 WLF261898:WLG261898 WVB261898:WVC261898 IP327434:IQ327434 SL327434:SM327434 ACH327434:ACI327434 AMD327434:AME327434 AVZ327434:AWA327434 BFV327434:BFW327434 BPR327434:BPS327434 BZN327434:BZO327434 CJJ327434:CJK327434 CTF327434:CTG327434 DDB327434:DDC327434 DMX327434:DMY327434 DWT327434:DWU327434 EGP327434:EGQ327434 EQL327434:EQM327434 FAH327434:FAI327434 FKD327434:FKE327434 FTZ327434:FUA327434 GDV327434:GDW327434 GNR327434:GNS327434 GXN327434:GXO327434 HHJ327434:HHK327434 HRF327434:HRG327434 IBB327434:IBC327434 IKX327434:IKY327434 IUT327434:IUU327434 JEP327434:JEQ327434 JOL327434:JOM327434 JYH327434:JYI327434 KID327434:KIE327434 KRZ327434:KSA327434 LBV327434:LBW327434 LLR327434:LLS327434 LVN327434:LVO327434 MFJ327434:MFK327434 MPF327434:MPG327434 MZB327434:MZC327434 NIX327434:NIY327434 NST327434:NSU327434 OCP327434:OCQ327434 OML327434:OMM327434 OWH327434:OWI327434 PGD327434:PGE327434 PPZ327434:PQA327434 PZV327434:PZW327434 QJR327434:QJS327434 QTN327434:QTO327434 RDJ327434:RDK327434 RNF327434:RNG327434 RXB327434:RXC327434 SGX327434:SGY327434 SQT327434:SQU327434 TAP327434:TAQ327434 TKL327434:TKM327434 TUH327434:TUI327434 UED327434:UEE327434 UNZ327434:UOA327434 UXV327434:UXW327434 VHR327434:VHS327434 VRN327434:VRO327434 WBJ327434:WBK327434 WLF327434:WLG327434 WVB327434:WVC327434 IP392970:IQ392970 SL392970:SM392970 ACH392970:ACI392970 AMD392970:AME392970 AVZ392970:AWA392970 BFV392970:BFW392970 BPR392970:BPS392970 BZN392970:BZO392970 CJJ392970:CJK392970 CTF392970:CTG392970 DDB392970:DDC392970 DMX392970:DMY392970 DWT392970:DWU392970 EGP392970:EGQ392970 EQL392970:EQM392970 FAH392970:FAI392970 FKD392970:FKE392970 FTZ392970:FUA392970 GDV392970:GDW392970 GNR392970:GNS392970 GXN392970:GXO392970 HHJ392970:HHK392970 HRF392970:HRG392970 IBB392970:IBC392970 IKX392970:IKY392970 IUT392970:IUU392970 JEP392970:JEQ392970 JOL392970:JOM392970 JYH392970:JYI392970 KID392970:KIE392970 KRZ392970:KSA392970 LBV392970:LBW392970 LLR392970:LLS392970 LVN392970:LVO392970 MFJ392970:MFK392970 MPF392970:MPG392970 MZB392970:MZC392970 NIX392970:NIY392970 NST392970:NSU392970 OCP392970:OCQ392970 OML392970:OMM392970 OWH392970:OWI392970 PGD392970:PGE392970 PPZ392970:PQA392970 PZV392970:PZW392970 QJR392970:QJS392970 QTN392970:QTO392970 RDJ392970:RDK392970 RNF392970:RNG392970 RXB392970:RXC392970 SGX392970:SGY392970 SQT392970:SQU392970 TAP392970:TAQ392970 TKL392970:TKM392970 TUH392970:TUI392970 UED392970:UEE392970 UNZ392970:UOA392970 UXV392970:UXW392970 VHR392970:VHS392970 VRN392970:VRO392970 WBJ392970:WBK392970 WLF392970:WLG392970 WVB392970:WVC392970 IP458506:IQ458506 SL458506:SM458506 ACH458506:ACI458506 AMD458506:AME458506 AVZ458506:AWA458506 BFV458506:BFW458506 BPR458506:BPS458506 BZN458506:BZO458506 CJJ458506:CJK458506 CTF458506:CTG458506 DDB458506:DDC458506 DMX458506:DMY458506 DWT458506:DWU458506 EGP458506:EGQ458506 EQL458506:EQM458506 FAH458506:FAI458506 FKD458506:FKE458506 FTZ458506:FUA458506 GDV458506:GDW458506 GNR458506:GNS458506 GXN458506:GXO458506 HHJ458506:HHK458506 HRF458506:HRG458506 IBB458506:IBC458506 IKX458506:IKY458506 IUT458506:IUU458506 JEP458506:JEQ458506 JOL458506:JOM458506 JYH458506:JYI458506 KID458506:KIE458506 KRZ458506:KSA458506 LBV458506:LBW458506 LLR458506:LLS458506 LVN458506:LVO458506 MFJ458506:MFK458506 MPF458506:MPG458506 MZB458506:MZC458506 NIX458506:NIY458506 NST458506:NSU458506 OCP458506:OCQ458506 OML458506:OMM458506 OWH458506:OWI458506 PGD458506:PGE458506 PPZ458506:PQA458506 PZV458506:PZW458506 QJR458506:QJS458506 QTN458506:QTO458506 RDJ458506:RDK458506 RNF458506:RNG458506 RXB458506:RXC458506 SGX458506:SGY458506 SQT458506:SQU458506 TAP458506:TAQ458506 TKL458506:TKM458506 TUH458506:TUI458506 UED458506:UEE458506 UNZ458506:UOA458506 UXV458506:UXW458506 VHR458506:VHS458506 VRN458506:VRO458506 WBJ458506:WBK458506 WLF458506:WLG458506 WVB458506:WVC458506 IP524042:IQ524042 SL524042:SM524042 ACH524042:ACI524042 AMD524042:AME524042 AVZ524042:AWA524042 BFV524042:BFW524042 BPR524042:BPS524042 BZN524042:BZO524042 CJJ524042:CJK524042 CTF524042:CTG524042 DDB524042:DDC524042 DMX524042:DMY524042 DWT524042:DWU524042 EGP524042:EGQ524042 EQL524042:EQM524042 FAH524042:FAI524042 FKD524042:FKE524042 FTZ524042:FUA524042 GDV524042:GDW524042 GNR524042:GNS524042 GXN524042:GXO524042 HHJ524042:HHK524042 HRF524042:HRG524042 IBB524042:IBC524042 IKX524042:IKY524042 IUT524042:IUU524042 JEP524042:JEQ524042 JOL524042:JOM524042 JYH524042:JYI524042 KID524042:KIE524042 KRZ524042:KSA524042 LBV524042:LBW524042 LLR524042:LLS524042 LVN524042:LVO524042 MFJ524042:MFK524042 MPF524042:MPG524042 MZB524042:MZC524042 NIX524042:NIY524042 NST524042:NSU524042 OCP524042:OCQ524042 OML524042:OMM524042 OWH524042:OWI524042 PGD524042:PGE524042 PPZ524042:PQA524042 PZV524042:PZW524042 QJR524042:QJS524042 QTN524042:QTO524042 RDJ524042:RDK524042 RNF524042:RNG524042 RXB524042:RXC524042 SGX524042:SGY524042 SQT524042:SQU524042 TAP524042:TAQ524042 TKL524042:TKM524042 TUH524042:TUI524042 UED524042:UEE524042 UNZ524042:UOA524042 UXV524042:UXW524042 VHR524042:VHS524042 VRN524042:VRO524042 WBJ524042:WBK524042 WLF524042:WLG524042 WVB524042:WVC524042 IP589578:IQ589578 SL589578:SM589578 ACH589578:ACI589578 AMD589578:AME589578 AVZ589578:AWA589578 BFV589578:BFW589578 BPR589578:BPS589578 BZN589578:BZO589578 CJJ589578:CJK589578 CTF589578:CTG589578 DDB589578:DDC589578 DMX589578:DMY589578 DWT589578:DWU589578 EGP589578:EGQ589578 EQL589578:EQM589578 FAH589578:FAI589578 FKD589578:FKE589578 FTZ589578:FUA589578 GDV589578:GDW589578 GNR589578:GNS589578 GXN589578:GXO589578 HHJ589578:HHK589578 HRF589578:HRG589578 IBB589578:IBC589578 IKX589578:IKY589578 IUT589578:IUU589578 JEP589578:JEQ589578 JOL589578:JOM589578 JYH589578:JYI589578 KID589578:KIE589578 KRZ589578:KSA589578 LBV589578:LBW589578 LLR589578:LLS589578 LVN589578:LVO589578 MFJ589578:MFK589578 MPF589578:MPG589578 MZB589578:MZC589578 NIX589578:NIY589578 NST589578:NSU589578 OCP589578:OCQ589578 OML589578:OMM589578 OWH589578:OWI589578 PGD589578:PGE589578 PPZ589578:PQA589578 PZV589578:PZW589578 QJR589578:QJS589578 QTN589578:QTO589578 RDJ589578:RDK589578 RNF589578:RNG589578 RXB589578:RXC589578 SGX589578:SGY589578 SQT589578:SQU589578 TAP589578:TAQ589578 TKL589578:TKM589578 TUH589578:TUI589578 UED589578:UEE589578 UNZ589578:UOA589578 UXV589578:UXW589578 VHR589578:VHS589578 VRN589578:VRO589578 WBJ589578:WBK589578 WLF589578:WLG589578 WVB589578:WVC589578 IP655114:IQ655114 SL655114:SM655114 ACH655114:ACI655114 AMD655114:AME655114 AVZ655114:AWA655114 BFV655114:BFW655114 BPR655114:BPS655114 BZN655114:BZO655114 CJJ655114:CJK655114 CTF655114:CTG655114 DDB655114:DDC655114 DMX655114:DMY655114 DWT655114:DWU655114 EGP655114:EGQ655114 EQL655114:EQM655114 FAH655114:FAI655114 FKD655114:FKE655114 FTZ655114:FUA655114 GDV655114:GDW655114 GNR655114:GNS655114 GXN655114:GXO655114 HHJ655114:HHK655114 HRF655114:HRG655114 IBB655114:IBC655114 IKX655114:IKY655114 IUT655114:IUU655114 JEP655114:JEQ655114 JOL655114:JOM655114 JYH655114:JYI655114 KID655114:KIE655114 KRZ655114:KSA655114 LBV655114:LBW655114 LLR655114:LLS655114 LVN655114:LVO655114 MFJ655114:MFK655114 MPF655114:MPG655114 MZB655114:MZC655114 NIX655114:NIY655114 NST655114:NSU655114 OCP655114:OCQ655114 OML655114:OMM655114 OWH655114:OWI655114 PGD655114:PGE655114 PPZ655114:PQA655114 PZV655114:PZW655114 QJR655114:QJS655114 QTN655114:QTO655114 RDJ655114:RDK655114 RNF655114:RNG655114 RXB655114:RXC655114 SGX655114:SGY655114 SQT655114:SQU655114 TAP655114:TAQ655114 TKL655114:TKM655114 TUH655114:TUI655114 UED655114:UEE655114 UNZ655114:UOA655114 UXV655114:UXW655114 VHR655114:VHS655114 VRN655114:VRO655114 WBJ655114:WBK655114 WLF655114:WLG655114 WVB655114:WVC655114 IP720650:IQ720650 SL720650:SM720650 ACH720650:ACI720650 AMD720650:AME720650 AVZ720650:AWA720650 BFV720650:BFW720650 BPR720650:BPS720650 BZN720650:BZO720650 CJJ720650:CJK720650 CTF720650:CTG720650 DDB720650:DDC720650 DMX720650:DMY720650 DWT720650:DWU720650 EGP720650:EGQ720650 EQL720650:EQM720650 FAH720650:FAI720650 FKD720650:FKE720650 FTZ720650:FUA720650 GDV720650:GDW720650 GNR720650:GNS720650 GXN720650:GXO720650 HHJ720650:HHK720650 HRF720650:HRG720650 IBB720650:IBC720650 IKX720650:IKY720650 IUT720650:IUU720650 JEP720650:JEQ720650 JOL720650:JOM720650 JYH720650:JYI720650 KID720650:KIE720650 KRZ720650:KSA720650 LBV720650:LBW720650 LLR720650:LLS720650 LVN720650:LVO720650 MFJ720650:MFK720650 MPF720650:MPG720650 MZB720650:MZC720650 NIX720650:NIY720650 NST720650:NSU720650 OCP720650:OCQ720650 OML720650:OMM720650 OWH720650:OWI720650 PGD720650:PGE720650 PPZ720650:PQA720650 PZV720650:PZW720650 QJR720650:QJS720650 QTN720650:QTO720650 RDJ720650:RDK720650 RNF720650:RNG720650 RXB720650:RXC720650 SGX720650:SGY720650 SQT720650:SQU720650 TAP720650:TAQ720650 TKL720650:TKM720650 TUH720650:TUI720650 UED720650:UEE720650 UNZ720650:UOA720650 UXV720650:UXW720650 VHR720650:VHS720650 VRN720650:VRO720650 WBJ720650:WBK720650 WLF720650:WLG720650 WVB720650:WVC720650 IP786186:IQ786186 SL786186:SM786186 ACH786186:ACI786186 AMD786186:AME786186 AVZ786186:AWA786186 BFV786186:BFW786186 BPR786186:BPS786186 BZN786186:BZO786186 CJJ786186:CJK786186 CTF786186:CTG786186 DDB786186:DDC786186 DMX786186:DMY786186 DWT786186:DWU786186 EGP786186:EGQ786186 EQL786186:EQM786186 FAH786186:FAI786186 FKD786186:FKE786186 FTZ786186:FUA786186 GDV786186:GDW786186 GNR786186:GNS786186 GXN786186:GXO786186 HHJ786186:HHK786186 HRF786186:HRG786186 IBB786186:IBC786186 IKX786186:IKY786186 IUT786186:IUU786186 JEP786186:JEQ786186 JOL786186:JOM786186 JYH786186:JYI786186 KID786186:KIE786186 KRZ786186:KSA786186 LBV786186:LBW786186 LLR786186:LLS786186 LVN786186:LVO786186 MFJ786186:MFK786186 MPF786186:MPG786186 MZB786186:MZC786186 NIX786186:NIY786186 NST786186:NSU786186 OCP786186:OCQ786186 OML786186:OMM786186 OWH786186:OWI786186 PGD786186:PGE786186 PPZ786186:PQA786186 PZV786186:PZW786186 QJR786186:QJS786186 QTN786186:QTO786186 RDJ786186:RDK786186 RNF786186:RNG786186 RXB786186:RXC786186 SGX786186:SGY786186 SQT786186:SQU786186 TAP786186:TAQ786186 TKL786186:TKM786186 TUH786186:TUI786186 UED786186:UEE786186 UNZ786186:UOA786186 UXV786186:UXW786186 VHR786186:VHS786186 VRN786186:VRO786186 WBJ786186:WBK786186 WLF786186:WLG786186 WVB786186:WVC786186 IP851722:IQ851722 SL851722:SM851722 ACH851722:ACI851722 AMD851722:AME851722 AVZ851722:AWA851722 BFV851722:BFW851722 BPR851722:BPS851722 BZN851722:BZO851722 CJJ851722:CJK851722 CTF851722:CTG851722 DDB851722:DDC851722 DMX851722:DMY851722 DWT851722:DWU851722 EGP851722:EGQ851722 EQL851722:EQM851722 FAH851722:FAI851722 FKD851722:FKE851722 FTZ851722:FUA851722 GDV851722:GDW851722 GNR851722:GNS851722 GXN851722:GXO851722 HHJ851722:HHK851722 HRF851722:HRG851722 IBB851722:IBC851722 IKX851722:IKY851722 IUT851722:IUU851722 JEP851722:JEQ851722 JOL851722:JOM851722 JYH851722:JYI851722 KID851722:KIE851722 KRZ851722:KSA851722 LBV851722:LBW851722 LLR851722:LLS851722 LVN851722:LVO851722 MFJ851722:MFK851722 MPF851722:MPG851722 MZB851722:MZC851722 NIX851722:NIY851722 NST851722:NSU851722 OCP851722:OCQ851722 OML851722:OMM851722 OWH851722:OWI851722 PGD851722:PGE851722 PPZ851722:PQA851722 PZV851722:PZW851722 QJR851722:QJS851722 QTN851722:QTO851722 RDJ851722:RDK851722 RNF851722:RNG851722 RXB851722:RXC851722 SGX851722:SGY851722 SQT851722:SQU851722 TAP851722:TAQ851722 TKL851722:TKM851722 TUH851722:TUI851722 UED851722:UEE851722 UNZ851722:UOA851722 UXV851722:UXW851722 VHR851722:VHS851722 VRN851722:VRO851722 WBJ851722:WBK851722 WLF851722:WLG851722 WVB851722:WVC851722 IP917258:IQ917258 SL917258:SM917258 ACH917258:ACI917258 AMD917258:AME917258 AVZ917258:AWA917258 BFV917258:BFW917258 BPR917258:BPS917258 BZN917258:BZO917258 CJJ917258:CJK917258 CTF917258:CTG917258 DDB917258:DDC917258 DMX917258:DMY917258 DWT917258:DWU917258 EGP917258:EGQ917258 EQL917258:EQM917258 FAH917258:FAI917258 FKD917258:FKE917258 FTZ917258:FUA917258 GDV917258:GDW917258 GNR917258:GNS917258 GXN917258:GXO917258 HHJ917258:HHK917258 HRF917258:HRG917258 IBB917258:IBC917258 IKX917258:IKY917258 IUT917258:IUU917258 JEP917258:JEQ917258 JOL917258:JOM917258 JYH917258:JYI917258 KID917258:KIE917258 KRZ917258:KSA917258 LBV917258:LBW917258 LLR917258:LLS917258 LVN917258:LVO917258 MFJ917258:MFK917258 MPF917258:MPG917258 MZB917258:MZC917258 NIX917258:NIY917258 NST917258:NSU917258 OCP917258:OCQ917258 OML917258:OMM917258 OWH917258:OWI917258 PGD917258:PGE917258 PPZ917258:PQA917258 PZV917258:PZW917258 QJR917258:QJS917258 QTN917258:QTO917258 RDJ917258:RDK917258 RNF917258:RNG917258 RXB917258:RXC917258 SGX917258:SGY917258 SQT917258:SQU917258 TAP917258:TAQ917258 TKL917258:TKM917258 TUH917258:TUI917258 UED917258:UEE917258 UNZ917258:UOA917258 UXV917258:UXW917258 VHR917258:VHS917258 VRN917258:VRO917258 WBJ917258:WBK917258 WLF917258:WLG917258 WVB917258:WVC917258 IP982794:IQ982794 SL982794:SM982794 ACH982794:ACI982794 AMD982794:AME982794 AVZ982794:AWA982794 BFV982794:BFW982794 BPR982794:BPS982794 BZN982794:BZO982794 CJJ982794:CJK982794 CTF982794:CTG982794 DDB982794:DDC982794 DMX982794:DMY982794 DWT982794:DWU982794 EGP982794:EGQ982794 EQL982794:EQM982794 FAH982794:FAI982794 FKD982794:FKE982794 FTZ982794:FUA982794 GDV982794:GDW982794 GNR982794:GNS982794 GXN982794:GXO982794 HHJ982794:HHK982794 HRF982794:HRG982794 IBB982794:IBC982794 IKX982794:IKY982794 IUT982794:IUU982794 JEP982794:JEQ982794 JOL982794:JOM982794 JYH982794:JYI982794 KID982794:KIE982794 KRZ982794:KSA982794 LBV982794:LBW982794 LLR982794:LLS982794 LVN982794:LVO982794 MFJ982794:MFK982794 MPF982794:MPG982794 MZB982794:MZC982794 NIX982794:NIY982794 NST982794:NSU982794 OCP982794:OCQ982794 OML982794:OMM982794 OWH982794:OWI982794 PGD982794:PGE982794 PPZ982794:PQA982794 PZV982794:PZW982794 QJR982794:QJS982794 QTN982794:QTO982794 RDJ982794:RDK982794 RNF982794:RNG982794 RXB982794:RXC982794 SGX982794:SGY982794 SQT982794:SQU982794 TAP982794:TAQ982794 TKL982794:TKM982794 TUH982794:TUI982794 UED982794:UEE982794 UNZ982794:UOA982794 UXV982794:UXW982794 VHR982794:VHS982794 VRN982794:VRO982794 WBJ982794:WBK982794 WLF982794:WLG982794 WVB982794:WVC982794" xr:uid="{E95B8FCD-FD95-4E64-9734-E31AE9B5F08A}">
      <formula1>0</formula1>
      <formula2>50</formula2>
    </dataValidation>
    <dataValidation type="textLength" allowBlank="1" showInputMessage="1" showErrorMessage="1" sqref="WUT982794:WUU982794 IH1:II1 SD1:SE1 ABZ1:ACA1 ALV1:ALW1 AVR1:AVS1 BFN1:BFO1 BPJ1:BPK1 BZF1:BZG1 CJB1:CJC1 CSX1:CSY1 DCT1:DCU1 DMP1:DMQ1 DWL1:DWM1 EGH1:EGI1 EQD1:EQE1 EZZ1:FAA1 FJV1:FJW1 FTR1:FTS1 GDN1:GDO1 GNJ1:GNK1 GXF1:GXG1 HHB1:HHC1 HQX1:HQY1 IAT1:IAU1 IKP1:IKQ1 IUL1:IUM1 JEH1:JEI1 JOD1:JOE1 JXZ1:JYA1 KHV1:KHW1 KRR1:KRS1 LBN1:LBO1 LLJ1:LLK1 LVF1:LVG1 MFB1:MFC1 MOX1:MOY1 MYT1:MYU1 NIP1:NIQ1 NSL1:NSM1 OCH1:OCI1 OMD1:OME1 OVZ1:OWA1 PFV1:PFW1 PPR1:PPS1 PZN1:PZO1 QJJ1:QJK1 QTF1:QTG1 RDB1:RDC1 RMX1:RMY1 RWT1:RWU1 SGP1:SGQ1 SQL1:SQM1 TAH1:TAI1 TKD1:TKE1 TTZ1:TUA1 UDV1:UDW1 UNR1:UNS1 UXN1:UXO1 VHJ1:VHK1 VRF1:VRG1 WBB1:WBC1 WKX1:WKY1 WUT1:WUU1 A65290:B65290 IH65290:II65290 SD65290:SE65290 ABZ65290:ACA65290 ALV65290:ALW65290 AVR65290:AVS65290 BFN65290:BFO65290 BPJ65290:BPK65290 BZF65290:BZG65290 CJB65290:CJC65290 CSX65290:CSY65290 DCT65290:DCU65290 DMP65290:DMQ65290 DWL65290:DWM65290 EGH65290:EGI65290 EQD65290:EQE65290 EZZ65290:FAA65290 FJV65290:FJW65290 FTR65290:FTS65290 GDN65290:GDO65290 GNJ65290:GNK65290 GXF65290:GXG65290 HHB65290:HHC65290 HQX65290:HQY65290 IAT65290:IAU65290 IKP65290:IKQ65290 IUL65290:IUM65290 JEH65290:JEI65290 JOD65290:JOE65290 JXZ65290:JYA65290 KHV65290:KHW65290 KRR65290:KRS65290 LBN65290:LBO65290 LLJ65290:LLK65290 LVF65290:LVG65290 MFB65290:MFC65290 MOX65290:MOY65290 MYT65290:MYU65290 NIP65290:NIQ65290 NSL65290:NSM65290 OCH65290:OCI65290 OMD65290:OME65290 OVZ65290:OWA65290 PFV65290:PFW65290 PPR65290:PPS65290 PZN65290:PZO65290 QJJ65290:QJK65290 QTF65290:QTG65290 RDB65290:RDC65290 RMX65290:RMY65290 RWT65290:RWU65290 SGP65290:SGQ65290 SQL65290:SQM65290 TAH65290:TAI65290 TKD65290:TKE65290 TTZ65290:TUA65290 UDV65290:UDW65290 UNR65290:UNS65290 UXN65290:UXO65290 VHJ65290:VHK65290 VRF65290:VRG65290 WBB65290:WBC65290 WKX65290:WKY65290 WUT65290:WUU65290 A130826:B130826 IH130826:II130826 SD130826:SE130826 ABZ130826:ACA130826 ALV130826:ALW130826 AVR130826:AVS130826 BFN130826:BFO130826 BPJ130826:BPK130826 BZF130826:BZG130826 CJB130826:CJC130826 CSX130826:CSY130826 DCT130826:DCU130826 DMP130826:DMQ130826 DWL130826:DWM130826 EGH130826:EGI130826 EQD130826:EQE130826 EZZ130826:FAA130826 FJV130826:FJW130826 FTR130826:FTS130826 GDN130826:GDO130826 GNJ130826:GNK130826 GXF130826:GXG130826 HHB130826:HHC130826 HQX130826:HQY130826 IAT130826:IAU130826 IKP130826:IKQ130826 IUL130826:IUM130826 JEH130826:JEI130826 JOD130826:JOE130826 JXZ130826:JYA130826 KHV130826:KHW130826 KRR130826:KRS130826 LBN130826:LBO130826 LLJ130826:LLK130826 LVF130826:LVG130826 MFB130826:MFC130826 MOX130826:MOY130826 MYT130826:MYU130826 NIP130826:NIQ130826 NSL130826:NSM130826 OCH130826:OCI130826 OMD130826:OME130826 OVZ130826:OWA130826 PFV130826:PFW130826 PPR130826:PPS130826 PZN130826:PZO130826 QJJ130826:QJK130826 QTF130826:QTG130826 RDB130826:RDC130826 RMX130826:RMY130826 RWT130826:RWU130826 SGP130826:SGQ130826 SQL130826:SQM130826 TAH130826:TAI130826 TKD130826:TKE130826 TTZ130826:TUA130826 UDV130826:UDW130826 UNR130826:UNS130826 UXN130826:UXO130826 VHJ130826:VHK130826 VRF130826:VRG130826 WBB130826:WBC130826 WKX130826:WKY130826 WUT130826:WUU130826 A196362:B196362 IH196362:II196362 SD196362:SE196362 ABZ196362:ACA196362 ALV196362:ALW196362 AVR196362:AVS196362 BFN196362:BFO196362 BPJ196362:BPK196362 BZF196362:BZG196362 CJB196362:CJC196362 CSX196362:CSY196362 DCT196362:DCU196362 DMP196362:DMQ196362 DWL196362:DWM196362 EGH196362:EGI196362 EQD196362:EQE196362 EZZ196362:FAA196362 FJV196362:FJW196362 FTR196362:FTS196362 GDN196362:GDO196362 GNJ196362:GNK196362 GXF196362:GXG196362 HHB196362:HHC196362 HQX196362:HQY196362 IAT196362:IAU196362 IKP196362:IKQ196362 IUL196362:IUM196362 JEH196362:JEI196362 JOD196362:JOE196362 JXZ196362:JYA196362 KHV196362:KHW196362 KRR196362:KRS196362 LBN196362:LBO196362 LLJ196362:LLK196362 LVF196362:LVG196362 MFB196362:MFC196362 MOX196362:MOY196362 MYT196362:MYU196362 NIP196362:NIQ196362 NSL196362:NSM196362 OCH196362:OCI196362 OMD196362:OME196362 OVZ196362:OWA196362 PFV196362:PFW196362 PPR196362:PPS196362 PZN196362:PZO196362 QJJ196362:QJK196362 QTF196362:QTG196362 RDB196362:RDC196362 RMX196362:RMY196362 RWT196362:RWU196362 SGP196362:SGQ196362 SQL196362:SQM196362 TAH196362:TAI196362 TKD196362:TKE196362 TTZ196362:TUA196362 UDV196362:UDW196362 UNR196362:UNS196362 UXN196362:UXO196362 VHJ196362:VHK196362 VRF196362:VRG196362 WBB196362:WBC196362 WKX196362:WKY196362 WUT196362:WUU196362 A261898:B261898 IH261898:II261898 SD261898:SE261898 ABZ261898:ACA261898 ALV261898:ALW261898 AVR261898:AVS261898 BFN261898:BFO261898 BPJ261898:BPK261898 BZF261898:BZG261898 CJB261898:CJC261898 CSX261898:CSY261898 DCT261898:DCU261898 DMP261898:DMQ261898 DWL261898:DWM261898 EGH261898:EGI261898 EQD261898:EQE261898 EZZ261898:FAA261898 FJV261898:FJW261898 FTR261898:FTS261898 GDN261898:GDO261898 GNJ261898:GNK261898 GXF261898:GXG261898 HHB261898:HHC261898 HQX261898:HQY261898 IAT261898:IAU261898 IKP261898:IKQ261898 IUL261898:IUM261898 JEH261898:JEI261898 JOD261898:JOE261898 JXZ261898:JYA261898 KHV261898:KHW261898 KRR261898:KRS261898 LBN261898:LBO261898 LLJ261898:LLK261898 LVF261898:LVG261898 MFB261898:MFC261898 MOX261898:MOY261898 MYT261898:MYU261898 NIP261898:NIQ261898 NSL261898:NSM261898 OCH261898:OCI261898 OMD261898:OME261898 OVZ261898:OWA261898 PFV261898:PFW261898 PPR261898:PPS261898 PZN261898:PZO261898 QJJ261898:QJK261898 QTF261898:QTG261898 RDB261898:RDC261898 RMX261898:RMY261898 RWT261898:RWU261898 SGP261898:SGQ261898 SQL261898:SQM261898 TAH261898:TAI261898 TKD261898:TKE261898 TTZ261898:TUA261898 UDV261898:UDW261898 UNR261898:UNS261898 UXN261898:UXO261898 VHJ261898:VHK261898 VRF261898:VRG261898 WBB261898:WBC261898 WKX261898:WKY261898 WUT261898:WUU261898 A327434:B327434 IH327434:II327434 SD327434:SE327434 ABZ327434:ACA327434 ALV327434:ALW327434 AVR327434:AVS327434 BFN327434:BFO327434 BPJ327434:BPK327434 BZF327434:BZG327434 CJB327434:CJC327434 CSX327434:CSY327434 DCT327434:DCU327434 DMP327434:DMQ327434 DWL327434:DWM327434 EGH327434:EGI327434 EQD327434:EQE327434 EZZ327434:FAA327434 FJV327434:FJW327434 FTR327434:FTS327434 GDN327434:GDO327434 GNJ327434:GNK327434 GXF327434:GXG327434 HHB327434:HHC327434 HQX327434:HQY327434 IAT327434:IAU327434 IKP327434:IKQ327434 IUL327434:IUM327434 JEH327434:JEI327434 JOD327434:JOE327434 JXZ327434:JYA327434 KHV327434:KHW327434 KRR327434:KRS327434 LBN327434:LBO327434 LLJ327434:LLK327434 LVF327434:LVG327434 MFB327434:MFC327434 MOX327434:MOY327434 MYT327434:MYU327434 NIP327434:NIQ327434 NSL327434:NSM327434 OCH327434:OCI327434 OMD327434:OME327434 OVZ327434:OWA327434 PFV327434:PFW327434 PPR327434:PPS327434 PZN327434:PZO327434 QJJ327434:QJK327434 QTF327434:QTG327434 RDB327434:RDC327434 RMX327434:RMY327434 RWT327434:RWU327434 SGP327434:SGQ327434 SQL327434:SQM327434 TAH327434:TAI327434 TKD327434:TKE327434 TTZ327434:TUA327434 UDV327434:UDW327434 UNR327434:UNS327434 UXN327434:UXO327434 VHJ327434:VHK327434 VRF327434:VRG327434 WBB327434:WBC327434 WKX327434:WKY327434 WUT327434:WUU327434 A392970:B392970 IH392970:II392970 SD392970:SE392970 ABZ392970:ACA392970 ALV392970:ALW392970 AVR392970:AVS392970 BFN392970:BFO392970 BPJ392970:BPK392970 BZF392970:BZG392970 CJB392970:CJC392970 CSX392970:CSY392970 DCT392970:DCU392970 DMP392970:DMQ392970 DWL392970:DWM392970 EGH392970:EGI392970 EQD392970:EQE392970 EZZ392970:FAA392970 FJV392970:FJW392970 FTR392970:FTS392970 GDN392970:GDO392970 GNJ392970:GNK392970 GXF392970:GXG392970 HHB392970:HHC392970 HQX392970:HQY392970 IAT392970:IAU392970 IKP392970:IKQ392970 IUL392970:IUM392970 JEH392970:JEI392970 JOD392970:JOE392970 JXZ392970:JYA392970 KHV392970:KHW392970 KRR392970:KRS392970 LBN392970:LBO392970 LLJ392970:LLK392970 LVF392970:LVG392970 MFB392970:MFC392970 MOX392970:MOY392970 MYT392970:MYU392970 NIP392970:NIQ392970 NSL392970:NSM392970 OCH392970:OCI392970 OMD392970:OME392970 OVZ392970:OWA392970 PFV392970:PFW392970 PPR392970:PPS392970 PZN392970:PZO392970 QJJ392970:QJK392970 QTF392970:QTG392970 RDB392970:RDC392970 RMX392970:RMY392970 RWT392970:RWU392970 SGP392970:SGQ392970 SQL392970:SQM392970 TAH392970:TAI392970 TKD392970:TKE392970 TTZ392970:TUA392970 UDV392970:UDW392970 UNR392970:UNS392970 UXN392970:UXO392970 VHJ392970:VHK392970 VRF392970:VRG392970 WBB392970:WBC392970 WKX392970:WKY392970 WUT392970:WUU392970 A458506:B458506 IH458506:II458506 SD458506:SE458506 ABZ458506:ACA458506 ALV458506:ALW458506 AVR458506:AVS458506 BFN458506:BFO458506 BPJ458506:BPK458506 BZF458506:BZG458506 CJB458506:CJC458506 CSX458506:CSY458506 DCT458506:DCU458506 DMP458506:DMQ458506 DWL458506:DWM458506 EGH458506:EGI458506 EQD458506:EQE458506 EZZ458506:FAA458506 FJV458506:FJW458506 FTR458506:FTS458506 GDN458506:GDO458506 GNJ458506:GNK458506 GXF458506:GXG458506 HHB458506:HHC458506 HQX458506:HQY458506 IAT458506:IAU458506 IKP458506:IKQ458506 IUL458506:IUM458506 JEH458506:JEI458506 JOD458506:JOE458506 JXZ458506:JYA458506 KHV458506:KHW458506 KRR458506:KRS458506 LBN458506:LBO458506 LLJ458506:LLK458506 LVF458506:LVG458506 MFB458506:MFC458506 MOX458506:MOY458506 MYT458506:MYU458506 NIP458506:NIQ458506 NSL458506:NSM458506 OCH458506:OCI458506 OMD458506:OME458506 OVZ458506:OWA458506 PFV458506:PFW458506 PPR458506:PPS458506 PZN458506:PZO458506 QJJ458506:QJK458506 QTF458506:QTG458506 RDB458506:RDC458506 RMX458506:RMY458506 RWT458506:RWU458506 SGP458506:SGQ458506 SQL458506:SQM458506 TAH458506:TAI458506 TKD458506:TKE458506 TTZ458506:TUA458506 UDV458506:UDW458506 UNR458506:UNS458506 UXN458506:UXO458506 VHJ458506:VHK458506 VRF458506:VRG458506 WBB458506:WBC458506 WKX458506:WKY458506 WUT458506:WUU458506 A524042:B524042 IH524042:II524042 SD524042:SE524042 ABZ524042:ACA524042 ALV524042:ALW524042 AVR524042:AVS524042 BFN524042:BFO524042 BPJ524042:BPK524042 BZF524042:BZG524042 CJB524042:CJC524042 CSX524042:CSY524042 DCT524042:DCU524042 DMP524042:DMQ524042 DWL524042:DWM524042 EGH524042:EGI524042 EQD524042:EQE524042 EZZ524042:FAA524042 FJV524042:FJW524042 FTR524042:FTS524042 GDN524042:GDO524042 GNJ524042:GNK524042 GXF524042:GXG524042 HHB524042:HHC524042 HQX524042:HQY524042 IAT524042:IAU524042 IKP524042:IKQ524042 IUL524042:IUM524042 JEH524042:JEI524042 JOD524042:JOE524042 JXZ524042:JYA524042 KHV524042:KHW524042 KRR524042:KRS524042 LBN524042:LBO524042 LLJ524042:LLK524042 LVF524042:LVG524042 MFB524042:MFC524042 MOX524042:MOY524042 MYT524042:MYU524042 NIP524042:NIQ524042 NSL524042:NSM524042 OCH524042:OCI524042 OMD524042:OME524042 OVZ524042:OWA524042 PFV524042:PFW524042 PPR524042:PPS524042 PZN524042:PZO524042 QJJ524042:QJK524042 QTF524042:QTG524042 RDB524042:RDC524042 RMX524042:RMY524042 RWT524042:RWU524042 SGP524042:SGQ524042 SQL524042:SQM524042 TAH524042:TAI524042 TKD524042:TKE524042 TTZ524042:TUA524042 UDV524042:UDW524042 UNR524042:UNS524042 UXN524042:UXO524042 VHJ524042:VHK524042 VRF524042:VRG524042 WBB524042:WBC524042 WKX524042:WKY524042 WUT524042:WUU524042 A589578:B589578 IH589578:II589578 SD589578:SE589578 ABZ589578:ACA589578 ALV589578:ALW589578 AVR589578:AVS589578 BFN589578:BFO589578 BPJ589578:BPK589578 BZF589578:BZG589578 CJB589578:CJC589578 CSX589578:CSY589578 DCT589578:DCU589578 DMP589578:DMQ589578 DWL589578:DWM589578 EGH589578:EGI589578 EQD589578:EQE589578 EZZ589578:FAA589578 FJV589578:FJW589578 FTR589578:FTS589578 GDN589578:GDO589578 GNJ589578:GNK589578 GXF589578:GXG589578 HHB589578:HHC589578 HQX589578:HQY589578 IAT589578:IAU589578 IKP589578:IKQ589578 IUL589578:IUM589578 JEH589578:JEI589578 JOD589578:JOE589578 JXZ589578:JYA589578 KHV589578:KHW589578 KRR589578:KRS589578 LBN589578:LBO589578 LLJ589578:LLK589578 LVF589578:LVG589578 MFB589578:MFC589578 MOX589578:MOY589578 MYT589578:MYU589578 NIP589578:NIQ589578 NSL589578:NSM589578 OCH589578:OCI589578 OMD589578:OME589578 OVZ589578:OWA589578 PFV589578:PFW589578 PPR589578:PPS589578 PZN589578:PZO589578 QJJ589578:QJK589578 QTF589578:QTG589578 RDB589578:RDC589578 RMX589578:RMY589578 RWT589578:RWU589578 SGP589578:SGQ589578 SQL589578:SQM589578 TAH589578:TAI589578 TKD589578:TKE589578 TTZ589578:TUA589578 UDV589578:UDW589578 UNR589578:UNS589578 UXN589578:UXO589578 VHJ589578:VHK589578 VRF589578:VRG589578 WBB589578:WBC589578 WKX589578:WKY589578 WUT589578:WUU589578 A655114:B655114 IH655114:II655114 SD655114:SE655114 ABZ655114:ACA655114 ALV655114:ALW655114 AVR655114:AVS655114 BFN655114:BFO655114 BPJ655114:BPK655114 BZF655114:BZG655114 CJB655114:CJC655114 CSX655114:CSY655114 DCT655114:DCU655114 DMP655114:DMQ655114 DWL655114:DWM655114 EGH655114:EGI655114 EQD655114:EQE655114 EZZ655114:FAA655114 FJV655114:FJW655114 FTR655114:FTS655114 GDN655114:GDO655114 GNJ655114:GNK655114 GXF655114:GXG655114 HHB655114:HHC655114 HQX655114:HQY655114 IAT655114:IAU655114 IKP655114:IKQ655114 IUL655114:IUM655114 JEH655114:JEI655114 JOD655114:JOE655114 JXZ655114:JYA655114 KHV655114:KHW655114 KRR655114:KRS655114 LBN655114:LBO655114 LLJ655114:LLK655114 LVF655114:LVG655114 MFB655114:MFC655114 MOX655114:MOY655114 MYT655114:MYU655114 NIP655114:NIQ655114 NSL655114:NSM655114 OCH655114:OCI655114 OMD655114:OME655114 OVZ655114:OWA655114 PFV655114:PFW655114 PPR655114:PPS655114 PZN655114:PZO655114 QJJ655114:QJK655114 QTF655114:QTG655114 RDB655114:RDC655114 RMX655114:RMY655114 RWT655114:RWU655114 SGP655114:SGQ655114 SQL655114:SQM655114 TAH655114:TAI655114 TKD655114:TKE655114 TTZ655114:TUA655114 UDV655114:UDW655114 UNR655114:UNS655114 UXN655114:UXO655114 VHJ655114:VHK655114 VRF655114:VRG655114 WBB655114:WBC655114 WKX655114:WKY655114 WUT655114:WUU655114 A720650:B720650 IH720650:II720650 SD720650:SE720650 ABZ720650:ACA720650 ALV720650:ALW720650 AVR720650:AVS720650 BFN720650:BFO720650 BPJ720650:BPK720650 BZF720650:BZG720650 CJB720650:CJC720650 CSX720650:CSY720650 DCT720650:DCU720650 DMP720650:DMQ720650 DWL720650:DWM720650 EGH720650:EGI720650 EQD720650:EQE720650 EZZ720650:FAA720650 FJV720650:FJW720650 FTR720650:FTS720650 GDN720650:GDO720650 GNJ720650:GNK720650 GXF720650:GXG720650 HHB720650:HHC720650 HQX720650:HQY720650 IAT720650:IAU720650 IKP720650:IKQ720650 IUL720650:IUM720650 JEH720650:JEI720650 JOD720650:JOE720650 JXZ720650:JYA720650 KHV720650:KHW720650 KRR720650:KRS720650 LBN720650:LBO720650 LLJ720650:LLK720650 LVF720650:LVG720650 MFB720650:MFC720650 MOX720650:MOY720650 MYT720650:MYU720650 NIP720650:NIQ720650 NSL720650:NSM720650 OCH720650:OCI720650 OMD720650:OME720650 OVZ720650:OWA720650 PFV720650:PFW720650 PPR720650:PPS720650 PZN720650:PZO720650 QJJ720650:QJK720650 QTF720650:QTG720650 RDB720650:RDC720650 RMX720650:RMY720650 RWT720650:RWU720650 SGP720650:SGQ720650 SQL720650:SQM720650 TAH720650:TAI720650 TKD720650:TKE720650 TTZ720650:TUA720650 UDV720650:UDW720650 UNR720650:UNS720650 UXN720650:UXO720650 VHJ720650:VHK720650 VRF720650:VRG720650 WBB720650:WBC720650 WKX720650:WKY720650 WUT720650:WUU720650 A786186:B786186 IH786186:II786186 SD786186:SE786186 ABZ786186:ACA786186 ALV786186:ALW786186 AVR786186:AVS786186 BFN786186:BFO786186 BPJ786186:BPK786186 BZF786186:BZG786186 CJB786186:CJC786186 CSX786186:CSY786186 DCT786186:DCU786186 DMP786186:DMQ786186 DWL786186:DWM786186 EGH786186:EGI786186 EQD786186:EQE786186 EZZ786186:FAA786186 FJV786186:FJW786186 FTR786186:FTS786186 GDN786186:GDO786186 GNJ786186:GNK786186 GXF786186:GXG786186 HHB786186:HHC786186 HQX786186:HQY786186 IAT786186:IAU786186 IKP786186:IKQ786186 IUL786186:IUM786186 JEH786186:JEI786186 JOD786186:JOE786186 JXZ786186:JYA786186 KHV786186:KHW786186 KRR786186:KRS786186 LBN786186:LBO786186 LLJ786186:LLK786186 LVF786186:LVG786186 MFB786186:MFC786186 MOX786186:MOY786186 MYT786186:MYU786186 NIP786186:NIQ786186 NSL786186:NSM786186 OCH786186:OCI786186 OMD786186:OME786186 OVZ786186:OWA786186 PFV786186:PFW786186 PPR786186:PPS786186 PZN786186:PZO786186 QJJ786186:QJK786186 QTF786186:QTG786186 RDB786186:RDC786186 RMX786186:RMY786186 RWT786186:RWU786186 SGP786186:SGQ786186 SQL786186:SQM786186 TAH786186:TAI786186 TKD786186:TKE786186 TTZ786186:TUA786186 UDV786186:UDW786186 UNR786186:UNS786186 UXN786186:UXO786186 VHJ786186:VHK786186 VRF786186:VRG786186 WBB786186:WBC786186 WKX786186:WKY786186 WUT786186:WUU786186 A851722:B851722 IH851722:II851722 SD851722:SE851722 ABZ851722:ACA851722 ALV851722:ALW851722 AVR851722:AVS851722 BFN851722:BFO851722 BPJ851722:BPK851722 BZF851722:BZG851722 CJB851722:CJC851722 CSX851722:CSY851722 DCT851722:DCU851722 DMP851722:DMQ851722 DWL851722:DWM851722 EGH851722:EGI851722 EQD851722:EQE851722 EZZ851722:FAA851722 FJV851722:FJW851722 FTR851722:FTS851722 GDN851722:GDO851722 GNJ851722:GNK851722 GXF851722:GXG851722 HHB851722:HHC851722 HQX851722:HQY851722 IAT851722:IAU851722 IKP851722:IKQ851722 IUL851722:IUM851722 JEH851722:JEI851722 JOD851722:JOE851722 JXZ851722:JYA851722 KHV851722:KHW851722 KRR851722:KRS851722 LBN851722:LBO851722 LLJ851722:LLK851722 LVF851722:LVG851722 MFB851722:MFC851722 MOX851722:MOY851722 MYT851722:MYU851722 NIP851722:NIQ851722 NSL851722:NSM851722 OCH851722:OCI851722 OMD851722:OME851722 OVZ851722:OWA851722 PFV851722:PFW851722 PPR851722:PPS851722 PZN851722:PZO851722 QJJ851722:QJK851722 QTF851722:QTG851722 RDB851722:RDC851722 RMX851722:RMY851722 RWT851722:RWU851722 SGP851722:SGQ851722 SQL851722:SQM851722 TAH851722:TAI851722 TKD851722:TKE851722 TTZ851722:TUA851722 UDV851722:UDW851722 UNR851722:UNS851722 UXN851722:UXO851722 VHJ851722:VHK851722 VRF851722:VRG851722 WBB851722:WBC851722 WKX851722:WKY851722 WUT851722:WUU851722 A917258:B917258 IH917258:II917258 SD917258:SE917258 ABZ917258:ACA917258 ALV917258:ALW917258 AVR917258:AVS917258 BFN917258:BFO917258 BPJ917258:BPK917258 BZF917258:BZG917258 CJB917258:CJC917258 CSX917258:CSY917258 DCT917258:DCU917258 DMP917258:DMQ917258 DWL917258:DWM917258 EGH917258:EGI917258 EQD917258:EQE917258 EZZ917258:FAA917258 FJV917258:FJW917258 FTR917258:FTS917258 GDN917258:GDO917258 GNJ917258:GNK917258 GXF917258:GXG917258 HHB917258:HHC917258 HQX917258:HQY917258 IAT917258:IAU917258 IKP917258:IKQ917258 IUL917258:IUM917258 JEH917258:JEI917258 JOD917258:JOE917258 JXZ917258:JYA917258 KHV917258:KHW917258 KRR917258:KRS917258 LBN917258:LBO917258 LLJ917258:LLK917258 LVF917258:LVG917258 MFB917258:MFC917258 MOX917258:MOY917258 MYT917258:MYU917258 NIP917258:NIQ917258 NSL917258:NSM917258 OCH917258:OCI917258 OMD917258:OME917258 OVZ917258:OWA917258 PFV917258:PFW917258 PPR917258:PPS917258 PZN917258:PZO917258 QJJ917258:QJK917258 QTF917258:QTG917258 RDB917258:RDC917258 RMX917258:RMY917258 RWT917258:RWU917258 SGP917258:SGQ917258 SQL917258:SQM917258 TAH917258:TAI917258 TKD917258:TKE917258 TTZ917258:TUA917258 UDV917258:UDW917258 UNR917258:UNS917258 UXN917258:UXO917258 VHJ917258:VHK917258 VRF917258:VRG917258 WBB917258:WBC917258 WKX917258:WKY917258 WUT917258:WUU917258 A982794:B982794 IH982794:II982794 SD982794:SE982794 ABZ982794:ACA982794 ALV982794:ALW982794 AVR982794:AVS982794 BFN982794:BFO982794 BPJ982794:BPK982794 BZF982794:BZG982794 CJB982794:CJC982794 CSX982794:CSY982794 DCT982794:DCU982794 DMP982794:DMQ982794 DWL982794:DWM982794 EGH982794:EGI982794 EQD982794:EQE982794 EZZ982794:FAA982794 FJV982794:FJW982794 FTR982794:FTS982794 GDN982794:GDO982794 GNJ982794:GNK982794 GXF982794:GXG982794 HHB982794:HHC982794 HQX982794:HQY982794 IAT982794:IAU982794 IKP982794:IKQ982794 IUL982794:IUM982794 JEH982794:JEI982794 JOD982794:JOE982794 JXZ982794:JYA982794 KHV982794:KHW982794 KRR982794:KRS982794 LBN982794:LBO982794 LLJ982794:LLK982794 LVF982794:LVG982794 MFB982794:MFC982794 MOX982794:MOY982794 MYT982794:MYU982794 NIP982794:NIQ982794 NSL982794:NSM982794 OCH982794:OCI982794 OMD982794:OME982794 OVZ982794:OWA982794 PFV982794:PFW982794 PPR982794:PPS982794 PZN982794:PZO982794 QJJ982794:QJK982794 QTF982794:QTG982794 RDB982794:RDC982794 RMX982794:RMY982794 RWT982794:RWU982794 SGP982794:SGQ982794 SQL982794:SQM982794 TAH982794:TAI982794 TKD982794:TKE982794 TTZ982794:TUA982794 UDV982794:UDW982794 UNR982794:UNS982794 UXN982794:UXO982794 VHJ982794:VHK982794 VRF982794:VRG982794 WBB982794:WBC982794 WKX982794:WKY982794 A1:B1" xr:uid="{6A5CFA86-F97A-45EE-B647-904B2D197EC3}">
      <formula1>0</formula1>
      <formula2>60</formula2>
    </dataValidation>
    <dataValidation type="textLength" allowBlank="1" showInputMessage="1" showErrorMessage="1" sqref="WUV982794:WVA982794 IJ1:IO1 SF1:SK1 ACB1:ACG1 ALX1:AMC1 AVT1:AVY1 BFP1:BFU1 BPL1:BPQ1 BZH1:BZM1 CJD1:CJI1 CSZ1:CTE1 DCV1:DDA1 DMR1:DMW1 DWN1:DWS1 EGJ1:EGO1 EQF1:EQK1 FAB1:FAG1 FJX1:FKC1 FTT1:FTY1 GDP1:GDU1 GNL1:GNQ1 GXH1:GXM1 HHD1:HHI1 HQZ1:HRE1 IAV1:IBA1 IKR1:IKW1 IUN1:IUS1 JEJ1:JEO1 JOF1:JOK1 JYB1:JYG1 KHX1:KIC1 KRT1:KRY1 LBP1:LBU1 LLL1:LLQ1 LVH1:LVM1 MFD1:MFI1 MOZ1:MPE1 MYV1:MZA1 NIR1:NIW1 NSN1:NSS1 OCJ1:OCO1 OMF1:OMK1 OWB1:OWG1 PFX1:PGC1 PPT1:PPY1 PZP1:PZU1 QJL1:QJQ1 QTH1:QTM1 RDD1:RDI1 RMZ1:RNE1 RWV1:RXA1 SGR1:SGW1 SQN1:SQS1 TAJ1:TAO1 TKF1:TKK1 TUB1:TUG1 UDX1:UEC1 UNT1:UNY1 UXP1:UXU1 VHL1:VHQ1 VRH1:VRM1 WBD1:WBI1 WKZ1:WLE1 WUV1:WVA1 C65290:E65290 IJ65290:IO65290 SF65290:SK65290 ACB65290:ACG65290 ALX65290:AMC65290 AVT65290:AVY65290 BFP65290:BFU65290 BPL65290:BPQ65290 BZH65290:BZM65290 CJD65290:CJI65290 CSZ65290:CTE65290 DCV65290:DDA65290 DMR65290:DMW65290 DWN65290:DWS65290 EGJ65290:EGO65290 EQF65290:EQK65290 FAB65290:FAG65290 FJX65290:FKC65290 FTT65290:FTY65290 GDP65290:GDU65290 GNL65290:GNQ65290 GXH65290:GXM65290 HHD65290:HHI65290 HQZ65290:HRE65290 IAV65290:IBA65290 IKR65290:IKW65290 IUN65290:IUS65290 JEJ65290:JEO65290 JOF65290:JOK65290 JYB65290:JYG65290 KHX65290:KIC65290 KRT65290:KRY65290 LBP65290:LBU65290 LLL65290:LLQ65290 LVH65290:LVM65290 MFD65290:MFI65290 MOZ65290:MPE65290 MYV65290:MZA65290 NIR65290:NIW65290 NSN65290:NSS65290 OCJ65290:OCO65290 OMF65290:OMK65290 OWB65290:OWG65290 PFX65290:PGC65290 PPT65290:PPY65290 PZP65290:PZU65290 QJL65290:QJQ65290 QTH65290:QTM65290 RDD65290:RDI65290 RMZ65290:RNE65290 RWV65290:RXA65290 SGR65290:SGW65290 SQN65290:SQS65290 TAJ65290:TAO65290 TKF65290:TKK65290 TUB65290:TUG65290 UDX65290:UEC65290 UNT65290:UNY65290 UXP65290:UXU65290 VHL65290:VHQ65290 VRH65290:VRM65290 WBD65290:WBI65290 WKZ65290:WLE65290 WUV65290:WVA65290 C130826:E130826 IJ130826:IO130826 SF130826:SK130826 ACB130826:ACG130826 ALX130826:AMC130826 AVT130826:AVY130826 BFP130826:BFU130826 BPL130826:BPQ130826 BZH130826:BZM130826 CJD130826:CJI130826 CSZ130826:CTE130826 DCV130826:DDA130826 DMR130826:DMW130826 DWN130826:DWS130826 EGJ130826:EGO130826 EQF130826:EQK130826 FAB130826:FAG130826 FJX130826:FKC130826 FTT130826:FTY130826 GDP130826:GDU130826 GNL130826:GNQ130826 GXH130826:GXM130826 HHD130826:HHI130826 HQZ130826:HRE130826 IAV130826:IBA130826 IKR130826:IKW130826 IUN130826:IUS130826 JEJ130826:JEO130826 JOF130826:JOK130826 JYB130826:JYG130826 KHX130826:KIC130826 KRT130826:KRY130826 LBP130826:LBU130826 LLL130826:LLQ130826 LVH130826:LVM130826 MFD130826:MFI130826 MOZ130826:MPE130826 MYV130826:MZA130826 NIR130826:NIW130826 NSN130826:NSS130826 OCJ130826:OCO130826 OMF130826:OMK130826 OWB130826:OWG130826 PFX130826:PGC130826 PPT130826:PPY130826 PZP130826:PZU130826 QJL130826:QJQ130826 QTH130826:QTM130826 RDD130826:RDI130826 RMZ130826:RNE130826 RWV130826:RXA130826 SGR130826:SGW130826 SQN130826:SQS130826 TAJ130826:TAO130826 TKF130826:TKK130826 TUB130826:TUG130826 UDX130826:UEC130826 UNT130826:UNY130826 UXP130826:UXU130826 VHL130826:VHQ130826 VRH130826:VRM130826 WBD130826:WBI130826 WKZ130826:WLE130826 WUV130826:WVA130826 C196362:E196362 IJ196362:IO196362 SF196362:SK196362 ACB196362:ACG196362 ALX196362:AMC196362 AVT196362:AVY196362 BFP196362:BFU196362 BPL196362:BPQ196362 BZH196362:BZM196362 CJD196362:CJI196362 CSZ196362:CTE196362 DCV196362:DDA196362 DMR196362:DMW196362 DWN196362:DWS196362 EGJ196362:EGO196362 EQF196362:EQK196362 FAB196362:FAG196362 FJX196362:FKC196362 FTT196362:FTY196362 GDP196362:GDU196362 GNL196362:GNQ196362 GXH196362:GXM196362 HHD196362:HHI196362 HQZ196362:HRE196362 IAV196362:IBA196362 IKR196362:IKW196362 IUN196362:IUS196362 JEJ196362:JEO196362 JOF196362:JOK196362 JYB196362:JYG196362 KHX196362:KIC196362 KRT196362:KRY196362 LBP196362:LBU196362 LLL196362:LLQ196362 LVH196362:LVM196362 MFD196362:MFI196362 MOZ196362:MPE196362 MYV196362:MZA196362 NIR196362:NIW196362 NSN196362:NSS196362 OCJ196362:OCO196362 OMF196362:OMK196362 OWB196362:OWG196362 PFX196362:PGC196362 PPT196362:PPY196362 PZP196362:PZU196362 QJL196362:QJQ196362 QTH196362:QTM196362 RDD196362:RDI196362 RMZ196362:RNE196362 RWV196362:RXA196362 SGR196362:SGW196362 SQN196362:SQS196362 TAJ196362:TAO196362 TKF196362:TKK196362 TUB196362:TUG196362 UDX196362:UEC196362 UNT196362:UNY196362 UXP196362:UXU196362 VHL196362:VHQ196362 VRH196362:VRM196362 WBD196362:WBI196362 WKZ196362:WLE196362 WUV196362:WVA196362 C261898:E261898 IJ261898:IO261898 SF261898:SK261898 ACB261898:ACG261898 ALX261898:AMC261898 AVT261898:AVY261898 BFP261898:BFU261898 BPL261898:BPQ261898 BZH261898:BZM261898 CJD261898:CJI261898 CSZ261898:CTE261898 DCV261898:DDA261898 DMR261898:DMW261898 DWN261898:DWS261898 EGJ261898:EGO261898 EQF261898:EQK261898 FAB261898:FAG261898 FJX261898:FKC261898 FTT261898:FTY261898 GDP261898:GDU261898 GNL261898:GNQ261898 GXH261898:GXM261898 HHD261898:HHI261898 HQZ261898:HRE261898 IAV261898:IBA261898 IKR261898:IKW261898 IUN261898:IUS261898 JEJ261898:JEO261898 JOF261898:JOK261898 JYB261898:JYG261898 KHX261898:KIC261898 KRT261898:KRY261898 LBP261898:LBU261898 LLL261898:LLQ261898 LVH261898:LVM261898 MFD261898:MFI261898 MOZ261898:MPE261898 MYV261898:MZA261898 NIR261898:NIW261898 NSN261898:NSS261898 OCJ261898:OCO261898 OMF261898:OMK261898 OWB261898:OWG261898 PFX261898:PGC261898 PPT261898:PPY261898 PZP261898:PZU261898 QJL261898:QJQ261898 QTH261898:QTM261898 RDD261898:RDI261898 RMZ261898:RNE261898 RWV261898:RXA261898 SGR261898:SGW261898 SQN261898:SQS261898 TAJ261898:TAO261898 TKF261898:TKK261898 TUB261898:TUG261898 UDX261898:UEC261898 UNT261898:UNY261898 UXP261898:UXU261898 VHL261898:VHQ261898 VRH261898:VRM261898 WBD261898:WBI261898 WKZ261898:WLE261898 WUV261898:WVA261898 C327434:E327434 IJ327434:IO327434 SF327434:SK327434 ACB327434:ACG327434 ALX327434:AMC327434 AVT327434:AVY327434 BFP327434:BFU327434 BPL327434:BPQ327434 BZH327434:BZM327434 CJD327434:CJI327434 CSZ327434:CTE327434 DCV327434:DDA327434 DMR327434:DMW327434 DWN327434:DWS327434 EGJ327434:EGO327434 EQF327434:EQK327434 FAB327434:FAG327434 FJX327434:FKC327434 FTT327434:FTY327434 GDP327434:GDU327434 GNL327434:GNQ327434 GXH327434:GXM327434 HHD327434:HHI327434 HQZ327434:HRE327434 IAV327434:IBA327434 IKR327434:IKW327434 IUN327434:IUS327434 JEJ327434:JEO327434 JOF327434:JOK327434 JYB327434:JYG327434 KHX327434:KIC327434 KRT327434:KRY327434 LBP327434:LBU327434 LLL327434:LLQ327434 LVH327434:LVM327434 MFD327434:MFI327434 MOZ327434:MPE327434 MYV327434:MZA327434 NIR327434:NIW327434 NSN327434:NSS327434 OCJ327434:OCO327434 OMF327434:OMK327434 OWB327434:OWG327434 PFX327434:PGC327434 PPT327434:PPY327434 PZP327434:PZU327434 QJL327434:QJQ327434 QTH327434:QTM327434 RDD327434:RDI327434 RMZ327434:RNE327434 RWV327434:RXA327434 SGR327434:SGW327434 SQN327434:SQS327434 TAJ327434:TAO327434 TKF327434:TKK327434 TUB327434:TUG327434 UDX327434:UEC327434 UNT327434:UNY327434 UXP327434:UXU327434 VHL327434:VHQ327434 VRH327434:VRM327434 WBD327434:WBI327434 WKZ327434:WLE327434 WUV327434:WVA327434 C392970:E392970 IJ392970:IO392970 SF392970:SK392970 ACB392970:ACG392970 ALX392970:AMC392970 AVT392970:AVY392970 BFP392970:BFU392970 BPL392970:BPQ392970 BZH392970:BZM392970 CJD392970:CJI392970 CSZ392970:CTE392970 DCV392970:DDA392970 DMR392970:DMW392970 DWN392970:DWS392970 EGJ392970:EGO392970 EQF392970:EQK392970 FAB392970:FAG392970 FJX392970:FKC392970 FTT392970:FTY392970 GDP392970:GDU392970 GNL392970:GNQ392970 GXH392970:GXM392970 HHD392970:HHI392970 HQZ392970:HRE392970 IAV392970:IBA392970 IKR392970:IKW392970 IUN392970:IUS392970 JEJ392970:JEO392970 JOF392970:JOK392970 JYB392970:JYG392970 KHX392970:KIC392970 KRT392970:KRY392970 LBP392970:LBU392970 LLL392970:LLQ392970 LVH392970:LVM392970 MFD392970:MFI392970 MOZ392970:MPE392970 MYV392970:MZA392970 NIR392970:NIW392970 NSN392970:NSS392970 OCJ392970:OCO392970 OMF392970:OMK392970 OWB392970:OWG392970 PFX392970:PGC392970 PPT392970:PPY392970 PZP392970:PZU392970 QJL392970:QJQ392970 QTH392970:QTM392970 RDD392970:RDI392970 RMZ392970:RNE392970 RWV392970:RXA392970 SGR392970:SGW392970 SQN392970:SQS392970 TAJ392970:TAO392970 TKF392970:TKK392970 TUB392970:TUG392970 UDX392970:UEC392970 UNT392970:UNY392970 UXP392970:UXU392970 VHL392970:VHQ392970 VRH392970:VRM392970 WBD392970:WBI392970 WKZ392970:WLE392970 WUV392970:WVA392970 C458506:E458506 IJ458506:IO458506 SF458506:SK458506 ACB458506:ACG458506 ALX458506:AMC458506 AVT458506:AVY458506 BFP458506:BFU458506 BPL458506:BPQ458506 BZH458506:BZM458506 CJD458506:CJI458506 CSZ458506:CTE458506 DCV458506:DDA458506 DMR458506:DMW458506 DWN458506:DWS458506 EGJ458506:EGO458506 EQF458506:EQK458506 FAB458506:FAG458506 FJX458506:FKC458506 FTT458506:FTY458506 GDP458506:GDU458506 GNL458506:GNQ458506 GXH458506:GXM458506 HHD458506:HHI458506 HQZ458506:HRE458506 IAV458506:IBA458506 IKR458506:IKW458506 IUN458506:IUS458506 JEJ458506:JEO458506 JOF458506:JOK458506 JYB458506:JYG458506 KHX458506:KIC458506 KRT458506:KRY458506 LBP458506:LBU458506 LLL458506:LLQ458506 LVH458506:LVM458506 MFD458506:MFI458506 MOZ458506:MPE458506 MYV458506:MZA458506 NIR458506:NIW458506 NSN458506:NSS458506 OCJ458506:OCO458506 OMF458506:OMK458506 OWB458506:OWG458506 PFX458506:PGC458506 PPT458506:PPY458506 PZP458506:PZU458506 QJL458506:QJQ458506 QTH458506:QTM458506 RDD458506:RDI458506 RMZ458506:RNE458506 RWV458506:RXA458506 SGR458506:SGW458506 SQN458506:SQS458506 TAJ458506:TAO458506 TKF458506:TKK458506 TUB458506:TUG458506 UDX458506:UEC458506 UNT458506:UNY458506 UXP458506:UXU458506 VHL458506:VHQ458506 VRH458506:VRM458506 WBD458506:WBI458506 WKZ458506:WLE458506 WUV458506:WVA458506 C524042:E524042 IJ524042:IO524042 SF524042:SK524042 ACB524042:ACG524042 ALX524042:AMC524042 AVT524042:AVY524042 BFP524042:BFU524042 BPL524042:BPQ524042 BZH524042:BZM524042 CJD524042:CJI524042 CSZ524042:CTE524042 DCV524042:DDA524042 DMR524042:DMW524042 DWN524042:DWS524042 EGJ524042:EGO524042 EQF524042:EQK524042 FAB524042:FAG524042 FJX524042:FKC524042 FTT524042:FTY524042 GDP524042:GDU524042 GNL524042:GNQ524042 GXH524042:GXM524042 HHD524042:HHI524042 HQZ524042:HRE524042 IAV524042:IBA524042 IKR524042:IKW524042 IUN524042:IUS524042 JEJ524042:JEO524042 JOF524042:JOK524042 JYB524042:JYG524042 KHX524042:KIC524042 KRT524042:KRY524042 LBP524042:LBU524042 LLL524042:LLQ524042 LVH524042:LVM524042 MFD524042:MFI524042 MOZ524042:MPE524042 MYV524042:MZA524042 NIR524042:NIW524042 NSN524042:NSS524042 OCJ524042:OCO524042 OMF524042:OMK524042 OWB524042:OWG524042 PFX524042:PGC524042 PPT524042:PPY524042 PZP524042:PZU524042 QJL524042:QJQ524042 QTH524042:QTM524042 RDD524042:RDI524042 RMZ524042:RNE524042 RWV524042:RXA524042 SGR524042:SGW524042 SQN524042:SQS524042 TAJ524042:TAO524042 TKF524042:TKK524042 TUB524042:TUG524042 UDX524042:UEC524042 UNT524042:UNY524042 UXP524042:UXU524042 VHL524042:VHQ524042 VRH524042:VRM524042 WBD524042:WBI524042 WKZ524042:WLE524042 WUV524042:WVA524042 C589578:E589578 IJ589578:IO589578 SF589578:SK589578 ACB589578:ACG589578 ALX589578:AMC589578 AVT589578:AVY589578 BFP589578:BFU589578 BPL589578:BPQ589578 BZH589578:BZM589578 CJD589578:CJI589578 CSZ589578:CTE589578 DCV589578:DDA589578 DMR589578:DMW589578 DWN589578:DWS589578 EGJ589578:EGO589578 EQF589578:EQK589578 FAB589578:FAG589578 FJX589578:FKC589578 FTT589578:FTY589578 GDP589578:GDU589578 GNL589578:GNQ589578 GXH589578:GXM589578 HHD589578:HHI589578 HQZ589578:HRE589578 IAV589578:IBA589578 IKR589578:IKW589578 IUN589578:IUS589578 JEJ589578:JEO589578 JOF589578:JOK589578 JYB589578:JYG589578 KHX589578:KIC589578 KRT589578:KRY589578 LBP589578:LBU589578 LLL589578:LLQ589578 LVH589578:LVM589578 MFD589578:MFI589578 MOZ589578:MPE589578 MYV589578:MZA589578 NIR589578:NIW589578 NSN589578:NSS589578 OCJ589578:OCO589578 OMF589578:OMK589578 OWB589578:OWG589578 PFX589578:PGC589578 PPT589578:PPY589578 PZP589578:PZU589578 QJL589578:QJQ589578 QTH589578:QTM589578 RDD589578:RDI589578 RMZ589578:RNE589578 RWV589578:RXA589578 SGR589578:SGW589578 SQN589578:SQS589578 TAJ589578:TAO589578 TKF589578:TKK589578 TUB589578:TUG589578 UDX589578:UEC589578 UNT589578:UNY589578 UXP589578:UXU589578 VHL589578:VHQ589578 VRH589578:VRM589578 WBD589578:WBI589578 WKZ589578:WLE589578 WUV589578:WVA589578 C655114:E655114 IJ655114:IO655114 SF655114:SK655114 ACB655114:ACG655114 ALX655114:AMC655114 AVT655114:AVY655114 BFP655114:BFU655114 BPL655114:BPQ655114 BZH655114:BZM655114 CJD655114:CJI655114 CSZ655114:CTE655114 DCV655114:DDA655114 DMR655114:DMW655114 DWN655114:DWS655114 EGJ655114:EGO655114 EQF655114:EQK655114 FAB655114:FAG655114 FJX655114:FKC655114 FTT655114:FTY655114 GDP655114:GDU655114 GNL655114:GNQ655114 GXH655114:GXM655114 HHD655114:HHI655114 HQZ655114:HRE655114 IAV655114:IBA655114 IKR655114:IKW655114 IUN655114:IUS655114 JEJ655114:JEO655114 JOF655114:JOK655114 JYB655114:JYG655114 KHX655114:KIC655114 KRT655114:KRY655114 LBP655114:LBU655114 LLL655114:LLQ655114 LVH655114:LVM655114 MFD655114:MFI655114 MOZ655114:MPE655114 MYV655114:MZA655114 NIR655114:NIW655114 NSN655114:NSS655114 OCJ655114:OCO655114 OMF655114:OMK655114 OWB655114:OWG655114 PFX655114:PGC655114 PPT655114:PPY655114 PZP655114:PZU655114 QJL655114:QJQ655114 QTH655114:QTM655114 RDD655114:RDI655114 RMZ655114:RNE655114 RWV655114:RXA655114 SGR655114:SGW655114 SQN655114:SQS655114 TAJ655114:TAO655114 TKF655114:TKK655114 TUB655114:TUG655114 UDX655114:UEC655114 UNT655114:UNY655114 UXP655114:UXU655114 VHL655114:VHQ655114 VRH655114:VRM655114 WBD655114:WBI655114 WKZ655114:WLE655114 WUV655114:WVA655114 C720650:E720650 IJ720650:IO720650 SF720650:SK720650 ACB720650:ACG720650 ALX720650:AMC720650 AVT720650:AVY720650 BFP720650:BFU720650 BPL720650:BPQ720650 BZH720650:BZM720650 CJD720650:CJI720650 CSZ720650:CTE720650 DCV720650:DDA720650 DMR720650:DMW720650 DWN720650:DWS720650 EGJ720650:EGO720650 EQF720650:EQK720650 FAB720650:FAG720650 FJX720650:FKC720650 FTT720650:FTY720650 GDP720650:GDU720650 GNL720650:GNQ720650 GXH720650:GXM720650 HHD720650:HHI720650 HQZ720650:HRE720650 IAV720650:IBA720650 IKR720650:IKW720650 IUN720650:IUS720650 JEJ720650:JEO720650 JOF720650:JOK720650 JYB720650:JYG720650 KHX720650:KIC720650 KRT720650:KRY720650 LBP720650:LBU720650 LLL720650:LLQ720650 LVH720650:LVM720650 MFD720650:MFI720650 MOZ720650:MPE720650 MYV720650:MZA720650 NIR720650:NIW720650 NSN720650:NSS720650 OCJ720650:OCO720650 OMF720650:OMK720650 OWB720650:OWG720650 PFX720650:PGC720650 PPT720650:PPY720650 PZP720650:PZU720650 QJL720650:QJQ720650 QTH720650:QTM720650 RDD720650:RDI720650 RMZ720650:RNE720650 RWV720650:RXA720650 SGR720650:SGW720650 SQN720650:SQS720650 TAJ720650:TAO720650 TKF720650:TKK720650 TUB720650:TUG720650 UDX720650:UEC720650 UNT720650:UNY720650 UXP720650:UXU720650 VHL720650:VHQ720650 VRH720650:VRM720650 WBD720650:WBI720650 WKZ720650:WLE720650 WUV720650:WVA720650 C786186:E786186 IJ786186:IO786186 SF786186:SK786186 ACB786186:ACG786186 ALX786186:AMC786186 AVT786186:AVY786186 BFP786186:BFU786186 BPL786186:BPQ786186 BZH786186:BZM786186 CJD786186:CJI786186 CSZ786186:CTE786186 DCV786186:DDA786186 DMR786186:DMW786186 DWN786186:DWS786186 EGJ786186:EGO786186 EQF786186:EQK786186 FAB786186:FAG786186 FJX786186:FKC786186 FTT786186:FTY786186 GDP786186:GDU786186 GNL786186:GNQ786186 GXH786186:GXM786186 HHD786186:HHI786186 HQZ786186:HRE786186 IAV786186:IBA786186 IKR786186:IKW786186 IUN786186:IUS786186 JEJ786186:JEO786186 JOF786186:JOK786186 JYB786186:JYG786186 KHX786186:KIC786186 KRT786186:KRY786186 LBP786186:LBU786186 LLL786186:LLQ786186 LVH786186:LVM786186 MFD786186:MFI786186 MOZ786186:MPE786186 MYV786186:MZA786186 NIR786186:NIW786186 NSN786186:NSS786186 OCJ786186:OCO786186 OMF786186:OMK786186 OWB786186:OWG786186 PFX786186:PGC786186 PPT786186:PPY786186 PZP786186:PZU786186 QJL786186:QJQ786186 QTH786186:QTM786186 RDD786186:RDI786186 RMZ786186:RNE786186 RWV786186:RXA786186 SGR786186:SGW786186 SQN786186:SQS786186 TAJ786186:TAO786186 TKF786186:TKK786186 TUB786186:TUG786186 UDX786186:UEC786186 UNT786186:UNY786186 UXP786186:UXU786186 VHL786186:VHQ786186 VRH786186:VRM786186 WBD786186:WBI786186 WKZ786186:WLE786186 WUV786186:WVA786186 C851722:E851722 IJ851722:IO851722 SF851722:SK851722 ACB851722:ACG851722 ALX851722:AMC851722 AVT851722:AVY851722 BFP851722:BFU851722 BPL851722:BPQ851722 BZH851722:BZM851722 CJD851722:CJI851722 CSZ851722:CTE851722 DCV851722:DDA851722 DMR851722:DMW851722 DWN851722:DWS851722 EGJ851722:EGO851722 EQF851722:EQK851722 FAB851722:FAG851722 FJX851722:FKC851722 FTT851722:FTY851722 GDP851722:GDU851722 GNL851722:GNQ851722 GXH851722:GXM851722 HHD851722:HHI851722 HQZ851722:HRE851722 IAV851722:IBA851722 IKR851722:IKW851722 IUN851722:IUS851722 JEJ851722:JEO851722 JOF851722:JOK851722 JYB851722:JYG851722 KHX851722:KIC851722 KRT851722:KRY851722 LBP851722:LBU851722 LLL851722:LLQ851722 LVH851722:LVM851722 MFD851722:MFI851722 MOZ851722:MPE851722 MYV851722:MZA851722 NIR851722:NIW851722 NSN851722:NSS851722 OCJ851722:OCO851722 OMF851722:OMK851722 OWB851722:OWG851722 PFX851722:PGC851722 PPT851722:PPY851722 PZP851722:PZU851722 QJL851722:QJQ851722 QTH851722:QTM851722 RDD851722:RDI851722 RMZ851722:RNE851722 RWV851722:RXA851722 SGR851722:SGW851722 SQN851722:SQS851722 TAJ851722:TAO851722 TKF851722:TKK851722 TUB851722:TUG851722 UDX851722:UEC851722 UNT851722:UNY851722 UXP851722:UXU851722 VHL851722:VHQ851722 VRH851722:VRM851722 WBD851722:WBI851722 WKZ851722:WLE851722 WUV851722:WVA851722 C917258:E917258 IJ917258:IO917258 SF917258:SK917258 ACB917258:ACG917258 ALX917258:AMC917258 AVT917258:AVY917258 BFP917258:BFU917258 BPL917258:BPQ917258 BZH917258:BZM917258 CJD917258:CJI917258 CSZ917258:CTE917258 DCV917258:DDA917258 DMR917258:DMW917258 DWN917258:DWS917258 EGJ917258:EGO917258 EQF917258:EQK917258 FAB917258:FAG917258 FJX917258:FKC917258 FTT917258:FTY917258 GDP917258:GDU917258 GNL917258:GNQ917258 GXH917258:GXM917258 HHD917258:HHI917258 HQZ917258:HRE917258 IAV917258:IBA917258 IKR917258:IKW917258 IUN917258:IUS917258 JEJ917258:JEO917258 JOF917258:JOK917258 JYB917258:JYG917258 KHX917258:KIC917258 KRT917258:KRY917258 LBP917258:LBU917258 LLL917258:LLQ917258 LVH917258:LVM917258 MFD917258:MFI917258 MOZ917258:MPE917258 MYV917258:MZA917258 NIR917258:NIW917258 NSN917258:NSS917258 OCJ917258:OCO917258 OMF917258:OMK917258 OWB917258:OWG917258 PFX917258:PGC917258 PPT917258:PPY917258 PZP917258:PZU917258 QJL917258:QJQ917258 QTH917258:QTM917258 RDD917258:RDI917258 RMZ917258:RNE917258 RWV917258:RXA917258 SGR917258:SGW917258 SQN917258:SQS917258 TAJ917258:TAO917258 TKF917258:TKK917258 TUB917258:TUG917258 UDX917258:UEC917258 UNT917258:UNY917258 UXP917258:UXU917258 VHL917258:VHQ917258 VRH917258:VRM917258 WBD917258:WBI917258 WKZ917258:WLE917258 WUV917258:WVA917258 C982794:E982794 IJ982794:IO982794 SF982794:SK982794 ACB982794:ACG982794 ALX982794:AMC982794 AVT982794:AVY982794 BFP982794:BFU982794 BPL982794:BPQ982794 BZH982794:BZM982794 CJD982794:CJI982794 CSZ982794:CTE982794 DCV982794:DDA982794 DMR982794:DMW982794 DWN982794:DWS982794 EGJ982794:EGO982794 EQF982794:EQK982794 FAB982794:FAG982794 FJX982794:FKC982794 FTT982794:FTY982794 GDP982794:GDU982794 GNL982794:GNQ982794 GXH982794:GXM982794 HHD982794:HHI982794 HQZ982794:HRE982794 IAV982794:IBA982794 IKR982794:IKW982794 IUN982794:IUS982794 JEJ982794:JEO982794 JOF982794:JOK982794 JYB982794:JYG982794 KHX982794:KIC982794 KRT982794:KRY982794 LBP982794:LBU982794 LLL982794:LLQ982794 LVH982794:LVM982794 MFD982794:MFI982794 MOZ982794:MPE982794 MYV982794:MZA982794 NIR982794:NIW982794 NSN982794:NSS982794 OCJ982794:OCO982794 OMF982794:OMK982794 OWB982794:OWG982794 PFX982794:PGC982794 PPT982794:PPY982794 PZP982794:PZU982794 QJL982794:QJQ982794 QTH982794:QTM982794 RDD982794:RDI982794 RMZ982794:RNE982794 RWV982794:RXA982794 SGR982794:SGW982794 SQN982794:SQS982794 TAJ982794:TAO982794 TKF982794:TKK982794 TUB982794:TUG982794 UDX982794:UEC982794 UNT982794:UNY982794 UXP982794:UXU982794 VHL982794:VHQ982794 VRH982794:VRM982794 WBD982794:WBI982794 WKZ982794:WLE982794 C1:E1" xr:uid="{5E8F1D29-4024-4B32-BA18-CB151716127B}">
      <formula1>0</formula1>
      <formula2>30</formula2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14CD-08C0-4D4C-B92F-21A0E8AC5A07}">
  <dimension ref="A1:G563"/>
  <sheetViews>
    <sheetView topLeftCell="A290" workbookViewId="0">
      <selection activeCell="A314" sqref="A314:D314"/>
    </sheetView>
  </sheetViews>
  <sheetFormatPr defaultRowHeight="15" x14ac:dyDescent="0.25"/>
  <cols>
    <col min="1" max="1" width="19.28515625" style="5" bestFit="1" customWidth="1"/>
    <col min="2" max="2" width="10" style="5" bestFit="1" customWidth="1"/>
    <col min="3" max="3" width="20.7109375" style="7" bestFit="1" customWidth="1"/>
    <col min="4" max="4" width="25.85546875" style="7" customWidth="1"/>
    <col min="5" max="5" width="7.140625" style="7" bestFit="1" customWidth="1"/>
    <col min="6" max="6" width="14.28515625" bestFit="1" customWidth="1"/>
    <col min="242" max="242" width="27.28515625" bestFit="1" customWidth="1"/>
    <col min="243" max="243" width="6.5703125" bestFit="1" customWidth="1"/>
    <col min="244" max="245" width="28.140625" bestFit="1" customWidth="1"/>
    <col min="246" max="246" width="6.5703125" bestFit="1" customWidth="1"/>
    <col min="247" max="248" width="28.140625" bestFit="1" customWidth="1"/>
    <col min="249" max="249" width="38.42578125" bestFit="1" customWidth="1"/>
    <col min="250" max="250" width="33.7109375" bestFit="1" customWidth="1"/>
    <col min="251" max="251" width="32" bestFit="1" customWidth="1"/>
    <col min="253" max="253" width="16.85546875" bestFit="1" customWidth="1"/>
    <col min="254" max="254" width="25.85546875" bestFit="1" customWidth="1"/>
    <col min="498" max="498" width="27.28515625" bestFit="1" customWidth="1"/>
    <col min="499" max="499" width="6.5703125" bestFit="1" customWidth="1"/>
    <col min="500" max="501" width="28.140625" bestFit="1" customWidth="1"/>
    <col min="502" max="502" width="6.5703125" bestFit="1" customWidth="1"/>
    <col min="503" max="504" width="28.140625" bestFit="1" customWidth="1"/>
    <col min="505" max="505" width="38.42578125" bestFit="1" customWidth="1"/>
    <col min="506" max="506" width="33.7109375" bestFit="1" customWidth="1"/>
    <col min="507" max="507" width="32" bestFit="1" customWidth="1"/>
    <col min="509" max="509" width="16.85546875" bestFit="1" customWidth="1"/>
    <col min="510" max="510" width="25.85546875" bestFit="1" customWidth="1"/>
    <col min="754" max="754" width="27.28515625" bestFit="1" customWidth="1"/>
    <col min="755" max="755" width="6.5703125" bestFit="1" customWidth="1"/>
    <col min="756" max="757" width="28.140625" bestFit="1" customWidth="1"/>
    <col min="758" max="758" width="6.5703125" bestFit="1" customWidth="1"/>
    <col min="759" max="760" width="28.140625" bestFit="1" customWidth="1"/>
    <col min="761" max="761" width="38.42578125" bestFit="1" customWidth="1"/>
    <col min="762" max="762" width="33.7109375" bestFit="1" customWidth="1"/>
    <col min="763" max="763" width="32" bestFit="1" customWidth="1"/>
    <col min="765" max="765" width="16.85546875" bestFit="1" customWidth="1"/>
    <col min="766" max="766" width="25.85546875" bestFit="1" customWidth="1"/>
    <col min="1010" max="1010" width="27.28515625" bestFit="1" customWidth="1"/>
    <col min="1011" max="1011" width="6.5703125" bestFit="1" customWidth="1"/>
    <col min="1012" max="1013" width="28.140625" bestFit="1" customWidth="1"/>
    <col min="1014" max="1014" width="6.5703125" bestFit="1" customWidth="1"/>
    <col min="1015" max="1016" width="28.140625" bestFit="1" customWidth="1"/>
    <col min="1017" max="1017" width="38.42578125" bestFit="1" customWidth="1"/>
    <col min="1018" max="1018" width="33.7109375" bestFit="1" customWidth="1"/>
    <col min="1019" max="1019" width="32" bestFit="1" customWidth="1"/>
    <col min="1021" max="1021" width="16.85546875" bestFit="1" customWidth="1"/>
    <col min="1022" max="1022" width="25.85546875" bestFit="1" customWidth="1"/>
    <col min="1266" max="1266" width="27.28515625" bestFit="1" customWidth="1"/>
    <col min="1267" max="1267" width="6.5703125" bestFit="1" customWidth="1"/>
    <col min="1268" max="1269" width="28.140625" bestFit="1" customWidth="1"/>
    <col min="1270" max="1270" width="6.5703125" bestFit="1" customWidth="1"/>
    <col min="1271" max="1272" width="28.140625" bestFit="1" customWidth="1"/>
    <col min="1273" max="1273" width="38.42578125" bestFit="1" customWidth="1"/>
    <col min="1274" max="1274" width="33.7109375" bestFit="1" customWidth="1"/>
    <col min="1275" max="1275" width="32" bestFit="1" customWidth="1"/>
    <col min="1277" max="1277" width="16.85546875" bestFit="1" customWidth="1"/>
    <col min="1278" max="1278" width="25.85546875" bestFit="1" customWidth="1"/>
    <col min="1522" max="1522" width="27.28515625" bestFit="1" customWidth="1"/>
    <col min="1523" max="1523" width="6.5703125" bestFit="1" customWidth="1"/>
    <col min="1524" max="1525" width="28.140625" bestFit="1" customWidth="1"/>
    <col min="1526" max="1526" width="6.5703125" bestFit="1" customWidth="1"/>
    <col min="1527" max="1528" width="28.140625" bestFit="1" customWidth="1"/>
    <col min="1529" max="1529" width="38.42578125" bestFit="1" customWidth="1"/>
    <col min="1530" max="1530" width="33.7109375" bestFit="1" customWidth="1"/>
    <col min="1531" max="1531" width="32" bestFit="1" customWidth="1"/>
    <col min="1533" max="1533" width="16.85546875" bestFit="1" customWidth="1"/>
    <col min="1534" max="1534" width="25.85546875" bestFit="1" customWidth="1"/>
    <col min="1778" max="1778" width="27.28515625" bestFit="1" customWidth="1"/>
    <col min="1779" max="1779" width="6.5703125" bestFit="1" customWidth="1"/>
    <col min="1780" max="1781" width="28.140625" bestFit="1" customWidth="1"/>
    <col min="1782" max="1782" width="6.5703125" bestFit="1" customWidth="1"/>
    <col min="1783" max="1784" width="28.140625" bestFit="1" customWidth="1"/>
    <col min="1785" max="1785" width="38.42578125" bestFit="1" customWidth="1"/>
    <col min="1786" max="1786" width="33.7109375" bestFit="1" customWidth="1"/>
    <col min="1787" max="1787" width="32" bestFit="1" customWidth="1"/>
    <col min="1789" max="1789" width="16.85546875" bestFit="1" customWidth="1"/>
    <col min="1790" max="1790" width="25.85546875" bestFit="1" customWidth="1"/>
    <col min="2034" max="2034" width="27.28515625" bestFit="1" customWidth="1"/>
    <col min="2035" max="2035" width="6.5703125" bestFit="1" customWidth="1"/>
    <col min="2036" max="2037" width="28.140625" bestFit="1" customWidth="1"/>
    <col min="2038" max="2038" width="6.5703125" bestFit="1" customWidth="1"/>
    <col min="2039" max="2040" width="28.140625" bestFit="1" customWidth="1"/>
    <col min="2041" max="2041" width="38.42578125" bestFit="1" customWidth="1"/>
    <col min="2042" max="2042" width="33.7109375" bestFit="1" customWidth="1"/>
    <col min="2043" max="2043" width="32" bestFit="1" customWidth="1"/>
    <col min="2045" max="2045" width="16.85546875" bestFit="1" customWidth="1"/>
    <col min="2046" max="2046" width="25.85546875" bestFit="1" customWidth="1"/>
    <col min="2290" max="2290" width="27.28515625" bestFit="1" customWidth="1"/>
    <col min="2291" max="2291" width="6.5703125" bestFit="1" customWidth="1"/>
    <col min="2292" max="2293" width="28.140625" bestFit="1" customWidth="1"/>
    <col min="2294" max="2294" width="6.5703125" bestFit="1" customWidth="1"/>
    <col min="2295" max="2296" width="28.140625" bestFit="1" customWidth="1"/>
    <col min="2297" max="2297" width="38.42578125" bestFit="1" customWidth="1"/>
    <col min="2298" max="2298" width="33.7109375" bestFit="1" customWidth="1"/>
    <col min="2299" max="2299" width="32" bestFit="1" customWidth="1"/>
    <col min="2301" max="2301" width="16.85546875" bestFit="1" customWidth="1"/>
    <col min="2302" max="2302" width="25.85546875" bestFit="1" customWidth="1"/>
    <col min="2546" max="2546" width="27.28515625" bestFit="1" customWidth="1"/>
    <col min="2547" max="2547" width="6.5703125" bestFit="1" customWidth="1"/>
    <col min="2548" max="2549" width="28.140625" bestFit="1" customWidth="1"/>
    <col min="2550" max="2550" width="6.5703125" bestFit="1" customWidth="1"/>
    <col min="2551" max="2552" width="28.140625" bestFit="1" customWidth="1"/>
    <col min="2553" max="2553" width="38.42578125" bestFit="1" customWidth="1"/>
    <col min="2554" max="2554" width="33.7109375" bestFit="1" customWidth="1"/>
    <col min="2555" max="2555" width="32" bestFit="1" customWidth="1"/>
    <col min="2557" max="2557" width="16.85546875" bestFit="1" customWidth="1"/>
    <col min="2558" max="2558" width="25.85546875" bestFit="1" customWidth="1"/>
    <col min="2802" max="2802" width="27.28515625" bestFit="1" customWidth="1"/>
    <col min="2803" max="2803" width="6.5703125" bestFit="1" customWidth="1"/>
    <col min="2804" max="2805" width="28.140625" bestFit="1" customWidth="1"/>
    <col min="2806" max="2806" width="6.5703125" bestFit="1" customWidth="1"/>
    <col min="2807" max="2808" width="28.140625" bestFit="1" customWidth="1"/>
    <col min="2809" max="2809" width="38.42578125" bestFit="1" customWidth="1"/>
    <col min="2810" max="2810" width="33.7109375" bestFit="1" customWidth="1"/>
    <col min="2811" max="2811" width="32" bestFit="1" customWidth="1"/>
    <col min="2813" max="2813" width="16.85546875" bestFit="1" customWidth="1"/>
    <col min="2814" max="2814" width="25.85546875" bestFit="1" customWidth="1"/>
    <col min="3058" max="3058" width="27.28515625" bestFit="1" customWidth="1"/>
    <col min="3059" max="3059" width="6.5703125" bestFit="1" customWidth="1"/>
    <col min="3060" max="3061" width="28.140625" bestFit="1" customWidth="1"/>
    <col min="3062" max="3062" width="6.5703125" bestFit="1" customWidth="1"/>
    <col min="3063" max="3064" width="28.140625" bestFit="1" customWidth="1"/>
    <col min="3065" max="3065" width="38.42578125" bestFit="1" customWidth="1"/>
    <col min="3066" max="3066" width="33.7109375" bestFit="1" customWidth="1"/>
    <col min="3067" max="3067" width="32" bestFit="1" customWidth="1"/>
    <col min="3069" max="3069" width="16.85546875" bestFit="1" customWidth="1"/>
    <col min="3070" max="3070" width="25.85546875" bestFit="1" customWidth="1"/>
    <col min="3314" max="3314" width="27.28515625" bestFit="1" customWidth="1"/>
    <col min="3315" max="3315" width="6.5703125" bestFit="1" customWidth="1"/>
    <col min="3316" max="3317" width="28.140625" bestFit="1" customWidth="1"/>
    <col min="3318" max="3318" width="6.5703125" bestFit="1" customWidth="1"/>
    <col min="3319" max="3320" width="28.140625" bestFit="1" customWidth="1"/>
    <col min="3321" max="3321" width="38.42578125" bestFit="1" customWidth="1"/>
    <col min="3322" max="3322" width="33.7109375" bestFit="1" customWidth="1"/>
    <col min="3323" max="3323" width="32" bestFit="1" customWidth="1"/>
    <col min="3325" max="3325" width="16.85546875" bestFit="1" customWidth="1"/>
    <col min="3326" max="3326" width="25.85546875" bestFit="1" customWidth="1"/>
    <col min="3570" max="3570" width="27.28515625" bestFit="1" customWidth="1"/>
    <col min="3571" max="3571" width="6.5703125" bestFit="1" customWidth="1"/>
    <col min="3572" max="3573" width="28.140625" bestFit="1" customWidth="1"/>
    <col min="3574" max="3574" width="6.5703125" bestFit="1" customWidth="1"/>
    <col min="3575" max="3576" width="28.140625" bestFit="1" customWidth="1"/>
    <col min="3577" max="3577" width="38.42578125" bestFit="1" customWidth="1"/>
    <col min="3578" max="3578" width="33.7109375" bestFit="1" customWidth="1"/>
    <col min="3579" max="3579" width="32" bestFit="1" customWidth="1"/>
    <col min="3581" max="3581" width="16.85546875" bestFit="1" customWidth="1"/>
    <col min="3582" max="3582" width="25.85546875" bestFit="1" customWidth="1"/>
    <col min="3826" max="3826" width="27.28515625" bestFit="1" customWidth="1"/>
    <col min="3827" max="3827" width="6.5703125" bestFit="1" customWidth="1"/>
    <col min="3828" max="3829" width="28.140625" bestFit="1" customWidth="1"/>
    <col min="3830" max="3830" width="6.5703125" bestFit="1" customWidth="1"/>
    <col min="3831" max="3832" width="28.140625" bestFit="1" customWidth="1"/>
    <col min="3833" max="3833" width="38.42578125" bestFit="1" customWidth="1"/>
    <col min="3834" max="3834" width="33.7109375" bestFit="1" customWidth="1"/>
    <col min="3835" max="3835" width="32" bestFit="1" customWidth="1"/>
    <col min="3837" max="3837" width="16.85546875" bestFit="1" customWidth="1"/>
    <col min="3838" max="3838" width="25.85546875" bestFit="1" customWidth="1"/>
    <col min="4082" max="4082" width="27.28515625" bestFit="1" customWidth="1"/>
    <col min="4083" max="4083" width="6.5703125" bestFit="1" customWidth="1"/>
    <col min="4084" max="4085" width="28.140625" bestFit="1" customWidth="1"/>
    <col min="4086" max="4086" width="6.5703125" bestFit="1" customWidth="1"/>
    <col min="4087" max="4088" width="28.140625" bestFit="1" customWidth="1"/>
    <col min="4089" max="4089" width="38.42578125" bestFit="1" customWidth="1"/>
    <col min="4090" max="4090" width="33.7109375" bestFit="1" customWidth="1"/>
    <col min="4091" max="4091" width="32" bestFit="1" customWidth="1"/>
    <col min="4093" max="4093" width="16.85546875" bestFit="1" customWidth="1"/>
    <col min="4094" max="4094" width="25.85546875" bestFit="1" customWidth="1"/>
    <col min="4338" max="4338" width="27.28515625" bestFit="1" customWidth="1"/>
    <col min="4339" max="4339" width="6.5703125" bestFit="1" customWidth="1"/>
    <col min="4340" max="4341" width="28.140625" bestFit="1" customWidth="1"/>
    <col min="4342" max="4342" width="6.5703125" bestFit="1" customWidth="1"/>
    <col min="4343" max="4344" width="28.140625" bestFit="1" customWidth="1"/>
    <col min="4345" max="4345" width="38.42578125" bestFit="1" customWidth="1"/>
    <col min="4346" max="4346" width="33.7109375" bestFit="1" customWidth="1"/>
    <col min="4347" max="4347" width="32" bestFit="1" customWidth="1"/>
    <col min="4349" max="4349" width="16.85546875" bestFit="1" customWidth="1"/>
    <col min="4350" max="4350" width="25.85546875" bestFit="1" customWidth="1"/>
    <col min="4594" max="4594" width="27.28515625" bestFit="1" customWidth="1"/>
    <col min="4595" max="4595" width="6.5703125" bestFit="1" customWidth="1"/>
    <col min="4596" max="4597" width="28.140625" bestFit="1" customWidth="1"/>
    <col min="4598" max="4598" width="6.5703125" bestFit="1" customWidth="1"/>
    <col min="4599" max="4600" width="28.140625" bestFit="1" customWidth="1"/>
    <col min="4601" max="4601" width="38.42578125" bestFit="1" customWidth="1"/>
    <col min="4602" max="4602" width="33.7109375" bestFit="1" customWidth="1"/>
    <col min="4603" max="4603" width="32" bestFit="1" customWidth="1"/>
    <col min="4605" max="4605" width="16.85546875" bestFit="1" customWidth="1"/>
    <col min="4606" max="4606" width="25.85546875" bestFit="1" customWidth="1"/>
    <col min="4850" max="4850" width="27.28515625" bestFit="1" customWidth="1"/>
    <col min="4851" max="4851" width="6.5703125" bestFit="1" customWidth="1"/>
    <col min="4852" max="4853" width="28.140625" bestFit="1" customWidth="1"/>
    <col min="4854" max="4854" width="6.5703125" bestFit="1" customWidth="1"/>
    <col min="4855" max="4856" width="28.140625" bestFit="1" customWidth="1"/>
    <col min="4857" max="4857" width="38.42578125" bestFit="1" customWidth="1"/>
    <col min="4858" max="4858" width="33.7109375" bestFit="1" customWidth="1"/>
    <col min="4859" max="4859" width="32" bestFit="1" customWidth="1"/>
    <col min="4861" max="4861" width="16.85546875" bestFit="1" customWidth="1"/>
    <col min="4862" max="4862" width="25.85546875" bestFit="1" customWidth="1"/>
    <col min="5106" max="5106" width="27.28515625" bestFit="1" customWidth="1"/>
    <col min="5107" max="5107" width="6.5703125" bestFit="1" customWidth="1"/>
    <col min="5108" max="5109" width="28.140625" bestFit="1" customWidth="1"/>
    <col min="5110" max="5110" width="6.5703125" bestFit="1" customWidth="1"/>
    <col min="5111" max="5112" width="28.140625" bestFit="1" customWidth="1"/>
    <col min="5113" max="5113" width="38.42578125" bestFit="1" customWidth="1"/>
    <col min="5114" max="5114" width="33.7109375" bestFit="1" customWidth="1"/>
    <col min="5115" max="5115" width="32" bestFit="1" customWidth="1"/>
    <col min="5117" max="5117" width="16.85546875" bestFit="1" customWidth="1"/>
    <col min="5118" max="5118" width="25.85546875" bestFit="1" customWidth="1"/>
    <col min="5362" max="5362" width="27.28515625" bestFit="1" customWidth="1"/>
    <col min="5363" max="5363" width="6.5703125" bestFit="1" customWidth="1"/>
    <col min="5364" max="5365" width="28.140625" bestFit="1" customWidth="1"/>
    <col min="5366" max="5366" width="6.5703125" bestFit="1" customWidth="1"/>
    <col min="5367" max="5368" width="28.140625" bestFit="1" customWidth="1"/>
    <col min="5369" max="5369" width="38.42578125" bestFit="1" customWidth="1"/>
    <col min="5370" max="5370" width="33.7109375" bestFit="1" customWidth="1"/>
    <col min="5371" max="5371" width="32" bestFit="1" customWidth="1"/>
    <col min="5373" max="5373" width="16.85546875" bestFit="1" customWidth="1"/>
    <col min="5374" max="5374" width="25.85546875" bestFit="1" customWidth="1"/>
    <col min="5618" max="5618" width="27.28515625" bestFit="1" customWidth="1"/>
    <col min="5619" max="5619" width="6.5703125" bestFit="1" customWidth="1"/>
    <col min="5620" max="5621" width="28.140625" bestFit="1" customWidth="1"/>
    <col min="5622" max="5622" width="6.5703125" bestFit="1" customWidth="1"/>
    <col min="5623" max="5624" width="28.140625" bestFit="1" customWidth="1"/>
    <col min="5625" max="5625" width="38.42578125" bestFit="1" customWidth="1"/>
    <col min="5626" max="5626" width="33.7109375" bestFit="1" customWidth="1"/>
    <col min="5627" max="5627" width="32" bestFit="1" customWidth="1"/>
    <col min="5629" max="5629" width="16.85546875" bestFit="1" customWidth="1"/>
    <col min="5630" max="5630" width="25.85546875" bestFit="1" customWidth="1"/>
    <col min="5874" max="5874" width="27.28515625" bestFit="1" customWidth="1"/>
    <col min="5875" max="5875" width="6.5703125" bestFit="1" customWidth="1"/>
    <col min="5876" max="5877" width="28.140625" bestFit="1" customWidth="1"/>
    <col min="5878" max="5878" width="6.5703125" bestFit="1" customWidth="1"/>
    <col min="5879" max="5880" width="28.140625" bestFit="1" customWidth="1"/>
    <col min="5881" max="5881" width="38.42578125" bestFit="1" customWidth="1"/>
    <col min="5882" max="5882" width="33.7109375" bestFit="1" customWidth="1"/>
    <col min="5883" max="5883" width="32" bestFit="1" customWidth="1"/>
    <col min="5885" max="5885" width="16.85546875" bestFit="1" customWidth="1"/>
    <col min="5886" max="5886" width="25.85546875" bestFit="1" customWidth="1"/>
    <col min="6130" max="6130" width="27.28515625" bestFit="1" customWidth="1"/>
    <col min="6131" max="6131" width="6.5703125" bestFit="1" customWidth="1"/>
    <col min="6132" max="6133" width="28.140625" bestFit="1" customWidth="1"/>
    <col min="6134" max="6134" width="6.5703125" bestFit="1" customWidth="1"/>
    <col min="6135" max="6136" width="28.140625" bestFit="1" customWidth="1"/>
    <col min="6137" max="6137" width="38.42578125" bestFit="1" customWidth="1"/>
    <col min="6138" max="6138" width="33.7109375" bestFit="1" customWidth="1"/>
    <col min="6139" max="6139" width="32" bestFit="1" customWidth="1"/>
    <col min="6141" max="6141" width="16.85546875" bestFit="1" customWidth="1"/>
    <col min="6142" max="6142" width="25.85546875" bestFit="1" customWidth="1"/>
    <col min="6386" max="6386" width="27.28515625" bestFit="1" customWidth="1"/>
    <col min="6387" max="6387" width="6.5703125" bestFit="1" customWidth="1"/>
    <col min="6388" max="6389" width="28.140625" bestFit="1" customWidth="1"/>
    <col min="6390" max="6390" width="6.5703125" bestFit="1" customWidth="1"/>
    <col min="6391" max="6392" width="28.140625" bestFit="1" customWidth="1"/>
    <col min="6393" max="6393" width="38.42578125" bestFit="1" customWidth="1"/>
    <col min="6394" max="6394" width="33.7109375" bestFit="1" customWidth="1"/>
    <col min="6395" max="6395" width="32" bestFit="1" customWidth="1"/>
    <col min="6397" max="6397" width="16.85546875" bestFit="1" customWidth="1"/>
    <col min="6398" max="6398" width="25.85546875" bestFit="1" customWidth="1"/>
    <col min="6642" max="6642" width="27.28515625" bestFit="1" customWidth="1"/>
    <col min="6643" max="6643" width="6.5703125" bestFit="1" customWidth="1"/>
    <col min="6644" max="6645" width="28.140625" bestFit="1" customWidth="1"/>
    <col min="6646" max="6646" width="6.5703125" bestFit="1" customWidth="1"/>
    <col min="6647" max="6648" width="28.140625" bestFit="1" customWidth="1"/>
    <col min="6649" max="6649" width="38.42578125" bestFit="1" customWidth="1"/>
    <col min="6650" max="6650" width="33.7109375" bestFit="1" customWidth="1"/>
    <col min="6651" max="6651" width="32" bestFit="1" customWidth="1"/>
    <col min="6653" max="6653" width="16.85546875" bestFit="1" customWidth="1"/>
    <col min="6654" max="6654" width="25.85546875" bestFit="1" customWidth="1"/>
    <col min="6898" max="6898" width="27.28515625" bestFit="1" customWidth="1"/>
    <col min="6899" max="6899" width="6.5703125" bestFit="1" customWidth="1"/>
    <col min="6900" max="6901" width="28.140625" bestFit="1" customWidth="1"/>
    <col min="6902" max="6902" width="6.5703125" bestFit="1" customWidth="1"/>
    <col min="6903" max="6904" width="28.140625" bestFit="1" customWidth="1"/>
    <col min="6905" max="6905" width="38.42578125" bestFit="1" customWidth="1"/>
    <col min="6906" max="6906" width="33.7109375" bestFit="1" customWidth="1"/>
    <col min="6907" max="6907" width="32" bestFit="1" customWidth="1"/>
    <col min="6909" max="6909" width="16.85546875" bestFit="1" customWidth="1"/>
    <col min="6910" max="6910" width="25.85546875" bestFit="1" customWidth="1"/>
    <col min="7154" max="7154" width="27.28515625" bestFit="1" customWidth="1"/>
    <col min="7155" max="7155" width="6.5703125" bestFit="1" customWidth="1"/>
    <col min="7156" max="7157" width="28.140625" bestFit="1" customWidth="1"/>
    <col min="7158" max="7158" width="6.5703125" bestFit="1" customWidth="1"/>
    <col min="7159" max="7160" width="28.140625" bestFit="1" customWidth="1"/>
    <col min="7161" max="7161" width="38.42578125" bestFit="1" customWidth="1"/>
    <col min="7162" max="7162" width="33.7109375" bestFit="1" customWidth="1"/>
    <col min="7163" max="7163" width="32" bestFit="1" customWidth="1"/>
    <col min="7165" max="7165" width="16.85546875" bestFit="1" customWidth="1"/>
    <col min="7166" max="7166" width="25.85546875" bestFit="1" customWidth="1"/>
    <col min="7410" max="7410" width="27.28515625" bestFit="1" customWidth="1"/>
    <col min="7411" max="7411" width="6.5703125" bestFit="1" customWidth="1"/>
    <col min="7412" max="7413" width="28.140625" bestFit="1" customWidth="1"/>
    <col min="7414" max="7414" width="6.5703125" bestFit="1" customWidth="1"/>
    <col min="7415" max="7416" width="28.140625" bestFit="1" customWidth="1"/>
    <col min="7417" max="7417" width="38.42578125" bestFit="1" customWidth="1"/>
    <col min="7418" max="7418" width="33.7109375" bestFit="1" customWidth="1"/>
    <col min="7419" max="7419" width="32" bestFit="1" customWidth="1"/>
    <col min="7421" max="7421" width="16.85546875" bestFit="1" customWidth="1"/>
    <col min="7422" max="7422" width="25.85546875" bestFit="1" customWidth="1"/>
    <col min="7666" max="7666" width="27.28515625" bestFit="1" customWidth="1"/>
    <col min="7667" max="7667" width="6.5703125" bestFit="1" customWidth="1"/>
    <col min="7668" max="7669" width="28.140625" bestFit="1" customWidth="1"/>
    <col min="7670" max="7670" width="6.5703125" bestFit="1" customWidth="1"/>
    <col min="7671" max="7672" width="28.140625" bestFit="1" customWidth="1"/>
    <col min="7673" max="7673" width="38.42578125" bestFit="1" customWidth="1"/>
    <col min="7674" max="7674" width="33.7109375" bestFit="1" customWidth="1"/>
    <col min="7675" max="7675" width="32" bestFit="1" customWidth="1"/>
    <col min="7677" max="7677" width="16.85546875" bestFit="1" customWidth="1"/>
    <col min="7678" max="7678" width="25.85546875" bestFit="1" customWidth="1"/>
    <col min="7922" max="7922" width="27.28515625" bestFit="1" customWidth="1"/>
    <col min="7923" max="7923" width="6.5703125" bestFit="1" customWidth="1"/>
    <col min="7924" max="7925" width="28.140625" bestFit="1" customWidth="1"/>
    <col min="7926" max="7926" width="6.5703125" bestFit="1" customWidth="1"/>
    <col min="7927" max="7928" width="28.140625" bestFit="1" customWidth="1"/>
    <col min="7929" max="7929" width="38.42578125" bestFit="1" customWidth="1"/>
    <col min="7930" max="7930" width="33.7109375" bestFit="1" customWidth="1"/>
    <col min="7931" max="7931" width="32" bestFit="1" customWidth="1"/>
    <col min="7933" max="7933" width="16.85546875" bestFit="1" customWidth="1"/>
    <col min="7934" max="7934" width="25.85546875" bestFit="1" customWidth="1"/>
    <col min="8178" max="8178" width="27.28515625" bestFit="1" customWidth="1"/>
    <col min="8179" max="8179" width="6.5703125" bestFit="1" customWidth="1"/>
    <col min="8180" max="8181" width="28.140625" bestFit="1" customWidth="1"/>
    <col min="8182" max="8182" width="6.5703125" bestFit="1" customWidth="1"/>
    <col min="8183" max="8184" width="28.140625" bestFit="1" customWidth="1"/>
    <col min="8185" max="8185" width="38.42578125" bestFit="1" customWidth="1"/>
    <col min="8186" max="8186" width="33.7109375" bestFit="1" customWidth="1"/>
    <col min="8187" max="8187" width="32" bestFit="1" customWidth="1"/>
    <col min="8189" max="8189" width="16.85546875" bestFit="1" customWidth="1"/>
    <col min="8190" max="8190" width="25.85546875" bestFit="1" customWidth="1"/>
    <col min="8434" max="8434" width="27.28515625" bestFit="1" customWidth="1"/>
    <col min="8435" max="8435" width="6.5703125" bestFit="1" customWidth="1"/>
    <col min="8436" max="8437" width="28.140625" bestFit="1" customWidth="1"/>
    <col min="8438" max="8438" width="6.5703125" bestFit="1" customWidth="1"/>
    <col min="8439" max="8440" width="28.140625" bestFit="1" customWidth="1"/>
    <col min="8441" max="8441" width="38.42578125" bestFit="1" customWidth="1"/>
    <col min="8442" max="8442" width="33.7109375" bestFit="1" customWidth="1"/>
    <col min="8443" max="8443" width="32" bestFit="1" customWidth="1"/>
    <col min="8445" max="8445" width="16.85546875" bestFit="1" customWidth="1"/>
    <col min="8446" max="8446" width="25.85546875" bestFit="1" customWidth="1"/>
    <col min="8690" max="8690" width="27.28515625" bestFit="1" customWidth="1"/>
    <col min="8691" max="8691" width="6.5703125" bestFit="1" customWidth="1"/>
    <col min="8692" max="8693" width="28.140625" bestFit="1" customWidth="1"/>
    <col min="8694" max="8694" width="6.5703125" bestFit="1" customWidth="1"/>
    <col min="8695" max="8696" width="28.140625" bestFit="1" customWidth="1"/>
    <col min="8697" max="8697" width="38.42578125" bestFit="1" customWidth="1"/>
    <col min="8698" max="8698" width="33.7109375" bestFit="1" customWidth="1"/>
    <col min="8699" max="8699" width="32" bestFit="1" customWidth="1"/>
    <col min="8701" max="8701" width="16.85546875" bestFit="1" customWidth="1"/>
    <col min="8702" max="8702" width="25.85546875" bestFit="1" customWidth="1"/>
    <col min="8946" max="8946" width="27.28515625" bestFit="1" customWidth="1"/>
    <col min="8947" max="8947" width="6.5703125" bestFit="1" customWidth="1"/>
    <col min="8948" max="8949" width="28.140625" bestFit="1" customWidth="1"/>
    <col min="8950" max="8950" width="6.5703125" bestFit="1" customWidth="1"/>
    <col min="8951" max="8952" width="28.140625" bestFit="1" customWidth="1"/>
    <col min="8953" max="8953" width="38.42578125" bestFit="1" customWidth="1"/>
    <col min="8954" max="8954" width="33.7109375" bestFit="1" customWidth="1"/>
    <col min="8955" max="8955" width="32" bestFit="1" customWidth="1"/>
    <col min="8957" max="8957" width="16.85546875" bestFit="1" customWidth="1"/>
    <col min="8958" max="8958" width="25.85546875" bestFit="1" customWidth="1"/>
    <col min="9202" max="9202" width="27.28515625" bestFit="1" customWidth="1"/>
    <col min="9203" max="9203" width="6.5703125" bestFit="1" customWidth="1"/>
    <col min="9204" max="9205" width="28.140625" bestFit="1" customWidth="1"/>
    <col min="9206" max="9206" width="6.5703125" bestFit="1" customWidth="1"/>
    <col min="9207" max="9208" width="28.140625" bestFit="1" customWidth="1"/>
    <col min="9209" max="9209" width="38.42578125" bestFit="1" customWidth="1"/>
    <col min="9210" max="9210" width="33.7109375" bestFit="1" customWidth="1"/>
    <col min="9211" max="9211" width="32" bestFit="1" customWidth="1"/>
    <col min="9213" max="9213" width="16.85546875" bestFit="1" customWidth="1"/>
    <col min="9214" max="9214" width="25.85546875" bestFit="1" customWidth="1"/>
    <col min="9458" max="9458" width="27.28515625" bestFit="1" customWidth="1"/>
    <col min="9459" max="9459" width="6.5703125" bestFit="1" customWidth="1"/>
    <col min="9460" max="9461" width="28.140625" bestFit="1" customWidth="1"/>
    <col min="9462" max="9462" width="6.5703125" bestFit="1" customWidth="1"/>
    <col min="9463" max="9464" width="28.140625" bestFit="1" customWidth="1"/>
    <col min="9465" max="9465" width="38.42578125" bestFit="1" customWidth="1"/>
    <col min="9466" max="9466" width="33.7109375" bestFit="1" customWidth="1"/>
    <col min="9467" max="9467" width="32" bestFit="1" customWidth="1"/>
    <col min="9469" max="9469" width="16.85546875" bestFit="1" customWidth="1"/>
    <col min="9470" max="9470" width="25.85546875" bestFit="1" customWidth="1"/>
    <col min="9714" max="9714" width="27.28515625" bestFit="1" customWidth="1"/>
    <col min="9715" max="9715" width="6.5703125" bestFit="1" customWidth="1"/>
    <col min="9716" max="9717" width="28.140625" bestFit="1" customWidth="1"/>
    <col min="9718" max="9718" width="6.5703125" bestFit="1" customWidth="1"/>
    <col min="9719" max="9720" width="28.140625" bestFit="1" customWidth="1"/>
    <col min="9721" max="9721" width="38.42578125" bestFit="1" customWidth="1"/>
    <col min="9722" max="9722" width="33.7109375" bestFit="1" customWidth="1"/>
    <col min="9723" max="9723" width="32" bestFit="1" customWidth="1"/>
    <col min="9725" max="9725" width="16.85546875" bestFit="1" customWidth="1"/>
    <col min="9726" max="9726" width="25.85546875" bestFit="1" customWidth="1"/>
    <col min="9970" max="9970" width="27.28515625" bestFit="1" customWidth="1"/>
    <col min="9971" max="9971" width="6.5703125" bestFit="1" customWidth="1"/>
    <col min="9972" max="9973" width="28.140625" bestFit="1" customWidth="1"/>
    <col min="9974" max="9974" width="6.5703125" bestFit="1" customWidth="1"/>
    <col min="9975" max="9976" width="28.140625" bestFit="1" customWidth="1"/>
    <col min="9977" max="9977" width="38.42578125" bestFit="1" customWidth="1"/>
    <col min="9978" max="9978" width="33.7109375" bestFit="1" customWidth="1"/>
    <col min="9979" max="9979" width="32" bestFit="1" customWidth="1"/>
    <col min="9981" max="9981" width="16.85546875" bestFit="1" customWidth="1"/>
    <col min="9982" max="9982" width="25.85546875" bestFit="1" customWidth="1"/>
    <col min="10226" max="10226" width="27.28515625" bestFit="1" customWidth="1"/>
    <col min="10227" max="10227" width="6.5703125" bestFit="1" customWidth="1"/>
    <col min="10228" max="10229" width="28.140625" bestFit="1" customWidth="1"/>
    <col min="10230" max="10230" width="6.5703125" bestFit="1" customWidth="1"/>
    <col min="10231" max="10232" width="28.140625" bestFit="1" customWidth="1"/>
    <col min="10233" max="10233" width="38.42578125" bestFit="1" customWidth="1"/>
    <col min="10234" max="10234" width="33.7109375" bestFit="1" customWidth="1"/>
    <col min="10235" max="10235" width="32" bestFit="1" customWidth="1"/>
    <col min="10237" max="10237" width="16.85546875" bestFit="1" customWidth="1"/>
    <col min="10238" max="10238" width="25.85546875" bestFit="1" customWidth="1"/>
    <col min="10482" max="10482" width="27.28515625" bestFit="1" customWidth="1"/>
    <col min="10483" max="10483" width="6.5703125" bestFit="1" customWidth="1"/>
    <col min="10484" max="10485" width="28.140625" bestFit="1" customWidth="1"/>
    <col min="10486" max="10486" width="6.5703125" bestFit="1" customWidth="1"/>
    <col min="10487" max="10488" width="28.140625" bestFit="1" customWidth="1"/>
    <col min="10489" max="10489" width="38.42578125" bestFit="1" customWidth="1"/>
    <col min="10490" max="10490" width="33.7109375" bestFit="1" customWidth="1"/>
    <col min="10491" max="10491" width="32" bestFit="1" customWidth="1"/>
    <col min="10493" max="10493" width="16.85546875" bestFit="1" customWidth="1"/>
    <col min="10494" max="10494" width="25.85546875" bestFit="1" customWidth="1"/>
    <col min="10738" max="10738" width="27.28515625" bestFit="1" customWidth="1"/>
    <col min="10739" max="10739" width="6.5703125" bestFit="1" customWidth="1"/>
    <col min="10740" max="10741" width="28.140625" bestFit="1" customWidth="1"/>
    <col min="10742" max="10742" width="6.5703125" bestFit="1" customWidth="1"/>
    <col min="10743" max="10744" width="28.140625" bestFit="1" customWidth="1"/>
    <col min="10745" max="10745" width="38.42578125" bestFit="1" customWidth="1"/>
    <col min="10746" max="10746" width="33.7109375" bestFit="1" customWidth="1"/>
    <col min="10747" max="10747" width="32" bestFit="1" customWidth="1"/>
    <col min="10749" max="10749" width="16.85546875" bestFit="1" customWidth="1"/>
    <col min="10750" max="10750" width="25.85546875" bestFit="1" customWidth="1"/>
    <col min="10994" max="10994" width="27.28515625" bestFit="1" customWidth="1"/>
    <col min="10995" max="10995" width="6.5703125" bestFit="1" customWidth="1"/>
    <col min="10996" max="10997" width="28.140625" bestFit="1" customWidth="1"/>
    <col min="10998" max="10998" width="6.5703125" bestFit="1" customWidth="1"/>
    <col min="10999" max="11000" width="28.140625" bestFit="1" customWidth="1"/>
    <col min="11001" max="11001" width="38.42578125" bestFit="1" customWidth="1"/>
    <col min="11002" max="11002" width="33.7109375" bestFit="1" customWidth="1"/>
    <col min="11003" max="11003" width="32" bestFit="1" customWidth="1"/>
    <col min="11005" max="11005" width="16.85546875" bestFit="1" customWidth="1"/>
    <col min="11006" max="11006" width="25.85546875" bestFit="1" customWidth="1"/>
    <col min="11250" max="11250" width="27.28515625" bestFit="1" customWidth="1"/>
    <col min="11251" max="11251" width="6.5703125" bestFit="1" customWidth="1"/>
    <col min="11252" max="11253" width="28.140625" bestFit="1" customWidth="1"/>
    <col min="11254" max="11254" width="6.5703125" bestFit="1" customWidth="1"/>
    <col min="11255" max="11256" width="28.140625" bestFit="1" customWidth="1"/>
    <col min="11257" max="11257" width="38.42578125" bestFit="1" customWidth="1"/>
    <col min="11258" max="11258" width="33.7109375" bestFit="1" customWidth="1"/>
    <col min="11259" max="11259" width="32" bestFit="1" customWidth="1"/>
    <col min="11261" max="11261" width="16.85546875" bestFit="1" customWidth="1"/>
    <col min="11262" max="11262" width="25.85546875" bestFit="1" customWidth="1"/>
    <col min="11506" max="11506" width="27.28515625" bestFit="1" customWidth="1"/>
    <col min="11507" max="11507" width="6.5703125" bestFit="1" customWidth="1"/>
    <col min="11508" max="11509" width="28.140625" bestFit="1" customWidth="1"/>
    <col min="11510" max="11510" width="6.5703125" bestFit="1" customWidth="1"/>
    <col min="11511" max="11512" width="28.140625" bestFit="1" customWidth="1"/>
    <col min="11513" max="11513" width="38.42578125" bestFit="1" customWidth="1"/>
    <col min="11514" max="11514" width="33.7109375" bestFit="1" customWidth="1"/>
    <col min="11515" max="11515" width="32" bestFit="1" customWidth="1"/>
    <col min="11517" max="11517" width="16.85546875" bestFit="1" customWidth="1"/>
    <col min="11518" max="11518" width="25.85546875" bestFit="1" customWidth="1"/>
    <col min="11762" max="11762" width="27.28515625" bestFit="1" customWidth="1"/>
    <col min="11763" max="11763" width="6.5703125" bestFit="1" customWidth="1"/>
    <col min="11764" max="11765" width="28.140625" bestFit="1" customWidth="1"/>
    <col min="11766" max="11766" width="6.5703125" bestFit="1" customWidth="1"/>
    <col min="11767" max="11768" width="28.140625" bestFit="1" customWidth="1"/>
    <col min="11769" max="11769" width="38.42578125" bestFit="1" customWidth="1"/>
    <col min="11770" max="11770" width="33.7109375" bestFit="1" customWidth="1"/>
    <col min="11771" max="11771" width="32" bestFit="1" customWidth="1"/>
    <col min="11773" max="11773" width="16.85546875" bestFit="1" customWidth="1"/>
    <col min="11774" max="11774" width="25.85546875" bestFit="1" customWidth="1"/>
    <col min="12018" max="12018" width="27.28515625" bestFit="1" customWidth="1"/>
    <col min="12019" max="12019" width="6.5703125" bestFit="1" customWidth="1"/>
    <col min="12020" max="12021" width="28.140625" bestFit="1" customWidth="1"/>
    <col min="12022" max="12022" width="6.5703125" bestFit="1" customWidth="1"/>
    <col min="12023" max="12024" width="28.140625" bestFit="1" customWidth="1"/>
    <col min="12025" max="12025" width="38.42578125" bestFit="1" customWidth="1"/>
    <col min="12026" max="12026" width="33.7109375" bestFit="1" customWidth="1"/>
    <col min="12027" max="12027" width="32" bestFit="1" customWidth="1"/>
    <col min="12029" max="12029" width="16.85546875" bestFit="1" customWidth="1"/>
    <col min="12030" max="12030" width="25.85546875" bestFit="1" customWidth="1"/>
    <col min="12274" max="12274" width="27.28515625" bestFit="1" customWidth="1"/>
    <col min="12275" max="12275" width="6.5703125" bestFit="1" customWidth="1"/>
    <col min="12276" max="12277" width="28.140625" bestFit="1" customWidth="1"/>
    <col min="12278" max="12278" width="6.5703125" bestFit="1" customWidth="1"/>
    <col min="12279" max="12280" width="28.140625" bestFit="1" customWidth="1"/>
    <col min="12281" max="12281" width="38.42578125" bestFit="1" customWidth="1"/>
    <col min="12282" max="12282" width="33.7109375" bestFit="1" customWidth="1"/>
    <col min="12283" max="12283" width="32" bestFit="1" customWidth="1"/>
    <col min="12285" max="12285" width="16.85546875" bestFit="1" customWidth="1"/>
    <col min="12286" max="12286" width="25.85546875" bestFit="1" customWidth="1"/>
    <col min="12530" max="12530" width="27.28515625" bestFit="1" customWidth="1"/>
    <col min="12531" max="12531" width="6.5703125" bestFit="1" customWidth="1"/>
    <col min="12532" max="12533" width="28.140625" bestFit="1" customWidth="1"/>
    <col min="12534" max="12534" width="6.5703125" bestFit="1" customWidth="1"/>
    <col min="12535" max="12536" width="28.140625" bestFit="1" customWidth="1"/>
    <col min="12537" max="12537" width="38.42578125" bestFit="1" customWidth="1"/>
    <col min="12538" max="12538" width="33.7109375" bestFit="1" customWidth="1"/>
    <col min="12539" max="12539" width="32" bestFit="1" customWidth="1"/>
    <col min="12541" max="12541" width="16.85546875" bestFit="1" customWidth="1"/>
    <col min="12542" max="12542" width="25.85546875" bestFit="1" customWidth="1"/>
    <col min="12786" max="12786" width="27.28515625" bestFit="1" customWidth="1"/>
    <col min="12787" max="12787" width="6.5703125" bestFit="1" customWidth="1"/>
    <col min="12788" max="12789" width="28.140625" bestFit="1" customWidth="1"/>
    <col min="12790" max="12790" width="6.5703125" bestFit="1" customWidth="1"/>
    <col min="12791" max="12792" width="28.140625" bestFit="1" customWidth="1"/>
    <col min="12793" max="12793" width="38.42578125" bestFit="1" customWidth="1"/>
    <col min="12794" max="12794" width="33.7109375" bestFit="1" customWidth="1"/>
    <col min="12795" max="12795" width="32" bestFit="1" customWidth="1"/>
    <col min="12797" max="12797" width="16.85546875" bestFit="1" customWidth="1"/>
    <col min="12798" max="12798" width="25.85546875" bestFit="1" customWidth="1"/>
    <col min="13042" max="13042" width="27.28515625" bestFit="1" customWidth="1"/>
    <col min="13043" max="13043" width="6.5703125" bestFit="1" customWidth="1"/>
    <col min="13044" max="13045" width="28.140625" bestFit="1" customWidth="1"/>
    <col min="13046" max="13046" width="6.5703125" bestFit="1" customWidth="1"/>
    <col min="13047" max="13048" width="28.140625" bestFit="1" customWidth="1"/>
    <col min="13049" max="13049" width="38.42578125" bestFit="1" customWidth="1"/>
    <col min="13050" max="13050" width="33.7109375" bestFit="1" customWidth="1"/>
    <col min="13051" max="13051" width="32" bestFit="1" customWidth="1"/>
    <col min="13053" max="13053" width="16.85546875" bestFit="1" customWidth="1"/>
    <col min="13054" max="13054" width="25.85546875" bestFit="1" customWidth="1"/>
    <col min="13298" max="13298" width="27.28515625" bestFit="1" customWidth="1"/>
    <col min="13299" max="13299" width="6.5703125" bestFit="1" customWidth="1"/>
    <col min="13300" max="13301" width="28.140625" bestFit="1" customWidth="1"/>
    <col min="13302" max="13302" width="6.5703125" bestFit="1" customWidth="1"/>
    <col min="13303" max="13304" width="28.140625" bestFit="1" customWidth="1"/>
    <col min="13305" max="13305" width="38.42578125" bestFit="1" customWidth="1"/>
    <col min="13306" max="13306" width="33.7109375" bestFit="1" customWidth="1"/>
    <col min="13307" max="13307" width="32" bestFit="1" customWidth="1"/>
    <col min="13309" max="13309" width="16.85546875" bestFit="1" customWidth="1"/>
    <col min="13310" max="13310" width="25.85546875" bestFit="1" customWidth="1"/>
    <col min="13554" max="13554" width="27.28515625" bestFit="1" customWidth="1"/>
    <col min="13555" max="13555" width="6.5703125" bestFit="1" customWidth="1"/>
    <col min="13556" max="13557" width="28.140625" bestFit="1" customWidth="1"/>
    <col min="13558" max="13558" width="6.5703125" bestFit="1" customWidth="1"/>
    <col min="13559" max="13560" width="28.140625" bestFit="1" customWidth="1"/>
    <col min="13561" max="13561" width="38.42578125" bestFit="1" customWidth="1"/>
    <col min="13562" max="13562" width="33.7109375" bestFit="1" customWidth="1"/>
    <col min="13563" max="13563" width="32" bestFit="1" customWidth="1"/>
    <col min="13565" max="13565" width="16.85546875" bestFit="1" customWidth="1"/>
    <col min="13566" max="13566" width="25.85546875" bestFit="1" customWidth="1"/>
    <col min="13810" max="13810" width="27.28515625" bestFit="1" customWidth="1"/>
    <col min="13811" max="13811" width="6.5703125" bestFit="1" customWidth="1"/>
    <col min="13812" max="13813" width="28.140625" bestFit="1" customWidth="1"/>
    <col min="13814" max="13814" width="6.5703125" bestFit="1" customWidth="1"/>
    <col min="13815" max="13816" width="28.140625" bestFit="1" customWidth="1"/>
    <col min="13817" max="13817" width="38.42578125" bestFit="1" customWidth="1"/>
    <col min="13818" max="13818" width="33.7109375" bestFit="1" customWidth="1"/>
    <col min="13819" max="13819" width="32" bestFit="1" customWidth="1"/>
    <col min="13821" max="13821" width="16.85546875" bestFit="1" customWidth="1"/>
    <col min="13822" max="13822" width="25.85546875" bestFit="1" customWidth="1"/>
    <col min="14066" max="14066" width="27.28515625" bestFit="1" customWidth="1"/>
    <col min="14067" max="14067" width="6.5703125" bestFit="1" customWidth="1"/>
    <col min="14068" max="14069" width="28.140625" bestFit="1" customWidth="1"/>
    <col min="14070" max="14070" width="6.5703125" bestFit="1" customWidth="1"/>
    <col min="14071" max="14072" width="28.140625" bestFit="1" customWidth="1"/>
    <col min="14073" max="14073" width="38.42578125" bestFit="1" customWidth="1"/>
    <col min="14074" max="14074" width="33.7109375" bestFit="1" customWidth="1"/>
    <col min="14075" max="14075" width="32" bestFit="1" customWidth="1"/>
    <col min="14077" max="14077" width="16.85546875" bestFit="1" customWidth="1"/>
    <col min="14078" max="14078" width="25.85546875" bestFit="1" customWidth="1"/>
    <col min="14322" max="14322" width="27.28515625" bestFit="1" customWidth="1"/>
    <col min="14323" max="14323" width="6.5703125" bestFit="1" customWidth="1"/>
    <col min="14324" max="14325" width="28.140625" bestFit="1" customWidth="1"/>
    <col min="14326" max="14326" width="6.5703125" bestFit="1" customWidth="1"/>
    <col min="14327" max="14328" width="28.140625" bestFit="1" customWidth="1"/>
    <col min="14329" max="14329" width="38.42578125" bestFit="1" customWidth="1"/>
    <col min="14330" max="14330" width="33.7109375" bestFit="1" customWidth="1"/>
    <col min="14331" max="14331" width="32" bestFit="1" customWidth="1"/>
    <col min="14333" max="14333" width="16.85546875" bestFit="1" customWidth="1"/>
    <col min="14334" max="14334" width="25.85546875" bestFit="1" customWidth="1"/>
    <col min="14578" max="14578" width="27.28515625" bestFit="1" customWidth="1"/>
    <col min="14579" max="14579" width="6.5703125" bestFit="1" customWidth="1"/>
    <col min="14580" max="14581" width="28.140625" bestFit="1" customWidth="1"/>
    <col min="14582" max="14582" width="6.5703125" bestFit="1" customWidth="1"/>
    <col min="14583" max="14584" width="28.140625" bestFit="1" customWidth="1"/>
    <col min="14585" max="14585" width="38.42578125" bestFit="1" customWidth="1"/>
    <col min="14586" max="14586" width="33.7109375" bestFit="1" customWidth="1"/>
    <col min="14587" max="14587" width="32" bestFit="1" customWidth="1"/>
    <col min="14589" max="14589" width="16.85546875" bestFit="1" customWidth="1"/>
    <col min="14590" max="14590" width="25.85546875" bestFit="1" customWidth="1"/>
    <col min="14834" max="14834" width="27.28515625" bestFit="1" customWidth="1"/>
    <col min="14835" max="14835" width="6.5703125" bestFit="1" customWidth="1"/>
    <col min="14836" max="14837" width="28.140625" bestFit="1" customWidth="1"/>
    <col min="14838" max="14838" width="6.5703125" bestFit="1" customWidth="1"/>
    <col min="14839" max="14840" width="28.140625" bestFit="1" customWidth="1"/>
    <col min="14841" max="14841" width="38.42578125" bestFit="1" customWidth="1"/>
    <col min="14842" max="14842" width="33.7109375" bestFit="1" customWidth="1"/>
    <col min="14843" max="14843" width="32" bestFit="1" customWidth="1"/>
    <col min="14845" max="14845" width="16.85546875" bestFit="1" customWidth="1"/>
    <col min="14846" max="14846" width="25.85546875" bestFit="1" customWidth="1"/>
    <col min="15090" max="15090" width="27.28515625" bestFit="1" customWidth="1"/>
    <col min="15091" max="15091" width="6.5703125" bestFit="1" customWidth="1"/>
    <col min="15092" max="15093" width="28.140625" bestFit="1" customWidth="1"/>
    <col min="15094" max="15094" width="6.5703125" bestFit="1" customWidth="1"/>
    <col min="15095" max="15096" width="28.140625" bestFit="1" customWidth="1"/>
    <col min="15097" max="15097" width="38.42578125" bestFit="1" customWidth="1"/>
    <col min="15098" max="15098" width="33.7109375" bestFit="1" customWidth="1"/>
    <col min="15099" max="15099" width="32" bestFit="1" customWidth="1"/>
    <col min="15101" max="15101" width="16.85546875" bestFit="1" customWidth="1"/>
    <col min="15102" max="15102" width="25.85546875" bestFit="1" customWidth="1"/>
    <col min="15346" max="15346" width="27.28515625" bestFit="1" customWidth="1"/>
    <col min="15347" max="15347" width="6.5703125" bestFit="1" customWidth="1"/>
    <col min="15348" max="15349" width="28.140625" bestFit="1" customWidth="1"/>
    <col min="15350" max="15350" width="6.5703125" bestFit="1" customWidth="1"/>
    <col min="15351" max="15352" width="28.140625" bestFit="1" customWidth="1"/>
    <col min="15353" max="15353" width="38.42578125" bestFit="1" customWidth="1"/>
    <col min="15354" max="15354" width="33.7109375" bestFit="1" customWidth="1"/>
    <col min="15355" max="15355" width="32" bestFit="1" customWidth="1"/>
    <col min="15357" max="15357" width="16.85546875" bestFit="1" customWidth="1"/>
    <col min="15358" max="15358" width="25.85546875" bestFit="1" customWidth="1"/>
    <col min="15602" max="15602" width="27.28515625" bestFit="1" customWidth="1"/>
    <col min="15603" max="15603" width="6.5703125" bestFit="1" customWidth="1"/>
    <col min="15604" max="15605" width="28.140625" bestFit="1" customWidth="1"/>
    <col min="15606" max="15606" width="6.5703125" bestFit="1" customWidth="1"/>
    <col min="15607" max="15608" width="28.140625" bestFit="1" customWidth="1"/>
    <col min="15609" max="15609" width="38.42578125" bestFit="1" customWidth="1"/>
    <col min="15610" max="15610" width="33.7109375" bestFit="1" customWidth="1"/>
    <col min="15611" max="15611" width="32" bestFit="1" customWidth="1"/>
    <col min="15613" max="15613" width="16.85546875" bestFit="1" customWidth="1"/>
    <col min="15614" max="15614" width="25.85546875" bestFit="1" customWidth="1"/>
    <col min="15858" max="15858" width="27.28515625" bestFit="1" customWidth="1"/>
    <col min="15859" max="15859" width="6.5703125" bestFit="1" customWidth="1"/>
    <col min="15860" max="15861" width="28.140625" bestFit="1" customWidth="1"/>
    <col min="15862" max="15862" width="6.5703125" bestFit="1" customWidth="1"/>
    <col min="15863" max="15864" width="28.140625" bestFit="1" customWidth="1"/>
    <col min="15865" max="15865" width="38.42578125" bestFit="1" customWidth="1"/>
    <col min="15866" max="15866" width="33.7109375" bestFit="1" customWidth="1"/>
    <col min="15867" max="15867" width="32" bestFit="1" customWidth="1"/>
    <col min="15869" max="15869" width="16.85546875" bestFit="1" customWidth="1"/>
    <col min="15870" max="15870" width="25.85546875" bestFit="1" customWidth="1"/>
    <col min="16114" max="16114" width="27.28515625" bestFit="1" customWidth="1"/>
    <col min="16115" max="16115" width="6.5703125" bestFit="1" customWidth="1"/>
    <col min="16116" max="16117" width="28.140625" bestFit="1" customWidth="1"/>
    <col min="16118" max="16118" width="6.5703125" bestFit="1" customWidth="1"/>
    <col min="16119" max="16120" width="28.140625" bestFit="1" customWidth="1"/>
    <col min="16121" max="16121" width="38.42578125" bestFit="1" customWidth="1"/>
    <col min="16122" max="16122" width="33.7109375" bestFit="1" customWidth="1"/>
    <col min="16123" max="16123" width="32" bestFit="1" customWidth="1"/>
    <col min="16125" max="16125" width="16.85546875" bestFit="1" customWidth="1"/>
    <col min="16126" max="16126" width="25.85546875" bestFit="1" customWidth="1"/>
  </cols>
  <sheetData>
    <row r="1" spans="1:7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83" t="s">
        <v>1187</v>
      </c>
      <c r="G1" s="83" t="s">
        <v>1186</v>
      </c>
    </row>
    <row r="2" spans="1:7" x14ac:dyDescent="0.25">
      <c r="A2" s="5" t="s">
        <v>1511</v>
      </c>
      <c r="B2" s="78">
        <f>F2/1000</f>
        <v>6.659000000000001E-2</v>
      </c>
      <c r="C2" s="78" t="s">
        <v>1220</v>
      </c>
      <c r="D2" s="7" t="s">
        <v>15</v>
      </c>
      <c r="E2" s="80" t="s">
        <v>1173</v>
      </c>
      <c r="F2" s="78">
        <v>66.59</v>
      </c>
    </row>
    <row r="3" spans="1:7" x14ac:dyDescent="0.25">
      <c r="A3" s="5" t="s">
        <v>1511</v>
      </c>
      <c r="B3" s="78">
        <f t="shared" ref="B3:B66" si="0">F3/1000</f>
        <v>0.16296000000000002</v>
      </c>
      <c r="C3" s="78" t="s">
        <v>903</v>
      </c>
      <c r="D3" s="7" t="s">
        <v>20</v>
      </c>
      <c r="E3" s="80" t="s">
        <v>1173</v>
      </c>
      <c r="F3" s="78">
        <v>162.96</v>
      </c>
      <c r="G3" s="78" t="s">
        <v>1513</v>
      </c>
    </row>
    <row r="4" spans="1:7" x14ac:dyDescent="0.25">
      <c r="A4" s="5" t="s">
        <v>1511</v>
      </c>
      <c r="B4" s="78">
        <f t="shared" si="0"/>
        <v>0.58399999999999996</v>
      </c>
      <c r="C4" s="78" t="s">
        <v>904</v>
      </c>
      <c r="D4" s="7" t="s">
        <v>23</v>
      </c>
      <c r="E4" s="80" t="s">
        <v>1173</v>
      </c>
      <c r="F4" s="78">
        <v>584</v>
      </c>
      <c r="G4" s="78" t="s">
        <v>1514</v>
      </c>
    </row>
    <row r="5" spans="1:7" x14ac:dyDescent="0.25">
      <c r="A5" s="5" t="s">
        <v>1511</v>
      </c>
      <c r="B5" s="78">
        <f t="shared" si="0"/>
        <v>1.079</v>
      </c>
      <c r="C5" s="78" t="s">
        <v>905</v>
      </c>
      <c r="D5" s="7" t="s">
        <v>25</v>
      </c>
      <c r="E5" s="80" t="s">
        <v>1173</v>
      </c>
      <c r="F5" s="78">
        <v>1079</v>
      </c>
      <c r="G5" s="78" t="s">
        <v>1514</v>
      </c>
    </row>
    <row r="6" spans="1:7" x14ac:dyDescent="0.25">
      <c r="A6" s="5" t="s">
        <v>1511</v>
      </c>
      <c r="B6" s="78">
        <f t="shared" si="0"/>
        <v>1.573</v>
      </c>
      <c r="C6" s="78" t="s">
        <v>906</v>
      </c>
      <c r="D6" s="7" t="s">
        <v>27</v>
      </c>
      <c r="E6" s="80" t="s">
        <v>1173</v>
      </c>
      <c r="F6" s="78">
        <v>1573</v>
      </c>
      <c r="G6" s="78" t="s">
        <v>1514</v>
      </c>
    </row>
    <row r="7" spans="1:7" x14ac:dyDescent="0.25">
      <c r="A7" s="5" t="s">
        <v>1511</v>
      </c>
      <c r="B7" s="78">
        <f t="shared" si="0"/>
        <v>2.0735000000000001</v>
      </c>
      <c r="C7" s="78" t="s">
        <v>907</v>
      </c>
      <c r="D7" s="7" t="s">
        <v>29</v>
      </c>
      <c r="E7" s="80" t="s">
        <v>1173</v>
      </c>
      <c r="F7" s="78">
        <v>2073.5</v>
      </c>
      <c r="G7" s="78" t="s">
        <v>1514</v>
      </c>
    </row>
    <row r="8" spans="1:7" x14ac:dyDescent="0.25">
      <c r="A8" s="5" t="s">
        <v>1511</v>
      </c>
      <c r="B8" s="78">
        <f t="shared" si="0"/>
        <v>2.5630000000000002</v>
      </c>
      <c r="C8" s="78" t="s">
        <v>908</v>
      </c>
      <c r="D8" s="7" t="s">
        <v>31</v>
      </c>
      <c r="E8" s="80" t="s">
        <v>1173</v>
      </c>
      <c r="F8" s="78">
        <v>2563</v>
      </c>
      <c r="G8" s="78" t="s">
        <v>1514</v>
      </c>
    </row>
    <row r="9" spans="1:7" x14ac:dyDescent="0.25">
      <c r="A9" s="5" t="s">
        <v>1511</v>
      </c>
      <c r="B9" s="78">
        <f t="shared" si="0"/>
        <v>3.0649999999999999</v>
      </c>
      <c r="C9" s="78" t="s">
        <v>909</v>
      </c>
      <c r="D9" s="7" t="s">
        <v>33</v>
      </c>
      <c r="E9" s="80" t="s">
        <v>1173</v>
      </c>
      <c r="F9" s="78">
        <v>3065</v>
      </c>
      <c r="G9" s="78" t="s">
        <v>1514</v>
      </c>
    </row>
    <row r="10" spans="1:7" x14ac:dyDescent="0.25">
      <c r="A10" s="5" t="s">
        <v>1511</v>
      </c>
      <c r="B10" s="78">
        <f t="shared" si="0"/>
        <v>3.55</v>
      </c>
      <c r="C10" s="78" t="s">
        <v>910</v>
      </c>
      <c r="D10" s="7" t="s">
        <v>35</v>
      </c>
      <c r="E10" s="80" t="s">
        <v>1173</v>
      </c>
      <c r="F10" s="78">
        <v>3550</v>
      </c>
      <c r="G10" s="78" t="s">
        <v>1514</v>
      </c>
    </row>
    <row r="11" spans="1:7" x14ac:dyDescent="0.25">
      <c r="A11" s="5" t="s">
        <v>1511</v>
      </c>
      <c r="B11" s="78">
        <f t="shared" si="0"/>
        <v>4.0449999999999999</v>
      </c>
      <c r="C11" s="78" t="s">
        <v>911</v>
      </c>
      <c r="D11" s="7" t="s">
        <v>37</v>
      </c>
      <c r="E11" s="80" t="s">
        <v>1173</v>
      </c>
      <c r="F11" s="78">
        <v>4045</v>
      </c>
      <c r="G11" s="78" t="s">
        <v>1514</v>
      </c>
    </row>
    <row r="12" spans="1:7" x14ac:dyDescent="0.25">
      <c r="A12" s="5" t="s">
        <v>1511</v>
      </c>
      <c r="B12" s="78">
        <f t="shared" si="0"/>
        <v>4.5439999999999996</v>
      </c>
      <c r="C12" s="78" t="s">
        <v>912</v>
      </c>
      <c r="D12" s="7" t="s">
        <v>39</v>
      </c>
      <c r="E12" s="80" t="s">
        <v>1173</v>
      </c>
      <c r="F12" s="78">
        <v>4544</v>
      </c>
      <c r="G12" s="78" t="s">
        <v>1514</v>
      </c>
    </row>
    <row r="13" spans="1:7" x14ac:dyDescent="0.25">
      <c r="A13" s="5" t="s">
        <v>1511</v>
      </c>
      <c r="B13" s="78">
        <f t="shared" si="0"/>
        <v>5.0389999999999997</v>
      </c>
      <c r="C13" s="78" t="s">
        <v>913</v>
      </c>
      <c r="D13" s="7" t="s">
        <v>41</v>
      </c>
      <c r="E13" s="80" t="s">
        <v>1173</v>
      </c>
      <c r="F13" s="78">
        <v>5039</v>
      </c>
      <c r="G13" s="78" t="s">
        <v>1514</v>
      </c>
    </row>
    <row r="14" spans="1:7" x14ac:dyDescent="0.25">
      <c r="A14" s="5" t="s">
        <v>1511</v>
      </c>
      <c r="B14" s="78">
        <f t="shared" si="0"/>
        <v>5.4235200000000008</v>
      </c>
      <c r="C14" s="78" t="s">
        <v>914</v>
      </c>
      <c r="D14" s="7" t="s">
        <v>43</v>
      </c>
      <c r="E14" s="80" t="s">
        <v>1173</v>
      </c>
      <c r="F14" s="78">
        <v>5423.52</v>
      </c>
      <c r="G14" s="78" t="s">
        <v>1515</v>
      </c>
    </row>
    <row r="15" spans="1:7" x14ac:dyDescent="0.25">
      <c r="A15" s="5" t="s">
        <v>1511</v>
      </c>
      <c r="B15" s="78">
        <f t="shared" si="0"/>
        <v>5.7640000000000002</v>
      </c>
      <c r="C15" s="78" t="s">
        <v>915</v>
      </c>
      <c r="D15" s="7" t="s">
        <v>45</v>
      </c>
      <c r="E15" s="80" t="s">
        <v>1173</v>
      </c>
      <c r="F15" s="78">
        <v>5764</v>
      </c>
      <c r="G15" s="78" t="s">
        <v>1514</v>
      </c>
    </row>
    <row r="16" spans="1:7" x14ac:dyDescent="0.25">
      <c r="A16" s="5" t="s">
        <v>1511</v>
      </c>
      <c r="B16" s="78">
        <f t="shared" si="0"/>
        <v>6.2039999999999997</v>
      </c>
      <c r="C16" s="78" t="s">
        <v>916</v>
      </c>
      <c r="D16" s="7" t="s">
        <v>47</v>
      </c>
      <c r="E16" s="80" t="s">
        <v>1173</v>
      </c>
      <c r="F16" s="78">
        <v>6204</v>
      </c>
      <c r="G16" s="78" t="s">
        <v>1514</v>
      </c>
    </row>
    <row r="17" spans="1:7" x14ac:dyDescent="0.25">
      <c r="A17" s="5" t="s">
        <v>1511</v>
      </c>
      <c r="B17" s="78">
        <f t="shared" si="0"/>
        <v>6.6536</v>
      </c>
      <c r="C17" s="78" t="s">
        <v>917</v>
      </c>
      <c r="D17" s="7" t="s">
        <v>49</v>
      </c>
      <c r="E17" s="80" t="s">
        <v>1173</v>
      </c>
      <c r="F17" s="78">
        <v>6653.6</v>
      </c>
      <c r="G17" s="78" t="s">
        <v>1514</v>
      </c>
    </row>
    <row r="18" spans="1:7" x14ac:dyDescent="0.25">
      <c r="A18" s="5" t="s">
        <v>1511</v>
      </c>
      <c r="B18" s="78">
        <f t="shared" si="0"/>
        <v>7.1390000000000002</v>
      </c>
      <c r="C18" s="78" t="s">
        <v>918</v>
      </c>
      <c r="D18" s="7" t="s">
        <v>51</v>
      </c>
      <c r="E18" s="80" t="s">
        <v>1173</v>
      </c>
      <c r="F18" s="78">
        <v>7139</v>
      </c>
      <c r="G18" s="78" t="s">
        <v>1514</v>
      </c>
    </row>
    <row r="19" spans="1:7" x14ac:dyDescent="0.25">
      <c r="A19" s="5" t="s">
        <v>1511</v>
      </c>
      <c r="B19" s="78">
        <f t="shared" si="0"/>
        <v>7.649</v>
      </c>
      <c r="C19" s="78" t="s">
        <v>919</v>
      </c>
      <c r="D19" s="7" t="s">
        <v>53</v>
      </c>
      <c r="E19" s="80" t="s">
        <v>1173</v>
      </c>
      <c r="F19" s="78">
        <v>7649</v>
      </c>
      <c r="G19" s="78" t="s">
        <v>1514</v>
      </c>
    </row>
    <row r="20" spans="1:7" x14ac:dyDescent="0.25">
      <c r="A20" s="5" t="s">
        <v>1511</v>
      </c>
      <c r="B20" s="78">
        <f t="shared" si="0"/>
        <v>8.1340000000000003</v>
      </c>
      <c r="C20" s="78" t="s">
        <v>920</v>
      </c>
      <c r="D20" s="7" t="s">
        <v>55</v>
      </c>
      <c r="E20" s="80" t="s">
        <v>1173</v>
      </c>
      <c r="F20" s="78">
        <v>8134</v>
      </c>
      <c r="G20" s="78" t="s">
        <v>1514</v>
      </c>
    </row>
    <row r="21" spans="1:7" x14ac:dyDescent="0.25">
      <c r="A21" s="5" t="s">
        <v>1511</v>
      </c>
      <c r="B21" s="78">
        <f t="shared" si="0"/>
        <v>8.6440000000000001</v>
      </c>
      <c r="C21" s="78" t="s">
        <v>921</v>
      </c>
      <c r="D21" s="7" t="s">
        <v>57</v>
      </c>
      <c r="E21" s="80" t="s">
        <v>1173</v>
      </c>
      <c r="F21" s="78">
        <v>8644</v>
      </c>
      <c r="G21" s="78" t="s">
        <v>1514</v>
      </c>
    </row>
    <row r="22" spans="1:7" x14ac:dyDescent="0.25">
      <c r="A22" s="5" t="s">
        <v>1511</v>
      </c>
      <c r="B22" s="78">
        <f t="shared" si="0"/>
        <v>9.1289999999999996</v>
      </c>
      <c r="C22" s="78" t="s">
        <v>922</v>
      </c>
      <c r="D22" s="7" t="s">
        <v>59</v>
      </c>
      <c r="E22" s="80" t="s">
        <v>1173</v>
      </c>
      <c r="F22" s="78">
        <v>9129</v>
      </c>
      <c r="G22" s="78" t="s">
        <v>1514</v>
      </c>
    </row>
    <row r="23" spans="1:7" x14ac:dyDescent="0.25">
      <c r="A23" s="5" t="s">
        <v>1511</v>
      </c>
      <c r="B23" s="78">
        <f t="shared" si="0"/>
        <v>9.6189999999999998</v>
      </c>
      <c r="C23" s="78" t="s">
        <v>923</v>
      </c>
      <c r="D23" s="7" t="s">
        <v>61</v>
      </c>
      <c r="E23" s="80" t="s">
        <v>1173</v>
      </c>
      <c r="F23" s="78">
        <v>9619</v>
      </c>
      <c r="G23" s="78" t="s">
        <v>1514</v>
      </c>
    </row>
    <row r="24" spans="1:7" x14ac:dyDescent="0.25">
      <c r="A24" s="5" t="s">
        <v>1511</v>
      </c>
      <c r="B24" s="78">
        <f t="shared" si="0"/>
        <v>10.119</v>
      </c>
      <c r="C24" s="78" t="s">
        <v>924</v>
      </c>
      <c r="D24" s="7" t="s">
        <v>63</v>
      </c>
      <c r="E24" s="80" t="s">
        <v>1173</v>
      </c>
      <c r="F24" s="78">
        <v>10119</v>
      </c>
      <c r="G24" s="78" t="s">
        <v>1514</v>
      </c>
    </row>
    <row r="25" spans="1:7" x14ac:dyDescent="0.25">
      <c r="A25" s="5" t="s">
        <v>1511</v>
      </c>
      <c r="B25" s="78">
        <f t="shared" si="0"/>
        <v>10.614000000000001</v>
      </c>
      <c r="C25" s="78" t="s">
        <v>925</v>
      </c>
      <c r="D25" s="7" t="s">
        <v>65</v>
      </c>
      <c r="E25" s="80" t="s">
        <v>1173</v>
      </c>
      <c r="F25" s="78">
        <v>10614</v>
      </c>
      <c r="G25" s="78" t="s">
        <v>1514</v>
      </c>
    </row>
    <row r="26" spans="1:7" x14ac:dyDescent="0.25">
      <c r="A26" s="5" t="s">
        <v>1511</v>
      </c>
      <c r="B26" s="78">
        <f t="shared" si="0"/>
        <v>11.114000000000001</v>
      </c>
      <c r="C26" s="78" t="s">
        <v>926</v>
      </c>
      <c r="D26" s="7" t="s">
        <v>67</v>
      </c>
      <c r="E26" s="80" t="s">
        <v>1173</v>
      </c>
      <c r="F26" s="78">
        <v>11114</v>
      </c>
      <c r="G26" s="78" t="s">
        <v>1516</v>
      </c>
    </row>
    <row r="27" spans="1:7" x14ac:dyDescent="0.25">
      <c r="A27" s="5" t="s">
        <v>1511</v>
      </c>
      <c r="B27" s="78">
        <f t="shared" si="0"/>
        <v>11.613</v>
      </c>
      <c r="C27" s="78" t="s">
        <v>927</v>
      </c>
      <c r="D27" s="7" t="s">
        <v>69</v>
      </c>
      <c r="E27" s="80" t="s">
        <v>1173</v>
      </c>
      <c r="F27" s="78">
        <v>11613</v>
      </c>
      <c r="G27" s="78" t="s">
        <v>1514</v>
      </c>
    </row>
    <row r="28" spans="1:7" x14ac:dyDescent="0.25">
      <c r="A28" s="5" t="s">
        <v>1511</v>
      </c>
      <c r="B28" s="78">
        <f t="shared" si="0"/>
        <v>12.109</v>
      </c>
      <c r="C28" s="78" t="s">
        <v>928</v>
      </c>
      <c r="D28" s="7" t="s">
        <v>71</v>
      </c>
      <c r="E28" s="80" t="s">
        <v>1173</v>
      </c>
      <c r="F28" s="78">
        <v>12109</v>
      </c>
      <c r="G28" s="78" t="s">
        <v>1514</v>
      </c>
    </row>
    <row r="29" spans="1:7" x14ac:dyDescent="0.25">
      <c r="A29" s="5" t="s">
        <v>1511</v>
      </c>
      <c r="B29" s="78">
        <f t="shared" si="0"/>
        <v>12.608000000000001</v>
      </c>
      <c r="C29" s="78" t="s">
        <v>929</v>
      </c>
      <c r="D29" s="7" t="s">
        <v>73</v>
      </c>
      <c r="E29" s="80" t="s">
        <v>1173</v>
      </c>
      <c r="F29" s="78">
        <v>12608</v>
      </c>
      <c r="G29" s="78" t="s">
        <v>1514</v>
      </c>
    </row>
    <row r="30" spans="1:7" x14ac:dyDescent="0.25">
      <c r="A30" s="5" t="s">
        <v>1511</v>
      </c>
      <c r="B30" s="78">
        <f t="shared" si="0"/>
        <v>13.095000000000001</v>
      </c>
      <c r="C30" s="78" t="s">
        <v>930</v>
      </c>
      <c r="D30" s="7" t="s">
        <v>75</v>
      </c>
      <c r="E30" s="80" t="s">
        <v>1173</v>
      </c>
      <c r="F30" s="78">
        <v>13095</v>
      </c>
      <c r="G30" s="78" t="s">
        <v>1514</v>
      </c>
    </row>
    <row r="31" spans="1:7" x14ac:dyDescent="0.25">
      <c r="A31" s="5" t="s">
        <v>1511</v>
      </c>
      <c r="B31" s="78">
        <f t="shared" si="0"/>
        <v>13.57</v>
      </c>
      <c r="C31" s="78" t="s">
        <v>931</v>
      </c>
      <c r="D31" s="7" t="s">
        <v>77</v>
      </c>
      <c r="E31" s="80" t="s">
        <v>1173</v>
      </c>
      <c r="F31" s="78">
        <v>13570</v>
      </c>
      <c r="G31" s="78" t="s">
        <v>1514</v>
      </c>
    </row>
    <row r="32" spans="1:7" x14ac:dyDescent="0.25">
      <c r="A32" s="5" t="s">
        <v>1511</v>
      </c>
      <c r="B32" s="78">
        <f t="shared" si="0"/>
        <v>14.065</v>
      </c>
      <c r="C32" s="78" t="s">
        <v>932</v>
      </c>
      <c r="D32" s="7" t="s">
        <v>79</v>
      </c>
      <c r="E32" s="80" t="s">
        <v>1173</v>
      </c>
      <c r="F32" s="78">
        <v>14065</v>
      </c>
      <c r="G32" s="78" t="s">
        <v>1514</v>
      </c>
    </row>
    <row r="33" spans="1:7" x14ac:dyDescent="0.25">
      <c r="A33" s="5" t="s">
        <v>1511</v>
      </c>
      <c r="B33" s="78">
        <f t="shared" si="0"/>
        <v>14.557</v>
      </c>
      <c r="C33" s="78" t="s">
        <v>933</v>
      </c>
      <c r="D33" s="7" t="s">
        <v>81</v>
      </c>
      <c r="E33" s="80" t="s">
        <v>1173</v>
      </c>
      <c r="F33" s="78">
        <v>14557</v>
      </c>
      <c r="G33" s="78" t="s">
        <v>1514</v>
      </c>
    </row>
    <row r="34" spans="1:7" x14ac:dyDescent="0.25">
      <c r="A34" s="5" t="s">
        <v>1511</v>
      </c>
      <c r="B34" s="78">
        <f t="shared" si="0"/>
        <v>15.044</v>
      </c>
      <c r="C34" s="78" t="s">
        <v>934</v>
      </c>
      <c r="D34" s="7" t="s">
        <v>83</v>
      </c>
      <c r="E34" s="80" t="s">
        <v>1173</v>
      </c>
      <c r="F34" s="78">
        <v>15044</v>
      </c>
      <c r="G34" s="78" t="s">
        <v>1514</v>
      </c>
    </row>
    <row r="35" spans="1:7" x14ac:dyDescent="0.25">
      <c r="A35" s="5" t="s">
        <v>1511</v>
      </c>
      <c r="B35" s="78">
        <f t="shared" si="0"/>
        <v>15.41403</v>
      </c>
      <c r="C35" s="78" t="s">
        <v>935</v>
      </c>
      <c r="D35" s="7" t="s">
        <v>85</v>
      </c>
      <c r="E35" s="80" t="s">
        <v>1173</v>
      </c>
      <c r="F35" s="78">
        <v>15414.03</v>
      </c>
      <c r="G35" s="78" t="s">
        <v>1513</v>
      </c>
    </row>
    <row r="36" spans="1:7" x14ac:dyDescent="0.25">
      <c r="A36" s="5" t="s">
        <v>1511</v>
      </c>
      <c r="B36" s="78">
        <f t="shared" si="0"/>
        <v>15.657999999999999</v>
      </c>
      <c r="C36" s="78" t="s">
        <v>936</v>
      </c>
      <c r="D36" s="7" t="s">
        <v>87</v>
      </c>
      <c r="E36" s="80" t="s">
        <v>1173</v>
      </c>
      <c r="F36" s="78">
        <v>15658</v>
      </c>
      <c r="G36" s="78" t="s">
        <v>1514</v>
      </c>
    </row>
    <row r="37" spans="1:7" x14ac:dyDescent="0.25">
      <c r="A37" s="5" t="s">
        <v>1511</v>
      </c>
      <c r="B37" s="78">
        <f t="shared" si="0"/>
        <v>16.13</v>
      </c>
      <c r="C37" s="78" t="s">
        <v>937</v>
      </c>
      <c r="D37" s="7" t="s">
        <v>89</v>
      </c>
      <c r="E37" s="80" t="s">
        <v>1173</v>
      </c>
      <c r="F37" s="78">
        <v>16130</v>
      </c>
      <c r="G37" s="78" t="s">
        <v>1514</v>
      </c>
    </row>
    <row r="38" spans="1:7" x14ac:dyDescent="0.25">
      <c r="A38" s="5" t="s">
        <v>1511</v>
      </c>
      <c r="B38" s="78">
        <f t="shared" si="0"/>
        <v>16.538</v>
      </c>
      <c r="C38" s="78" t="s">
        <v>938</v>
      </c>
      <c r="D38" s="7" t="s">
        <v>91</v>
      </c>
      <c r="E38" s="80" t="s">
        <v>1173</v>
      </c>
      <c r="F38" s="78">
        <v>16538</v>
      </c>
      <c r="G38" s="78" t="s">
        <v>1514</v>
      </c>
    </row>
    <row r="39" spans="1:7" x14ac:dyDescent="0.25">
      <c r="A39" s="5" t="s">
        <v>1511</v>
      </c>
      <c r="B39" s="78">
        <f t="shared" si="0"/>
        <v>17.050999999999998</v>
      </c>
      <c r="C39" s="78" t="s">
        <v>939</v>
      </c>
      <c r="D39" s="7" t="s">
        <v>93</v>
      </c>
      <c r="E39" s="80" t="s">
        <v>1173</v>
      </c>
      <c r="F39" s="78">
        <v>17051</v>
      </c>
      <c r="G39" s="78" t="s">
        <v>1514</v>
      </c>
    </row>
    <row r="40" spans="1:7" x14ac:dyDescent="0.25">
      <c r="A40" s="5" t="s">
        <v>1511</v>
      </c>
      <c r="B40" s="78">
        <f t="shared" si="0"/>
        <v>17.536000000000001</v>
      </c>
      <c r="C40" s="78" t="s">
        <v>940</v>
      </c>
      <c r="D40" s="7" t="s">
        <v>95</v>
      </c>
      <c r="E40" s="80" t="s">
        <v>1173</v>
      </c>
      <c r="F40" s="78">
        <v>17536</v>
      </c>
      <c r="G40" s="78" t="s">
        <v>1514</v>
      </c>
    </row>
    <row r="41" spans="1:7" x14ac:dyDescent="0.25">
      <c r="A41" s="5" t="s">
        <v>1511</v>
      </c>
      <c r="B41" s="78">
        <f t="shared" si="0"/>
        <v>18.041</v>
      </c>
      <c r="C41" s="78" t="s">
        <v>941</v>
      </c>
      <c r="D41" s="7" t="s">
        <v>97</v>
      </c>
      <c r="E41" s="80" t="s">
        <v>1173</v>
      </c>
      <c r="F41" s="78">
        <v>18041</v>
      </c>
      <c r="G41" s="78" t="s">
        <v>1514</v>
      </c>
    </row>
    <row r="42" spans="1:7" x14ac:dyDescent="0.25">
      <c r="A42" s="5" t="s">
        <v>1511</v>
      </c>
      <c r="B42" s="78">
        <f t="shared" si="0"/>
        <v>18.530999999999999</v>
      </c>
      <c r="C42" s="78" t="s">
        <v>942</v>
      </c>
      <c r="D42" s="7" t="s">
        <v>99</v>
      </c>
      <c r="E42" s="80" t="s">
        <v>1173</v>
      </c>
      <c r="F42" s="78">
        <v>18531</v>
      </c>
      <c r="G42" s="78" t="s">
        <v>1514</v>
      </c>
    </row>
    <row r="43" spans="1:7" x14ac:dyDescent="0.25">
      <c r="A43" s="5" t="s">
        <v>1511</v>
      </c>
      <c r="B43" s="78">
        <f t="shared" si="0"/>
        <v>19.036000000000001</v>
      </c>
      <c r="C43" s="78" t="s">
        <v>943</v>
      </c>
      <c r="D43" s="7" t="s">
        <v>101</v>
      </c>
      <c r="E43" s="80" t="s">
        <v>1173</v>
      </c>
      <c r="F43" s="78">
        <v>19036</v>
      </c>
      <c r="G43" s="78" t="s">
        <v>1514</v>
      </c>
    </row>
    <row r="44" spans="1:7" x14ac:dyDescent="0.25">
      <c r="A44" s="5" t="s">
        <v>1511</v>
      </c>
      <c r="B44" s="78">
        <f t="shared" si="0"/>
        <v>19.527000000000001</v>
      </c>
      <c r="C44" s="78" t="s">
        <v>944</v>
      </c>
      <c r="D44" s="7" t="s">
        <v>103</v>
      </c>
      <c r="E44" s="80" t="s">
        <v>1173</v>
      </c>
      <c r="F44" s="78">
        <v>19527</v>
      </c>
      <c r="G44" s="78" t="s">
        <v>1514</v>
      </c>
    </row>
    <row r="45" spans="1:7" x14ac:dyDescent="0.25">
      <c r="A45" s="5" t="s">
        <v>1511</v>
      </c>
      <c r="B45" s="78">
        <f t="shared" si="0"/>
        <v>20.030999999999999</v>
      </c>
      <c r="C45" s="78" t="s">
        <v>945</v>
      </c>
      <c r="D45" s="7" t="s">
        <v>105</v>
      </c>
      <c r="E45" s="80" t="s">
        <v>1173</v>
      </c>
      <c r="F45" s="78">
        <v>20031</v>
      </c>
      <c r="G45" s="78" t="s">
        <v>1514</v>
      </c>
    </row>
    <row r="46" spans="1:7" x14ac:dyDescent="0.25">
      <c r="A46" s="5" t="s">
        <v>1511</v>
      </c>
      <c r="B46" s="78">
        <f t="shared" si="0"/>
        <v>20.523</v>
      </c>
      <c r="C46" s="78" t="s">
        <v>946</v>
      </c>
      <c r="D46" s="7" t="s">
        <v>107</v>
      </c>
      <c r="E46" s="80" t="s">
        <v>1173</v>
      </c>
      <c r="F46" s="78">
        <v>20523</v>
      </c>
      <c r="G46" s="78" t="s">
        <v>1514</v>
      </c>
    </row>
    <row r="47" spans="1:7" x14ac:dyDescent="0.25">
      <c r="A47" s="5" t="s">
        <v>1511</v>
      </c>
      <c r="B47" s="78">
        <f t="shared" si="0"/>
        <v>21.016999999999999</v>
      </c>
      <c r="C47" s="78" t="s">
        <v>947</v>
      </c>
      <c r="D47" s="7" t="s">
        <v>109</v>
      </c>
      <c r="E47" s="80" t="s">
        <v>1173</v>
      </c>
      <c r="F47" s="78">
        <v>21017</v>
      </c>
      <c r="G47" s="78" t="s">
        <v>1514</v>
      </c>
    </row>
    <row r="48" spans="1:7" x14ac:dyDescent="0.25">
      <c r="A48" s="5" t="s">
        <v>1511</v>
      </c>
      <c r="B48" s="78">
        <f t="shared" si="0"/>
        <v>21.510999999999999</v>
      </c>
      <c r="C48" s="78" t="s">
        <v>948</v>
      </c>
      <c r="D48" s="7" t="s">
        <v>111</v>
      </c>
      <c r="E48" s="80" t="s">
        <v>1173</v>
      </c>
      <c r="F48" s="78">
        <v>21511</v>
      </c>
      <c r="G48" s="78" t="s">
        <v>1514</v>
      </c>
    </row>
    <row r="49" spans="1:7" x14ac:dyDescent="0.25">
      <c r="A49" s="5" t="s">
        <v>1511</v>
      </c>
      <c r="B49" s="78">
        <f t="shared" si="0"/>
        <v>21.981000000000002</v>
      </c>
      <c r="C49" s="78" t="s">
        <v>949</v>
      </c>
      <c r="D49" s="7" t="s">
        <v>113</v>
      </c>
      <c r="E49" s="80" t="s">
        <v>1173</v>
      </c>
      <c r="F49" s="78">
        <v>21981</v>
      </c>
      <c r="G49" s="78" t="s">
        <v>1514</v>
      </c>
    </row>
    <row r="50" spans="1:7" x14ac:dyDescent="0.25">
      <c r="A50" s="5" t="s">
        <v>1511</v>
      </c>
      <c r="B50" s="78">
        <f t="shared" si="0"/>
        <v>22.452000000000002</v>
      </c>
      <c r="C50" s="78" t="s">
        <v>950</v>
      </c>
      <c r="D50" s="7" t="s">
        <v>115</v>
      </c>
      <c r="E50" s="80" t="s">
        <v>1173</v>
      </c>
      <c r="F50" s="78">
        <v>22452</v>
      </c>
      <c r="G50" s="78" t="s">
        <v>1514</v>
      </c>
    </row>
    <row r="51" spans="1:7" x14ac:dyDescent="0.25">
      <c r="A51" s="5" t="s">
        <v>1511</v>
      </c>
      <c r="B51" s="78">
        <f t="shared" si="0"/>
        <v>22.922000000000001</v>
      </c>
      <c r="C51" s="78" t="s">
        <v>951</v>
      </c>
      <c r="D51" s="7" t="s">
        <v>18</v>
      </c>
      <c r="E51" s="80" t="s">
        <v>1173</v>
      </c>
      <c r="F51" s="78">
        <v>22922</v>
      </c>
      <c r="G51" s="78" t="s">
        <v>1514</v>
      </c>
    </row>
    <row r="52" spans="1:7" x14ac:dyDescent="0.25">
      <c r="A52" s="5" t="s">
        <v>1511</v>
      </c>
      <c r="B52" s="78">
        <f t="shared" si="0"/>
        <v>23.372</v>
      </c>
      <c r="C52" s="78" t="s">
        <v>952</v>
      </c>
      <c r="D52" s="7" t="s">
        <v>19</v>
      </c>
      <c r="E52" s="80" t="s">
        <v>1173</v>
      </c>
      <c r="F52" s="78">
        <v>23372</v>
      </c>
      <c r="G52" s="78" t="s">
        <v>1514</v>
      </c>
    </row>
    <row r="53" spans="1:7" x14ac:dyDescent="0.25">
      <c r="A53" s="5" t="s">
        <v>1511</v>
      </c>
      <c r="B53" s="78">
        <f t="shared" si="0"/>
        <v>23.914000000000001</v>
      </c>
      <c r="C53" s="78" t="s">
        <v>953</v>
      </c>
      <c r="D53" s="7" t="s">
        <v>119</v>
      </c>
      <c r="E53" s="80" t="s">
        <v>1173</v>
      </c>
      <c r="F53" s="78">
        <v>23914</v>
      </c>
      <c r="G53" s="78" t="s">
        <v>1514</v>
      </c>
    </row>
    <row r="54" spans="1:7" x14ac:dyDescent="0.25">
      <c r="A54" s="5" t="s">
        <v>1511</v>
      </c>
      <c r="B54" s="78">
        <f t="shared" si="0"/>
        <v>24.364000000000001</v>
      </c>
      <c r="C54" s="78" t="s">
        <v>954</v>
      </c>
      <c r="D54" s="7" t="s">
        <v>121</v>
      </c>
      <c r="E54" s="80" t="s">
        <v>1173</v>
      </c>
      <c r="F54" s="78">
        <v>24364</v>
      </c>
      <c r="G54" s="78" t="s">
        <v>1514</v>
      </c>
    </row>
    <row r="55" spans="1:7" x14ac:dyDescent="0.25">
      <c r="A55" s="5" t="s">
        <v>1511</v>
      </c>
      <c r="B55" s="78">
        <f t="shared" si="0"/>
        <v>24.866</v>
      </c>
      <c r="C55" s="78" t="s">
        <v>955</v>
      </c>
      <c r="D55" s="7" t="s">
        <v>123</v>
      </c>
      <c r="E55" s="80" t="s">
        <v>1173</v>
      </c>
      <c r="F55" s="78">
        <v>24866</v>
      </c>
      <c r="G55" s="78" t="s">
        <v>1514</v>
      </c>
    </row>
    <row r="56" spans="1:7" x14ac:dyDescent="0.25">
      <c r="A56" s="5" t="s">
        <v>1511</v>
      </c>
      <c r="B56" s="78">
        <f t="shared" si="0"/>
        <v>25.361000000000001</v>
      </c>
      <c r="C56" s="78" t="s">
        <v>956</v>
      </c>
      <c r="D56" s="7" t="s">
        <v>125</v>
      </c>
      <c r="E56" s="80" t="s">
        <v>1173</v>
      </c>
      <c r="F56" s="78">
        <v>25361</v>
      </c>
      <c r="G56" s="78" t="s">
        <v>1514</v>
      </c>
    </row>
    <row r="57" spans="1:7" x14ac:dyDescent="0.25">
      <c r="A57" s="5" t="s">
        <v>1511</v>
      </c>
      <c r="B57" s="78">
        <f t="shared" si="0"/>
        <v>25.859000000000002</v>
      </c>
      <c r="C57" s="78" t="s">
        <v>957</v>
      </c>
      <c r="D57" s="7" t="s">
        <v>127</v>
      </c>
      <c r="E57" s="80" t="s">
        <v>1173</v>
      </c>
      <c r="F57" s="78">
        <v>25859</v>
      </c>
      <c r="G57" s="78" t="s">
        <v>1514</v>
      </c>
    </row>
    <row r="58" spans="1:7" x14ac:dyDescent="0.25">
      <c r="A58" s="5" t="s">
        <v>1511</v>
      </c>
      <c r="B58" s="78">
        <f t="shared" si="0"/>
        <v>26.359770000000001</v>
      </c>
      <c r="C58" s="78" t="s">
        <v>958</v>
      </c>
      <c r="D58" s="7" t="s">
        <v>129</v>
      </c>
      <c r="E58" s="80" t="s">
        <v>1173</v>
      </c>
      <c r="F58" s="78">
        <v>26359.77</v>
      </c>
      <c r="G58" s="78" t="s">
        <v>1514</v>
      </c>
    </row>
    <row r="59" spans="1:7" x14ac:dyDescent="0.25">
      <c r="A59" s="5" t="s">
        <v>1511</v>
      </c>
      <c r="B59" s="78">
        <f t="shared" si="0"/>
        <v>26.840630000000001</v>
      </c>
      <c r="C59" s="78" t="s">
        <v>959</v>
      </c>
      <c r="D59" s="7" t="s">
        <v>131</v>
      </c>
      <c r="E59" s="80" t="s">
        <v>1173</v>
      </c>
      <c r="F59" s="78">
        <v>26840.63</v>
      </c>
      <c r="G59" s="78" t="s">
        <v>1514</v>
      </c>
    </row>
    <row r="60" spans="1:7" x14ac:dyDescent="0.25">
      <c r="A60" s="5" t="s">
        <v>1511</v>
      </c>
      <c r="B60" s="78">
        <f t="shared" si="0"/>
        <v>27.344999999999999</v>
      </c>
      <c r="C60" s="78" t="s">
        <v>960</v>
      </c>
      <c r="D60" s="7" t="s">
        <v>133</v>
      </c>
      <c r="E60" s="80" t="s">
        <v>1173</v>
      </c>
      <c r="F60" s="78">
        <v>27345</v>
      </c>
      <c r="G60" s="78" t="s">
        <v>1514</v>
      </c>
    </row>
    <row r="61" spans="1:7" x14ac:dyDescent="0.25">
      <c r="A61" s="5" t="s">
        <v>1511</v>
      </c>
      <c r="B61" s="78">
        <f t="shared" si="0"/>
        <v>27.837</v>
      </c>
      <c r="C61" s="78" t="s">
        <v>961</v>
      </c>
      <c r="D61" s="7" t="s">
        <v>135</v>
      </c>
      <c r="E61" s="80" t="s">
        <v>1173</v>
      </c>
      <c r="F61" s="78">
        <v>27837</v>
      </c>
      <c r="G61" s="78" t="s">
        <v>1517</v>
      </c>
    </row>
    <row r="62" spans="1:7" x14ac:dyDescent="0.25">
      <c r="A62" s="5" t="s">
        <v>1511</v>
      </c>
      <c r="B62" s="78">
        <f t="shared" si="0"/>
        <v>28.332999999999998</v>
      </c>
      <c r="C62" s="78" t="s">
        <v>962</v>
      </c>
      <c r="D62" s="7" t="s">
        <v>137</v>
      </c>
      <c r="E62" s="80" t="s">
        <v>1173</v>
      </c>
      <c r="F62" s="78">
        <v>28333</v>
      </c>
      <c r="G62" s="78" t="s">
        <v>1514</v>
      </c>
    </row>
    <row r="63" spans="1:7" x14ac:dyDescent="0.25">
      <c r="A63" s="5" t="s">
        <v>1511</v>
      </c>
      <c r="B63" s="78">
        <f t="shared" si="0"/>
        <v>28.835000000000001</v>
      </c>
      <c r="C63" s="78" t="s">
        <v>963</v>
      </c>
      <c r="D63" s="7" t="s">
        <v>139</v>
      </c>
      <c r="E63" s="80" t="s">
        <v>1173</v>
      </c>
      <c r="F63" s="78">
        <v>28835</v>
      </c>
      <c r="G63" s="78" t="s">
        <v>1514</v>
      </c>
    </row>
    <row r="64" spans="1:7" x14ac:dyDescent="0.25">
      <c r="A64" s="5" t="s">
        <v>1511</v>
      </c>
      <c r="B64" s="78">
        <f t="shared" si="0"/>
        <v>29.324999999999999</v>
      </c>
      <c r="C64" s="78" t="s">
        <v>964</v>
      </c>
      <c r="D64" s="7" t="s">
        <v>141</v>
      </c>
      <c r="E64" s="80" t="s">
        <v>1173</v>
      </c>
      <c r="F64" s="78">
        <v>29325</v>
      </c>
      <c r="G64" s="78" t="s">
        <v>1514</v>
      </c>
    </row>
    <row r="65" spans="1:7" x14ac:dyDescent="0.25">
      <c r="A65" s="5" t="s">
        <v>1511</v>
      </c>
      <c r="B65" s="78">
        <f t="shared" si="0"/>
        <v>29.824000000000002</v>
      </c>
      <c r="C65" s="78" t="s">
        <v>965</v>
      </c>
      <c r="D65" s="7" t="s">
        <v>143</v>
      </c>
      <c r="E65" s="80" t="s">
        <v>1173</v>
      </c>
      <c r="F65" s="78">
        <v>29824</v>
      </c>
      <c r="G65" s="78" t="s">
        <v>1514</v>
      </c>
    </row>
    <row r="66" spans="1:7" x14ac:dyDescent="0.25">
      <c r="A66" s="5" t="s">
        <v>1511</v>
      </c>
      <c r="B66" s="78">
        <f t="shared" si="0"/>
        <v>30.315000000000001</v>
      </c>
      <c r="C66" s="78" t="s">
        <v>966</v>
      </c>
      <c r="D66" s="7" t="s">
        <v>145</v>
      </c>
      <c r="E66" s="80" t="s">
        <v>1173</v>
      </c>
      <c r="F66" s="78">
        <v>30315</v>
      </c>
      <c r="G66" s="78" t="s">
        <v>1514</v>
      </c>
    </row>
    <row r="67" spans="1:7" x14ac:dyDescent="0.25">
      <c r="A67" s="5" t="s">
        <v>1511</v>
      </c>
      <c r="B67" s="78">
        <f t="shared" ref="B67:B130" si="1">F67/1000</f>
        <v>30.815000000000001</v>
      </c>
      <c r="C67" s="78" t="s">
        <v>967</v>
      </c>
      <c r="D67" s="7" t="s">
        <v>147</v>
      </c>
      <c r="E67" s="80" t="s">
        <v>1173</v>
      </c>
      <c r="F67" s="78">
        <v>30815</v>
      </c>
      <c r="G67" s="78" t="s">
        <v>1514</v>
      </c>
    </row>
    <row r="68" spans="1:7" x14ac:dyDescent="0.25">
      <c r="A68" s="5" t="s">
        <v>1511</v>
      </c>
      <c r="B68" s="78">
        <f t="shared" si="1"/>
        <v>31.302</v>
      </c>
      <c r="C68" s="78" t="s">
        <v>968</v>
      </c>
      <c r="D68" s="7" t="s">
        <v>149</v>
      </c>
      <c r="E68" s="80" t="s">
        <v>1173</v>
      </c>
      <c r="F68" s="78">
        <v>31302</v>
      </c>
      <c r="G68" s="78" t="s">
        <v>1514</v>
      </c>
    </row>
    <row r="69" spans="1:7" x14ac:dyDescent="0.25">
      <c r="A69" s="5" t="s">
        <v>1511</v>
      </c>
      <c r="B69" s="78">
        <f t="shared" si="1"/>
        <v>31.800999999999998</v>
      </c>
      <c r="C69" s="78" t="s">
        <v>969</v>
      </c>
      <c r="D69" s="7" t="s">
        <v>151</v>
      </c>
      <c r="E69" s="80" t="s">
        <v>1173</v>
      </c>
      <c r="F69" s="78">
        <v>31801</v>
      </c>
      <c r="G69" s="78" t="s">
        <v>1514</v>
      </c>
    </row>
    <row r="70" spans="1:7" x14ac:dyDescent="0.25">
      <c r="A70" s="5" t="s">
        <v>1511</v>
      </c>
      <c r="B70" s="78">
        <f t="shared" si="1"/>
        <v>32.301000000000002</v>
      </c>
      <c r="C70" s="78" t="s">
        <v>970</v>
      </c>
      <c r="D70" s="7" t="s">
        <v>153</v>
      </c>
      <c r="E70" s="80" t="s">
        <v>1173</v>
      </c>
      <c r="F70" s="78">
        <v>32301</v>
      </c>
      <c r="G70" s="78" t="s">
        <v>1514</v>
      </c>
    </row>
    <row r="71" spans="1:7" x14ac:dyDescent="0.25">
      <c r="A71" s="5" t="s">
        <v>1511</v>
      </c>
      <c r="B71" s="78">
        <f t="shared" si="1"/>
        <v>32.795999999999999</v>
      </c>
      <c r="C71" s="78" t="s">
        <v>971</v>
      </c>
      <c r="D71" s="7" t="s">
        <v>155</v>
      </c>
      <c r="E71" s="80" t="s">
        <v>1173</v>
      </c>
      <c r="F71" s="78">
        <v>32796</v>
      </c>
      <c r="G71" s="78" t="s">
        <v>1514</v>
      </c>
    </row>
    <row r="72" spans="1:7" x14ac:dyDescent="0.25">
      <c r="A72" s="5" t="s">
        <v>1511</v>
      </c>
      <c r="B72" s="78">
        <f t="shared" si="1"/>
        <v>33.299999999999997</v>
      </c>
      <c r="C72" s="78" t="s">
        <v>972</v>
      </c>
      <c r="D72" s="7" t="s">
        <v>157</v>
      </c>
      <c r="E72" s="80" t="s">
        <v>1173</v>
      </c>
      <c r="F72" s="78">
        <v>33300</v>
      </c>
      <c r="G72" s="78" t="s">
        <v>1514</v>
      </c>
    </row>
    <row r="73" spans="1:7" x14ac:dyDescent="0.25">
      <c r="A73" s="5" t="s">
        <v>1511</v>
      </c>
      <c r="B73" s="78">
        <f t="shared" si="1"/>
        <v>33.795000000000002</v>
      </c>
      <c r="C73" s="78" t="s">
        <v>973</v>
      </c>
      <c r="D73" s="7" t="s">
        <v>159</v>
      </c>
      <c r="E73" s="80" t="s">
        <v>1173</v>
      </c>
      <c r="F73" s="78">
        <v>33795</v>
      </c>
      <c r="G73" s="78" t="s">
        <v>1514</v>
      </c>
    </row>
    <row r="74" spans="1:7" x14ac:dyDescent="0.25">
      <c r="A74" s="5" t="s">
        <v>1511</v>
      </c>
      <c r="B74" s="78">
        <f t="shared" si="1"/>
        <v>34.293999999999997</v>
      </c>
      <c r="C74" s="78" t="s">
        <v>974</v>
      </c>
      <c r="D74" s="7" t="s">
        <v>161</v>
      </c>
      <c r="E74" s="80" t="s">
        <v>1173</v>
      </c>
      <c r="F74" s="78">
        <v>34294</v>
      </c>
      <c r="G74" s="78" t="s">
        <v>1514</v>
      </c>
    </row>
    <row r="75" spans="1:7" x14ac:dyDescent="0.25">
      <c r="A75" s="5" t="s">
        <v>1511</v>
      </c>
      <c r="B75" s="78">
        <f t="shared" si="1"/>
        <v>34.738870000000006</v>
      </c>
      <c r="C75" s="78" t="s">
        <v>975</v>
      </c>
      <c r="D75" s="7" t="s">
        <v>163</v>
      </c>
      <c r="E75" s="80" t="s">
        <v>1173</v>
      </c>
      <c r="F75" s="78">
        <v>34738.870000000003</v>
      </c>
      <c r="G75" s="78" t="s">
        <v>1516</v>
      </c>
    </row>
    <row r="76" spans="1:7" x14ac:dyDescent="0.25">
      <c r="A76" s="5" t="s">
        <v>1511</v>
      </c>
      <c r="B76" s="78">
        <f t="shared" si="1"/>
        <v>35.292000000000002</v>
      </c>
      <c r="C76" s="78" t="s">
        <v>976</v>
      </c>
      <c r="D76" s="7" t="s">
        <v>165</v>
      </c>
      <c r="E76" s="80" t="s">
        <v>1173</v>
      </c>
      <c r="F76" s="78">
        <v>35292</v>
      </c>
      <c r="G76" s="78" t="s">
        <v>1514</v>
      </c>
    </row>
    <row r="77" spans="1:7" x14ac:dyDescent="0.25">
      <c r="A77" s="5" t="s">
        <v>1511</v>
      </c>
      <c r="B77" s="78">
        <f t="shared" si="1"/>
        <v>35.737000000000002</v>
      </c>
      <c r="C77" s="78" t="s">
        <v>977</v>
      </c>
      <c r="D77" s="7" t="s">
        <v>167</v>
      </c>
      <c r="E77" s="80" t="s">
        <v>1173</v>
      </c>
      <c r="F77" s="78">
        <v>35737</v>
      </c>
      <c r="G77" s="78" t="s">
        <v>1514</v>
      </c>
    </row>
    <row r="78" spans="1:7" x14ac:dyDescent="0.25">
      <c r="A78" s="5" t="s">
        <v>1511</v>
      </c>
      <c r="B78" s="78">
        <f t="shared" si="1"/>
        <v>36.226999999999997</v>
      </c>
      <c r="C78" s="78" t="s">
        <v>978</v>
      </c>
      <c r="D78" s="7" t="s">
        <v>169</v>
      </c>
      <c r="E78" s="80" t="s">
        <v>1173</v>
      </c>
      <c r="F78" s="78">
        <v>36227</v>
      </c>
      <c r="G78" s="78" t="s">
        <v>1514</v>
      </c>
    </row>
    <row r="79" spans="1:7" x14ac:dyDescent="0.25">
      <c r="A79" s="5" t="s">
        <v>1511</v>
      </c>
      <c r="B79" s="78">
        <f t="shared" si="1"/>
        <v>36.734999999999999</v>
      </c>
      <c r="C79" s="78" t="s">
        <v>979</v>
      </c>
      <c r="D79" s="7" t="s">
        <v>171</v>
      </c>
      <c r="E79" s="80" t="s">
        <v>1173</v>
      </c>
      <c r="F79" s="78">
        <v>36735</v>
      </c>
      <c r="G79" s="78" t="s">
        <v>1514</v>
      </c>
    </row>
    <row r="80" spans="1:7" x14ac:dyDescent="0.25">
      <c r="A80" s="5" t="s">
        <v>1511</v>
      </c>
      <c r="B80" s="78">
        <f t="shared" si="1"/>
        <v>37.222000000000001</v>
      </c>
      <c r="C80" s="78" t="s">
        <v>980</v>
      </c>
      <c r="D80" s="7" t="s">
        <v>173</v>
      </c>
      <c r="E80" s="80" t="s">
        <v>1173</v>
      </c>
      <c r="F80" s="78">
        <v>37222</v>
      </c>
      <c r="G80" s="78" t="s">
        <v>1514</v>
      </c>
    </row>
    <row r="81" spans="1:7" x14ac:dyDescent="0.25">
      <c r="A81" s="5" t="s">
        <v>1511</v>
      </c>
      <c r="B81" s="78">
        <f t="shared" si="1"/>
        <v>37.734000000000002</v>
      </c>
      <c r="C81" s="78" t="s">
        <v>981</v>
      </c>
      <c r="D81" s="7" t="s">
        <v>175</v>
      </c>
      <c r="E81" s="80" t="s">
        <v>1173</v>
      </c>
      <c r="F81" s="78">
        <v>37734</v>
      </c>
      <c r="G81" s="78" t="s">
        <v>1514</v>
      </c>
    </row>
    <row r="82" spans="1:7" x14ac:dyDescent="0.25">
      <c r="A82" s="5" t="s">
        <v>1511</v>
      </c>
      <c r="B82" s="78">
        <f t="shared" si="1"/>
        <v>38.22</v>
      </c>
      <c r="C82" s="78" t="s">
        <v>982</v>
      </c>
      <c r="D82" s="7" t="s">
        <v>177</v>
      </c>
      <c r="E82" s="80" t="s">
        <v>1173</v>
      </c>
      <c r="F82" s="78">
        <v>38220</v>
      </c>
      <c r="G82" s="78" t="s">
        <v>1514</v>
      </c>
    </row>
    <row r="83" spans="1:7" x14ac:dyDescent="0.25">
      <c r="A83" s="5" t="s">
        <v>1511</v>
      </c>
      <c r="B83" s="78">
        <f t="shared" si="1"/>
        <v>38.72</v>
      </c>
      <c r="C83" s="78" t="s">
        <v>983</v>
      </c>
      <c r="D83" s="7" t="s">
        <v>179</v>
      </c>
      <c r="E83" s="80" t="s">
        <v>1173</v>
      </c>
      <c r="F83" s="78">
        <v>38720</v>
      </c>
      <c r="G83" s="78" t="s">
        <v>1514</v>
      </c>
    </row>
    <row r="84" spans="1:7" x14ac:dyDescent="0.25">
      <c r="A84" s="5" t="s">
        <v>1511</v>
      </c>
      <c r="B84" s="78">
        <f t="shared" si="1"/>
        <v>39.215000000000003</v>
      </c>
      <c r="C84" s="78" t="s">
        <v>984</v>
      </c>
      <c r="D84" s="7" t="s">
        <v>181</v>
      </c>
      <c r="E84" s="80" t="s">
        <v>1173</v>
      </c>
      <c r="F84" s="78">
        <v>39215</v>
      </c>
      <c r="G84" s="78" t="s">
        <v>1514</v>
      </c>
    </row>
    <row r="85" spans="1:7" x14ac:dyDescent="0.25">
      <c r="A85" s="5" t="s">
        <v>1511</v>
      </c>
      <c r="B85" s="78">
        <f t="shared" si="1"/>
        <v>39.719000000000001</v>
      </c>
      <c r="C85" s="78" t="s">
        <v>985</v>
      </c>
      <c r="D85" s="7" t="s">
        <v>183</v>
      </c>
      <c r="E85" s="80" t="s">
        <v>1173</v>
      </c>
      <c r="F85" s="78">
        <v>39719</v>
      </c>
      <c r="G85" s="78" t="s">
        <v>1514</v>
      </c>
    </row>
    <row r="86" spans="1:7" x14ac:dyDescent="0.25">
      <c r="A86" s="5" t="s">
        <v>1511</v>
      </c>
      <c r="B86" s="78">
        <f t="shared" si="1"/>
        <v>40.21</v>
      </c>
      <c r="C86" s="78" t="s">
        <v>986</v>
      </c>
      <c r="D86" s="7" t="s">
        <v>272</v>
      </c>
      <c r="E86" s="80" t="s">
        <v>1173</v>
      </c>
      <c r="F86" s="78">
        <v>40210</v>
      </c>
      <c r="G86" s="78" t="s">
        <v>1514</v>
      </c>
    </row>
    <row r="87" spans="1:7" x14ac:dyDescent="0.25">
      <c r="A87" s="5" t="s">
        <v>1511</v>
      </c>
      <c r="B87" s="78">
        <f t="shared" si="1"/>
        <v>40.700000000000003</v>
      </c>
      <c r="C87" s="78" t="s">
        <v>987</v>
      </c>
      <c r="D87" s="7" t="s">
        <v>274</v>
      </c>
      <c r="E87" s="80" t="s">
        <v>1173</v>
      </c>
      <c r="F87" s="78">
        <v>40700</v>
      </c>
      <c r="G87" s="78" t="s">
        <v>1514</v>
      </c>
    </row>
    <row r="88" spans="1:7" x14ac:dyDescent="0.25">
      <c r="A88" s="5" t="s">
        <v>1511</v>
      </c>
      <c r="B88" s="78">
        <f t="shared" si="1"/>
        <v>41.195999999999998</v>
      </c>
      <c r="C88" s="78" t="s">
        <v>988</v>
      </c>
      <c r="D88" s="7" t="s">
        <v>276</v>
      </c>
      <c r="E88" s="80" t="s">
        <v>1173</v>
      </c>
      <c r="F88" s="78">
        <v>41196</v>
      </c>
      <c r="G88" s="78" t="s">
        <v>1514</v>
      </c>
    </row>
    <row r="89" spans="1:7" x14ac:dyDescent="0.25">
      <c r="A89" s="5" t="s">
        <v>1511</v>
      </c>
      <c r="B89" s="78">
        <f t="shared" si="1"/>
        <v>41.690100000000001</v>
      </c>
      <c r="C89" s="78" t="s">
        <v>989</v>
      </c>
      <c r="D89" s="7" t="s">
        <v>278</v>
      </c>
      <c r="E89" s="80" t="s">
        <v>1173</v>
      </c>
      <c r="F89" s="78">
        <v>41690.1</v>
      </c>
      <c r="G89" s="78" t="s">
        <v>1514</v>
      </c>
    </row>
    <row r="90" spans="1:7" x14ac:dyDescent="0.25">
      <c r="A90" s="5" t="s">
        <v>1511</v>
      </c>
      <c r="B90" s="78">
        <f t="shared" si="1"/>
        <v>42.195</v>
      </c>
      <c r="C90" s="78" t="s">
        <v>990</v>
      </c>
      <c r="D90" s="7" t="s">
        <v>280</v>
      </c>
      <c r="E90" s="80" t="s">
        <v>1173</v>
      </c>
      <c r="F90" s="78">
        <v>42195</v>
      </c>
      <c r="G90" s="78" t="s">
        <v>1514</v>
      </c>
    </row>
    <row r="91" spans="1:7" x14ac:dyDescent="0.25">
      <c r="A91" s="5" t="s">
        <v>1511</v>
      </c>
      <c r="B91" s="78">
        <f t="shared" si="1"/>
        <v>42.680999999999997</v>
      </c>
      <c r="C91" s="78" t="s">
        <v>991</v>
      </c>
      <c r="D91" s="7" t="s">
        <v>282</v>
      </c>
      <c r="E91" s="80" t="s">
        <v>1173</v>
      </c>
      <c r="F91" s="78">
        <v>42681</v>
      </c>
      <c r="G91" s="78" t="s">
        <v>1514</v>
      </c>
    </row>
    <row r="92" spans="1:7" x14ac:dyDescent="0.25">
      <c r="A92" s="5" t="s">
        <v>1511</v>
      </c>
      <c r="B92" s="78">
        <f t="shared" si="1"/>
        <v>43.16</v>
      </c>
      <c r="C92" s="78" t="s">
        <v>992</v>
      </c>
      <c r="D92" s="7" t="s">
        <v>284</v>
      </c>
      <c r="E92" s="80" t="s">
        <v>1173</v>
      </c>
      <c r="F92" s="78">
        <v>43160</v>
      </c>
      <c r="G92" s="78" t="s">
        <v>1514</v>
      </c>
    </row>
    <row r="93" spans="1:7" x14ac:dyDescent="0.25">
      <c r="A93" s="5" t="s">
        <v>1511</v>
      </c>
      <c r="B93" s="78">
        <f t="shared" si="1"/>
        <v>43.655999999999999</v>
      </c>
      <c r="C93" s="78" t="s">
        <v>993</v>
      </c>
      <c r="D93" s="7" t="s">
        <v>286</v>
      </c>
      <c r="E93" s="80" t="s">
        <v>1173</v>
      </c>
      <c r="F93" s="78">
        <v>43656</v>
      </c>
      <c r="G93" s="78" t="s">
        <v>1514</v>
      </c>
    </row>
    <row r="94" spans="1:7" x14ac:dyDescent="0.25">
      <c r="A94" s="5" t="s">
        <v>1511</v>
      </c>
      <c r="B94" s="78">
        <f t="shared" si="1"/>
        <v>44.155999999999999</v>
      </c>
      <c r="C94" s="78" t="s">
        <v>994</v>
      </c>
      <c r="D94" s="7" t="s">
        <v>288</v>
      </c>
      <c r="E94" s="80" t="s">
        <v>1173</v>
      </c>
      <c r="F94" s="78">
        <v>44156</v>
      </c>
      <c r="G94" s="78" t="s">
        <v>1514</v>
      </c>
    </row>
    <row r="95" spans="1:7" x14ac:dyDescent="0.25">
      <c r="A95" s="5" t="s">
        <v>1511</v>
      </c>
      <c r="B95" s="78">
        <f t="shared" si="1"/>
        <v>44.65</v>
      </c>
      <c r="C95" s="78" t="s">
        <v>995</v>
      </c>
      <c r="D95" s="7" t="s">
        <v>290</v>
      </c>
      <c r="E95" s="80" t="s">
        <v>1173</v>
      </c>
      <c r="F95" s="78">
        <v>44650</v>
      </c>
      <c r="G95" s="78" t="s">
        <v>1514</v>
      </c>
    </row>
    <row r="96" spans="1:7" x14ac:dyDescent="0.25">
      <c r="A96" s="5" t="s">
        <v>1511</v>
      </c>
      <c r="B96" s="78">
        <f t="shared" si="1"/>
        <v>45.151000000000003</v>
      </c>
      <c r="C96" s="78" t="s">
        <v>996</v>
      </c>
      <c r="D96" s="7" t="s">
        <v>292</v>
      </c>
      <c r="E96" s="80" t="s">
        <v>1173</v>
      </c>
      <c r="F96" s="78">
        <v>45151</v>
      </c>
      <c r="G96" s="78" t="s">
        <v>1514</v>
      </c>
    </row>
    <row r="97" spans="1:7" x14ac:dyDescent="0.25">
      <c r="A97" s="5" t="s">
        <v>1511</v>
      </c>
      <c r="B97" s="78">
        <f t="shared" si="1"/>
        <v>45.643999999999998</v>
      </c>
      <c r="C97" s="78" t="s">
        <v>997</v>
      </c>
      <c r="D97" s="7" t="s">
        <v>294</v>
      </c>
      <c r="E97" s="80" t="s">
        <v>1173</v>
      </c>
      <c r="F97" s="78">
        <v>45644</v>
      </c>
      <c r="G97" s="78" t="s">
        <v>1514</v>
      </c>
    </row>
    <row r="98" spans="1:7" x14ac:dyDescent="0.25">
      <c r="A98" s="5" t="s">
        <v>1511</v>
      </c>
      <c r="B98" s="78">
        <f t="shared" si="1"/>
        <v>46.149000000000001</v>
      </c>
      <c r="C98" s="78" t="s">
        <v>998</v>
      </c>
      <c r="D98" s="7" t="s">
        <v>296</v>
      </c>
      <c r="E98" s="80" t="s">
        <v>1173</v>
      </c>
      <c r="F98" s="78">
        <v>46149</v>
      </c>
      <c r="G98" s="78" t="s">
        <v>1514</v>
      </c>
    </row>
    <row r="99" spans="1:7" x14ac:dyDescent="0.25">
      <c r="A99" s="5" t="s">
        <v>1511</v>
      </c>
      <c r="B99" s="78">
        <f t="shared" si="1"/>
        <v>46.628999999999998</v>
      </c>
      <c r="C99" s="78" t="s">
        <v>999</v>
      </c>
      <c r="D99" s="7" t="s">
        <v>298</v>
      </c>
      <c r="E99" s="80" t="s">
        <v>1173</v>
      </c>
      <c r="F99" s="78">
        <v>46629</v>
      </c>
      <c r="G99" s="78" t="s">
        <v>1514</v>
      </c>
    </row>
    <row r="100" spans="1:7" x14ac:dyDescent="0.25">
      <c r="A100" s="5" t="s">
        <v>1511</v>
      </c>
      <c r="B100" s="78">
        <f t="shared" si="1"/>
        <v>47.13</v>
      </c>
      <c r="C100" s="78" t="s">
        <v>1000</v>
      </c>
      <c r="D100" s="7" t="s">
        <v>300</v>
      </c>
      <c r="E100" s="80" t="s">
        <v>1173</v>
      </c>
      <c r="F100" s="78">
        <v>47130</v>
      </c>
      <c r="G100" s="78" t="s">
        <v>1514</v>
      </c>
    </row>
    <row r="101" spans="1:7" x14ac:dyDescent="0.25">
      <c r="A101" s="5" t="s">
        <v>1511</v>
      </c>
      <c r="B101" s="78">
        <f t="shared" si="1"/>
        <v>47.613999999999997</v>
      </c>
      <c r="C101" s="78" t="s">
        <v>1001</v>
      </c>
      <c r="D101" s="7" t="s">
        <v>302</v>
      </c>
      <c r="E101" s="80" t="s">
        <v>1173</v>
      </c>
      <c r="F101" s="78">
        <v>47614</v>
      </c>
      <c r="G101" s="78" t="s">
        <v>1514</v>
      </c>
    </row>
    <row r="102" spans="1:7" x14ac:dyDescent="0.25">
      <c r="A102" s="5" t="s">
        <v>1511</v>
      </c>
      <c r="B102" s="78">
        <f t="shared" si="1"/>
        <v>48.121000000000002</v>
      </c>
      <c r="C102" s="78" t="s">
        <v>1002</v>
      </c>
      <c r="D102" s="7" t="s">
        <v>304</v>
      </c>
      <c r="E102" s="80" t="s">
        <v>1174</v>
      </c>
      <c r="F102" s="78">
        <v>48121</v>
      </c>
      <c r="G102" s="78" t="s">
        <v>1514</v>
      </c>
    </row>
    <row r="103" spans="1:7" x14ac:dyDescent="0.25">
      <c r="A103" s="5" t="s">
        <v>1511</v>
      </c>
      <c r="B103" s="78">
        <f t="shared" si="1"/>
        <v>48.610999999999997</v>
      </c>
      <c r="C103" s="78" t="s">
        <v>1003</v>
      </c>
      <c r="D103" s="7" t="s">
        <v>306</v>
      </c>
      <c r="E103" s="80" t="s">
        <v>1175</v>
      </c>
      <c r="F103" s="78">
        <v>48611</v>
      </c>
      <c r="G103" s="78" t="s">
        <v>1518</v>
      </c>
    </row>
    <row r="104" spans="1:7" x14ac:dyDescent="0.25">
      <c r="A104" s="5" t="s">
        <v>1511</v>
      </c>
      <c r="B104" s="78">
        <f t="shared" si="1"/>
        <v>49.106000000000002</v>
      </c>
      <c r="C104" s="78" t="s">
        <v>1004</v>
      </c>
      <c r="D104" s="7" t="s">
        <v>308</v>
      </c>
      <c r="E104" s="80" t="s">
        <v>1175</v>
      </c>
      <c r="F104" s="78">
        <v>49106</v>
      </c>
      <c r="G104" s="78" t="s">
        <v>1514</v>
      </c>
    </row>
    <row r="105" spans="1:7" x14ac:dyDescent="0.25">
      <c r="A105" s="5" t="s">
        <v>1511</v>
      </c>
      <c r="B105" s="78">
        <f t="shared" si="1"/>
        <v>49.604999999999997</v>
      </c>
      <c r="C105" s="78" t="s">
        <v>1005</v>
      </c>
      <c r="D105" s="7" t="s">
        <v>310</v>
      </c>
      <c r="E105" s="80" t="s">
        <v>1175</v>
      </c>
      <c r="F105" s="78">
        <v>49605</v>
      </c>
      <c r="G105" s="78" t="s">
        <v>1514</v>
      </c>
    </row>
    <row r="106" spans="1:7" x14ac:dyDescent="0.25">
      <c r="A106" s="5" t="s">
        <v>1511</v>
      </c>
      <c r="B106" s="78">
        <f t="shared" si="1"/>
        <v>50.1</v>
      </c>
      <c r="C106" s="78" t="s">
        <v>1006</v>
      </c>
      <c r="D106" s="7" t="s">
        <v>312</v>
      </c>
      <c r="E106" s="80" t="s">
        <v>1175</v>
      </c>
      <c r="F106" s="78">
        <v>50100</v>
      </c>
      <c r="G106" s="78" t="s">
        <v>1514</v>
      </c>
    </row>
    <row r="107" spans="1:7" x14ac:dyDescent="0.25">
      <c r="A107" s="5" t="s">
        <v>1511</v>
      </c>
      <c r="B107" s="78">
        <f t="shared" si="1"/>
        <v>50.601999999999997</v>
      </c>
      <c r="C107" s="78" t="s">
        <v>1007</v>
      </c>
      <c r="D107" s="7" t="s">
        <v>314</v>
      </c>
      <c r="E107" s="80" t="s">
        <v>1175</v>
      </c>
      <c r="F107" s="78">
        <v>50602</v>
      </c>
      <c r="G107" s="78" t="s">
        <v>1514</v>
      </c>
    </row>
    <row r="108" spans="1:7" x14ac:dyDescent="0.25">
      <c r="A108" s="5" t="s">
        <v>1511</v>
      </c>
      <c r="B108" s="78">
        <f t="shared" si="1"/>
        <v>51.094999999999999</v>
      </c>
      <c r="C108" s="78" t="s">
        <v>1008</v>
      </c>
      <c r="D108" s="7" t="s">
        <v>316</v>
      </c>
      <c r="E108" s="80" t="s">
        <v>1175</v>
      </c>
      <c r="F108" s="78">
        <v>51095</v>
      </c>
      <c r="G108" s="78" t="s">
        <v>1514</v>
      </c>
    </row>
    <row r="109" spans="1:7" x14ac:dyDescent="0.25">
      <c r="A109" s="5" t="s">
        <v>1511</v>
      </c>
      <c r="B109" s="78">
        <f t="shared" si="1"/>
        <v>51.594999999999999</v>
      </c>
      <c r="C109" s="78" t="s">
        <v>1009</v>
      </c>
      <c r="D109" s="7" t="s">
        <v>318</v>
      </c>
      <c r="E109" s="80" t="s">
        <v>1175</v>
      </c>
      <c r="F109" s="78">
        <v>51595</v>
      </c>
      <c r="G109" s="78" t="s">
        <v>1514</v>
      </c>
    </row>
    <row r="110" spans="1:7" x14ac:dyDescent="0.25">
      <c r="A110" s="5" t="s">
        <v>1511</v>
      </c>
      <c r="B110" s="78">
        <f t="shared" si="1"/>
        <v>52.09</v>
      </c>
      <c r="C110" s="78" t="s">
        <v>1010</v>
      </c>
      <c r="D110" s="7" t="s">
        <v>320</v>
      </c>
      <c r="E110" s="80" t="s">
        <v>1175</v>
      </c>
      <c r="F110" s="78">
        <v>52090</v>
      </c>
      <c r="G110" s="78" t="s">
        <v>1514</v>
      </c>
    </row>
    <row r="111" spans="1:7" x14ac:dyDescent="0.25">
      <c r="A111" s="5" t="s">
        <v>1511</v>
      </c>
      <c r="B111" s="78">
        <f t="shared" si="1"/>
        <v>52.594000000000001</v>
      </c>
      <c r="C111" s="78" t="s">
        <v>1011</v>
      </c>
      <c r="D111" s="7" t="s">
        <v>322</v>
      </c>
      <c r="E111" s="80" t="s">
        <v>1175</v>
      </c>
      <c r="F111" s="78">
        <v>52594</v>
      </c>
      <c r="G111" s="78" t="s">
        <v>1514</v>
      </c>
    </row>
    <row r="112" spans="1:7" x14ac:dyDescent="0.25">
      <c r="A112" s="5" t="s">
        <v>1511</v>
      </c>
      <c r="B112" s="78">
        <f t="shared" si="1"/>
        <v>53.088999999999999</v>
      </c>
      <c r="C112" s="78" t="s">
        <v>1012</v>
      </c>
      <c r="D112" s="7" t="s">
        <v>324</v>
      </c>
      <c r="E112" s="80" t="s">
        <v>1175</v>
      </c>
      <c r="F112" s="78">
        <v>53089</v>
      </c>
      <c r="G112" s="78" t="s">
        <v>1514</v>
      </c>
    </row>
    <row r="113" spans="1:7" x14ac:dyDescent="0.25">
      <c r="A113" s="5" t="s">
        <v>1511</v>
      </c>
      <c r="B113" s="78">
        <f t="shared" si="1"/>
        <v>53.591000000000001</v>
      </c>
      <c r="C113" s="78" t="s">
        <v>1013</v>
      </c>
      <c r="D113" s="7" t="s">
        <v>326</v>
      </c>
      <c r="E113" s="80" t="s">
        <v>1175</v>
      </c>
      <c r="F113" s="78">
        <v>53591</v>
      </c>
      <c r="G113" s="78" t="s">
        <v>1514</v>
      </c>
    </row>
    <row r="114" spans="1:7" x14ac:dyDescent="0.25">
      <c r="A114" s="5" t="s">
        <v>1511</v>
      </c>
      <c r="B114" s="78">
        <f t="shared" si="1"/>
        <v>54.085999999999999</v>
      </c>
      <c r="C114" s="78" t="s">
        <v>1014</v>
      </c>
      <c r="D114" s="7" t="s">
        <v>328</v>
      </c>
      <c r="E114" s="80" t="s">
        <v>1175</v>
      </c>
      <c r="F114" s="78">
        <v>54086</v>
      </c>
      <c r="G114" s="78" t="s">
        <v>1514</v>
      </c>
    </row>
    <row r="115" spans="1:7" x14ac:dyDescent="0.25">
      <c r="A115" s="5" t="s">
        <v>1511</v>
      </c>
      <c r="B115" s="78">
        <f t="shared" si="1"/>
        <v>54.585999999999999</v>
      </c>
      <c r="C115" s="78" t="s">
        <v>1015</v>
      </c>
      <c r="D115" s="7" t="s">
        <v>330</v>
      </c>
      <c r="E115" s="80" t="s">
        <v>1175</v>
      </c>
      <c r="F115" s="78">
        <v>54586</v>
      </c>
      <c r="G115" s="78" t="s">
        <v>1514</v>
      </c>
    </row>
    <row r="116" spans="1:7" x14ac:dyDescent="0.25">
      <c r="A116" s="5" t="s">
        <v>1511</v>
      </c>
      <c r="B116" s="78">
        <f t="shared" si="1"/>
        <v>55.081000000000003</v>
      </c>
      <c r="C116" s="78" t="s">
        <v>1016</v>
      </c>
      <c r="D116" s="7" t="s">
        <v>332</v>
      </c>
      <c r="E116" s="80" t="s">
        <v>1175</v>
      </c>
      <c r="F116" s="78">
        <v>55081</v>
      </c>
      <c r="G116" s="78" t="s">
        <v>1514</v>
      </c>
    </row>
    <row r="117" spans="1:7" x14ac:dyDescent="0.25">
      <c r="A117" s="5" t="s">
        <v>1511</v>
      </c>
      <c r="B117" s="78">
        <f t="shared" si="1"/>
        <v>55.581000000000003</v>
      </c>
      <c r="C117" s="78" t="s">
        <v>1017</v>
      </c>
      <c r="D117" s="7" t="s">
        <v>334</v>
      </c>
      <c r="E117" s="80" t="s">
        <v>1175</v>
      </c>
      <c r="F117" s="78">
        <v>55581</v>
      </c>
      <c r="G117" s="78" t="s">
        <v>1514</v>
      </c>
    </row>
    <row r="118" spans="1:7" x14ac:dyDescent="0.25">
      <c r="A118" s="5" t="s">
        <v>1511</v>
      </c>
      <c r="B118" s="78">
        <f t="shared" si="1"/>
        <v>56.08</v>
      </c>
      <c r="C118" s="78" t="s">
        <v>1018</v>
      </c>
      <c r="D118" s="7" t="s">
        <v>336</v>
      </c>
      <c r="E118" s="80" t="s">
        <v>1175</v>
      </c>
      <c r="F118" s="78">
        <v>56080</v>
      </c>
      <c r="G118" s="78" t="s">
        <v>1514</v>
      </c>
    </row>
    <row r="119" spans="1:7" x14ac:dyDescent="0.25">
      <c r="A119" s="5" t="s">
        <v>1511</v>
      </c>
      <c r="B119" s="78">
        <f t="shared" si="1"/>
        <v>56.576000000000001</v>
      </c>
      <c r="C119" s="78" t="s">
        <v>1019</v>
      </c>
      <c r="D119" s="7" t="s">
        <v>338</v>
      </c>
      <c r="E119" s="80" t="s">
        <v>1175</v>
      </c>
      <c r="F119" s="78">
        <v>56576</v>
      </c>
      <c r="G119" s="78" t="s">
        <v>1514</v>
      </c>
    </row>
    <row r="120" spans="1:7" x14ac:dyDescent="0.25">
      <c r="A120" s="5" t="s">
        <v>1511</v>
      </c>
      <c r="B120" s="78">
        <f t="shared" si="1"/>
        <v>57.076000000000001</v>
      </c>
      <c r="C120" s="78" t="s">
        <v>1020</v>
      </c>
      <c r="D120" s="7" t="s">
        <v>340</v>
      </c>
      <c r="E120" s="80" t="s">
        <v>1175</v>
      </c>
      <c r="F120" s="78">
        <v>57076</v>
      </c>
      <c r="G120" s="78" t="s">
        <v>1514</v>
      </c>
    </row>
    <row r="121" spans="1:7" x14ac:dyDescent="0.25">
      <c r="A121" s="5" t="s">
        <v>1511</v>
      </c>
      <c r="B121" s="78">
        <f t="shared" si="1"/>
        <v>57.561</v>
      </c>
      <c r="C121" s="78" t="s">
        <v>1021</v>
      </c>
      <c r="D121" s="7" t="s">
        <v>342</v>
      </c>
      <c r="E121" s="80" t="s">
        <v>1175</v>
      </c>
      <c r="F121" s="78">
        <v>57561</v>
      </c>
      <c r="G121" s="78" t="s">
        <v>1514</v>
      </c>
    </row>
    <row r="122" spans="1:7" x14ac:dyDescent="0.25">
      <c r="A122" s="5" t="s">
        <v>1511</v>
      </c>
      <c r="B122" s="78">
        <f t="shared" si="1"/>
        <v>58.070999999999998</v>
      </c>
      <c r="C122" s="78" t="s">
        <v>1022</v>
      </c>
      <c r="D122" s="7" t="s">
        <v>344</v>
      </c>
      <c r="E122" s="80" t="s">
        <v>1175</v>
      </c>
      <c r="F122" s="78">
        <v>58071</v>
      </c>
      <c r="G122" s="78" t="s">
        <v>1514</v>
      </c>
    </row>
    <row r="123" spans="1:7" x14ac:dyDescent="0.25">
      <c r="A123" s="5" t="s">
        <v>1511</v>
      </c>
      <c r="B123" s="78">
        <f t="shared" si="1"/>
        <v>58.510849999999998</v>
      </c>
      <c r="C123" s="78" t="s">
        <v>1023</v>
      </c>
      <c r="D123" s="7" t="s">
        <v>346</v>
      </c>
      <c r="E123" s="80" t="s">
        <v>1175</v>
      </c>
      <c r="F123" s="90">
        <v>58510.85</v>
      </c>
      <c r="G123" s="78" t="s">
        <v>1513</v>
      </c>
    </row>
    <row r="124" spans="1:7" x14ac:dyDescent="0.25">
      <c r="A124" s="5" t="s">
        <v>1511</v>
      </c>
      <c r="B124" s="78">
        <f t="shared" si="1"/>
        <v>59.69</v>
      </c>
      <c r="C124" s="78" t="s">
        <v>1024</v>
      </c>
      <c r="D124" s="7" t="s">
        <v>348</v>
      </c>
      <c r="E124" s="80" t="s">
        <v>1175</v>
      </c>
      <c r="F124" s="78">
        <v>59690</v>
      </c>
      <c r="G124" s="78" t="s">
        <v>1514</v>
      </c>
    </row>
    <row r="125" spans="1:7" x14ac:dyDescent="0.25">
      <c r="A125" s="5" t="s">
        <v>1511</v>
      </c>
      <c r="B125" s="78">
        <f t="shared" si="1"/>
        <v>60.189</v>
      </c>
      <c r="C125" s="78" t="s">
        <v>1025</v>
      </c>
      <c r="D125" s="7" t="s">
        <v>350</v>
      </c>
      <c r="E125" s="80" t="s">
        <v>1175</v>
      </c>
      <c r="F125" s="78">
        <v>60189</v>
      </c>
      <c r="G125" s="78" t="s">
        <v>1514</v>
      </c>
    </row>
    <row r="126" spans="1:7" x14ac:dyDescent="0.25">
      <c r="A126" s="5" t="s">
        <v>1511</v>
      </c>
      <c r="B126" s="78">
        <f t="shared" si="1"/>
        <v>60.686</v>
      </c>
      <c r="C126" s="78" t="s">
        <v>1026</v>
      </c>
      <c r="D126" s="7" t="s">
        <v>352</v>
      </c>
      <c r="E126" s="80" t="s">
        <v>1175</v>
      </c>
      <c r="F126" s="78">
        <v>60686</v>
      </c>
      <c r="G126" s="78" t="s">
        <v>1514</v>
      </c>
    </row>
    <row r="127" spans="1:7" x14ac:dyDescent="0.25">
      <c r="A127" s="5" t="s">
        <v>1511</v>
      </c>
      <c r="B127" s="78">
        <f t="shared" si="1"/>
        <v>61.183999999999997</v>
      </c>
      <c r="C127" s="78" t="s">
        <v>1027</v>
      </c>
      <c r="D127" s="7" t="s">
        <v>354</v>
      </c>
      <c r="E127" s="80" t="s">
        <v>1175</v>
      </c>
      <c r="F127" s="78">
        <v>61184</v>
      </c>
      <c r="G127" s="78" t="s">
        <v>1514</v>
      </c>
    </row>
    <row r="128" spans="1:7" x14ac:dyDescent="0.25">
      <c r="A128" s="5" t="s">
        <v>1511</v>
      </c>
      <c r="B128" s="78">
        <f t="shared" si="1"/>
        <v>61.679000000000002</v>
      </c>
      <c r="C128" s="78" t="s">
        <v>1028</v>
      </c>
      <c r="D128" s="7" t="s">
        <v>356</v>
      </c>
      <c r="E128" s="80" t="s">
        <v>1175</v>
      </c>
      <c r="F128" s="78">
        <v>61679</v>
      </c>
      <c r="G128" s="78" t="s">
        <v>1514</v>
      </c>
    </row>
    <row r="129" spans="1:7" x14ac:dyDescent="0.25">
      <c r="A129" s="5" t="s">
        <v>1511</v>
      </c>
      <c r="B129" s="78">
        <f t="shared" si="1"/>
        <v>62.179000000000002</v>
      </c>
      <c r="C129" s="78" t="s">
        <v>1029</v>
      </c>
      <c r="D129" s="7" t="s">
        <v>358</v>
      </c>
      <c r="E129" s="80" t="s">
        <v>1175</v>
      </c>
      <c r="F129" s="78">
        <v>62179</v>
      </c>
      <c r="G129" s="78" t="s">
        <v>1514</v>
      </c>
    </row>
    <row r="130" spans="1:7" x14ac:dyDescent="0.25">
      <c r="A130" s="5" t="s">
        <v>1511</v>
      </c>
      <c r="B130" s="78">
        <f t="shared" si="1"/>
        <v>62.677999999999997</v>
      </c>
      <c r="C130" s="78" t="s">
        <v>1030</v>
      </c>
      <c r="D130" s="7" t="s">
        <v>360</v>
      </c>
      <c r="E130" s="80" t="s">
        <v>1175</v>
      </c>
      <c r="F130" s="78">
        <v>62678</v>
      </c>
      <c r="G130" s="78" t="s">
        <v>1514</v>
      </c>
    </row>
    <row r="131" spans="1:7" x14ac:dyDescent="0.25">
      <c r="A131" s="5" t="s">
        <v>1511</v>
      </c>
      <c r="B131" s="78">
        <f t="shared" ref="B131:B194" si="2">F131/1000</f>
        <v>63.177999999999997</v>
      </c>
      <c r="C131" s="78" t="s">
        <v>1031</v>
      </c>
      <c r="D131" s="7" t="s">
        <v>362</v>
      </c>
      <c r="E131" s="80" t="s">
        <v>1175</v>
      </c>
      <c r="F131" s="78">
        <v>63178</v>
      </c>
      <c r="G131" s="78" t="s">
        <v>1514</v>
      </c>
    </row>
    <row r="132" spans="1:7" x14ac:dyDescent="0.25">
      <c r="A132" s="5" t="s">
        <v>1511</v>
      </c>
      <c r="B132" s="78">
        <f t="shared" si="2"/>
        <v>63.673000000000002</v>
      </c>
      <c r="C132" s="78" t="s">
        <v>1032</v>
      </c>
      <c r="D132" s="7" t="s">
        <v>364</v>
      </c>
      <c r="E132" s="80" t="s">
        <v>1175</v>
      </c>
      <c r="F132" s="78">
        <v>63673</v>
      </c>
      <c r="G132" s="78" t="s">
        <v>1181</v>
      </c>
    </row>
    <row r="133" spans="1:7" x14ac:dyDescent="0.25">
      <c r="A133" s="5" t="s">
        <v>1511</v>
      </c>
      <c r="B133" s="78">
        <f t="shared" si="2"/>
        <v>64.147800000000004</v>
      </c>
      <c r="C133" s="78" t="s">
        <v>1033</v>
      </c>
      <c r="D133" s="7" t="s">
        <v>366</v>
      </c>
      <c r="E133" s="80" t="s">
        <v>1175</v>
      </c>
      <c r="F133" s="78">
        <v>64147.8</v>
      </c>
      <c r="G133" s="78" t="s">
        <v>1515</v>
      </c>
    </row>
    <row r="134" spans="1:7" x14ac:dyDescent="0.25">
      <c r="A134" s="5" t="s">
        <v>1511</v>
      </c>
      <c r="B134" s="78">
        <f t="shared" si="2"/>
        <v>64.606999999999999</v>
      </c>
      <c r="C134" s="78" t="s">
        <v>1034</v>
      </c>
      <c r="D134" s="7" t="s">
        <v>368</v>
      </c>
      <c r="E134" s="80" t="s">
        <v>1175</v>
      </c>
      <c r="F134" s="78">
        <v>64607</v>
      </c>
      <c r="G134" s="78" t="s">
        <v>1514</v>
      </c>
    </row>
    <row r="135" spans="1:7" x14ac:dyDescent="0.25">
      <c r="A135" s="5" t="s">
        <v>1511</v>
      </c>
      <c r="B135" s="78">
        <f t="shared" si="2"/>
        <v>65.091999999999999</v>
      </c>
      <c r="C135" s="78" t="s">
        <v>1035</v>
      </c>
      <c r="D135" s="7" t="s">
        <v>370</v>
      </c>
      <c r="E135" s="80" t="s">
        <v>1175</v>
      </c>
      <c r="F135" s="78">
        <v>65092</v>
      </c>
      <c r="G135" s="78" t="s">
        <v>1514</v>
      </c>
    </row>
    <row r="136" spans="1:7" x14ac:dyDescent="0.25">
      <c r="A136" s="5" t="s">
        <v>1511</v>
      </c>
      <c r="B136" s="78">
        <f t="shared" si="2"/>
        <v>65.600999999999999</v>
      </c>
      <c r="C136" s="78" t="s">
        <v>1036</v>
      </c>
      <c r="D136" s="7" t="s">
        <v>372</v>
      </c>
      <c r="E136" s="80" t="s">
        <v>1175</v>
      </c>
      <c r="F136" s="78">
        <v>65601</v>
      </c>
      <c r="G136" s="78" t="s">
        <v>1514</v>
      </c>
    </row>
    <row r="137" spans="1:7" x14ac:dyDescent="0.25">
      <c r="A137" s="5" t="s">
        <v>1511</v>
      </c>
      <c r="B137" s="78">
        <f t="shared" si="2"/>
        <v>66.090999999999994</v>
      </c>
      <c r="C137" s="78" t="s">
        <v>1037</v>
      </c>
      <c r="D137" s="7" t="s">
        <v>374</v>
      </c>
      <c r="E137" s="80" t="s">
        <v>1175</v>
      </c>
      <c r="F137" s="78">
        <v>66091</v>
      </c>
      <c r="G137" s="78" t="s">
        <v>1514</v>
      </c>
    </row>
    <row r="138" spans="1:7" x14ac:dyDescent="0.25">
      <c r="A138" s="5" t="s">
        <v>1511</v>
      </c>
      <c r="B138" s="78">
        <f t="shared" si="2"/>
        <v>66.596999999999994</v>
      </c>
      <c r="C138" s="78" t="s">
        <v>1038</v>
      </c>
      <c r="D138" s="7" t="s">
        <v>376</v>
      </c>
      <c r="E138" s="80" t="s">
        <v>1175</v>
      </c>
      <c r="F138" s="78">
        <v>66597</v>
      </c>
      <c r="G138" s="78" t="s">
        <v>1514</v>
      </c>
    </row>
    <row r="139" spans="1:7" x14ac:dyDescent="0.25">
      <c r="A139" s="5" t="s">
        <v>1511</v>
      </c>
      <c r="B139" s="78">
        <f t="shared" si="2"/>
        <v>67.078999999999994</v>
      </c>
      <c r="C139" s="78" t="s">
        <v>1039</v>
      </c>
      <c r="D139" s="7" t="s">
        <v>378</v>
      </c>
      <c r="E139" s="80" t="s">
        <v>1175</v>
      </c>
      <c r="F139" s="78">
        <v>67079</v>
      </c>
      <c r="G139" s="78" t="s">
        <v>1514</v>
      </c>
    </row>
    <row r="140" spans="1:7" x14ac:dyDescent="0.25">
      <c r="A140" s="5" t="s">
        <v>1511</v>
      </c>
      <c r="B140" s="78">
        <f t="shared" si="2"/>
        <v>67.593999999999994</v>
      </c>
      <c r="C140" s="78" t="s">
        <v>1040</v>
      </c>
      <c r="D140" s="7" t="s">
        <v>380</v>
      </c>
      <c r="E140" s="80" t="s">
        <v>1175</v>
      </c>
      <c r="F140" s="78">
        <v>67594</v>
      </c>
      <c r="G140" s="78" t="s">
        <v>1514</v>
      </c>
    </row>
    <row r="141" spans="1:7" x14ac:dyDescent="0.25">
      <c r="A141" s="5" t="s">
        <v>1511</v>
      </c>
      <c r="B141" s="78">
        <f t="shared" si="2"/>
        <v>68.073999999999998</v>
      </c>
      <c r="C141" s="78" t="s">
        <v>1041</v>
      </c>
      <c r="D141" s="7" t="s">
        <v>382</v>
      </c>
      <c r="E141" s="80" t="s">
        <v>1175</v>
      </c>
      <c r="F141" s="78">
        <v>68074</v>
      </c>
      <c r="G141" s="78" t="s">
        <v>1514</v>
      </c>
    </row>
    <row r="142" spans="1:7" x14ac:dyDescent="0.25">
      <c r="A142" s="5" t="s">
        <v>1511</v>
      </c>
      <c r="B142" s="78">
        <f t="shared" si="2"/>
        <v>68.581000000000003</v>
      </c>
      <c r="C142" s="78" t="s">
        <v>1042</v>
      </c>
      <c r="D142" s="7" t="s">
        <v>384</v>
      </c>
      <c r="E142" s="80" t="s">
        <v>1175</v>
      </c>
      <c r="F142" s="78">
        <v>68581</v>
      </c>
      <c r="G142" s="78" t="s">
        <v>1514</v>
      </c>
    </row>
    <row r="143" spans="1:7" x14ac:dyDescent="0.25">
      <c r="A143" s="5" t="s">
        <v>1511</v>
      </c>
      <c r="B143" s="78">
        <f t="shared" si="2"/>
        <v>68.971999999999994</v>
      </c>
      <c r="C143" s="78" t="s">
        <v>1043</v>
      </c>
      <c r="D143" s="7" t="s">
        <v>386</v>
      </c>
      <c r="E143" s="80" t="s">
        <v>1175</v>
      </c>
      <c r="F143" s="78">
        <v>68972</v>
      </c>
      <c r="G143" s="78" t="s">
        <v>1514</v>
      </c>
    </row>
    <row r="144" spans="1:7" x14ac:dyDescent="0.25">
      <c r="A144" s="5" t="s">
        <v>1511</v>
      </c>
      <c r="B144" s="78">
        <f t="shared" si="2"/>
        <v>69.460009999999997</v>
      </c>
      <c r="C144" s="78" t="s">
        <v>1044</v>
      </c>
      <c r="D144" s="7" t="s">
        <v>388</v>
      </c>
      <c r="E144" s="80" t="s">
        <v>1175</v>
      </c>
      <c r="F144" s="78">
        <v>69460.009999999995</v>
      </c>
      <c r="G144" s="78" t="s">
        <v>1514</v>
      </c>
    </row>
    <row r="145" spans="1:7" x14ac:dyDescent="0.25">
      <c r="A145" s="5" t="s">
        <v>1511</v>
      </c>
      <c r="B145" s="78">
        <f t="shared" si="2"/>
        <v>69.903009999999995</v>
      </c>
      <c r="C145" s="78" t="s">
        <v>1045</v>
      </c>
      <c r="D145" s="7" t="s">
        <v>390</v>
      </c>
      <c r="E145" s="80" t="s">
        <v>1175</v>
      </c>
      <c r="F145" s="78">
        <v>69903.009999999995</v>
      </c>
      <c r="G145" s="78" t="s">
        <v>1514</v>
      </c>
    </row>
    <row r="146" spans="1:7" x14ac:dyDescent="0.25">
      <c r="A146" s="5" t="s">
        <v>1511</v>
      </c>
      <c r="B146" s="78">
        <f t="shared" si="2"/>
        <v>70.456009999999992</v>
      </c>
      <c r="C146" s="78" t="s">
        <v>1046</v>
      </c>
      <c r="D146" s="7" t="s">
        <v>392</v>
      </c>
      <c r="E146" s="80" t="s">
        <v>1175</v>
      </c>
      <c r="F146" s="78">
        <v>70456.009999999995</v>
      </c>
      <c r="G146" s="78" t="s">
        <v>1514</v>
      </c>
    </row>
    <row r="147" spans="1:7" x14ac:dyDescent="0.25">
      <c r="A147" s="5" t="s">
        <v>1511</v>
      </c>
      <c r="B147" s="78">
        <f t="shared" si="2"/>
        <v>70.822999999999993</v>
      </c>
      <c r="C147" s="78" t="s">
        <v>1047</v>
      </c>
      <c r="D147" s="7" t="s">
        <v>394</v>
      </c>
      <c r="E147" s="80" t="s">
        <v>1175</v>
      </c>
      <c r="F147" s="78">
        <v>70823</v>
      </c>
      <c r="G147" s="78" t="s">
        <v>1514</v>
      </c>
    </row>
    <row r="148" spans="1:7" x14ac:dyDescent="0.25">
      <c r="A148" s="5" t="s">
        <v>1511</v>
      </c>
      <c r="B148" s="78">
        <f t="shared" si="2"/>
        <v>71.328000000000003</v>
      </c>
      <c r="C148" s="78" t="s">
        <v>1048</v>
      </c>
      <c r="D148" s="7" t="s">
        <v>396</v>
      </c>
      <c r="E148" s="80" t="s">
        <v>1175</v>
      </c>
      <c r="F148" s="78">
        <v>71328</v>
      </c>
      <c r="G148" s="78" t="s">
        <v>1514</v>
      </c>
    </row>
    <row r="149" spans="1:7" x14ac:dyDescent="0.25">
      <c r="A149" s="5" t="s">
        <v>1511</v>
      </c>
      <c r="B149" s="78">
        <f t="shared" si="2"/>
        <v>71.813000000000002</v>
      </c>
      <c r="C149" s="78" t="s">
        <v>1049</v>
      </c>
      <c r="D149" s="7" t="s">
        <v>398</v>
      </c>
      <c r="E149" s="80" t="s">
        <v>1175</v>
      </c>
      <c r="F149" s="78">
        <v>71813</v>
      </c>
      <c r="G149" s="78" t="s">
        <v>1514</v>
      </c>
    </row>
    <row r="150" spans="1:7" x14ac:dyDescent="0.25">
      <c r="A150" s="5" t="s">
        <v>1511</v>
      </c>
      <c r="B150" s="78">
        <f t="shared" si="2"/>
        <v>72.302999999999997</v>
      </c>
      <c r="C150" s="78" t="s">
        <v>1050</v>
      </c>
      <c r="D150" s="7" t="s">
        <v>400</v>
      </c>
      <c r="E150" s="80" t="s">
        <v>1175</v>
      </c>
      <c r="F150" s="78">
        <v>72303</v>
      </c>
      <c r="G150" s="78" t="s">
        <v>1514</v>
      </c>
    </row>
    <row r="151" spans="1:7" x14ac:dyDescent="0.25">
      <c r="A151" s="5" t="s">
        <v>1511</v>
      </c>
      <c r="B151" s="78">
        <f t="shared" si="2"/>
        <v>72.790199999999999</v>
      </c>
      <c r="C151" s="78" t="s">
        <v>1051</v>
      </c>
      <c r="D151" s="7" t="s">
        <v>402</v>
      </c>
      <c r="E151" s="80" t="s">
        <v>1175</v>
      </c>
      <c r="F151" s="78">
        <v>72790.2</v>
      </c>
      <c r="G151" s="78" t="s">
        <v>1181</v>
      </c>
    </row>
    <row r="152" spans="1:7" x14ac:dyDescent="0.25">
      <c r="A152" s="5" t="s">
        <v>1511</v>
      </c>
      <c r="B152" s="78">
        <f t="shared" si="2"/>
        <v>73.293000000000006</v>
      </c>
      <c r="C152" s="78" t="s">
        <v>1052</v>
      </c>
      <c r="D152" s="7" t="s">
        <v>404</v>
      </c>
      <c r="E152" s="80" t="s">
        <v>1175</v>
      </c>
      <c r="F152" s="78">
        <v>73293</v>
      </c>
      <c r="G152" s="78" t="s">
        <v>1514</v>
      </c>
    </row>
    <row r="153" spans="1:7" x14ac:dyDescent="0.25">
      <c r="A153" s="5" t="s">
        <v>1511</v>
      </c>
      <c r="B153" s="78">
        <f t="shared" si="2"/>
        <v>73.783000000000001</v>
      </c>
      <c r="C153" s="78" t="s">
        <v>1053</v>
      </c>
      <c r="D153" s="7" t="s">
        <v>406</v>
      </c>
      <c r="E153" s="80" t="s">
        <v>1175</v>
      </c>
      <c r="F153" s="78">
        <v>73783</v>
      </c>
      <c r="G153" s="78" t="s">
        <v>1514</v>
      </c>
    </row>
    <row r="154" spans="1:7" x14ac:dyDescent="0.25">
      <c r="A154" s="5" t="s">
        <v>1511</v>
      </c>
      <c r="B154" s="78">
        <f t="shared" si="2"/>
        <v>74.288119999999992</v>
      </c>
      <c r="C154" s="78" t="s">
        <v>1054</v>
      </c>
      <c r="D154" s="7" t="s">
        <v>408</v>
      </c>
      <c r="E154" s="80" t="s">
        <v>1175</v>
      </c>
      <c r="F154" s="78">
        <v>74288.12</v>
      </c>
      <c r="G154" s="78" t="s">
        <v>1514</v>
      </c>
    </row>
    <row r="155" spans="1:7" x14ac:dyDescent="0.25">
      <c r="A155" s="5" t="s">
        <v>1511</v>
      </c>
      <c r="B155" s="78">
        <f t="shared" si="2"/>
        <v>74.763000000000005</v>
      </c>
      <c r="C155" s="78" t="s">
        <v>1055</v>
      </c>
      <c r="D155" s="7" t="s">
        <v>410</v>
      </c>
      <c r="E155" s="80" t="s">
        <v>1175</v>
      </c>
      <c r="F155" s="78">
        <v>74763</v>
      </c>
      <c r="G155" s="78" t="s">
        <v>1514</v>
      </c>
    </row>
    <row r="156" spans="1:7" x14ac:dyDescent="0.25">
      <c r="A156" s="5" t="s">
        <v>1511</v>
      </c>
      <c r="B156" s="78">
        <f t="shared" si="2"/>
        <v>75.268000000000001</v>
      </c>
      <c r="C156" s="78" t="s">
        <v>1056</v>
      </c>
      <c r="D156" s="7" t="s">
        <v>412</v>
      </c>
      <c r="E156" s="80" t="s">
        <v>1175</v>
      </c>
      <c r="F156" s="78">
        <v>75268</v>
      </c>
      <c r="G156" s="78" t="s">
        <v>1514</v>
      </c>
    </row>
    <row r="157" spans="1:7" x14ac:dyDescent="0.25">
      <c r="A157" s="5" t="s">
        <v>1511</v>
      </c>
      <c r="B157" s="78">
        <f t="shared" si="2"/>
        <v>75.753</v>
      </c>
      <c r="C157" s="78" t="s">
        <v>1057</v>
      </c>
      <c r="D157" s="7" t="s">
        <v>414</v>
      </c>
      <c r="E157" s="80" t="s">
        <v>1175</v>
      </c>
      <c r="F157" s="78">
        <v>75753</v>
      </c>
      <c r="G157" s="78" t="s">
        <v>1514</v>
      </c>
    </row>
    <row r="158" spans="1:7" x14ac:dyDescent="0.25">
      <c r="A158" s="5" t="s">
        <v>1511</v>
      </c>
      <c r="B158" s="78">
        <f t="shared" si="2"/>
        <v>76.244</v>
      </c>
      <c r="C158" s="78" t="s">
        <v>1058</v>
      </c>
      <c r="D158" s="7" t="s">
        <v>416</v>
      </c>
      <c r="E158" s="80" t="s">
        <v>1175</v>
      </c>
      <c r="F158" s="78">
        <v>76244</v>
      </c>
      <c r="G158" s="78" t="s">
        <v>1514</v>
      </c>
    </row>
    <row r="159" spans="1:7" x14ac:dyDescent="0.25">
      <c r="A159" s="5" t="s">
        <v>1511</v>
      </c>
      <c r="B159" s="78">
        <f t="shared" si="2"/>
        <v>76.748999999999995</v>
      </c>
      <c r="C159" s="78" t="s">
        <v>1059</v>
      </c>
      <c r="D159" s="7" t="s">
        <v>418</v>
      </c>
      <c r="E159" s="80" t="s">
        <v>1175</v>
      </c>
      <c r="F159" s="78">
        <v>76749</v>
      </c>
      <c r="G159" s="78" t="s">
        <v>1514</v>
      </c>
    </row>
    <row r="160" spans="1:7" x14ac:dyDescent="0.25">
      <c r="A160" s="5" t="s">
        <v>1511</v>
      </c>
      <c r="B160" s="78">
        <f t="shared" si="2"/>
        <v>77.233999999999995</v>
      </c>
      <c r="C160" s="78" t="s">
        <v>1060</v>
      </c>
      <c r="D160" s="7" t="s">
        <v>420</v>
      </c>
      <c r="E160" s="80" t="s">
        <v>1175</v>
      </c>
      <c r="F160" s="78">
        <v>77234</v>
      </c>
      <c r="G160" s="78" t="s">
        <v>1514</v>
      </c>
    </row>
    <row r="161" spans="1:7" x14ac:dyDescent="0.25">
      <c r="A161" s="5" t="s">
        <v>1511</v>
      </c>
      <c r="B161" s="78">
        <f t="shared" si="2"/>
        <v>77.748000000000005</v>
      </c>
      <c r="C161" s="78" t="s">
        <v>1061</v>
      </c>
      <c r="D161" s="7" t="s">
        <v>422</v>
      </c>
      <c r="E161" s="80" t="s">
        <v>1175</v>
      </c>
      <c r="F161" s="78">
        <v>77748</v>
      </c>
      <c r="G161" s="78" t="s">
        <v>1514</v>
      </c>
    </row>
    <row r="162" spans="1:7" x14ac:dyDescent="0.25">
      <c r="A162" s="5" t="s">
        <v>1511</v>
      </c>
      <c r="B162" s="78">
        <f t="shared" si="2"/>
        <v>78.23</v>
      </c>
      <c r="C162" s="78" t="s">
        <v>1062</v>
      </c>
      <c r="D162" s="7" t="s">
        <v>424</v>
      </c>
      <c r="E162" s="80" t="s">
        <v>1175</v>
      </c>
      <c r="F162" s="78">
        <v>78230</v>
      </c>
      <c r="G162" s="78" t="s">
        <v>1514</v>
      </c>
    </row>
    <row r="163" spans="1:7" x14ac:dyDescent="0.25">
      <c r="A163" s="5" t="s">
        <v>1511</v>
      </c>
      <c r="B163" s="78">
        <f t="shared" si="2"/>
        <v>78.710999999999999</v>
      </c>
      <c r="C163" s="78" t="s">
        <v>1063</v>
      </c>
      <c r="D163" s="7" t="s">
        <v>426</v>
      </c>
      <c r="E163" s="80" t="s">
        <v>1175</v>
      </c>
      <c r="F163" s="78">
        <v>78711</v>
      </c>
      <c r="G163" s="78" t="s">
        <v>1514</v>
      </c>
    </row>
    <row r="164" spans="1:7" x14ac:dyDescent="0.25">
      <c r="A164" s="5" t="s">
        <v>1511</v>
      </c>
      <c r="B164" s="78">
        <f t="shared" si="2"/>
        <v>79.127009999999999</v>
      </c>
      <c r="C164" s="78" t="s">
        <v>1064</v>
      </c>
      <c r="D164" s="7" t="s">
        <v>428</v>
      </c>
      <c r="E164" s="80" t="s">
        <v>1175</v>
      </c>
      <c r="F164" s="78">
        <v>79127.009999999995</v>
      </c>
      <c r="G164" s="78" t="s">
        <v>1515</v>
      </c>
    </row>
    <row r="165" spans="1:7" x14ac:dyDescent="0.25">
      <c r="A165" s="5" t="s">
        <v>1511</v>
      </c>
      <c r="B165" s="78">
        <f t="shared" si="2"/>
        <v>79.512</v>
      </c>
      <c r="C165" s="78" t="s">
        <v>1065</v>
      </c>
      <c r="D165" s="7" t="s">
        <v>430</v>
      </c>
      <c r="E165" s="80" t="s">
        <v>1175</v>
      </c>
      <c r="F165" s="78">
        <v>79512</v>
      </c>
      <c r="G165" s="78" t="s">
        <v>1514</v>
      </c>
    </row>
    <row r="166" spans="1:7" x14ac:dyDescent="0.25">
      <c r="A166" s="5" t="s">
        <v>1511</v>
      </c>
      <c r="B166" s="78">
        <f t="shared" si="2"/>
        <v>80.001999999999995</v>
      </c>
      <c r="C166" s="78" t="s">
        <v>1066</v>
      </c>
      <c r="D166" s="7" t="s">
        <v>432</v>
      </c>
      <c r="E166" s="80" t="s">
        <v>1175</v>
      </c>
      <c r="F166" s="78">
        <v>80002</v>
      </c>
      <c r="G166" s="78" t="s">
        <v>1514</v>
      </c>
    </row>
    <row r="167" spans="1:7" x14ac:dyDescent="0.25">
      <c r="A167" s="5" t="s">
        <v>1511</v>
      </c>
      <c r="B167" s="78">
        <f t="shared" si="2"/>
        <v>80.460999999999999</v>
      </c>
      <c r="C167" s="78" t="s">
        <v>1067</v>
      </c>
      <c r="D167" s="7" t="s">
        <v>434</v>
      </c>
      <c r="E167" s="80" t="s">
        <v>1175</v>
      </c>
      <c r="F167" s="78">
        <v>80461</v>
      </c>
      <c r="G167" s="78" t="s">
        <v>1514</v>
      </c>
    </row>
    <row r="168" spans="1:7" x14ac:dyDescent="0.25">
      <c r="A168" s="5" t="s">
        <v>1511</v>
      </c>
      <c r="B168" s="78">
        <f t="shared" si="2"/>
        <v>80.896000000000001</v>
      </c>
      <c r="C168" s="78" t="s">
        <v>1068</v>
      </c>
      <c r="D168" s="7" t="s">
        <v>436</v>
      </c>
      <c r="E168" s="80" t="s">
        <v>1175</v>
      </c>
      <c r="F168" s="78">
        <v>80896</v>
      </c>
      <c r="G168" s="78" t="s">
        <v>1514</v>
      </c>
    </row>
    <row r="169" spans="1:7" x14ac:dyDescent="0.25">
      <c r="A169" s="5" t="s">
        <v>1511</v>
      </c>
      <c r="B169" s="78">
        <f t="shared" si="2"/>
        <v>81.394000000000005</v>
      </c>
      <c r="C169" s="78" t="s">
        <v>1069</v>
      </c>
      <c r="D169" s="7" t="s">
        <v>438</v>
      </c>
      <c r="E169" s="80" t="s">
        <v>1175</v>
      </c>
      <c r="F169" s="78">
        <v>81394</v>
      </c>
      <c r="G169" s="78" t="s">
        <v>1514</v>
      </c>
    </row>
    <row r="170" spans="1:7" x14ac:dyDescent="0.25">
      <c r="A170" s="5" t="s">
        <v>1511</v>
      </c>
      <c r="B170" s="78">
        <f t="shared" si="2"/>
        <v>81.869</v>
      </c>
      <c r="C170" s="78" t="s">
        <v>1070</v>
      </c>
      <c r="D170" s="7" t="s">
        <v>440</v>
      </c>
      <c r="E170" s="80" t="s">
        <v>1175</v>
      </c>
      <c r="F170" s="78">
        <v>81869</v>
      </c>
      <c r="G170" s="78" t="s">
        <v>1514</v>
      </c>
    </row>
    <row r="171" spans="1:7" x14ac:dyDescent="0.25">
      <c r="A171" s="5" t="s">
        <v>1511</v>
      </c>
      <c r="B171" s="78">
        <f t="shared" si="2"/>
        <v>82.353999999999999</v>
      </c>
      <c r="C171" s="78" t="s">
        <v>1071</v>
      </c>
      <c r="D171" s="7" t="s">
        <v>442</v>
      </c>
      <c r="E171" s="80" t="s">
        <v>1175</v>
      </c>
      <c r="F171" s="78">
        <v>82354</v>
      </c>
      <c r="G171" s="78" t="s">
        <v>1514</v>
      </c>
    </row>
    <row r="172" spans="1:7" x14ac:dyDescent="0.25">
      <c r="A172" s="5" t="s">
        <v>1511</v>
      </c>
      <c r="B172" s="78">
        <f t="shared" si="2"/>
        <v>82.864999999999995</v>
      </c>
      <c r="C172" s="78" t="s">
        <v>1072</v>
      </c>
      <c r="D172" s="7" t="s">
        <v>444</v>
      </c>
      <c r="E172" s="80" t="s">
        <v>1175</v>
      </c>
      <c r="F172" s="78">
        <v>82865</v>
      </c>
      <c r="G172" s="78" t="s">
        <v>1514</v>
      </c>
    </row>
    <row r="173" spans="1:7" x14ac:dyDescent="0.25">
      <c r="A173" s="5" t="s">
        <v>1511</v>
      </c>
      <c r="B173" s="78">
        <f t="shared" si="2"/>
        <v>83.34</v>
      </c>
      <c r="C173" s="78" t="s">
        <v>1073</v>
      </c>
      <c r="D173" s="7" t="s">
        <v>446</v>
      </c>
      <c r="E173" s="80" t="s">
        <v>1175</v>
      </c>
      <c r="F173" s="78">
        <v>83340</v>
      </c>
      <c r="G173" s="78" t="s">
        <v>1514</v>
      </c>
    </row>
    <row r="174" spans="1:7" x14ac:dyDescent="0.25">
      <c r="A174" s="5" t="s">
        <v>1511</v>
      </c>
      <c r="B174" s="78">
        <f t="shared" si="2"/>
        <v>83.844999999999999</v>
      </c>
      <c r="C174" s="78" t="s">
        <v>1074</v>
      </c>
      <c r="D174" s="7" t="s">
        <v>448</v>
      </c>
      <c r="E174" s="80" t="s">
        <v>1175</v>
      </c>
      <c r="F174" s="78">
        <v>83845</v>
      </c>
      <c r="G174" s="78" t="s">
        <v>1514</v>
      </c>
    </row>
    <row r="175" spans="1:7" x14ac:dyDescent="0.25">
      <c r="A175" s="5" t="s">
        <v>1511</v>
      </c>
      <c r="B175" s="78">
        <f t="shared" si="2"/>
        <v>84.295000000000002</v>
      </c>
      <c r="C175" s="78" t="s">
        <v>1075</v>
      </c>
      <c r="D175" s="7" t="s">
        <v>450</v>
      </c>
      <c r="E175" s="80" t="s">
        <v>1175</v>
      </c>
      <c r="F175" s="78">
        <v>84295</v>
      </c>
      <c r="G175" s="78" t="s">
        <v>1514</v>
      </c>
    </row>
    <row r="176" spans="1:7" x14ac:dyDescent="0.25">
      <c r="A176" s="5" t="s">
        <v>1511</v>
      </c>
      <c r="B176" s="78">
        <f t="shared" si="2"/>
        <v>84.840999999999994</v>
      </c>
      <c r="C176" s="78" t="s">
        <v>1076</v>
      </c>
      <c r="D176" s="7" t="s">
        <v>452</v>
      </c>
      <c r="E176" s="80" t="s">
        <v>1175</v>
      </c>
      <c r="F176" s="78">
        <v>84841</v>
      </c>
      <c r="G176" s="78" t="s">
        <v>1514</v>
      </c>
    </row>
    <row r="177" spans="1:7" x14ac:dyDescent="0.25">
      <c r="A177" s="5" t="s">
        <v>1511</v>
      </c>
      <c r="B177" s="78">
        <f t="shared" si="2"/>
        <v>85.29128</v>
      </c>
      <c r="C177" s="78" t="s">
        <v>1077</v>
      </c>
      <c r="D177" s="7" t="s">
        <v>454</v>
      </c>
      <c r="E177" s="80" t="s">
        <v>1175</v>
      </c>
      <c r="F177" s="78">
        <v>85291.28</v>
      </c>
      <c r="G177" s="78" t="s">
        <v>1514</v>
      </c>
    </row>
    <row r="178" spans="1:7" x14ac:dyDescent="0.25">
      <c r="A178" s="5" t="s">
        <v>1511</v>
      </c>
      <c r="B178" s="78">
        <f t="shared" si="2"/>
        <v>85.771000000000001</v>
      </c>
      <c r="C178" s="78" t="s">
        <v>1078</v>
      </c>
      <c r="D178" s="7" t="s">
        <v>456</v>
      </c>
      <c r="E178" s="80" t="s">
        <v>1175</v>
      </c>
      <c r="F178" s="78">
        <v>85771</v>
      </c>
      <c r="G178" s="78" t="s">
        <v>1514</v>
      </c>
    </row>
    <row r="179" spans="1:7" x14ac:dyDescent="0.25">
      <c r="A179" s="5" t="s">
        <v>1511</v>
      </c>
      <c r="B179" s="78">
        <f t="shared" si="2"/>
        <v>86.271000000000001</v>
      </c>
      <c r="C179" s="78" t="s">
        <v>1079</v>
      </c>
      <c r="D179" s="7" t="s">
        <v>458</v>
      </c>
      <c r="E179" s="80" t="s">
        <v>1175</v>
      </c>
      <c r="F179" s="78">
        <v>86271</v>
      </c>
      <c r="G179" s="78" t="s">
        <v>1514</v>
      </c>
    </row>
    <row r="180" spans="1:7" x14ac:dyDescent="0.25">
      <c r="A180" s="5" t="s">
        <v>1511</v>
      </c>
      <c r="B180" s="78">
        <f t="shared" si="2"/>
        <v>86.751000000000005</v>
      </c>
      <c r="C180" s="78" t="s">
        <v>1080</v>
      </c>
      <c r="D180" s="7" t="s">
        <v>460</v>
      </c>
      <c r="E180" s="80" t="s">
        <v>1175</v>
      </c>
      <c r="F180" s="78">
        <v>86751</v>
      </c>
      <c r="G180" s="78" t="s">
        <v>1514</v>
      </c>
    </row>
    <row r="181" spans="1:7" x14ac:dyDescent="0.25">
      <c r="A181" s="5" t="s">
        <v>1511</v>
      </c>
      <c r="B181" s="78">
        <f t="shared" si="2"/>
        <v>87.263999999999996</v>
      </c>
      <c r="C181" s="78" t="s">
        <v>1081</v>
      </c>
      <c r="D181" s="7" t="s">
        <v>462</v>
      </c>
      <c r="E181" s="80" t="s">
        <v>1175</v>
      </c>
      <c r="F181" s="78">
        <v>87264</v>
      </c>
      <c r="G181" s="78" t="s">
        <v>1514</v>
      </c>
    </row>
    <row r="182" spans="1:7" x14ac:dyDescent="0.25">
      <c r="A182" s="5" t="s">
        <v>1511</v>
      </c>
      <c r="B182" s="78">
        <f t="shared" si="2"/>
        <v>87.748999999999995</v>
      </c>
      <c r="C182" s="78" t="s">
        <v>1082</v>
      </c>
      <c r="D182" s="7" t="s">
        <v>464</v>
      </c>
      <c r="E182" s="80" t="s">
        <v>1175</v>
      </c>
      <c r="F182" s="78">
        <v>87749</v>
      </c>
      <c r="G182" s="78" t="s">
        <v>1514</v>
      </c>
    </row>
    <row r="183" spans="1:7" x14ac:dyDescent="0.25">
      <c r="A183" s="5" t="s">
        <v>1511</v>
      </c>
      <c r="B183" s="78">
        <f t="shared" si="2"/>
        <v>88.228999999999999</v>
      </c>
      <c r="C183" s="78" t="s">
        <v>1083</v>
      </c>
      <c r="D183" s="7" t="s">
        <v>466</v>
      </c>
      <c r="E183" s="80" t="s">
        <v>1175</v>
      </c>
      <c r="F183" s="78">
        <v>88229</v>
      </c>
      <c r="G183" s="78" t="s">
        <v>1514</v>
      </c>
    </row>
    <row r="184" spans="1:7" x14ac:dyDescent="0.25">
      <c r="A184" s="5" t="s">
        <v>1511</v>
      </c>
      <c r="B184" s="78">
        <f t="shared" si="2"/>
        <v>88.713999999999999</v>
      </c>
      <c r="C184" s="78" t="s">
        <v>1084</v>
      </c>
      <c r="D184" s="7" t="s">
        <v>468</v>
      </c>
      <c r="E184" s="80" t="s">
        <v>1175</v>
      </c>
      <c r="F184" s="78">
        <v>88714</v>
      </c>
      <c r="G184" s="78" t="s">
        <v>1514</v>
      </c>
    </row>
    <row r="185" spans="1:7" x14ac:dyDescent="0.25">
      <c r="A185" s="5" t="s">
        <v>1511</v>
      </c>
      <c r="B185" s="78">
        <f t="shared" si="2"/>
        <v>89.206999999999994</v>
      </c>
      <c r="C185" s="78" t="s">
        <v>1085</v>
      </c>
      <c r="D185" s="7" t="s">
        <v>470</v>
      </c>
      <c r="E185" s="80" t="s">
        <v>1175</v>
      </c>
      <c r="F185" s="78">
        <v>89207</v>
      </c>
      <c r="G185" s="78" t="s">
        <v>1514</v>
      </c>
    </row>
    <row r="186" spans="1:7" x14ac:dyDescent="0.25">
      <c r="A186" s="5" t="s">
        <v>1511</v>
      </c>
      <c r="B186" s="78">
        <f t="shared" si="2"/>
        <v>89.667000000000002</v>
      </c>
      <c r="C186" s="78" t="s">
        <v>1086</v>
      </c>
      <c r="D186" s="7" t="s">
        <v>472</v>
      </c>
      <c r="E186" s="80" t="s">
        <v>1175</v>
      </c>
      <c r="F186" s="78">
        <v>89667</v>
      </c>
      <c r="G186" s="78" t="s">
        <v>1514</v>
      </c>
    </row>
    <row r="187" spans="1:7" x14ac:dyDescent="0.25">
      <c r="A187" s="5" t="s">
        <v>1511</v>
      </c>
      <c r="B187" s="78">
        <f t="shared" si="2"/>
        <v>90.125</v>
      </c>
      <c r="C187" s="78" t="s">
        <v>1087</v>
      </c>
      <c r="D187" s="7" t="s">
        <v>474</v>
      </c>
      <c r="E187" s="80" t="s">
        <v>1175</v>
      </c>
      <c r="F187" s="78">
        <v>90125</v>
      </c>
      <c r="G187" s="78" t="s">
        <v>1514</v>
      </c>
    </row>
    <row r="188" spans="1:7" x14ac:dyDescent="0.25">
      <c r="A188" s="5" t="s">
        <v>1511</v>
      </c>
      <c r="B188" s="78">
        <f t="shared" si="2"/>
        <v>90.584999999999994</v>
      </c>
      <c r="C188" s="78" t="s">
        <v>1088</v>
      </c>
      <c r="D188" s="7" t="s">
        <v>476</v>
      </c>
      <c r="E188" s="80" t="s">
        <v>1175</v>
      </c>
      <c r="F188" s="78">
        <v>90585</v>
      </c>
      <c r="G188" s="78" t="s">
        <v>1514</v>
      </c>
    </row>
    <row r="189" spans="1:7" x14ac:dyDescent="0.25">
      <c r="A189" s="5" t="s">
        <v>1511</v>
      </c>
      <c r="B189" s="78">
        <f t="shared" si="2"/>
        <v>91.08</v>
      </c>
      <c r="C189" s="78" t="s">
        <v>1089</v>
      </c>
      <c r="D189" s="7" t="s">
        <v>478</v>
      </c>
      <c r="E189" s="80" t="s">
        <v>1175</v>
      </c>
      <c r="F189" s="78">
        <v>91080</v>
      </c>
      <c r="G189" s="78" t="s">
        <v>1514</v>
      </c>
    </row>
    <row r="190" spans="1:7" x14ac:dyDescent="0.25">
      <c r="A190" s="5" t="s">
        <v>1511</v>
      </c>
      <c r="B190" s="78">
        <f t="shared" si="2"/>
        <v>91.546999999999997</v>
      </c>
      <c r="C190" s="78" t="s">
        <v>1090</v>
      </c>
      <c r="D190" s="7" t="s">
        <v>480</v>
      </c>
      <c r="E190" s="80" t="s">
        <v>1175</v>
      </c>
      <c r="F190" s="78">
        <v>91547</v>
      </c>
      <c r="G190" s="78" t="s">
        <v>1514</v>
      </c>
    </row>
    <row r="191" spans="1:7" x14ac:dyDescent="0.25">
      <c r="A191" s="5" t="s">
        <v>1511</v>
      </c>
      <c r="B191" s="78">
        <f t="shared" si="2"/>
        <v>92.058000000000007</v>
      </c>
      <c r="C191" s="78" t="s">
        <v>1091</v>
      </c>
      <c r="D191" s="7" t="s">
        <v>482</v>
      </c>
      <c r="E191" s="80" t="s">
        <v>1175</v>
      </c>
      <c r="F191" s="78">
        <v>92058</v>
      </c>
      <c r="G191" s="78" t="s">
        <v>1514</v>
      </c>
    </row>
    <row r="192" spans="1:7" x14ac:dyDescent="0.25">
      <c r="A192" s="5" t="s">
        <v>1511</v>
      </c>
      <c r="B192" s="78">
        <f t="shared" si="2"/>
        <v>92.537999999999997</v>
      </c>
      <c r="C192" s="78" t="s">
        <v>1092</v>
      </c>
      <c r="D192" s="7" t="s">
        <v>484</v>
      </c>
      <c r="E192" s="80" t="s">
        <v>1175</v>
      </c>
      <c r="F192" s="78">
        <v>92538</v>
      </c>
      <c r="G192" s="78" t="s">
        <v>1514</v>
      </c>
    </row>
    <row r="193" spans="1:7" x14ac:dyDescent="0.25">
      <c r="A193" s="5" t="s">
        <v>1511</v>
      </c>
      <c r="B193" s="78">
        <f t="shared" si="2"/>
        <v>93.033000000000001</v>
      </c>
      <c r="C193" s="78" t="s">
        <v>1093</v>
      </c>
      <c r="D193" s="7" t="s">
        <v>486</v>
      </c>
      <c r="E193" s="80" t="s">
        <v>1175</v>
      </c>
      <c r="F193" s="78">
        <v>93033</v>
      </c>
      <c r="G193" s="78" t="s">
        <v>1514</v>
      </c>
    </row>
    <row r="194" spans="1:7" x14ac:dyDescent="0.25">
      <c r="A194" s="5" t="s">
        <v>1511</v>
      </c>
      <c r="B194" s="78">
        <f t="shared" si="2"/>
        <v>93.537000000000006</v>
      </c>
      <c r="C194" s="78" t="s">
        <v>1094</v>
      </c>
      <c r="D194" s="7" t="s">
        <v>488</v>
      </c>
      <c r="E194" s="80" t="s">
        <v>1175</v>
      </c>
      <c r="F194" s="78">
        <v>93537</v>
      </c>
      <c r="G194" s="78" t="s">
        <v>1514</v>
      </c>
    </row>
    <row r="195" spans="1:7" x14ac:dyDescent="0.25">
      <c r="A195" s="5" t="s">
        <v>1511</v>
      </c>
      <c r="B195" s="78">
        <f t="shared" ref="B195:B258" si="3">F195/1000</f>
        <v>94.031999999999996</v>
      </c>
      <c r="C195" s="78" t="s">
        <v>1095</v>
      </c>
      <c r="D195" s="7" t="s">
        <v>490</v>
      </c>
      <c r="E195" s="80" t="s">
        <v>1175</v>
      </c>
      <c r="F195" s="78">
        <v>94032</v>
      </c>
      <c r="G195" s="78" t="s">
        <v>1514</v>
      </c>
    </row>
    <row r="196" spans="1:7" x14ac:dyDescent="0.25">
      <c r="A196" s="5" t="s">
        <v>1511</v>
      </c>
      <c r="B196" s="78">
        <f t="shared" si="3"/>
        <v>94.531999999999996</v>
      </c>
      <c r="C196" s="78" t="s">
        <v>1096</v>
      </c>
      <c r="D196" s="7" t="s">
        <v>492</v>
      </c>
      <c r="E196" s="80" t="s">
        <v>1175</v>
      </c>
      <c r="F196" s="78">
        <v>94532</v>
      </c>
      <c r="G196" s="78" t="s">
        <v>1514</v>
      </c>
    </row>
    <row r="197" spans="1:7" x14ac:dyDescent="0.25">
      <c r="A197" s="5" t="s">
        <v>1511</v>
      </c>
      <c r="B197" s="78">
        <f t="shared" si="3"/>
        <v>95.031000000000006</v>
      </c>
      <c r="C197" s="78" t="s">
        <v>1097</v>
      </c>
      <c r="D197" s="7" t="s">
        <v>494</v>
      </c>
      <c r="E197" s="80" t="s">
        <v>1175</v>
      </c>
      <c r="F197" s="78">
        <v>95031</v>
      </c>
      <c r="G197" s="78" t="s">
        <v>1514</v>
      </c>
    </row>
    <row r="198" spans="1:7" x14ac:dyDescent="0.25">
      <c r="A198" s="5" t="s">
        <v>1511</v>
      </c>
      <c r="B198" s="78">
        <f t="shared" si="3"/>
        <v>95.531000000000006</v>
      </c>
      <c r="C198" s="78" t="s">
        <v>1098</v>
      </c>
      <c r="D198" s="7" t="s">
        <v>496</v>
      </c>
      <c r="E198" s="80" t="s">
        <v>1175</v>
      </c>
      <c r="F198" s="78">
        <v>95531</v>
      </c>
      <c r="G198" s="78" t="s">
        <v>1514</v>
      </c>
    </row>
    <row r="199" spans="1:7" x14ac:dyDescent="0.25">
      <c r="A199" s="5" t="s">
        <v>1511</v>
      </c>
      <c r="B199" s="78">
        <f t="shared" si="3"/>
        <v>96.027000000000001</v>
      </c>
      <c r="C199" s="78" t="s">
        <v>1099</v>
      </c>
      <c r="D199" s="7" t="s">
        <v>498</v>
      </c>
      <c r="E199" s="80" t="s">
        <v>1175</v>
      </c>
      <c r="F199" s="78">
        <v>96027</v>
      </c>
      <c r="G199" s="78" t="s">
        <v>1184</v>
      </c>
    </row>
    <row r="200" spans="1:7" x14ac:dyDescent="0.25">
      <c r="A200" s="5" t="s">
        <v>1511</v>
      </c>
      <c r="B200" s="78">
        <f t="shared" si="3"/>
        <v>96.466089999999994</v>
      </c>
      <c r="C200" s="78" t="s">
        <v>1100</v>
      </c>
      <c r="D200" s="7" t="s">
        <v>500</v>
      </c>
      <c r="E200" s="80" t="s">
        <v>1175</v>
      </c>
      <c r="F200" s="78">
        <v>96466.09</v>
      </c>
      <c r="G200" s="78" t="s">
        <v>1513</v>
      </c>
    </row>
    <row r="201" spans="1:7" x14ac:dyDescent="0.25">
      <c r="A201" s="5" t="s">
        <v>1511</v>
      </c>
      <c r="B201" s="78">
        <f t="shared" si="3"/>
        <v>96.901350000000008</v>
      </c>
      <c r="C201" s="78" t="s">
        <v>1101</v>
      </c>
      <c r="D201" s="7" t="s">
        <v>502</v>
      </c>
      <c r="E201" s="80" t="s">
        <v>1175</v>
      </c>
      <c r="F201" s="78">
        <v>96901.35</v>
      </c>
      <c r="G201" s="78" t="s">
        <v>1514</v>
      </c>
    </row>
    <row r="202" spans="1:7" x14ac:dyDescent="0.25">
      <c r="A202" s="5" t="s">
        <v>1511</v>
      </c>
      <c r="B202" s="78">
        <f t="shared" si="3"/>
        <v>97.396350000000012</v>
      </c>
      <c r="C202" s="78" t="s">
        <v>1102</v>
      </c>
      <c r="D202" s="7" t="s">
        <v>503</v>
      </c>
      <c r="E202" s="80" t="s">
        <v>1175</v>
      </c>
      <c r="F202" s="78">
        <v>97396.35</v>
      </c>
      <c r="G202" s="78" t="s">
        <v>1514</v>
      </c>
    </row>
    <row r="203" spans="1:7" x14ac:dyDescent="0.25">
      <c r="A203" s="5" t="s">
        <v>1511</v>
      </c>
      <c r="B203" s="78">
        <f t="shared" si="3"/>
        <v>97.900660000000002</v>
      </c>
      <c r="C203" s="78" t="s">
        <v>1103</v>
      </c>
      <c r="D203" s="7" t="s">
        <v>501</v>
      </c>
      <c r="E203" s="80" t="s">
        <v>1175</v>
      </c>
      <c r="F203" s="78">
        <v>97900.66</v>
      </c>
      <c r="G203" s="78" t="s">
        <v>1514</v>
      </c>
    </row>
    <row r="204" spans="1:7" x14ac:dyDescent="0.25">
      <c r="A204" s="5" t="s">
        <v>1511</v>
      </c>
      <c r="B204" s="78">
        <f t="shared" si="3"/>
        <v>98.395350000000008</v>
      </c>
      <c r="C204" s="78" t="s">
        <v>1104</v>
      </c>
      <c r="D204" s="7" t="s">
        <v>499</v>
      </c>
      <c r="E204" s="80" t="s">
        <v>1175</v>
      </c>
      <c r="F204" s="78">
        <v>98395.35</v>
      </c>
      <c r="G204" s="78" t="s">
        <v>1514</v>
      </c>
    </row>
    <row r="205" spans="1:7" x14ac:dyDescent="0.25">
      <c r="A205" s="5" t="s">
        <v>1511</v>
      </c>
      <c r="B205" s="78">
        <f t="shared" si="3"/>
        <v>98.880350000000007</v>
      </c>
      <c r="C205" s="78" t="s">
        <v>1105</v>
      </c>
      <c r="D205" s="7" t="s">
        <v>497</v>
      </c>
      <c r="E205" s="80" t="s">
        <v>1175</v>
      </c>
      <c r="F205" s="78">
        <v>98880.35</v>
      </c>
      <c r="G205" s="78" t="s">
        <v>1514</v>
      </c>
    </row>
    <row r="206" spans="1:7" x14ac:dyDescent="0.25">
      <c r="A206" s="5" t="s">
        <v>1511</v>
      </c>
      <c r="B206" s="78">
        <f t="shared" si="3"/>
        <v>99.374350000000007</v>
      </c>
      <c r="C206" s="78" t="s">
        <v>1106</v>
      </c>
      <c r="D206" s="7" t="s">
        <v>495</v>
      </c>
      <c r="E206" s="80" t="s">
        <v>1175</v>
      </c>
      <c r="F206" s="78">
        <v>99374.35</v>
      </c>
      <c r="G206" s="78" t="s">
        <v>1514</v>
      </c>
    </row>
    <row r="207" spans="1:7" x14ac:dyDescent="0.25">
      <c r="A207" s="5" t="s">
        <v>1511</v>
      </c>
      <c r="B207" s="78">
        <f t="shared" si="3"/>
        <v>99.859350000000006</v>
      </c>
      <c r="C207" s="78" t="s">
        <v>1107</v>
      </c>
      <c r="D207" s="7" t="s">
        <v>493</v>
      </c>
      <c r="E207" s="80" t="s">
        <v>1175</v>
      </c>
      <c r="F207" s="78">
        <v>99859.35</v>
      </c>
      <c r="G207" s="78" t="s">
        <v>1514</v>
      </c>
    </row>
    <row r="208" spans="1:7" x14ac:dyDescent="0.25">
      <c r="A208" s="5" t="s">
        <v>1511</v>
      </c>
      <c r="B208" s="78">
        <f t="shared" si="3"/>
        <v>100.32935000000001</v>
      </c>
      <c r="C208" s="78" t="s">
        <v>1108</v>
      </c>
      <c r="D208" s="7" t="s">
        <v>491</v>
      </c>
      <c r="E208" s="80" t="s">
        <v>1175</v>
      </c>
      <c r="F208" s="78">
        <v>100329.35</v>
      </c>
      <c r="G208" s="78" t="s">
        <v>1514</v>
      </c>
    </row>
    <row r="209" spans="1:7" x14ac:dyDescent="0.25">
      <c r="A209" s="5" t="s">
        <v>1511</v>
      </c>
      <c r="B209" s="78">
        <f t="shared" si="3"/>
        <v>100.80435</v>
      </c>
      <c r="C209" s="78" t="s">
        <v>1109</v>
      </c>
      <c r="D209" s="7" t="s">
        <v>489</v>
      </c>
      <c r="E209" s="80" t="s">
        <v>1175</v>
      </c>
      <c r="F209" s="78">
        <v>100804.35</v>
      </c>
      <c r="G209" s="78" t="s">
        <v>1514</v>
      </c>
    </row>
    <row r="210" spans="1:7" x14ac:dyDescent="0.25">
      <c r="A210" s="5" t="s">
        <v>1511</v>
      </c>
      <c r="B210" s="78">
        <f t="shared" si="3"/>
        <v>101.30435</v>
      </c>
      <c r="C210" s="78" t="s">
        <v>1110</v>
      </c>
      <c r="D210" s="7" t="s">
        <v>487</v>
      </c>
      <c r="E210" s="80" t="s">
        <v>1175</v>
      </c>
      <c r="F210" s="78">
        <v>101304.35</v>
      </c>
      <c r="G210" s="78" t="s">
        <v>1514</v>
      </c>
    </row>
    <row r="211" spans="1:7" x14ac:dyDescent="0.25">
      <c r="A211" s="5" t="s">
        <v>1511</v>
      </c>
      <c r="B211" s="78">
        <f t="shared" si="3"/>
        <v>101.79935</v>
      </c>
      <c r="C211" s="78" t="s">
        <v>1111</v>
      </c>
      <c r="D211" s="7" t="s">
        <v>485</v>
      </c>
      <c r="E211" s="80" t="s">
        <v>1175</v>
      </c>
      <c r="F211" s="78">
        <v>101799.35</v>
      </c>
      <c r="G211" s="78" t="s">
        <v>1514</v>
      </c>
    </row>
    <row r="212" spans="1:7" x14ac:dyDescent="0.25">
      <c r="A212" s="5" t="s">
        <v>1511</v>
      </c>
      <c r="B212" s="78">
        <f t="shared" si="3"/>
        <v>102.29935</v>
      </c>
      <c r="C212" s="78" t="s">
        <v>1112</v>
      </c>
      <c r="D212" s="7" t="s">
        <v>483</v>
      </c>
      <c r="E212" s="80" t="s">
        <v>1175</v>
      </c>
      <c r="F212" s="78">
        <v>102299.35</v>
      </c>
      <c r="G212" s="78" t="s">
        <v>1514</v>
      </c>
    </row>
    <row r="213" spans="1:7" x14ac:dyDescent="0.25">
      <c r="A213" s="5" t="s">
        <v>1511</v>
      </c>
      <c r="B213" s="78">
        <f t="shared" si="3"/>
        <v>102.79435000000001</v>
      </c>
      <c r="C213" s="78" t="s">
        <v>1113</v>
      </c>
      <c r="D213" s="7" t="s">
        <v>481</v>
      </c>
      <c r="E213" s="80" t="s">
        <v>1175</v>
      </c>
      <c r="F213" s="78">
        <v>102794.35</v>
      </c>
      <c r="G213" s="78" t="s">
        <v>1514</v>
      </c>
    </row>
    <row r="214" spans="1:7" x14ac:dyDescent="0.25">
      <c r="A214" s="5" t="s">
        <v>1511</v>
      </c>
      <c r="B214" s="78">
        <f t="shared" si="3"/>
        <v>103.28935</v>
      </c>
      <c r="C214" s="78" t="s">
        <v>1114</v>
      </c>
      <c r="D214" s="7" t="s">
        <v>479</v>
      </c>
      <c r="E214" s="80" t="s">
        <v>1175</v>
      </c>
      <c r="F214" s="78">
        <v>103289.35</v>
      </c>
      <c r="G214" s="78" t="s">
        <v>1514</v>
      </c>
    </row>
    <row r="215" spans="1:7" x14ac:dyDescent="0.25">
      <c r="A215" s="5" t="s">
        <v>1511</v>
      </c>
      <c r="B215" s="78">
        <f t="shared" si="3"/>
        <v>103.78435</v>
      </c>
      <c r="C215" s="78" t="s">
        <v>1115</v>
      </c>
      <c r="D215" s="7" t="s">
        <v>477</v>
      </c>
      <c r="E215" s="80" t="s">
        <v>1175</v>
      </c>
      <c r="F215" s="78">
        <v>103784.35</v>
      </c>
      <c r="G215" s="78" t="s">
        <v>1514</v>
      </c>
    </row>
    <row r="216" spans="1:7" x14ac:dyDescent="0.25">
      <c r="A216" s="5" t="s">
        <v>1511</v>
      </c>
      <c r="B216" s="78">
        <f t="shared" si="3"/>
        <v>104.27935000000001</v>
      </c>
      <c r="C216" s="78" t="s">
        <v>1116</v>
      </c>
      <c r="D216" s="7" t="s">
        <v>475</v>
      </c>
      <c r="E216" s="80" t="s">
        <v>1175</v>
      </c>
      <c r="F216" s="78">
        <v>104279.35</v>
      </c>
      <c r="G216" s="78" t="s">
        <v>1514</v>
      </c>
    </row>
    <row r="217" spans="1:7" x14ac:dyDescent="0.25">
      <c r="A217" s="5" t="s">
        <v>1511</v>
      </c>
      <c r="B217" s="78">
        <f t="shared" si="3"/>
        <v>104.77935000000001</v>
      </c>
      <c r="C217" s="78" t="s">
        <v>1117</v>
      </c>
      <c r="D217" s="7" t="s">
        <v>473</v>
      </c>
      <c r="E217" s="80" t="s">
        <v>1175</v>
      </c>
      <c r="F217" s="78">
        <v>104779.35</v>
      </c>
      <c r="G217" s="78" t="s">
        <v>1514</v>
      </c>
    </row>
    <row r="218" spans="1:7" x14ac:dyDescent="0.25">
      <c r="A218" s="5" t="s">
        <v>1511</v>
      </c>
      <c r="B218" s="78">
        <f t="shared" si="3"/>
        <v>105.17935</v>
      </c>
      <c r="C218" s="78" t="s">
        <v>1118</v>
      </c>
      <c r="D218" s="7" t="s">
        <v>471</v>
      </c>
      <c r="E218" s="80" t="s">
        <v>1175</v>
      </c>
      <c r="F218" s="78">
        <v>105179.35</v>
      </c>
      <c r="G218" s="78" t="s">
        <v>1514</v>
      </c>
    </row>
    <row r="219" spans="1:7" x14ac:dyDescent="0.25">
      <c r="A219" s="5" t="s">
        <v>1511</v>
      </c>
      <c r="B219" s="78">
        <f t="shared" si="3"/>
        <v>105.62435000000001</v>
      </c>
      <c r="C219" s="78" t="s">
        <v>1119</v>
      </c>
      <c r="D219" s="7" t="s">
        <v>469</v>
      </c>
      <c r="E219" s="80" t="s">
        <v>1175</v>
      </c>
      <c r="F219" s="78">
        <v>105624.35</v>
      </c>
      <c r="G219" s="78" t="s">
        <v>1517</v>
      </c>
    </row>
    <row r="220" spans="1:7" x14ac:dyDescent="0.25">
      <c r="A220" s="5" t="s">
        <v>1511</v>
      </c>
      <c r="B220" s="78">
        <f t="shared" si="3"/>
        <v>106.00966</v>
      </c>
      <c r="C220" s="78" t="s">
        <v>1120</v>
      </c>
      <c r="D220" s="7" t="s">
        <v>467</v>
      </c>
      <c r="E220" s="80" t="s">
        <v>1175</v>
      </c>
      <c r="F220" s="78">
        <v>106009.66</v>
      </c>
      <c r="G220" s="78" t="s">
        <v>1516</v>
      </c>
    </row>
    <row r="221" spans="1:7" x14ac:dyDescent="0.25">
      <c r="A221" s="5" t="s">
        <v>1511</v>
      </c>
      <c r="B221" s="78">
        <f t="shared" si="3"/>
        <v>106.42935</v>
      </c>
      <c r="C221" s="78" t="s">
        <v>1121</v>
      </c>
      <c r="D221" s="7" t="s">
        <v>465</v>
      </c>
      <c r="E221" s="80" t="s">
        <v>1175</v>
      </c>
      <c r="F221" s="78">
        <v>106429.35</v>
      </c>
      <c r="G221" s="78" t="s">
        <v>1514</v>
      </c>
    </row>
    <row r="222" spans="1:7" x14ac:dyDescent="0.25">
      <c r="A222" s="5" t="s">
        <v>1511</v>
      </c>
      <c r="B222" s="78">
        <f t="shared" si="3"/>
        <v>106.85235</v>
      </c>
      <c r="C222" s="78" t="s">
        <v>1122</v>
      </c>
      <c r="D222" s="7" t="s">
        <v>463</v>
      </c>
      <c r="E222" s="80" t="s">
        <v>1175</v>
      </c>
      <c r="F222" s="78">
        <v>106852.35</v>
      </c>
      <c r="G222" s="78" t="s">
        <v>1514</v>
      </c>
    </row>
    <row r="223" spans="1:7" x14ac:dyDescent="0.25">
      <c r="A223" s="5" t="s">
        <v>1511</v>
      </c>
      <c r="B223" s="78">
        <f t="shared" si="3"/>
        <v>107.23588000000001</v>
      </c>
      <c r="C223" s="78" t="s">
        <v>1123</v>
      </c>
      <c r="D223" s="7" t="s">
        <v>461</v>
      </c>
      <c r="E223" s="80" t="s">
        <v>1175</v>
      </c>
      <c r="F223" s="78">
        <v>107235.88</v>
      </c>
      <c r="G223" s="78" t="s">
        <v>1514</v>
      </c>
    </row>
    <row r="224" spans="1:7" x14ac:dyDescent="0.25">
      <c r="A224" s="5" t="s">
        <v>1511</v>
      </c>
      <c r="B224" s="78">
        <f t="shared" si="3"/>
        <v>107.65935</v>
      </c>
      <c r="C224" s="78" t="s">
        <v>1124</v>
      </c>
      <c r="D224" s="7" t="s">
        <v>459</v>
      </c>
      <c r="E224" s="80" t="s">
        <v>1175</v>
      </c>
      <c r="F224" s="78">
        <v>107659.35</v>
      </c>
      <c r="G224" s="78" t="s">
        <v>1514</v>
      </c>
    </row>
    <row r="225" spans="1:7" x14ac:dyDescent="0.25">
      <c r="A225" s="5" t="s">
        <v>1511</v>
      </c>
      <c r="B225" s="78">
        <f t="shared" si="3"/>
        <v>107.88936</v>
      </c>
      <c r="C225" s="78" t="s">
        <v>1125</v>
      </c>
      <c r="D225" s="7" t="s">
        <v>457</v>
      </c>
      <c r="E225" s="80" t="s">
        <v>1175</v>
      </c>
      <c r="F225" s="78">
        <v>107889.36</v>
      </c>
      <c r="G225" s="78" t="s">
        <v>1514</v>
      </c>
    </row>
    <row r="226" spans="1:7" x14ac:dyDescent="0.25">
      <c r="A226" s="5" t="s">
        <v>1511</v>
      </c>
      <c r="B226" s="78">
        <f t="shared" si="3"/>
        <v>108.30635000000001</v>
      </c>
      <c r="C226" s="78" t="s">
        <v>1126</v>
      </c>
      <c r="D226" s="7" t="s">
        <v>455</v>
      </c>
      <c r="E226" s="80" t="s">
        <v>1175</v>
      </c>
      <c r="F226" s="78">
        <v>108306.35</v>
      </c>
      <c r="G226" s="78" t="s">
        <v>1514</v>
      </c>
    </row>
    <row r="227" spans="1:7" x14ac:dyDescent="0.25">
      <c r="A227" s="5" t="s">
        <v>1511</v>
      </c>
      <c r="B227" s="78">
        <f t="shared" si="3"/>
        <v>108.79135000000001</v>
      </c>
      <c r="C227" s="78" t="s">
        <v>1127</v>
      </c>
      <c r="D227" s="7" t="s">
        <v>453</v>
      </c>
      <c r="E227" s="80" t="s">
        <v>1175</v>
      </c>
      <c r="F227" s="78">
        <v>108791.35</v>
      </c>
      <c r="G227" s="78" t="s">
        <v>1514</v>
      </c>
    </row>
    <row r="228" spans="1:7" x14ac:dyDescent="0.25">
      <c r="A228" s="5" t="s">
        <v>1511</v>
      </c>
      <c r="B228" s="78">
        <f t="shared" si="3"/>
        <v>109.30135</v>
      </c>
      <c r="C228" s="78" t="s">
        <v>1128</v>
      </c>
      <c r="D228" s="7" t="s">
        <v>451</v>
      </c>
      <c r="E228" s="80" t="s">
        <v>1175</v>
      </c>
      <c r="F228" s="78">
        <v>109301.35</v>
      </c>
      <c r="G228" s="78" t="s">
        <v>1514</v>
      </c>
    </row>
    <row r="229" spans="1:7" x14ac:dyDescent="0.25">
      <c r="A229" s="5" t="s">
        <v>1511</v>
      </c>
      <c r="B229" s="78">
        <f t="shared" si="3"/>
        <v>109.75076</v>
      </c>
      <c r="C229" s="78" t="s">
        <v>1129</v>
      </c>
      <c r="D229" s="7" t="s">
        <v>449</v>
      </c>
      <c r="E229" s="80" t="s">
        <v>1175</v>
      </c>
      <c r="F229" s="78">
        <v>109750.76</v>
      </c>
      <c r="G229" s="78" t="s">
        <v>1515</v>
      </c>
    </row>
    <row r="230" spans="1:7" x14ac:dyDescent="0.25">
      <c r="A230" s="5" t="s">
        <v>1511</v>
      </c>
      <c r="B230" s="78">
        <f t="shared" si="3"/>
        <v>110.15600000000001</v>
      </c>
      <c r="C230" s="78" t="s">
        <v>1130</v>
      </c>
      <c r="D230" s="7" t="s">
        <v>447</v>
      </c>
      <c r="E230" s="80" t="s">
        <v>1175</v>
      </c>
      <c r="F230" s="78">
        <v>110156</v>
      </c>
      <c r="G230" s="78" t="s">
        <v>1514</v>
      </c>
    </row>
    <row r="231" spans="1:7" x14ac:dyDescent="0.25">
      <c r="A231" s="5" t="s">
        <v>1511</v>
      </c>
      <c r="B231" s="78">
        <f t="shared" si="3"/>
        <v>110.616</v>
      </c>
      <c r="C231" s="78" t="s">
        <v>1131</v>
      </c>
      <c r="D231" s="7" t="s">
        <v>445</v>
      </c>
      <c r="E231" s="80" t="s">
        <v>1175</v>
      </c>
      <c r="F231" s="78">
        <v>110616</v>
      </c>
      <c r="G231" s="78" t="s">
        <v>1514</v>
      </c>
    </row>
    <row r="232" spans="1:7" x14ac:dyDescent="0.25">
      <c r="A232" s="5" t="s">
        <v>1511</v>
      </c>
      <c r="B232" s="78">
        <f t="shared" si="3"/>
        <v>111.096</v>
      </c>
      <c r="C232" s="78" t="s">
        <v>1132</v>
      </c>
      <c r="D232" s="7" t="s">
        <v>443</v>
      </c>
      <c r="E232" s="80" t="s">
        <v>1175</v>
      </c>
      <c r="F232" s="78">
        <v>111096</v>
      </c>
      <c r="G232" s="78" t="s">
        <v>1514</v>
      </c>
    </row>
    <row r="233" spans="1:7" x14ac:dyDescent="0.25">
      <c r="A233" s="5" t="s">
        <v>1511</v>
      </c>
      <c r="B233" s="78">
        <f t="shared" si="3"/>
        <v>111.586</v>
      </c>
      <c r="C233" s="78" t="s">
        <v>1133</v>
      </c>
      <c r="D233" s="7" t="s">
        <v>441</v>
      </c>
      <c r="E233" s="80" t="s">
        <v>1175</v>
      </c>
      <c r="F233" s="78">
        <v>111586</v>
      </c>
      <c r="G233" s="78" t="s">
        <v>1514</v>
      </c>
    </row>
    <row r="234" spans="1:7" x14ac:dyDescent="0.25">
      <c r="A234" s="5" t="s">
        <v>1511</v>
      </c>
      <c r="B234" s="78">
        <f t="shared" si="3"/>
        <v>112.056</v>
      </c>
      <c r="C234" s="78" t="s">
        <v>1134</v>
      </c>
      <c r="D234" s="7" t="s">
        <v>439</v>
      </c>
      <c r="E234" s="80" t="s">
        <v>1175</v>
      </c>
      <c r="F234" s="78">
        <v>112056</v>
      </c>
      <c r="G234" s="78" t="s">
        <v>1514</v>
      </c>
    </row>
    <row r="235" spans="1:7" x14ac:dyDescent="0.25">
      <c r="A235" s="5" t="s">
        <v>1511</v>
      </c>
      <c r="B235" s="78">
        <f t="shared" si="3"/>
        <v>112.556</v>
      </c>
      <c r="C235" s="78" t="s">
        <v>1135</v>
      </c>
      <c r="D235" s="7" t="s">
        <v>437</v>
      </c>
      <c r="E235" s="80" t="s">
        <v>1175</v>
      </c>
      <c r="F235" s="78">
        <v>112556</v>
      </c>
      <c r="G235" s="78" t="s">
        <v>1514</v>
      </c>
    </row>
    <row r="236" spans="1:7" x14ac:dyDescent="0.25">
      <c r="A236" s="5" t="s">
        <v>1511</v>
      </c>
      <c r="B236" s="78">
        <f t="shared" si="3"/>
        <v>113.036</v>
      </c>
      <c r="C236" s="78" t="s">
        <v>1136</v>
      </c>
      <c r="D236" s="7" t="s">
        <v>435</v>
      </c>
      <c r="E236" s="80" t="s">
        <v>1175</v>
      </c>
      <c r="F236" s="78">
        <v>113036</v>
      </c>
      <c r="G236" s="78" t="s">
        <v>1514</v>
      </c>
    </row>
    <row r="237" spans="1:7" x14ac:dyDescent="0.25">
      <c r="A237" s="5" t="s">
        <v>1511</v>
      </c>
      <c r="B237" s="78">
        <f t="shared" si="3"/>
        <v>113.541</v>
      </c>
      <c r="C237" s="78" t="s">
        <v>1137</v>
      </c>
      <c r="D237" s="7" t="s">
        <v>433</v>
      </c>
      <c r="E237" s="80" t="s">
        <v>1175</v>
      </c>
      <c r="F237" s="78">
        <v>113541</v>
      </c>
      <c r="G237" s="78" t="s">
        <v>1514</v>
      </c>
    </row>
    <row r="238" spans="1:7" x14ac:dyDescent="0.25">
      <c r="A238" s="5" t="s">
        <v>1511</v>
      </c>
      <c r="B238" s="78">
        <f t="shared" si="3"/>
        <v>114.03100000000001</v>
      </c>
      <c r="C238" s="78" t="s">
        <v>1138</v>
      </c>
      <c r="D238" s="7" t="s">
        <v>431</v>
      </c>
      <c r="E238" s="80" t="s">
        <v>1175</v>
      </c>
      <c r="F238" s="78">
        <v>114031</v>
      </c>
      <c r="G238" s="78" t="s">
        <v>1514</v>
      </c>
    </row>
    <row r="239" spans="1:7" x14ac:dyDescent="0.25">
      <c r="A239" s="5" t="s">
        <v>1511</v>
      </c>
      <c r="B239" s="78">
        <f t="shared" si="3"/>
        <v>114.51600000000001</v>
      </c>
      <c r="C239" s="78" t="s">
        <v>1139</v>
      </c>
      <c r="D239" s="7" t="s">
        <v>429</v>
      </c>
      <c r="E239" s="80" t="s">
        <v>1175</v>
      </c>
      <c r="F239" s="78">
        <v>114516</v>
      </c>
      <c r="G239" s="78" t="s">
        <v>1514</v>
      </c>
    </row>
    <row r="240" spans="1:7" x14ac:dyDescent="0.25">
      <c r="A240" s="5" t="s">
        <v>1511</v>
      </c>
      <c r="B240" s="78">
        <f t="shared" si="3"/>
        <v>115.011</v>
      </c>
      <c r="C240" s="78" t="s">
        <v>1140</v>
      </c>
      <c r="D240" s="7" t="s">
        <v>427</v>
      </c>
      <c r="E240" s="80" t="s">
        <v>1175</v>
      </c>
      <c r="F240" s="78">
        <v>115011</v>
      </c>
      <c r="G240" s="78" t="s">
        <v>1514</v>
      </c>
    </row>
    <row r="241" spans="1:7" x14ac:dyDescent="0.25">
      <c r="A241" s="5" t="s">
        <v>1511</v>
      </c>
      <c r="B241" s="78">
        <f t="shared" si="3"/>
        <v>115.506</v>
      </c>
      <c r="C241" s="78" t="s">
        <v>1141</v>
      </c>
      <c r="D241" s="7" t="s">
        <v>425</v>
      </c>
      <c r="E241" s="80" t="s">
        <v>1175</v>
      </c>
      <c r="F241" s="78">
        <v>115506</v>
      </c>
      <c r="G241" s="78" t="s">
        <v>1514</v>
      </c>
    </row>
    <row r="242" spans="1:7" x14ac:dyDescent="0.25">
      <c r="A242" s="5" t="s">
        <v>1511</v>
      </c>
      <c r="B242" s="78">
        <f t="shared" si="3"/>
        <v>116.006</v>
      </c>
      <c r="C242" s="78" t="s">
        <v>1142</v>
      </c>
      <c r="D242" s="7" t="s">
        <v>423</v>
      </c>
      <c r="E242" s="80" t="s">
        <v>1175</v>
      </c>
      <c r="F242" s="78">
        <v>116006</v>
      </c>
      <c r="G242" s="78" t="s">
        <v>1514</v>
      </c>
    </row>
    <row r="243" spans="1:7" x14ac:dyDescent="0.25">
      <c r="A243" s="5" t="s">
        <v>1511</v>
      </c>
      <c r="B243" s="78">
        <f t="shared" si="3"/>
        <v>116.496</v>
      </c>
      <c r="C243" s="78" t="s">
        <v>1143</v>
      </c>
      <c r="D243" s="7" t="s">
        <v>421</v>
      </c>
      <c r="E243" s="80" t="s">
        <v>1175</v>
      </c>
      <c r="F243" s="78">
        <v>116496</v>
      </c>
      <c r="G243" s="78" t="s">
        <v>1517</v>
      </c>
    </row>
    <row r="244" spans="1:7" x14ac:dyDescent="0.25">
      <c r="A244" s="5" t="s">
        <v>1511</v>
      </c>
      <c r="B244" s="78">
        <f t="shared" si="3"/>
        <v>117.003</v>
      </c>
      <c r="C244" s="78" t="s">
        <v>1144</v>
      </c>
      <c r="D244" s="7" t="s">
        <v>419</v>
      </c>
      <c r="E244" s="80" t="s">
        <v>1175</v>
      </c>
      <c r="F244" s="78">
        <v>117003</v>
      </c>
      <c r="G244" s="78" t="s">
        <v>1514</v>
      </c>
    </row>
    <row r="245" spans="1:7" x14ac:dyDescent="0.25">
      <c r="A245" s="5" t="s">
        <v>1511</v>
      </c>
      <c r="B245" s="78">
        <f t="shared" si="3"/>
        <v>117.49550000000001</v>
      </c>
      <c r="C245" s="78" t="s">
        <v>1145</v>
      </c>
      <c r="D245" s="7" t="s">
        <v>417</v>
      </c>
      <c r="E245" s="80" t="s">
        <v>1175</v>
      </c>
      <c r="F245" s="78">
        <v>117495.5</v>
      </c>
      <c r="G245" s="78" t="s">
        <v>1514</v>
      </c>
    </row>
    <row r="246" spans="1:7" x14ac:dyDescent="0.25">
      <c r="A246" s="5" t="s">
        <v>1511</v>
      </c>
      <c r="B246" s="78">
        <f t="shared" si="3"/>
        <v>118</v>
      </c>
      <c r="C246" s="78" t="s">
        <v>1146</v>
      </c>
      <c r="D246" s="7" t="s">
        <v>415</v>
      </c>
      <c r="E246" s="80" t="s">
        <v>1175</v>
      </c>
      <c r="F246" s="78">
        <v>118000</v>
      </c>
      <c r="G246" s="78" t="s">
        <v>1514</v>
      </c>
    </row>
    <row r="247" spans="1:7" x14ac:dyDescent="0.25">
      <c r="A247" s="5" t="s">
        <v>1511</v>
      </c>
      <c r="B247" s="78">
        <f t="shared" si="3"/>
        <v>118.495</v>
      </c>
      <c r="C247" s="78" t="s">
        <v>1147</v>
      </c>
      <c r="D247" s="7" t="s">
        <v>413</v>
      </c>
      <c r="E247" s="80" t="s">
        <v>1175</v>
      </c>
      <c r="F247" s="78">
        <v>118495</v>
      </c>
      <c r="G247" s="78" t="s">
        <v>1514</v>
      </c>
    </row>
    <row r="248" spans="1:7" x14ac:dyDescent="0.25">
      <c r="A248" s="5" t="s">
        <v>1511</v>
      </c>
      <c r="B248" s="78">
        <f t="shared" si="3"/>
        <v>118.84783</v>
      </c>
      <c r="C248" s="78" t="s">
        <v>1148</v>
      </c>
      <c r="D248" s="7" t="s">
        <v>411</v>
      </c>
      <c r="E248" s="80" t="s">
        <v>1175</v>
      </c>
      <c r="F248" s="78">
        <v>118847.83</v>
      </c>
      <c r="G248" s="78" t="s">
        <v>1516</v>
      </c>
    </row>
    <row r="249" spans="1:7" x14ac:dyDescent="0.25">
      <c r="A249" s="5" t="s">
        <v>1511</v>
      </c>
      <c r="B249" s="78">
        <f t="shared" si="3"/>
        <v>119.43</v>
      </c>
      <c r="C249" s="78" t="s">
        <v>1149</v>
      </c>
      <c r="D249" s="7" t="s">
        <v>409</v>
      </c>
      <c r="E249" s="80" t="s">
        <v>1175</v>
      </c>
      <c r="F249" s="78">
        <v>119430</v>
      </c>
      <c r="G249" s="78" t="s">
        <v>1516</v>
      </c>
    </row>
    <row r="250" spans="1:7" x14ac:dyDescent="0.25">
      <c r="A250" s="5" t="s">
        <v>1511</v>
      </c>
      <c r="B250" s="78">
        <f t="shared" si="3"/>
        <v>119.914</v>
      </c>
      <c r="C250" s="78" t="s">
        <v>1150</v>
      </c>
      <c r="D250" s="7" t="s">
        <v>407</v>
      </c>
      <c r="E250" s="80" t="s">
        <v>1175</v>
      </c>
      <c r="F250" s="78">
        <v>119914</v>
      </c>
      <c r="G250" s="78" t="s">
        <v>1514</v>
      </c>
    </row>
    <row r="251" spans="1:7" x14ac:dyDescent="0.25">
      <c r="A251" s="5" t="s">
        <v>1511</v>
      </c>
      <c r="B251" s="78">
        <f t="shared" si="3"/>
        <v>120.2655</v>
      </c>
      <c r="C251" s="78" t="s">
        <v>1151</v>
      </c>
      <c r="D251" s="7" t="s">
        <v>405</v>
      </c>
      <c r="E251" s="80" t="s">
        <v>1175</v>
      </c>
      <c r="F251" s="78">
        <v>120265.5</v>
      </c>
      <c r="G251" s="78" t="s">
        <v>1514</v>
      </c>
    </row>
    <row r="252" spans="1:7" x14ac:dyDescent="0.25">
      <c r="A252" s="5" t="s">
        <v>1511</v>
      </c>
      <c r="B252" s="78">
        <f t="shared" si="3"/>
        <v>120.617</v>
      </c>
      <c r="C252" s="78" t="s">
        <v>1152</v>
      </c>
      <c r="D252" s="7" t="s">
        <v>403</v>
      </c>
      <c r="E252" s="80" t="s">
        <v>1175</v>
      </c>
      <c r="F252" s="78">
        <v>120617</v>
      </c>
      <c r="G252" s="78" t="s">
        <v>1514</v>
      </c>
    </row>
    <row r="253" spans="1:7" x14ac:dyDescent="0.25">
      <c r="A253" s="5" t="s">
        <v>1511</v>
      </c>
      <c r="B253" s="78">
        <f t="shared" si="3"/>
        <v>121.11199999999999</v>
      </c>
      <c r="C253" s="78" t="s">
        <v>1153</v>
      </c>
      <c r="D253" s="7" t="s">
        <v>401</v>
      </c>
      <c r="E253" s="80" t="s">
        <v>1175</v>
      </c>
      <c r="F253" s="78">
        <v>121112</v>
      </c>
      <c r="G253" s="78" t="s">
        <v>1514</v>
      </c>
    </row>
    <row r="254" spans="1:7" x14ac:dyDescent="0.25">
      <c r="A254" s="5" t="s">
        <v>1511</v>
      </c>
      <c r="B254" s="78">
        <f t="shared" si="3"/>
        <v>121.605</v>
      </c>
      <c r="C254" s="78" t="s">
        <v>1154</v>
      </c>
      <c r="D254" s="7" t="s">
        <v>399</v>
      </c>
      <c r="E254" s="80" t="s">
        <v>1175</v>
      </c>
      <c r="F254" s="78">
        <v>121605</v>
      </c>
      <c r="G254" s="78" t="s">
        <v>1514</v>
      </c>
    </row>
    <row r="255" spans="1:7" x14ac:dyDescent="0.25">
      <c r="A255" s="5" t="s">
        <v>1511</v>
      </c>
      <c r="B255" s="78">
        <f t="shared" si="3"/>
        <v>122.102</v>
      </c>
      <c r="C255" s="78" t="s">
        <v>1155</v>
      </c>
      <c r="D255" s="7" t="s">
        <v>397</v>
      </c>
      <c r="E255" s="80" t="s">
        <v>1175</v>
      </c>
      <c r="F255" s="78">
        <v>122102</v>
      </c>
      <c r="G255" s="78" t="s">
        <v>1514</v>
      </c>
    </row>
    <row r="256" spans="1:7" x14ac:dyDescent="0.25">
      <c r="A256" s="5" t="s">
        <v>1511</v>
      </c>
      <c r="B256" s="78">
        <f t="shared" si="3"/>
        <v>122.602</v>
      </c>
      <c r="C256" s="78" t="s">
        <v>1156</v>
      </c>
      <c r="D256" s="7" t="s">
        <v>395</v>
      </c>
      <c r="E256" s="80" t="s">
        <v>1175</v>
      </c>
      <c r="F256" s="78">
        <v>122602</v>
      </c>
      <c r="G256" s="78" t="s">
        <v>1514</v>
      </c>
    </row>
    <row r="257" spans="1:7" x14ac:dyDescent="0.25">
      <c r="A257" s="5" t="s">
        <v>1511</v>
      </c>
      <c r="B257" s="78">
        <f t="shared" si="3"/>
        <v>123.09699999999999</v>
      </c>
      <c r="C257" s="78" t="s">
        <v>1157</v>
      </c>
      <c r="D257" s="7" t="s">
        <v>393</v>
      </c>
      <c r="E257" s="80" t="s">
        <v>1175</v>
      </c>
      <c r="F257" s="78">
        <v>123097</v>
      </c>
      <c r="G257" s="78" t="s">
        <v>1514</v>
      </c>
    </row>
    <row r="258" spans="1:7" x14ac:dyDescent="0.25">
      <c r="A258" s="5" t="s">
        <v>1511</v>
      </c>
      <c r="B258" s="78">
        <f t="shared" si="3"/>
        <v>123.598</v>
      </c>
      <c r="C258" s="78" t="s">
        <v>1158</v>
      </c>
      <c r="D258" s="7" t="s">
        <v>391</v>
      </c>
      <c r="E258" s="80" t="s">
        <v>1175</v>
      </c>
      <c r="F258" s="78">
        <v>123598</v>
      </c>
      <c r="G258" s="78" t="s">
        <v>1514</v>
      </c>
    </row>
    <row r="259" spans="1:7" x14ac:dyDescent="0.25">
      <c r="A259" s="5" t="s">
        <v>1511</v>
      </c>
      <c r="B259" s="78">
        <f t="shared" ref="B259:B322" si="4">F259/1000</f>
        <v>124.08799999999999</v>
      </c>
      <c r="C259" s="78" t="s">
        <v>1159</v>
      </c>
      <c r="D259" s="7" t="s">
        <v>389</v>
      </c>
      <c r="E259" s="80" t="s">
        <v>1175</v>
      </c>
      <c r="F259" s="78">
        <v>124088</v>
      </c>
      <c r="G259" s="78" t="s">
        <v>1514</v>
      </c>
    </row>
    <row r="260" spans="1:7" x14ac:dyDescent="0.25">
      <c r="A260" s="5" t="s">
        <v>1511</v>
      </c>
      <c r="B260" s="78">
        <f t="shared" si="4"/>
        <v>124.583</v>
      </c>
      <c r="C260" s="78" t="s">
        <v>1160</v>
      </c>
      <c r="D260" s="7" t="s">
        <v>387</v>
      </c>
      <c r="E260" s="80" t="s">
        <v>1175</v>
      </c>
      <c r="F260" s="78">
        <v>124583</v>
      </c>
      <c r="G260" s="78" t="s">
        <v>1514</v>
      </c>
    </row>
    <row r="261" spans="1:7" x14ac:dyDescent="0.25">
      <c r="A261" s="5" t="s">
        <v>1511</v>
      </c>
      <c r="B261" s="78">
        <f t="shared" si="4"/>
        <v>125.068</v>
      </c>
      <c r="C261" s="78" t="s">
        <v>1161</v>
      </c>
      <c r="D261" s="7" t="s">
        <v>385</v>
      </c>
      <c r="E261" s="80" t="s">
        <v>1175</v>
      </c>
      <c r="F261" s="78">
        <v>125068</v>
      </c>
      <c r="G261" s="78" t="s">
        <v>1514</v>
      </c>
    </row>
    <row r="262" spans="1:7" x14ac:dyDescent="0.25">
      <c r="A262" s="5" t="s">
        <v>1511</v>
      </c>
      <c r="B262" s="78">
        <f t="shared" si="4"/>
        <v>125.57299999999999</v>
      </c>
      <c r="C262" s="78" t="s">
        <v>1162</v>
      </c>
      <c r="D262" s="7" t="s">
        <v>383</v>
      </c>
      <c r="E262" s="80" t="s">
        <v>1175</v>
      </c>
      <c r="F262" s="78">
        <v>125573</v>
      </c>
      <c r="G262" s="78" t="s">
        <v>1514</v>
      </c>
    </row>
    <row r="263" spans="1:7" x14ac:dyDescent="0.25">
      <c r="A263" s="5" t="s">
        <v>1511</v>
      </c>
      <c r="B263" s="78">
        <f t="shared" si="4"/>
        <v>126.06399999999999</v>
      </c>
      <c r="C263" s="78" t="s">
        <v>1163</v>
      </c>
      <c r="D263" s="7" t="s">
        <v>381</v>
      </c>
      <c r="E263" s="80" t="s">
        <v>1175</v>
      </c>
      <c r="F263" s="78">
        <v>126064</v>
      </c>
      <c r="G263" s="78" t="s">
        <v>1514</v>
      </c>
    </row>
    <row r="264" spans="1:7" x14ac:dyDescent="0.25">
      <c r="A264" s="5" t="s">
        <v>1511</v>
      </c>
      <c r="B264" s="78">
        <f t="shared" si="4"/>
        <v>126.524</v>
      </c>
      <c r="C264" s="78" t="s">
        <v>1164</v>
      </c>
      <c r="D264" s="7" t="s">
        <v>379</v>
      </c>
      <c r="E264" s="80" t="s">
        <v>1175</v>
      </c>
      <c r="F264" s="78">
        <v>126524</v>
      </c>
      <c r="G264" s="78" t="s">
        <v>1514</v>
      </c>
    </row>
    <row r="265" spans="1:7" x14ac:dyDescent="0.25">
      <c r="A265" s="5" t="s">
        <v>1511</v>
      </c>
      <c r="B265" s="78">
        <f t="shared" si="4"/>
        <v>126.98699999999999</v>
      </c>
      <c r="C265" s="78" t="s">
        <v>1165</v>
      </c>
      <c r="D265" s="7" t="s">
        <v>377</v>
      </c>
      <c r="E265" s="80" t="s">
        <v>1175</v>
      </c>
      <c r="F265" s="78">
        <v>126987</v>
      </c>
      <c r="G265" s="78" t="s">
        <v>1514</v>
      </c>
    </row>
    <row r="266" spans="1:7" x14ac:dyDescent="0.25">
      <c r="A266" s="5" t="s">
        <v>1511</v>
      </c>
      <c r="B266" s="78">
        <f t="shared" si="4"/>
        <v>127.48699999999999</v>
      </c>
      <c r="C266" s="78" t="s">
        <v>1166</v>
      </c>
      <c r="D266" s="7" t="s">
        <v>375</v>
      </c>
      <c r="E266" s="80" t="s">
        <v>1175</v>
      </c>
      <c r="F266" s="78">
        <v>127487</v>
      </c>
      <c r="G266" s="78" t="s">
        <v>1514</v>
      </c>
    </row>
    <row r="267" spans="1:7" x14ac:dyDescent="0.25">
      <c r="A267" s="5" t="s">
        <v>1511</v>
      </c>
      <c r="B267" s="78">
        <f t="shared" si="4"/>
        <v>127.95699999999999</v>
      </c>
      <c r="C267" s="78" t="s">
        <v>1167</v>
      </c>
      <c r="D267" s="7" t="s">
        <v>373</v>
      </c>
      <c r="E267" s="80" t="s">
        <v>1175</v>
      </c>
      <c r="F267" s="78">
        <v>127957</v>
      </c>
      <c r="G267" s="78" t="s">
        <v>1514</v>
      </c>
    </row>
    <row r="268" spans="1:7" x14ac:dyDescent="0.25">
      <c r="A268" s="5" t="s">
        <v>1511</v>
      </c>
      <c r="B268" s="78">
        <f t="shared" si="4"/>
        <v>128.42070000000001</v>
      </c>
      <c r="C268" s="78" t="s">
        <v>1168</v>
      </c>
      <c r="D268" s="7" t="s">
        <v>371</v>
      </c>
      <c r="E268" s="80" t="s">
        <v>1175</v>
      </c>
      <c r="F268" s="78">
        <v>128420.7</v>
      </c>
      <c r="G268" s="78" t="s">
        <v>1514</v>
      </c>
    </row>
    <row r="269" spans="1:7" x14ac:dyDescent="0.25">
      <c r="A269" s="5" t="s">
        <v>1511</v>
      </c>
      <c r="B269" s="78">
        <f t="shared" si="4"/>
        <v>128.84100000000001</v>
      </c>
      <c r="C269" s="78" t="s">
        <v>1169</v>
      </c>
      <c r="D269" s="7" t="s">
        <v>369</v>
      </c>
      <c r="E269" s="80" t="s">
        <v>1175</v>
      </c>
      <c r="F269" s="78">
        <v>128841</v>
      </c>
      <c r="G269" s="78" t="s">
        <v>1514</v>
      </c>
    </row>
    <row r="270" spans="1:7" x14ac:dyDescent="0.25">
      <c r="A270" s="5" t="s">
        <v>1511</v>
      </c>
      <c r="B270" s="78">
        <f t="shared" si="4"/>
        <v>129.21100000000001</v>
      </c>
      <c r="C270" s="78" t="s">
        <v>1170</v>
      </c>
      <c r="D270" s="7" t="s">
        <v>367</v>
      </c>
      <c r="E270" s="80" t="s">
        <v>1175</v>
      </c>
      <c r="F270" s="78">
        <v>129211</v>
      </c>
      <c r="G270" s="78" t="s">
        <v>1514</v>
      </c>
    </row>
    <row r="271" spans="1:7" x14ac:dyDescent="0.25">
      <c r="A271" s="5" t="s">
        <v>1511</v>
      </c>
      <c r="B271" s="78">
        <f t="shared" si="4"/>
        <v>129.63</v>
      </c>
      <c r="C271" s="78" t="s">
        <v>1171</v>
      </c>
      <c r="D271" s="7" t="s">
        <v>365</v>
      </c>
      <c r="E271" s="80" t="s">
        <v>1175</v>
      </c>
      <c r="F271" s="78">
        <v>129630</v>
      </c>
      <c r="G271" s="78" t="s">
        <v>1514</v>
      </c>
    </row>
    <row r="272" spans="1:7" x14ac:dyDescent="0.25">
      <c r="A272" s="5" t="s">
        <v>1511</v>
      </c>
      <c r="B272" s="78">
        <f t="shared" si="4"/>
        <v>130.13</v>
      </c>
      <c r="C272" s="78" t="s">
        <v>1172</v>
      </c>
      <c r="D272" s="7" t="s">
        <v>363</v>
      </c>
      <c r="E272" s="80" t="s">
        <v>1175</v>
      </c>
      <c r="F272" s="78">
        <v>130130</v>
      </c>
      <c r="G272" s="78" t="s">
        <v>1514</v>
      </c>
    </row>
    <row r="273" spans="1:7" x14ac:dyDescent="0.25">
      <c r="A273" s="5" t="s">
        <v>1511</v>
      </c>
      <c r="B273" s="78">
        <f t="shared" si="4"/>
        <v>130.626</v>
      </c>
      <c r="C273" s="78" t="s">
        <v>1221</v>
      </c>
      <c r="D273" s="7" t="s">
        <v>361</v>
      </c>
      <c r="E273" s="80" t="s">
        <v>1175</v>
      </c>
      <c r="F273" s="78">
        <v>130626</v>
      </c>
      <c r="G273" s="78" t="s">
        <v>1514</v>
      </c>
    </row>
    <row r="274" spans="1:7" x14ac:dyDescent="0.25">
      <c r="A274" s="5" t="s">
        <v>1511</v>
      </c>
      <c r="B274" s="78">
        <f t="shared" si="4"/>
        <v>131.101</v>
      </c>
      <c r="C274" s="78" t="s">
        <v>1222</v>
      </c>
      <c r="D274" s="7" t="s">
        <v>359</v>
      </c>
      <c r="E274" s="80" t="s">
        <v>1175</v>
      </c>
      <c r="F274" s="78">
        <v>131101</v>
      </c>
      <c r="G274" s="78" t="s">
        <v>1514</v>
      </c>
    </row>
    <row r="275" spans="1:7" x14ac:dyDescent="0.25">
      <c r="A275" s="5" t="s">
        <v>1511</v>
      </c>
      <c r="B275" s="78">
        <f t="shared" si="4"/>
        <v>131.58099999999999</v>
      </c>
      <c r="C275" s="78" t="s">
        <v>1223</v>
      </c>
      <c r="D275" s="7" t="s">
        <v>357</v>
      </c>
      <c r="E275" s="80" t="s">
        <v>1175</v>
      </c>
      <c r="F275" s="78">
        <v>131581</v>
      </c>
      <c r="G275" s="78" t="s">
        <v>1514</v>
      </c>
    </row>
    <row r="276" spans="1:7" x14ac:dyDescent="0.25">
      <c r="A276" s="5" t="s">
        <v>1511</v>
      </c>
      <c r="B276" s="78">
        <f t="shared" si="4"/>
        <v>132.05699999999999</v>
      </c>
      <c r="C276" s="78" t="s">
        <v>1224</v>
      </c>
      <c r="D276" s="7" t="s">
        <v>355</v>
      </c>
      <c r="E276" s="80" t="s">
        <v>1175</v>
      </c>
      <c r="F276" s="78">
        <v>132057</v>
      </c>
      <c r="G276" s="78" t="s">
        <v>1514</v>
      </c>
    </row>
    <row r="277" spans="1:7" x14ac:dyDescent="0.25">
      <c r="A277" s="5" t="s">
        <v>1511</v>
      </c>
      <c r="B277" s="78">
        <f t="shared" si="4"/>
        <v>132.42099999999999</v>
      </c>
      <c r="C277" s="78" t="s">
        <v>1225</v>
      </c>
      <c r="D277" s="7" t="s">
        <v>353</v>
      </c>
      <c r="E277" s="80" t="s">
        <v>1175</v>
      </c>
      <c r="F277" s="78">
        <v>132421</v>
      </c>
      <c r="G277" s="78" t="s">
        <v>1514</v>
      </c>
    </row>
    <row r="278" spans="1:7" x14ac:dyDescent="0.25">
      <c r="A278" s="5" t="s">
        <v>1511</v>
      </c>
      <c r="B278" s="78">
        <f t="shared" si="4"/>
        <v>132.91800000000001</v>
      </c>
      <c r="C278" s="78" t="s">
        <v>1226</v>
      </c>
      <c r="D278" s="7" t="s">
        <v>351</v>
      </c>
      <c r="E278" s="80" t="s">
        <v>1175</v>
      </c>
      <c r="F278" s="78">
        <v>132918</v>
      </c>
      <c r="G278" s="78" t="s">
        <v>1514</v>
      </c>
    </row>
    <row r="279" spans="1:7" x14ac:dyDescent="0.25">
      <c r="A279" s="5" t="s">
        <v>1511</v>
      </c>
      <c r="B279" s="78">
        <f t="shared" si="4"/>
        <v>133.35300000000001</v>
      </c>
      <c r="C279" s="78" t="s">
        <v>1227</v>
      </c>
      <c r="D279" s="7" t="s">
        <v>349</v>
      </c>
      <c r="E279" s="80" t="s">
        <v>1175</v>
      </c>
      <c r="F279" s="78">
        <v>133353</v>
      </c>
      <c r="G279" s="78" t="s">
        <v>1514</v>
      </c>
    </row>
    <row r="280" spans="1:7" x14ac:dyDescent="0.25">
      <c r="A280" s="5" t="s">
        <v>1511</v>
      </c>
      <c r="B280" s="78">
        <f t="shared" si="4"/>
        <v>133.82499999999999</v>
      </c>
      <c r="C280" s="78" t="s">
        <v>1228</v>
      </c>
      <c r="D280" s="7" t="s">
        <v>347</v>
      </c>
      <c r="E280" s="80" t="s">
        <v>1175</v>
      </c>
      <c r="F280" s="78">
        <v>133825</v>
      </c>
      <c r="G280" s="78" t="s">
        <v>1514</v>
      </c>
    </row>
    <row r="281" spans="1:7" x14ac:dyDescent="0.25">
      <c r="A281" s="5" t="s">
        <v>1511</v>
      </c>
      <c r="B281" s="78">
        <f t="shared" si="4"/>
        <v>134.33500000000001</v>
      </c>
      <c r="C281" s="78" t="s">
        <v>1229</v>
      </c>
      <c r="D281" s="7" t="s">
        <v>345</v>
      </c>
      <c r="E281" s="80" t="s">
        <v>1175</v>
      </c>
      <c r="F281" s="78">
        <v>134335</v>
      </c>
      <c r="G281" s="78" t="s">
        <v>1514</v>
      </c>
    </row>
    <row r="282" spans="1:7" x14ac:dyDescent="0.25">
      <c r="A282" s="5" t="s">
        <v>1511</v>
      </c>
      <c r="B282" s="78">
        <f t="shared" si="4"/>
        <v>134.822</v>
      </c>
      <c r="C282" s="78" t="s">
        <v>1230</v>
      </c>
      <c r="D282" s="7" t="s">
        <v>343</v>
      </c>
      <c r="E282" s="80" t="s">
        <v>1175</v>
      </c>
      <c r="F282" s="78">
        <v>134822</v>
      </c>
      <c r="G282" s="78" t="s">
        <v>1514</v>
      </c>
    </row>
    <row r="283" spans="1:7" x14ac:dyDescent="0.25">
      <c r="A283" s="5" t="s">
        <v>1511</v>
      </c>
      <c r="B283" s="78">
        <f t="shared" si="4"/>
        <v>135.27699999999999</v>
      </c>
      <c r="C283" s="78" t="s">
        <v>1231</v>
      </c>
      <c r="D283" s="7" t="s">
        <v>341</v>
      </c>
      <c r="E283" s="80" t="s">
        <v>1176</v>
      </c>
      <c r="F283" s="78">
        <v>135277</v>
      </c>
      <c r="G283" s="78" t="s">
        <v>1514</v>
      </c>
    </row>
    <row r="284" spans="1:7" x14ac:dyDescent="0.25">
      <c r="A284" s="5" t="s">
        <v>1511</v>
      </c>
      <c r="B284" s="78">
        <f t="shared" si="4"/>
        <v>135.72550000000001</v>
      </c>
      <c r="C284" s="78" t="s">
        <v>1232</v>
      </c>
      <c r="D284" s="7" t="s">
        <v>339</v>
      </c>
      <c r="E284" s="80" t="s">
        <v>1177</v>
      </c>
      <c r="F284" s="78">
        <v>135725.5</v>
      </c>
      <c r="G284" s="78" t="s">
        <v>1518</v>
      </c>
    </row>
    <row r="285" spans="1:7" x14ac:dyDescent="0.25">
      <c r="A285" s="5" t="s">
        <v>1511</v>
      </c>
      <c r="B285" s="78">
        <f t="shared" si="4"/>
        <v>136.22399999999999</v>
      </c>
      <c r="C285" s="78" t="s">
        <v>1233</v>
      </c>
      <c r="D285" s="7" t="s">
        <v>337</v>
      </c>
      <c r="E285" s="80" t="s">
        <v>1177</v>
      </c>
      <c r="F285" s="78">
        <v>136224</v>
      </c>
      <c r="G285" s="78" t="s">
        <v>1514</v>
      </c>
    </row>
    <row r="286" spans="1:7" x14ac:dyDescent="0.25">
      <c r="A286" s="5" t="s">
        <v>1511</v>
      </c>
      <c r="B286" s="78">
        <f t="shared" si="4"/>
        <v>136.714</v>
      </c>
      <c r="C286" s="78" t="s">
        <v>1234</v>
      </c>
      <c r="D286" s="7" t="s">
        <v>335</v>
      </c>
      <c r="E286" s="80" t="s">
        <v>1177</v>
      </c>
      <c r="F286" s="78">
        <v>136714</v>
      </c>
      <c r="G286" s="78" t="s">
        <v>1514</v>
      </c>
    </row>
    <row r="287" spans="1:7" x14ac:dyDescent="0.25">
      <c r="A287" s="5" t="s">
        <v>1511</v>
      </c>
      <c r="B287" s="78">
        <f t="shared" si="4"/>
        <v>137.179</v>
      </c>
      <c r="C287" s="78" t="s">
        <v>1235</v>
      </c>
      <c r="D287" s="7" t="s">
        <v>333</v>
      </c>
      <c r="E287" s="80" t="s">
        <v>1177</v>
      </c>
      <c r="F287" s="78">
        <v>137179</v>
      </c>
      <c r="G287" s="78" t="s">
        <v>1514</v>
      </c>
    </row>
    <row r="288" spans="1:7" x14ac:dyDescent="0.25">
      <c r="A288" s="5" t="s">
        <v>1511</v>
      </c>
      <c r="B288" s="78">
        <f t="shared" si="4"/>
        <v>137.63900000000001</v>
      </c>
      <c r="C288" s="78" t="s">
        <v>1236</v>
      </c>
      <c r="D288" s="7" t="s">
        <v>331</v>
      </c>
      <c r="E288" s="80" t="s">
        <v>1177</v>
      </c>
      <c r="F288" s="78">
        <v>137639</v>
      </c>
      <c r="G288" s="78" t="s">
        <v>1514</v>
      </c>
    </row>
    <row r="289" spans="1:7" x14ac:dyDescent="0.25">
      <c r="A289" s="5" t="s">
        <v>1511</v>
      </c>
      <c r="B289" s="78">
        <f t="shared" si="4"/>
        <v>138.10400000000001</v>
      </c>
      <c r="C289" s="78" t="s">
        <v>1237</v>
      </c>
      <c r="D289" s="7" t="s">
        <v>329</v>
      </c>
      <c r="E289" s="80" t="s">
        <v>1177</v>
      </c>
      <c r="F289" s="78">
        <v>138104</v>
      </c>
      <c r="G289" s="78" t="s">
        <v>1514</v>
      </c>
    </row>
    <row r="290" spans="1:7" x14ac:dyDescent="0.25">
      <c r="A290" s="5" t="s">
        <v>1511</v>
      </c>
      <c r="B290" s="78">
        <f t="shared" si="4"/>
        <v>138.62700000000001</v>
      </c>
      <c r="C290" s="78" t="s">
        <v>1238</v>
      </c>
      <c r="D290" s="7" t="s">
        <v>327</v>
      </c>
      <c r="E290" s="80" t="s">
        <v>1177</v>
      </c>
      <c r="F290" s="78">
        <v>138627</v>
      </c>
      <c r="G290" s="78" t="s">
        <v>1514</v>
      </c>
    </row>
    <row r="291" spans="1:7" x14ac:dyDescent="0.25">
      <c r="A291" s="5" t="s">
        <v>1511</v>
      </c>
      <c r="B291" s="78">
        <f t="shared" si="4"/>
        <v>139.077</v>
      </c>
      <c r="C291" s="78" t="s">
        <v>1239</v>
      </c>
      <c r="D291" s="7" t="s">
        <v>325</v>
      </c>
      <c r="E291" s="80" t="s">
        <v>1177</v>
      </c>
      <c r="F291" s="78">
        <v>139077</v>
      </c>
      <c r="G291" s="78" t="s">
        <v>1514</v>
      </c>
    </row>
    <row r="292" spans="1:7" x14ac:dyDescent="0.25">
      <c r="A292" s="5" t="s">
        <v>1511</v>
      </c>
      <c r="B292" s="78">
        <f t="shared" si="4"/>
        <v>139.542</v>
      </c>
      <c r="C292" s="78" t="s">
        <v>1240</v>
      </c>
      <c r="D292" s="7" t="s">
        <v>323</v>
      </c>
      <c r="E292" s="80" t="s">
        <v>1177</v>
      </c>
      <c r="F292" s="78">
        <v>139542</v>
      </c>
      <c r="G292" s="78" t="s">
        <v>1514</v>
      </c>
    </row>
    <row r="293" spans="1:7" x14ac:dyDescent="0.25">
      <c r="A293" s="5" t="s">
        <v>1511</v>
      </c>
      <c r="B293" s="78">
        <f t="shared" si="4"/>
        <v>139.952</v>
      </c>
      <c r="C293" s="78" t="s">
        <v>1241</v>
      </c>
      <c r="D293" s="7" t="s">
        <v>321</v>
      </c>
      <c r="E293" s="80" t="s">
        <v>1177</v>
      </c>
      <c r="F293" s="78">
        <v>139952</v>
      </c>
      <c r="G293" s="78" t="s">
        <v>1514</v>
      </c>
    </row>
    <row r="294" spans="1:7" x14ac:dyDescent="0.25">
      <c r="A294" s="5" t="s">
        <v>1511</v>
      </c>
      <c r="B294" s="78">
        <f t="shared" si="4"/>
        <v>140.52000000000001</v>
      </c>
      <c r="C294" s="78" t="s">
        <v>1242</v>
      </c>
      <c r="D294" s="7" t="s">
        <v>319</v>
      </c>
      <c r="E294" s="80" t="s">
        <v>1177</v>
      </c>
      <c r="F294" s="78">
        <v>140520</v>
      </c>
      <c r="G294" s="78" t="s">
        <v>1514</v>
      </c>
    </row>
    <row r="295" spans="1:7" x14ac:dyDescent="0.25">
      <c r="A295" s="5" t="s">
        <v>1511</v>
      </c>
      <c r="B295" s="78">
        <f t="shared" si="4"/>
        <v>140.94999999999999</v>
      </c>
      <c r="C295" s="78" t="s">
        <v>1243</v>
      </c>
      <c r="D295" s="7" t="s">
        <v>317</v>
      </c>
      <c r="E295" s="80" t="s">
        <v>1177</v>
      </c>
      <c r="F295" s="78">
        <v>140950</v>
      </c>
      <c r="G295" s="78" t="s">
        <v>1514</v>
      </c>
    </row>
    <row r="296" spans="1:7" x14ac:dyDescent="0.25">
      <c r="A296" s="5" t="s">
        <v>1511</v>
      </c>
      <c r="B296" s="78">
        <f t="shared" si="4"/>
        <v>141.435</v>
      </c>
      <c r="C296" s="78" t="s">
        <v>1244</v>
      </c>
      <c r="D296" s="7" t="s">
        <v>315</v>
      </c>
      <c r="E296" s="80" t="s">
        <v>1177</v>
      </c>
      <c r="F296" s="78">
        <v>141435</v>
      </c>
      <c r="G296" s="78" t="s">
        <v>1514</v>
      </c>
    </row>
    <row r="297" spans="1:7" x14ac:dyDescent="0.25">
      <c r="A297" s="5" t="s">
        <v>1511</v>
      </c>
      <c r="B297" s="78">
        <f t="shared" si="4"/>
        <v>141.94800000000001</v>
      </c>
      <c r="C297" s="78" t="s">
        <v>1245</v>
      </c>
      <c r="D297" s="7" t="s">
        <v>313</v>
      </c>
      <c r="E297" s="80" t="s">
        <v>1177</v>
      </c>
      <c r="F297" s="78">
        <v>141948</v>
      </c>
      <c r="G297" s="78" t="s">
        <v>1514</v>
      </c>
    </row>
    <row r="298" spans="1:7" x14ac:dyDescent="0.25">
      <c r="A298" s="5" t="s">
        <v>1511</v>
      </c>
      <c r="B298" s="78">
        <f t="shared" si="4"/>
        <v>142.43299999999999</v>
      </c>
      <c r="C298" s="78" t="s">
        <v>1246</v>
      </c>
      <c r="D298" s="7" t="s">
        <v>311</v>
      </c>
      <c r="E298" s="80" t="s">
        <v>1177</v>
      </c>
      <c r="F298" s="78">
        <v>142433</v>
      </c>
      <c r="G298" s="78" t="s">
        <v>1514</v>
      </c>
    </row>
    <row r="299" spans="1:7" x14ac:dyDescent="0.25">
      <c r="A299" s="5" t="s">
        <v>1511</v>
      </c>
      <c r="B299" s="78">
        <f t="shared" si="4"/>
        <v>142.94300000000001</v>
      </c>
      <c r="C299" s="78" t="s">
        <v>1247</v>
      </c>
      <c r="D299" s="7" t="s">
        <v>309</v>
      </c>
      <c r="E299" s="80" t="s">
        <v>1177</v>
      </c>
      <c r="F299" s="78">
        <v>142943</v>
      </c>
      <c r="G299" s="78" t="s">
        <v>1514</v>
      </c>
    </row>
    <row r="300" spans="1:7" x14ac:dyDescent="0.25">
      <c r="A300" s="5" t="s">
        <v>1511</v>
      </c>
      <c r="B300" s="78">
        <f t="shared" si="4"/>
        <v>143.43</v>
      </c>
      <c r="C300" s="78" t="s">
        <v>1248</v>
      </c>
      <c r="D300" s="7" t="s">
        <v>307</v>
      </c>
      <c r="E300" s="80" t="s">
        <v>1177</v>
      </c>
      <c r="F300" s="78">
        <v>143430</v>
      </c>
      <c r="G300" s="78" t="s">
        <v>1517</v>
      </c>
    </row>
    <row r="301" spans="1:7" x14ac:dyDescent="0.25">
      <c r="A301" s="5" t="s">
        <v>1511</v>
      </c>
      <c r="B301" s="78">
        <f t="shared" si="4"/>
        <v>143.88499999999999</v>
      </c>
      <c r="C301" s="78" t="s">
        <v>1249</v>
      </c>
      <c r="D301" s="7" t="s">
        <v>305</v>
      </c>
      <c r="E301" s="80" t="s">
        <v>1177</v>
      </c>
      <c r="F301" s="78">
        <v>143885</v>
      </c>
      <c r="G301" s="78" t="s">
        <v>1514</v>
      </c>
    </row>
    <row r="302" spans="1:7" x14ac:dyDescent="0.25">
      <c r="A302" s="5" t="s">
        <v>1511</v>
      </c>
      <c r="B302" s="78">
        <f t="shared" si="4"/>
        <v>144.345</v>
      </c>
      <c r="C302" s="78" t="s">
        <v>1250</v>
      </c>
      <c r="D302" s="7" t="s">
        <v>303</v>
      </c>
      <c r="E302" s="80" t="s">
        <v>1177</v>
      </c>
      <c r="F302" s="78">
        <v>144345</v>
      </c>
      <c r="G302" s="78" t="s">
        <v>1514</v>
      </c>
    </row>
    <row r="303" spans="1:7" x14ac:dyDescent="0.25">
      <c r="A303" s="5" t="s">
        <v>1511</v>
      </c>
      <c r="B303" s="78">
        <f t="shared" si="4"/>
        <v>144.78899999999999</v>
      </c>
      <c r="C303" s="78" t="s">
        <v>1251</v>
      </c>
      <c r="D303" s="7" t="s">
        <v>301</v>
      </c>
      <c r="E303" s="80" t="s">
        <v>1177</v>
      </c>
      <c r="F303" s="78">
        <v>144789</v>
      </c>
      <c r="G303" s="78" t="s">
        <v>1514</v>
      </c>
    </row>
    <row r="304" spans="1:7" x14ac:dyDescent="0.25">
      <c r="A304" s="5" t="s">
        <v>1511</v>
      </c>
      <c r="B304" s="78">
        <f t="shared" si="4"/>
        <v>145.23400000000001</v>
      </c>
      <c r="C304" s="78" t="s">
        <v>1252</v>
      </c>
      <c r="D304" s="7" t="s">
        <v>299</v>
      </c>
      <c r="E304" s="80" t="s">
        <v>1177</v>
      </c>
      <c r="F304" s="78">
        <v>145234</v>
      </c>
      <c r="G304" s="78" t="s">
        <v>1514</v>
      </c>
    </row>
    <row r="305" spans="1:7" x14ac:dyDescent="0.25">
      <c r="A305" s="5" t="s">
        <v>1511</v>
      </c>
      <c r="B305" s="78">
        <f t="shared" si="4"/>
        <v>145.714</v>
      </c>
      <c r="C305" s="78" t="s">
        <v>1253</v>
      </c>
      <c r="D305" s="7" t="s">
        <v>297</v>
      </c>
      <c r="E305" s="80" t="s">
        <v>1177</v>
      </c>
      <c r="F305" s="78">
        <v>145714</v>
      </c>
      <c r="G305" s="78" t="s">
        <v>1514</v>
      </c>
    </row>
    <row r="306" spans="1:7" x14ac:dyDescent="0.25">
      <c r="A306" s="5" t="s">
        <v>1511</v>
      </c>
      <c r="B306" s="78">
        <f t="shared" si="4"/>
        <v>146.15648000000002</v>
      </c>
      <c r="C306" s="78" t="s">
        <v>1254</v>
      </c>
      <c r="D306" s="7" t="s">
        <v>295</v>
      </c>
      <c r="E306" s="80" t="s">
        <v>1177</v>
      </c>
      <c r="F306" s="78">
        <v>146156.48000000001</v>
      </c>
      <c r="G306" s="78" t="s">
        <v>1515</v>
      </c>
    </row>
    <row r="307" spans="1:7" x14ac:dyDescent="0.25">
      <c r="A307" s="5" t="s">
        <v>1511</v>
      </c>
      <c r="B307" s="78">
        <f t="shared" si="4"/>
        <v>146.58760000000001</v>
      </c>
      <c r="C307" s="78" t="s">
        <v>1255</v>
      </c>
      <c r="D307" s="7" t="s">
        <v>293</v>
      </c>
      <c r="E307" s="80" t="s">
        <v>1177</v>
      </c>
      <c r="F307" s="78">
        <v>146587.6</v>
      </c>
      <c r="G307" s="78" t="s">
        <v>1516</v>
      </c>
    </row>
    <row r="308" spans="1:7" x14ac:dyDescent="0.25">
      <c r="A308" s="5" t="s">
        <v>1511</v>
      </c>
      <c r="B308" s="78">
        <f t="shared" si="4"/>
        <v>146.99700000000001</v>
      </c>
      <c r="C308" s="78" t="s">
        <v>1256</v>
      </c>
      <c r="D308" s="7" t="s">
        <v>291</v>
      </c>
      <c r="E308" s="80" t="s">
        <v>1177</v>
      </c>
      <c r="F308" s="78">
        <v>146997</v>
      </c>
      <c r="G308" s="78" t="s">
        <v>1517</v>
      </c>
    </row>
    <row r="309" spans="1:7" x14ac:dyDescent="0.25">
      <c r="A309" s="5" t="s">
        <v>1511</v>
      </c>
      <c r="B309" s="78">
        <f t="shared" si="4"/>
        <v>147.512</v>
      </c>
      <c r="C309" s="78" t="s">
        <v>1257</v>
      </c>
      <c r="D309" s="7" t="s">
        <v>289</v>
      </c>
      <c r="E309" s="80" t="s">
        <v>1177</v>
      </c>
      <c r="F309" s="78">
        <v>147512</v>
      </c>
      <c r="G309" s="78" t="s">
        <v>1514</v>
      </c>
    </row>
    <row r="310" spans="1:7" x14ac:dyDescent="0.25">
      <c r="A310" s="5" t="s">
        <v>1511</v>
      </c>
      <c r="B310" s="78">
        <f t="shared" si="4"/>
        <v>147.989</v>
      </c>
      <c r="C310" s="78" t="s">
        <v>1258</v>
      </c>
      <c r="D310" s="7" t="s">
        <v>287</v>
      </c>
      <c r="E310" s="80" t="s">
        <v>1177</v>
      </c>
      <c r="F310" s="78">
        <v>147989</v>
      </c>
      <c r="G310" s="78" t="s">
        <v>1514</v>
      </c>
    </row>
    <row r="311" spans="1:7" x14ac:dyDescent="0.25">
      <c r="A311" s="5" t="s">
        <v>1511</v>
      </c>
      <c r="B311" s="78">
        <f t="shared" si="4"/>
        <v>148.49299999999999</v>
      </c>
      <c r="C311" s="78" t="s">
        <v>1259</v>
      </c>
      <c r="D311" s="7" t="s">
        <v>285</v>
      </c>
      <c r="E311" s="80" t="s">
        <v>1177</v>
      </c>
      <c r="F311" s="78">
        <v>148493</v>
      </c>
      <c r="G311" s="78" t="s">
        <v>1514</v>
      </c>
    </row>
    <row r="312" spans="1:7" x14ac:dyDescent="0.25">
      <c r="A312" s="5" t="s">
        <v>1511</v>
      </c>
      <c r="B312" s="78">
        <f t="shared" si="4"/>
        <v>148.988</v>
      </c>
      <c r="C312" s="78" t="s">
        <v>1260</v>
      </c>
      <c r="D312" s="7" t="s">
        <v>283</v>
      </c>
      <c r="E312" s="80" t="s">
        <v>1177</v>
      </c>
      <c r="F312" s="78">
        <v>148988</v>
      </c>
      <c r="G312" s="78" t="s">
        <v>1514</v>
      </c>
    </row>
    <row r="313" spans="1:7" x14ac:dyDescent="0.25">
      <c r="A313" s="5" t="s">
        <v>1511</v>
      </c>
      <c r="B313" s="78">
        <f t="shared" si="4"/>
        <v>149.483</v>
      </c>
      <c r="C313" s="78" t="s">
        <v>1261</v>
      </c>
      <c r="D313" s="7" t="s">
        <v>281</v>
      </c>
      <c r="E313" s="80" t="s">
        <v>1177</v>
      </c>
      <c r="F313" s="78">
        <v>149483</v>
      </c>
      <c r="G313" s="78" t="s">
        <v>1514</v>
      </c>
    </row>
    <row r="314" spans="1:7" x14ac:dyDescent="0.25">
      <c r="A314" s="13" t="s">
        <v>1511</v>
      </c>
      <c r="B314" s="79">
        <f t="shared" si="4"/>
        <v>149.983</v>
      </c>
      <c r="C314" s="79" t="s">
        <v>1262</v>
      </c>
      <c r="D314" s="14" t="s">
        <v>279</v>
      </c>
      <c r="E314" s="80" t="s">
        <v>1177</v>
      </c>
      <c r="F314" s="78">
        <v>149983</v>
      </c>
      <c r="G314" s="78" t="s">
        <v>1514</v>
      </c>
    </row>
    <row r="315" spans="1:7" x14ac:dyDescent="0.25">
      <c r="A315" s="5" t="s">
        <v>1511</v>
      </c>
      <c r="B315" s="78">
        <f t="shared" si="4"/>
        <v>150.482</v>
      </c>
      <c r="C315" s="78" t="s">
        <v>1263</v>
      </c>
      <c r="D315" s="7" t="s">
        <v>277</v>
      </c>
      <c r="E315" s="80" t="s">
        <v>1177</v>
      </c>
      <c r="F315" s="78">
        <v>150482</v>
      </c>
      <c r="G315" s="78" t="s">
        <v>1514</v>
      </c>
    </row>
    <row r="316" spans="1:7" x14ac:dyDescent="0.25">
      <c r="A316" s="5" t="s">
        <v>1511</v>
      </c>
      <c r="B316" s="78">
        <f t="shared" si="4"/>
        <v>150.97900000000001</v>
      </c>
      <c r="C316" s="78" t="s">
        <v>1264</v>
      </c>
      <c r="D316" s="7" t="s">
        <v>275</v>
      </c>
      <c r="E316" s="80" t="s">
        <v>1177</v>
      </c>
      <c r="F316" s="78">
        <v>150979</v>
      </c>
      <c r="G316" s="78" t="s">
        <v>1514</v>
      </c>
    </row>
    <row r="317" spans="1:7" x14ac:dyDescent="0.25">
      <c r="A317" s="5" t="s">
        <v>1511</v>
      </c>
      <c r="B317" s="78">
        <f t="shared" si="4"/>
        <v>151.47800000000001</v>
      </c>
      <c r="C317" s="78" t="s">
        <v>1265</v>
      </c>
      <c r="D317" s="7" t="s">
        <v>273</v>
      </c>
      <c r="E317" s="80" t="s">
        <v>1177</v>
      </c>
      <c r="F317" s="78">
        <v>151478</v>
      </c>
      <c r="G317" s="78" t="s">
        <v>1514</v>
      </c>
    </row>
    <row r="318" spans="1:7" x14ac:dyDescent="0.25">
      <c r="A318" s="5" t="s">
        <v>1511</v>
      </c>
      <c r="B318" s="78">
        <f t="shared" si="4"/>
        <v>151.91699</v>
      </c>
      <c r="C318" s="78" t="s">
        <v>1266</v>
      </c>
      <c r="D318" s="7" t="s">
        <v>271</v>
      </c>
      <c r="E318" s="80" t="s">
        <v>1177</v>
      </c>
      <c r="F318" s="78">
        <v>151916.99</v>
      </c>
      <c r="G318" s="78" t="s">
        <v>1513</v>
      </c>
    </row>
    <row r="319" spans="1:7" x14ac:dyDescent="0.25">
      <c r="A319" s="5" t="s">
        <v>1511</v>
      </c>
      <c r="B319" s="78">
        <f t="shared" si="4"/>
        <v>152.392</v>
      </c>
      <c r="C319" s="78" t="s">
        <v>1267</v>
      </c>
      <c r="D319" s="7" t="s">
        <v>270</v>
      </c>
      <c r="E319" s="80" t="s">
        <v>1177</v>
      </c>
      <c r="F319" s="78">
        <v>152392</v>
      </c>
      <c r="G319" s="78" t="s">
        <v>1514</v>
      </c>
    </row>
    <row r="320" spans="1:7" x14ac:dyDescent="0.25">
      <c r="A320" s="5" t="s">
        <v>1511</v>
      </c>
      <c r="B320" s="78">
        <f t="shared" si="4"/>
        <v>152.88499999999999</v>
      </c>
      <c r="C320" s="78" t="s">
        <v>1268</v>
      </c>
      <c r="D320" s="7" t="s">
        <v>269</v>
      </c>
      <c r="E320" s="80" t="s">
        <v>1177</v>
      </c>
      <c r="F320" s="78">
        <v>152885</v>
      </c>
      <c r="G320" s="78" t="s">
        <v>1514</v>
      </c>
    </row>
    <row r="321" spans="1:7" x14ac:dyDescent="0.25">
      <c r="A321" s="5" t="s">
        <v>1511</v>
      </c>
      <c r="B321" s="78">
        <f t="shared" si="4"/>
        <v>153.38999999999999</v>
      </c>
      <c r="C321" s="78" t="s">
        <v>1269</v>
      </c>
      <c r="D321" s="7" t="s">
        <v>268</v>
      </c>
      <c r="E321" s="80" t="s">
        <v>1177</v>
      </c>
      <c r="F321" s="78">
        <v>153390</v>
      </c>
      <c r="G321" s="78" t="s">
        <v>1514</v>
      </c>
    </row>
    <row r="322" spans="1:7" x14ac:dyDescent="0.25">
      <c r="A322" s="5" t="s">
        <v>1511</v>
      </c>
      <c r="B322" s="78">
        <f t="shared" si="4"/>
        <v>153.83000000000001</v>
      </c>
      <c r="C322" s="78" t="s">
        <v>1270</v>
      </c>
      <c r="D322" s="7" t="s">
        <v>267</v>
      </c>
      <c r="E322" s="80" t="s">
        <v>1177</v>
      </c>
      <c r="F322" s="78">
        <v>153830</v>
      </c>
      <c r="G322" s="78" t="s">
        <v>1514</v>
      </c>
    </row>
    <row r="323" spans="1:7" x14ac:dyDescent="0.25">
      <c r="A323" s="5" t="s">
        <v>1511</v>
      </c>
      <c r="B323" s="78">
        <f t="shared" ref="B323:B386" si="5">F323/1000</f>
        <v>154.268</v>
      </c>
      <c r="C323" s="78" t="s">
        <v>1271</v>
      </c>
      <c r="D323" s="7" t="s">
        <v>266</v>
      </c>
      <c r="E323" s="80" t="s">
        <v>1177</v>
      </c>
      <c r="F323" s="78">
        <v>154268</v>
      </c>
      <c r="G323" s="78" t="s">
        <v>1514</v>
      </c>
    </row>
    <row r="324" spans="1:7" x14ac:dyDescent="0.25">
      <c r="A324" s="5" t="s">
        <v>1511</v>
      </c>
      <c r="B324" s="78">
        <f t="shared" si="5"/>
        <v>154.756</v>
      </c>
      <c r="C324" s="78" t="s">
        <v>1272</v>
      </c>
      <c r="D324" s="7" t="s">
        <v>265</v>
      </c>
      <c r="E324" s="80" t="s">
        <v>1177</v>
      </c>
      <c r="F324" s="78">
        <v>154756</v>
      </c>
      <c r="G324" s="78" t="s">
        <v>1514</v>
      </c>
    </row>
    <row r="325" spans="1:7" x14ac:dyDescent="0.25">
      <c r="A325" s="5" t="s">
        <v>1511</v>
      </c>
      <c r="B325" s="78">
        <f t="shared" si="5"/>
        <v>155.07065</v>
      </c>
      <c r="C325" s="78" t="s">
        <v>1273</v>
      </c>
      <c r="D325" s="7" t="s">
        <v>264</v>
      </c>
      <c r="E325" s="80" t="s">
        <v>1177</v>
      </c>
      <c r="F325" s="78">
        <v>155070.65</v>
      </c>
      <c r="G325" s="78" t="s">
        <v>1515</v>
      </c>
    </row>
    <row r="326" spans="1:7" x14ac:dyDescent="0.25">
      <c r="A326" s="5" t="s">
        <v>1511</v>
      </c>
      <c r="B326" s="78">
        <f t="shared" si="5"/>
        <v>155.42099999999999</v>
      </c>
      <c r="C326" s="78" t="s">
        <v>1274</v>
      </c>
      <c r="D326" s="7" t="s">
        <v>263</v>
      </c>
      <c r="E326" s="80" t="s">
        <v>1177</v>
      </c>
      <c r="F326" s="78">
        <v>155421</v>
      </c>
      <c r="G326" s="78" t="s">
        <v>1517</v>
      </c>
    </row>
    <row r="327" spans="1:7" x14ac:dyDescent="0.25">
      <c r="A327" s="5" t="s">
        <v>1511</v>
      </c>
      <c r="B327" s="78">
        <f t="shared" si="5"/>
        <v>155.76373000000001</v>
      </c>
      <c r="C327" s="78" t="s">
        <v>1275</v>
      </c>
      <c r="D327" s="7" t="s">
        <v>262</v>
      </c>
      <c r="E327" s="80" t="s">
        <v>1177</v>
      </c>
      <c r="F327" s="78">
        <v>155763.73000000001</v>
      </c>
      <c r="G327" s="78" t="s">
        <v>1514</v>
      </c>
    </row>
    <row r="328" spans="1:7" x14ac:dyDescent="0.25">
      <c r="A328" s="5" t="s">
        <v>1511</v>
      </c>
      <c r="B328" s="78">
        <f t="shared" si="5"/>
        <v>156.28100000000001</v>
      </c>
      <c r="C328" s="78" t="s">
        <v>1276</v>
      </c>
      <c r="D328" s="7" t="s">
        <v>261</v>
      </c>
      <c r="E328" s="80" t="s">
        <v>1177</v>
      </c>
      <c r="F328" s="78">
        <v>156281</v>
      </c>
      <c r="G328" s="78" t="s">
        <v>1514</v>
      </c>
    </row>
    <row r="329" spans="1:7" x14ac:dyDescent="0.25">
      <c r="A329" s="5" t="s">
        <v>1511</v>
      </c>
      <c r="B329" s="78">
        <f t="shared" si="5"/>
        <v>156.744</v>
      </c>
      <c r="C329" s="78" t="s">
        <v>1277</v>
      </c>
      <c r="D329" s="7" t="s">
        <v>260</v>
      </c>
      <c r="E329" s="80" t="s">
        <v>1177</v>
      </c>
      <c r="F329" s="78">
        <v>156744</v>
      </c>
      <c r="G329" s="78" t="s">
        <v>1514</v>
      </c>
    </row>
    <row r="330" spans="1:7" x14ac:dyDescent="0.25">
      <c r="A330" s="5" t="s">
        <v>1511</v>
      </c>
      <c r="B330" s="78">
        <f t="shared" si="5"/>
        <v>157.23254999999997</v>
      </c>
      <c r="C330" s="78" t="s">
        <v>1278</v>
      </c>
      <c r="D330" s="7" t="s">
        <v>259</v>
      </c>
      <c r="E330" s="80" t="s">
        <v>1177</v>
      </c>
      <c r="F330" s="78">
        <v>157232.54999999999</v>
      </c>
      <c r="G330" s="78" t="s">
        <v>1514</v>
      </c>
    </row>
    <row r="331" spans="1:7" x14ac:dyDescent="0.25">
      <c r="A331" s="5" t="s">
        <v>1511</v>
      </c>
      <c r="B331" s="78">
        <f t="shared" si="5"/>
        <v>157.71366</v>
      </c>
      <c r="C331" s="78" t="s">
        <v>1279</v>
      </c>
      <c r="D331" s="7" t="s">
        <v>258</v>
      </c>
      <c r="E331" s="80" t="s">
        <v>1177</v>
      </c>
      <c r="F331" s="78">
        <v>157713.66</v>
      </c>
      <c r="G331" s="78" t="s">
        <v>1516</v>
      </c>
    </row>
    <row r="332" spans="1:7" x14ac:dyDescent="0.25">
      <c r="A332" s="5" t="s">
        <v>1511</v>
      </c>
      <c r="B332" s="78">
        <f t="shared" si="5"/>
        <v>158.19201999999999</v>
      </c>
      <c r="C332" s="78" t="s">
        <v>1280</v>
      </c>
      <c r="D332" s="7" t="s">
        <v>257</v>
      </c>
      <c r="E332" s="80" t="s">
        <v>1177</v>
      </c>
      <c r="F332" s="78">
        <v>158192.01999999999</v>
      </c>
      <c r="G332" s="78" t="s">
        <v>1514</v>
      </c>
    </row>
    <row r="333" spans="1:7" x14ac:dyDescent="0.25">
      <c r="A333" s="5" t="s">
        <v>1511</v>
      </c>
      <c r="B333" s="78">
        <f t="shared" si="5"/>
        <v>158.672</v>
      </c>
      <c r="C333" s="78" t="s">
        <v>1281</v>
      </c>
      <c r="D333" s="7" t="s">
        <v>256</v>
      </c>
      <c r="E333" s="80" t="s">
        <v>1177</v>
      </c>
      <c r="F333" s="78">
        <v>158672</v>
      </c>
      <c r="G333" s="78" t="s">
        <v>1516</v>
      </c>
    </row>
    <row r="334" spans="1:7" x14ac:dyDescent="0.25">
      <c r="A334" s="5" t="s">
        <v>1511</v>
      </c>
      <c r="B334" s="78">
        <f t="shared" si="5"/>
        <v>159.18704</v>
      </c>
      <c r="C334" s="78" t="s">
        <v>1282</v>
      </c>
      <c r="D334" s="7" t="s">
        <v>255</v>
      </c>
      <c r="E334" s="80" t="s">
        <v>1177</v>
      </c>
      <c r="F334" s="78">
        <v>159187.04</v>
      </c>
      <c r="G334" s="78" t="s">
        <v>1516</v>
      </c>
    </row>
    <row r="335" spans="1:7" x14ac:dyDescent="0.25">
      <c r="A335" s="5" t="s">
        <v>1511</v>
      </c>
      <c r="B335" s="78">
        <f t="shared" si="5"/>
        <v>159.66707</v>
      </c>
      <c r="C335" s="78" t="s">
        <v>1283</v>
      </c>
      <c r="D335" s="7" t="s">
        <v>254</v>
      </c>
      <c r="E335" s="80" t="s">
        <v>1177</v>
      </c>
      <c r="F335" s="90">
        <v>159667.07</v>
      </c>
      <c r="G335" s="78" t="s">
        <v>1514</v>
      </c>
    </row>
    <row r="336" spans="1:7" x14ac:dyDescent="0.25">
      <c r="A336" s="5" t="s">
        <v>1511</v>
      </c>
      <c r="B336" s="78">
        <f t="shared" si="5"/>
        <v>160.12899999999999</v>
      </c>
      <c r="C336" s="78" t="s">
        <v>1284</v>
      </c>
      <c r="D336" s="7" t="s">
        <v>253</v>
      </c>
      <c r="E336" s="80" t="s">
        <v>1177</v>
      </c>
      <c r="F336" s="78">
        <v>160129</v>
      </c>
      <c r="G336" s="78" t="s">
        <v>1514</v>
      </c>
    </row>
    <row r="337" spans="1:7" x14ac:dyDescent="0.25">
      <c r="A337" s="5" t="s">
        <v>1511</v>
      </c>
      <c r="B337" s="78">
        <f t="shared" si="5"/>
        <v>160.61000000000001</v>
      </c>
      <c r="C337" s="78" t="s">
        <v>1285</v>
      </c>
      <c r="D337" s="7" t="s">
        <v>252</v>
      </c>
      <c r="E337" s="80" t="s">
        <v>1177</v>
      </c>
      <c r="F337" s="78">
        <v>160610</v>
      </c>
      <c r="G337" s="78" t="s">
        <v>1514</v>
      </c>
    </row>
    <row r="338" spans="1:7" x14ac:dyDescent="0.25">
      <c r="A338" s="5" t="s">
        <v>1511</v>
      </c>
      <c r="B338" s="78">
        <f t="shared" si="5"/>
        <v>161.114</v>
      </c>
      <c r="C338" s="78" t="s">
        <v>1286</v>
      </c>
      <c r="D338" s="7" t="s">
        <v>251</v>
      </c>
      <c r="E338" s="80" t="s">
        <v>1177</v>
      </c>
      <c r="F338" s="78">
        <v>161114</v>
      </c>
      <c r="G338" s="78" t="s">
        <v>1514</v>
      </c>
    </row>
    <row r="339" spans="1:7" x14ac:dyDescent="0.25">
      <c r="A339" s="5" t="s">
        <v>1511</v>
      </c>
      <c r="B339" s="78">
        <f t="shared" si="5"/>
        <v>161.56800000000001</v>
      </c>
      <c r="C339" s="78" t="s">
        <v>1287</v>
      </c>
      <c r="D339" s="7" t="s">
        <v>250</v>
      </c>
      <c r="E339" s="80" t="s">
        <v>1177</v>
      </c>
      <c r="F339" s="78">
        <v>161568</v>
      </c>
      <c r="G339" s="78" t="s">
        <v>1514</v>
      </c>
    </row>
    <row r="340" spans="1:7" x14ac:dyDescent="0.25">
      <c r="A340" s="5" t="s">
        <v>1511</v>
      </c>
      <c r="B340" s="78">
        <f t="shared" si="5"/>
        <v>162.035</v>
      </c>
      <c r="C340" s="78" t="s">
        <v>1288</v>
      </c>
      <c r="D340" s="7" t="s">
        <v>249</v>
      </c>
      <c r="E340" s="80" t="s">
        <v>1177</v>
      </c>
      <c r="F340" s="78">
        <v>162035</v>
      </c>
      <c r="G340" s="78" t="s">
        <v>1514</v>
      </c>
    </row>
    <row r="341" spans="1:7" x14ac:dyDescent="0.25">
      <c r="A341" s="5" t="s">
        <v>1511</v>
      </c>
      <c r="B341" s="78">
        <f t="shared" si="5"/>
        <v>162.49100000000001</v>
      </c>
      <c r="C341" s="78" t="s">
        <v>1289</v>
      </c>
      <c r="D341" s="7" t="s">
        <v>248</v>
      </c>
      <c r="E341" s="80" t="s">
        <v>1177</v>
      </c>
      <c r="F341" s="78">
        <v>162491</v>
      </c>
      <c r="G341" s="78" t="s">
        <v>1517</v>
      </c>
    </row>
    <row r="342" spans="1:7" x14ac:dyDescent="0.25">
      <c r="A342" s="5" t="s">
        <v>1511</v>
      </c>
      <c r="B342" s="78">
        <f t="shared" si="5"/>
        <v>162.64865</v>
      </c>
      <c r="C342" s="78" t="s">
        <v>1290</v>
      </c>
      <c r="D342" s="7" t="s">
        <v>247</v>
      </c>
      <c r="E342" s="80" t="s">
        <v>1177</v>
      </c>
      <c r="F342" s="78">
        <v>162648.65</v>
      </c>
      <c r="G342" s="78" t="s">
        <v>1517</v>
      </c>
    </row>
    <row r="343" spans="1:7" x14ac:dyDescent="0.25">
      <c r="A343" s="5" t="s">
        <v>1511</v>
      </c>
      <c r="B343" s="78">
        <f t="shared" si="5"/>
        <v>162.94900000000001</v>
      </c>
      <c r="C343" s="78" t="s">
        <v>1291</v>
      </c>
      <c r="D343" s="7" t="s">
        <v>246</v>
      </c>
      <c r="E343" s="80" t="s">
        <v>1177</v>
      </c>
      <c r="F343" s="78">
        <v>162949</v>
      </c>
      <c r="G343" s="78" t="s">
        <v>1517</v>
      </c>
    </row>
    <row r="344" spans="1:7" x14ac:dyDescent="0.25">
      <c r="A344" s="5" t="s">
        <v>1511</v>
      </c>
      <c r="B344" s="78">
        <f t="shared" si="5"/>
        <v>163.26</v>
      </c>
      <c r="C344" s="78" t="s">
        <v>1292</v>
      </c>
      <c r="D344" s="7" t="s">
        <v>245</v>
      </c>
      <c r="E344" s="80" t="s">
        <v>1177</v>
      </c>
      <c r="F344" s="78">
        <v>163260</v>
      </c>
      <c r="G344" s="78" t="s">
        <v>1514</v>
      </c>
    </row>
    <row r="345" spans="1:7" x14ac:dyDescent="0.25">
      <c r="A345" s="5" t="s">
        <v>1511</v>
      </c>
      <c r="B345" s="78">
        <f t="shared" si="5"/>
        <v>163.75469000000001</v>
      </c>
      <c r="C345" s="78" t="s">
        <v>1293</v>
      </c>
      <c r="D345" s="7" t="s">
        <v>244</v>
      </c>
      <c r="E345" s="80" t="s">
        <v>1177</v>
      </c>
      <c r="F345" s="78">
        <v>163754.69</v>
      </c>
      <c r="G345" s="78" t="s">
        <v>1516</v>
      </c>
    </row>
    <row r="346" spans="1:7" x14ac:dyDescent="0.25">
      <c r="A346" s="5" t="s">
        <v>1511</v>
      </c>
      <c r="B346" s="78">
        <f t="shared" si="5"/>
        <v>164.14986999999999</v>
      </c>
      <c r="C346" s="78" t="s">
        <v>1294</v>
      </c>
      <c r="D346" s="7" t="s">
        <v>243</v>
      </c>
      <c r="E346" s="80" t="s">
        <v>1177</v>
      </c>
      <c r="F346" s="78">
        <v>164149.87</v>
      </c>
      <c r="G346" s="78" t="s">
        <v>1515</v>
      </c>
    </row>
    <row r="347" spans="1:7" x14ac:dyDescent="0.25">
      <c r="A347" s="5" t="s">
        <v>1511</v>
      </c>
      <c r="B347" s="78">
        <f t="shared" si="5"/>
        <v>164.57499999999999</v>
      </c>
      <c r="C347" s="78" t="s">
        <v>1295</v>
      </c>
      <c r="D347" s="7" t="s">
        <v>242</v>
      </c>
      <c r="E347" s="80" t="s">
        <v>1177</v>
      </c>
      <c r="F347" s="78">
        <v>164575</v>
      </c>
      <c r="G347" s="78" t="s">
        <v>1514</v>
      </c>
    </row>
    <row r="348" spans="1:7" x14ac:dyDescent="0.25">
      <c r="A348" s="5" t="s">
        <v>1511</v>
      </c>
      <c r="B348" s="78">
        <f t="shared" si="5"/>
        <v>165.04</v>
      </c>
      <c r="C348" s="78" t="s">
        <v>1296</v>
      </c>
      <c r="D348" s="7" t="s">
        <v>241</v>
      </c>
      <c r="E348" s="80" t="s">
        <v>1177</v>
      </c>
      <c r="F348" s="78">
        <v>165040</v>
      </c>
      <c r="G348" s="78" t="s">
        <v>1514</v>
      </c>
    </row>
    <row r="349" spans="1:7" x14ac:dyDescent="0.25">
      <c r="A349" s="5" t="s">
        <v>1511</v>
      </c>
      <c r="B349" s="78">
        <f t="shared" si="5"/>
        <v>165.48699999999999</v>
      </c>
      <c r="C349" s="78" t="s">
        <v>1297</v>
      </c>
      <c r="D349" s="7" t="s">
        <v>240</v>
      </c>
      <c r="E349" s="80" t="s">
        <v>1177</v>
      </c>
      <c r="F349" s="78">
        <v>165487</v>
      </c>
      <c r="G349" s="78" t="s">
        <v>1514</v>
      </c>
    </row>
    <row r="350" spans="1:7" x14ac:dyDescent="0.25">
      <c r="A350" s="5" t="s">
        <v>1511</v>
      </c>
      <c r="B350" s="78">
        <f t="shared" si="5"/>
        <v>166.02199999999999</v>
      </c>
      <c r="C350" s="78" t="s">
        <v>1298</v>
      </c>
      <c r="D350" s="7" t="s">
        <v>239</v>
      </c>
      <c r="E350" s="80" t="s">
        <v>1177</v>
      </c>
      <c r="F350" s="78">
        <v>166022</v>
      </c>
      <c r="G350" s="78" t="s">
        <v>1514</v>
      </c>
    </row>
    <row r="351" spans="1:7" x14ac:dyDescent="0.25">
      <c r="A351" s="5" t="s">
        <v>1511</v>
      </c>
      <c r="B351" s="78">
        <f t="shared" si="5"/>
        <v>166.43248</v>
      </c>
      <c r="C351" s="78" t="s">
        <v>1299</v>
      </c>
      <c r="D351" s="7" t="s">
        <v>238</v>
      </c>
      <c r="E351" s="80" t="s">
        <v>1177</v>
      </c>
      <c r="F351" s="78">
        <v>166432.48000000001</v>
      </c>
      <c r="G351" s="78" t="s">
        <v>1514</v>
      </c>
    </row>
    <row r="352" spans="1:7" x14ac:dyDescent="0.25">
      <c r="A352" s="5" t="s">
        <v>1511</v>
      </c>
      <c r="B352" s="78">
        <f t="shared" si="5"/>
        <v>166.84399999999999</v>
      </c>
      <c r="C352" s="78" t="s">
        <v>1300</v>
      </c>
      <c r="D352" s="7" t="s">
        <v>237</v>
      </c>
      <c r="E352" s="80" t="s">
        <v>1177</v>
      </c>
      <c r="F352" s="78">
        <v>166844</v>
      </c>
      <c r="G352" s="78" t="s">
        <v>1514</v>
      </c>
    </row>
    <row r="353" spans="1:7" x14ac:dyDescent="0.25">
      <c r="A353" s="5" t="s">
        <v>1511</v>
      </c>
      <c r="B353" s="78">
        <f t="shared" si="5"/>
        <v>167.37899999999999</v>
      </c>
      <c r="C353" s="78" t="s">
        <v>1301</v>
      </c>
      <c r="D353" s="7" t="s">
        <v>236</v>
      </c>
      <c r="E353" s="80" t="s">
        <v>1177</v>
      </c>
      <c r="F353" s="78">
        <v>167379</v>
      </c>
      <c r="G353" s="78" t="s">
        <v>1514</v>
      </c>
    </row>
    <row r="354" spans="1:7" x14ac:dyDescent="0.25">
      <c r="A354" s="5" t="s">
        <v>1511</v>
      </c>
      <c r="B354" s="78">
        <f t="shared" si="5"/>
        <v>167.739</v>
      </c>
      <c r="C354" s="78" t="s">
        <v>1302</v>
      </c>
      <c r="D354" s="7" t="s">
        <v>235</v>
      </c>
      <c r="E354" s="80" t="s">
        <v>1177</v>
      </c>
      <c r="F354" s="78">
        <v>167739</v>
      </c>
      <c r="G354" s="78" t="s">
        <v>1514</v>
      </c>
    </row>
    <row r="355" spans="1:7" x14ac:dyDescent="0.25">
      <c r="A355" s="5" t="s">
        <v>1511</v>
      </c>
      <c r="B355" s="78">
        <f t="shared" si="5"/>
        <v>168.25299999999999</v>
      </c>
      <c r="C355" s="78" t="s">
        <v>1303</v>
      </c>
      <c r="D355" s="7" t="s">
        <v>234</v>
      </c>
      <c r="E355" s="80" t="s">
        <v>1177</v>
      </c>
      <c r="F355" s="78">
        <v>168253</v>
      </c>
      <c r="G355" s="78" t="s">
        <v>1514</v>
      </c>
    </row>
    <row r="356" spans="1:7" x14ac:dyDescent="0.25">
      <c r="A356" s="5" t="s">
        <v>1511</v>
      </c>
      <c r="B356" s="78">
        <f t="shared" si="5"/>
        <v>168.73699999999999</v>
      </c>
      <c r="C356" s="78" t="s">
        <v>1304</v>
      </c>
      <c r="D356" s="7" t="s">
        <v>233</v>
      </c>
      <c r="E356" s="80" t="s">
        <v>1177</v>
      </c>
      <c r="F356" s="78">
        <v>168737</v>
      </c>
      <c r="G356" s="78" t="s">
        <v>1514</v>
      </c>
    </row>
    <row r="357" spans="1:7" x14ac:dyDescent="0.25">
      <c r="A357" s="5" t="s">
        <v>1511</v>
      </c>
      <c r="B357" s="78">
        <f t="shared" si="5"/>
        <v>169.19200000000001</v>
      </c>
      <c r="C357" s="78" t="s">
        <v>1305</v>
      </c>
      <c r="D357" s="7" t="s">
        <v>232</v>
      </c>
      <c r="E357" s="80" t="s">
        <v>1177</v>
      </c>
      <c r="F357" s="78">
        <v>169192</v>
      </c>
      <c r="G357" s="78" t="s">
        <v>1514</v>
      </c>
    </row>
    <row r="358" spans="1:7" x14ac:dyDescent="0.25">
      <c r="A358" s="5" t="s">
        <v>1511</v>
      </c>
      <c r="B358" s="78">
        <f t="shared" si="5"/>
        <v>169.732</v>
      </c>
      <c r="C358" s="78" t="s">
        <v>1306</v>
      </c>
      <c r="D358" s="7" t="s">
        <v>231</v>
      </c>
      <c r="E358" s="80" t="s">
        <v>1177</v>
      </c>
      <c r="F358" s="78">
        <v>169732</v>
      </c>
      <c r="G358" s="78" t="s">
        <v>1514</v>
      </c>
    </row>
    <row r="359" spans="1:7" x14ac:dyDescent="0.25">
      <c r="A359" s="5" t="s">
        <v>1511</v>
      </c>
      <c r="B359" s="78">
        <f t="shared" si="5"/>
        <v>170.17022</v>
      </c>
      <c r="C359" s="78" t="s">
        <v>1307</v>
      </c>
      <c r="D359" s="7" t="s">
        <v>230</v>
      </c>
      <c r="E359" s="80" t="s">
        <v>1177</v>
      </c>
      <c r="F359" s="78">
        <v>170170.22</v>
      </c>
      <c r="G359" s="78" t="s">
        <v>1515</v>
      </c>
    </row>
    <row r="360" spans="1:7" x14ac:dyDescent="0.25">
      <c r="A360" s="5" t="s">
        <v>1511</v>
      </c>
      <c r="B360" s="78">
        <f t="shared" si="5"/>
        <v>170.57400000000001</v>
      </c>
      <c r="C360" s="78" t="s">
        <v>1308</v>
      </c>
      <c r="D360" s="7" t="s">
        <v>229</v>
      </c>
      <c r="E360" s="80" t="s">
        <v>1177</v>
      </c>
      <c r="F360" s="78">
        <v>170574</v>
      </c>
      <c r="G360" s="78" t="s">
        <v>1514</v>
      </c>
    </row>
    <row r="361" spans="1:7" x14ac:dyDescent="0.25">
      <c r="A361" s="5" t="s">
        <v>1511</v>
      </c>
      <c r="B361" s="78">
        <f t="shared" si="5"/>
        <v>171.01900000000001</v>
      </c>
      <c r="C361" s="78" t="s">
        <v>1309</v>
      </c>
      <c r="D361" s="7" t="s">
        <v>228</v>
      </c>
      <c r="E361" s="80" t="s">
        <v>1177</v>
      </c>
      <c r="F361" s="78">
        <v>171019</v>
      </c>
      <c r="G361" s="78" t="s">
        <v>1514</v>
      </c>
    </row>
    <row r="362" spans="1:7" x14ac:dyDescent="0.25">
      <c r="A362" s="5" t="s">
        <v>1511</v>
      </c>
      <c r="B362" s="78">
        <f t="shared" si="5"/>
        <v>171.459</v>
      </c>
      <c r="C362" s="78" t="s">
        <v>1310</v>
      </c>
      <c r="D362" s="7" t="s">
        <v>227</v>
      </c>
      <c r="E362" s="80" t="s">
        <v>1177</v>
      </c>
      <c r="F362" s="78">
        <v>171459</v>
      </c>
      <c r="G362" s="78" t="s">
        <v>1514</v>
      </c>
    </row>
    <row r="363" spans="1:7" x14ac:dyDescent="0.25">
      <c r="A363" s="5" t="s">
        <v>1511</v>
      </c>
      <c r="B363" s="78">
        <f t="shared" si="5"/>
        <v>172.01400000000001</v>
      </c>
      <c r="C363" s="78" t="s">
        <v>1311</v>
      </c>
      <c r="D363" s="7" t="s">
        <v>226</v>
      </c>
      <c r="E363" s="80" t="s">
        <v>1177</v>
      </c>
      <c r="F363" s="78">
        <v>172014</v>
      </c>
      <c r="G363" s="78" t="s">
        <v>1514</v>
      </c>
    </row>
    <row r="364" spans="1:7" x14ac:dyDescent="0.25">
      <c r="A364" s="5" t="s">
        <v>1511</v>
      </c>
      <c r="B364" s="78">
        <f t="shared" si="5"/>
        <v>172.45400000000001</v>
      </c>
      <c r="C364" s="78" t="s">
        <v>1312</v>
      </c>
      <c r="D364" s="7" t="s">
        <v>225</v>
      </c>
      <c r="E364" s="80" t="s">
        <v>1177</v>
      </c>
      <c r="F364" s="78">
        <v>172454</v>
      </c>
      <c r="G364" s="78" t="s">
        <v>1514</v>
      </c>
    </row>
    <row r="365" spans="1:7" x14ac:dyDescent="0.25">
      <c r="A365" s="5" t="s">
        <v>1511</v>
      </c>
      <c r="B365" s="78">
        <f t="shared" si="5"/>
        <v>172.91900000000001</v>
      </c>
      <c r="C365" s="78" t="s">
        <v>1313</v>
      </c>
      <c r="D365" s="7" t="s">
        <v>224</v>
      </c>
      <c r="E365" s="80" t="s">
        <v>1177</v>
      </c>
      <c r="F365" s="78">
        <v>172919</v>
      </c>
      <c r="G365" s="78" t="s">
        <v>1514</v>
      </c>
    </row>
    <row r="366" spans="1:7" x14ac:dyDescent="0.25">
      <c r="A366" s="5" t="s">
        <v>1511</v>
      </c>
      <c r="B366" s="78">
        <f t="shared" si="5"/>
        <v>173.38399999999999</v>
      </c>
      <c r="C366" s="78" t="s">
        <v>1314</v>
      </c>
      <c r="D366" s="7" t="s">
        <v>223</v>
      </c>
      <c r="E366" s="80" t="s">
        <v>1177</v>
      </c>
      <c r="F366" s="78">
        <v>173384</v>
      </c>
      <c r="G366" s="78" t="s">
        <v>1514</v>
      </c>
    </row>
    <row r="367" spans="1:7" x14ac:dyDescent="0.25">
      <c r="A367" s="5" t="s">
        <v>1511</v>
      </c>
      <c r="B367" s="78">
        <f t="shared" si="5"/>
        <v>173.84899999999999</v>
      </c>
      <c r="C367" s="78" t="s">
        <v>1315</v>
      </c>
      <c r="D367" s="7" t="s">
        <v>222</v>
      </c>
      <c r="E367" s="80" t="s">
        <v>1177</v>
      </c>
      <c r="F367" s="78">
        <v>173849</v>
      </c>
      <c r="G367" s="78" t="s">
        <v>1514</v>
      </c>
    </row>
    <row r="368" spans="1:7" x14ac:dyDescent="0.25">
      <c r="A368" s="5" t="s">
        <v>1511</v>
      </c>
      <c r="B368" s="78">
        <f t="shared" si="5"/>
        <v>174.31100000000001</v>
      </c>
      <c r="C368" s="78" t="s">
        <v>1316</v>
      </c>
      <c r="D368" s="7" t="s">
        <v>221</v>
      </c>
      <c r="E368" s="80" t="s">
        <v>1177</v>
      </c>
      <c r="F368" s="78">
        <v>174311</v>
      </c>
      <c r="G368" s="78" t="s">
        <v>1514</v>
      </c>
    </row>
    <row r="369" spans="1:7" x14ac:dyDescent="0.25">
      <c r="A369" s="5" t="s">
        <v>1511</v>
      </c>
      <c r="B369" s="78">
        <f t="shared" si="5"/>
        <v>174.81299999999999</v>
      </c>
      <c r="C369" s="78" t="s">
        <v>1317</v>
      </c>
      <c r="D369" s="7" t="s">
        <v>220</v>
      </c>
      <c r="E369" s="80" t="s">
        <v>1177</v>
      </c>
      <c r="F369" s="78">
        <v>174813</v>
      </c>
      <c r="G369" s="78" t="s">
        <v>1514</v>
      </c>
    </row>
    <row r="370" spans="1:7" x14ac:dyDescent="0.25">
      <c r="A370" s="5" t="s">
        <v>1511</v>
      </c>
      <c r="B370" s="78">
        <f t="shared" si="5"/>
        <v>175.30799999999999</v>
      </c>
      <c r="C370" s="78" t="s">
        <v>1318</v>
      </c>
      <c r="D370" s="7" t="s">
        <v>219</v>
      </c>
      <c r="E370" s="80" t="s">
        <v>1177</v>
      </c>
      <c r="F370" s="78">
        <v>175308</v>
      </c>
      <c r="G370" s="78" t="s">
        <v>1514</v>
      </c>
    </row>
    <row r="371" spans="1:7" x14ac:dyDescent="0.25">
      <c r="A371" s="5" t="s">
        <v>1511</v>
      </c>
      <c r="B371" s="78">
        <f t="shared" si="5"/>
        <v>175.80799999999999</v>
      </c>
      <c r="C371" s="78" t="s">
        <v>1319</v>
      </c>
      <c r="D371" s="7" t="s">
        <v>218</v>
      </c>
      <c r="E371" s="80" t="s">
        <v>1177</v>
      </c>
      <c r="F371" s="78">
        <v>175808</v>
      </c>
      <c r="G371" s="78" t="s">
        <v>1514</v>
      </c>
    </row>
    <row r="372" spans="1:7" x14ac:dyDescent="0.25">
      <c r="A372" s="5" t="s">
        <v>1511</v>
      </c>
      <c r="B372" s="78">
        <f t="shared" si="5"/>
        <v>176.30699999999999</v>
      </c>
      <c r="C372" s="78" t="s">
        <v>1320</v>
      </c>
      <c r="D372" s="7" t="s">
        <v>217</v>
      </c>
      <c r="E372" s="80" t="s">
        <v>1177</v>
      </c>
      <c r="F372" s="78">
        <v>176307</v>
      </c>
      <c r="G372" s="78" t="s">
        <v>1514</v>
      </c>
    </row>
    <row r="373" spans="1:7" x14ac:dyDescent="0.25">
      <c r="A373" s="5" t="s">
        <v>1511</v>
      </c>
      <c r="B373" s="78">
        <f t="shared" si="5"/>
        <v>176.80099999999999</v>
      </c>
      <c r="C373" s="78" t="s">
        <v>1321</v>
      </c>
      <c r="D373" s="7" t="s">
        <v>216</v>
      </c>
      <c r="E373" s="80" t="s">
        <v>1177</v>
      </c>
      <c r="F373" s="78">
        <v>176801</v>
      </c>
      <c r="G373" s="78" t="s">
        <v>1514</v>
      </c>
    </row>
    <row r="374" spans="1:7" x14ac:dyDescent="0.25">
      <c r="A374" s="5" t="s">
        <v>1511</v>
      </c>
      <c r="B374" s="78">
        <f t="shared" si="5"/>
        <v>177.27600000000001</v>
      </c>
      <c r="C374" s="78" t="s">
        <v>1322</v>
      </c>
      <c r="D374" s="7" t="s">
        <v>215</v>
      </c>
      <c r="E374" s="80" t="s">
        <v>1177</v>
      </c>
      <c r="F374" s="78">
        <v>177276</v>
      </c>
      <c r="G374" s="78" t="s">
        <v>1514</v>
      </c>
    </row>
    <row r="375" spans="1:7" x14ac:dyDescent="0.25">
      <c r="A375" s="5" t="s">
        <v>1511</v>
      </c>
      <c r="B375" s="78">
        <f t="shared" si="5"/>
        <v>177.77500000000001</v>
      </c>
      <c r="C375" s="78" t="s">
        <v>1323</v>
      </c>
      <c r="D375" s="7" t="s">
        <v>214</v>
      </c>
      <c r="E375" s="80" t="s">
        <v>1177</v>
      </c>
      <c r="F375" s="78">
        <v>177775</v>
      </c>
      <c r="G375" s="78" t="s">
        <v>1514</v>
      </c>
    </row>
    <row r="376" spans="1:7" x14ac:dyDescent="0.25">
      <c r="A376" s="5" t="s">
        <v>1511</v>
      </c>
      <c r="B376" s="78">
        <f t="shared" si="5"/>
        <v>178.27099999999999</v>
      </c>
      <c r="C376" s="78" t="s">
        <v>1324</v>
      </c>
      <c r="D376" s="7" t="s">
        <v>213</v>
      </c>
      <c r="E376" s="80" t="s">
        <v>1177</v>
      </c>
      <c r="F376" s="78">
        <v>178271</v>
      </c>
      <c r="G376" s="78" t="s">
        <v>1514</v>
      </c>
    </row>
    <row r="377" spans="1:7" x14ac:dyDescent="0.25">
      <c r="A377" s="5" t="s">
        <v>1511</v>
      </c>
      <c r="B377" s="78">
        <f t="shared" si="5"/>
        <v>178.77199999999999</v>
      </c>
      <c r="C377" s="78" t="s">
        <v>1325</v>
      </c>
      <c r="D377" s="7" t="s">
        <v>212</v>
      </c>
      <c r="E377" s="80" t="s">
        <v>1177</v>
      </c>
      <c r="F377" s="78">
        <v>178772</v>
      </c>
      <c r="G377" s="78" t="s">
        <v>1514</v>
      </c>
    </row>
    <row r="378" spans="1:7" x14ac:dyDescent="0.25">
      <c r="A378" s="5" t="s">
        <v>1511</v>
      </c>
      <c r="B378" s="78">
        <f t="shared" si="5"/>
        <v>179.25200000000001</v>
      </c>
      <c r="C378" s="78" t="s">
        <v>1326</v>
      </c>
      <c r="D378" s="7" t="s">
        <v>211</v>
      </c>
      <c r="E378" s="80" t="s">
        <v>1177</v>
      </c>
      <c r="F378" s="78">
        <v>179252</v>
      </c>
      <c r="G378" s="78" t="s">
        <v>1514</v>
      </c>
    </row>
    <row r="379" spans="1:7" x14ac:dyDescent="0.25">
      <c r="A379" s="5" t="s">
        <v>1511</v>
      </c>
      <c r="B379" s="78">
        <f t="shared" si="5"/>
        <v>179.762</v>
      </c>
      <c r="C379" s="78" t="s">
        <v>1327</v>
      </c>
      <c r="D379" s="7" t="s">
        <v>210</v>
      </c>
      <c r="E379" s="80" t="s">
        <v>1177</v>
      </c>
      <c r="F379" s="78">
        <v>179762</v>
      </c>
      <c r="G379" s="78" t="s">
        <v>1514</v>
      </c>
    </row>
    <row r="380" spans="1:7" x14ac:dyDescent="0.25">
      <c r="A380" s="5" t="s">
        <v>1511</v>
      </c>
      <c r="B380" s="78">
        <f t="shared" si="5"/>
        <v>180.24700000000001</v>
      </c>
      <c r="C380" s="78" t="s">
        <v>1328</v>
      </c>
      <c r="D380" s="7" t="s">
        <v>209</v>
      </c>
      <c r="E380" s="80" t="s">
        <v>1177</v>
      </c>
      <c r="F380" s="78">
        <v>180247</v>
      </c>
      <c r="G380" s="78" t="s">
        <v>1514</v>
      </c>
    </row>
    <row r="381" spans="1:7" x14ac:dyDescent="0.25">
      <c r="A381" s="5" t="s">
        <v>1511</v>
      </c>
      <c r="B381" s="78">
        <f t="shared" si="5"/>
        <v>180.75200000000001</v>
      </c>
      <c r="C381" s="78" t="s">
        <v>1329</v>
      </c>
      <c r="D381" s="7" t="s">
        <v>208</v>
      </c>
      <c r="E381" s="80" t="s">
        <v>1177</v>
      </c>
      <c r="F381" s="78">
        <v>180752</v>
      </c>
      <c r="G381" s="78" t="s">
        <v>1514</v>
      </c>
    </row>
    <row r="382" spans="1:7" x14ac:dyDescent="0.25">
      <c r="A382" s="5" t="s">
        <v>1511</v>
      </c>
      <c r="B382" s="78">
        <f t="shared" si="5"/>
        <v>181.239</v>
      </c>
      <c r="C382" s="78" t="s">
        <v>1330</v>
      </c>
      <c r="D382" s="7" t="s">
        <v>207</v>
      </c>
      <c r="E382" s="80" t="s">
        <v>1177</v>
      </c>
      <c r="F382" s="78">
        <v>181239</v>
      </c>
      <c r="G382" s="78" t="s">
        <v>1514</v>
      </c>
    </row>
    <row r="383" spans="1:7" x14ac:dyDescent="0.25">
      <c r="A383" s="5" t="s">
        <v>1511</v>
      </c>
      <c r="B383" s="78">
        <f t="shared" si="5"/>
        <v>181.74799999999999</v>
      </c>
      <c r="C383" s="78" t="s">
        <v>1331</v>
      </c>
      <c r="D383" s="7" t="s">
        <v>206</v>
      </c>
      <c r="E383" s="80" t="s">
        <v>1177</v>
      </c>
      <c r="F383" s="78">
        <v>181748</v>
      </c>
      <c r="G383" s="78" t="s">
        <v>1514</v>
      </c>
    </row>
    <row r="384" spans="1:7" x14ac:dyDescent="0.25">
      <c r="A384" s="5" t="s">
        <v>1511</v>
      </c>
      <c r="B384" s="78">
        <f t="shared" si="5"/>
        <v>182.23723000000001</v>
      </c>
      <c r="C384" s="78" t="s">
        <v>1332</v>
      </c>
      <c r="D384" s="7" t="s">
        <v>205</v>
      </c>
      <c r="E384" s="80" t="s">
        <v>1177</v>
      </c>
      <c r="F384" s="78">
        <v>182237.23</v>
      </c>
      <c r="G384" s="78" t="s">
        <v>1514</v>
      </c>
    </row>
    <row r="385" spans="1:7" x14ac:dyDescent="0.25">
      <c r="A385" s="5" t="s">
        <v>1511</v>
      </c>
      <c r="B385" s="78">
        <f t="shared" si="5"/>
        <v>182.73500000000001</v>
      </c>
      <c r="C385" s="78" t="s">
        <v>1333</v>
      </c>
      <c r="D385" s="7" t="s">
        <v>204</v>
      </c>
      <c r="E385" s="80" t="s">
        <v>1177</v>
      </c>
      <c r="F385" s="78">
        <v>182735</v>
      </c>
      <c r="G385" s="78" t="s">
        <v>1514</v>
      </c>
    </row>
    <row r="386" spans="1:7" x14ac:dyDescent="0.25">
      <c r="A386" s="5" t="s">
        <v>1511</v>
      </c>
      <c r="B386" s="78">
        <f t="shared" si="5"/>
        <v>183.23500000000001</v>
      </c>
      <c r="C386" s="78" t="s">
        <v>1334</v>
      </c>
      <c r="D386" s="7" t="s">
        <v>203</v>
      </c>
      <c r="E386" s="80" t="s">
        <v>1177</v>
      </c>
      <c r="F386" s="78">
        <v>183235</v>
      </c>
      <c r="G386" s="78" t="s">
        <v>1514</v>
      </c>
    </row>
    <row r="387" spans="1:7" x14ac:dyDescent="0.25">
      <c r="A387" s="5" t="s">
        <v>1511</v>
      </c>
      <c r="B387" s="78">
        <f t="shared" ref="B387:B450" si="6">F387/1000</f>
        <v>183.72499999999999</v>
      </c>
      <c r="C387" s="78" t="s">
        <v>1335</v>
      </c>
      <c r="D387" s="7" t="s">
        <v>202</v>
      </c>
      <c r="E387" s="80" t="s">
        <v>1177</v>
      </c>
      <c r="F387" s="78">
        <v>183725</v>
      </c>
      <c r="G387" s="78" t="s">
        <v>1516</v>
      </c>
    </row>
    <row r="388" spans="1:7" x14ac:dyDescent="0.25">
      <c r="A388" s="5" t="s">
        <v>1511</v>
      </c>
      <c r="B388" s="78">
        <f t="shared" si="6"/>
        <v>184.18</v>
      </c>
      <c r="C388" s="78" t="s">
        <v>1336</v>
      </c>
      <c r="D388" s="7" t="s">
        <v>201</v>
      </c>
      <c r="E388" s="80" t="s">
        <v>1177</v>
      </c>
      <c r="F388" s="78">
        <v>184180</v>
      </c>
      <c r="G388" s="78" t="s">
        <v>1514</v>
      </c>
    </row>
    <row r="389" spans="1:7" x14ac:dyDescent="0.25">
      <c r="A389" s="5" t="s">
        <v>1511</v>
      </c>
      <c r="B389" s="78">
        <f t="shared" si="6"/>
        <v>184.62711999999999</v>
      </c>
      <c r="C389" s="78" t="s">
        <v>1337</v>
      </c>
      <c r="D389" s="7" t="s">
        <v>200</v>
      </c>
      <c r="E389" s="80" t="s">
        <v>1177</v>
      </c>
      <c r="F389" s="78">
        <v>184627.12</v>
      </c>
      <c r="G389" s="78" t="s">
        <v>1514</v>
      </c>
    </row>
    <row r="390" spans="1:7" x14ac:dyDescent="0.25">
      <c r="A390" s="5" t="s">
        <v>1511</v>
      </c>
      <c r="B390" s="78">
        <f t="shared" si="6"/>
        <v>185.09628000000001</v>
      </c>
      <c r="C390" s="78" t="s">
        <v>1338</v>
      </c>
      <c r="D390" s="7" t="s">
        <v>199</v>
      </c>
      <c r="E390" s="80" t="s">
        <v>1177</v>
      </c>
      <c r="F390" s="78">
        <v>185096.28</v>
      </c>
      <c r="G390" s="78" t="s">
        <v>1514</v>
      </c>
    </row>
    <row r="391" spans="1:7" x14ac:dyDescent="0.25">
      <c r="A391" s="5" t="s">
        <v>1511</v>
      </c>
      <c r="B391" s="78">
        <f t="shared" si="6"/>
        <v>185.44072</v>
      </c>
      <c r="C391" s="78" t="s">
        <v>1339</v>
      </c>
      <c r="D391" s="7" t="s">
        <v>198</v>
      </c>
      <c r="E391" s="80" t="s">
        <v>1177</v>
      </c>
      <c r="F391" s="78">
        <v>185440.72</v>
      </c>
      <c r="G391" s="78" t="s">
        <v>1517</v>
      </c>
    </row>
    <row r="392" spans="1:7" x14ac:dyDescent="0.25">
      <c r="A392" s="5" t="s">
        <v>1511</v>
      </c>
      <c r="B392" s="78">
        <f t="shared" si="6"/>
        <v>186.035</v>
      </c>
      <c r="C392" s="78" t="s">
        <v>1340</v>
      </c>
      <c r="D392" s="7" t="s">
        <v>197</v>
      </c>
      <c r="E392" s="80" t="s">
        <v>1177</v>
      </c>
      <c r="F392" s="78">
        <v>186035</v>
      </c>
      <c r="G392" s="78" t="s">
        <v>1514</v>
      </c>
    </row>
    <row r="393" spans="1:7" x14ac:dyDescent="0.25">
      <c r="A393" s="5" t="s">
        <v>1511</v>
      </c>
      <c r="B393" s="78">
        <f t="shared" si="6"/>
        <v>186.42076</v>
      </c>
      <c r="C393" s="78" t="s">
        <v>1341</v>
      </c>
      <c r="D393" s="7" t="s">
        <v>196</v>
      </c>
      <c r="E393" s="80" t="s">
        <v>1177</v>
      </c>
      <c r="F393" s="78">
        <v>186420.76</v>
      </c>
      <c r="G393" s="78" t="s">
        <v>1517</v>
      </c>
    </row>
    <row r="394" spans="1:7" x14ac:dyDescent="0.25">
      <c r="A394" s="5" t="s">
        <v>1511</v>
      </c>
      <c r="B394" s="78">
        <f t="shared" si="6"/>
        <v>186.971</v>
      </c>
      <c r="C394" s="78" t="s">
        <v>1342</v>
      </c>
      <c r="D394" s="7" t="s">
        <v>195</v>
      </c>
      <c r="E394" s="80" t="s">
        <v>1177</v>
      </c>
      <c r="F394" s="78">
        <v>186971</v>
      </c>
      <c r="G394" s="78" t="s">
        <v>1514</v>
      </c>
    </row>
    <row r="395" spans="1:7" x14ac:dyDescent="0.25">
      <c r="A395" s="5" t="s">
        <v>1511</v>
      </c>
      <c r="B395" s="78">
        <f t="shared" si="6"/>
        <v>187.37700000000001</v>
      </c>
      <c r="C395" s="78" t="s">
        <v>1343</v>
      </c>
      <c r="D395" s="7" t="s">
        <v>194</v>
      </c>
      <c r="E395" s="80" t="s">
        <v>1177</v>
      </c>
      <c r="F395" s="78">
        <v>187377</v>
      </c>
      <c r="G395" s="78" t="s">
        <v>1514</v>
      </c>
    </row>
    <row r="396" spans="1:7" x14ac:dyDescent="0.25">
      <c r="A396" s="5" t="s">
        <v>1511</v>
      </c>
      <c r="B396" s="78">
        <f t="shared" si="6"/>
        <v>187.792</v>
      </c>
      <c r="C396" s="78" t="s">
        <v>1344</v>
      </c>
      <c r="D396" s="7" t="s">
        <v>193</v>
      </c>
      <c r="E396" s="80" t="s">
        <v>1177</v>
      </c>
      <c r="F396" s="78">
        <v>187792</v>
      </c>
      <c r="G396" s="78" t="s">
        <v>1514</v>
      </c>
    </row>
    <row r="397" spans="1:7" x14ac:dyDescent="0.25">
      <c r="A397" s="5" t="s">
        <v>1511</v>
      </c>
      <c r="B397" s="78">
        <f t="shared" si="6"/>
        <v>188.27418</v>
      </c>
      <c r="C397" s="78" t="s">
        <v>1345</v>
      </c>
      <c r="D397" s="7" t="s">
        <v>192</v>
      </c>
      <c r="E397" s="80" t="s">
        <v>1177</v>
      </c>
      <c r="F397" s="78">
        <v>188274.18</v>
      </c>
      <c r="G397" s="78" t="s">
        <v>1514</v>
      </c>
    </row>
    <row r="398" spans="1:7" x14ac:dyDescent="0.25">
      <c r="A398" s="5" t="s">
        <v>1511</v>
      </c>
      <c r="B398" s="78">
        <f t="shared" si="6"/>
        <v>188.72749999999999</v>
      </c>
      <c r="C398" s="78" t="s">
        <v>1346</v>
      </c>
      <c r="D398" s="7" t="s">
        <v>191</v>
      </c>
      <c r="E398" s="80" t="s">
        <v>1177</v>
      </c>
      <c r="F398" s="78">
        <v>188727.5</v>
      </c>
      <c r="G398" s="78" t="s">
        <v>1514</v>
      </c>
    </row>
    <row r="399" spans="1:7" x14ac:dyDescent="0.25">
      <c r="A399" s="5" t="s">
        <v>1511</v>
      </c>
      <c r="B399" s="78">
        <f t="shared" si="6"/>
        <v>189.23612</v>
      </c>
      <c r="C399" s="78" t="s">
        <v>1347</v>
      </c>
      <c r="D399" s="7" t="s">
        <v>190</v>
      </c>
      <c r="E399" s="80" t="s">
        <v>1177</v>
      </c>
      <c r="F399" s="78">
        <v>189236.12</v>
      </c>
      <c r="G399" s="78" t="s">
        <v>1517</v>
      </c>
    </row>
    <row r="400" spans="1:7" x14ac:dyDescent="0.25">
      <c r="A400" s="5" t="s">
        <v>1511</v>
      </c>
      <c r="B400" s="78">
        <f t="shared" si="6"/>
        <v>189.72586999999999</v>
      </c>
      <c r="C400" s="78" t="s">
        <v>1348</v>
      </c>
      <c r="D400" s="7" t="s">
        <v>189</v>
      </c>
      <c r="E400" s="80" t="s">
        <v>1177</v>
      </c>
      <c r="F400" s="78">
        <v>189725.87</v>
      </c>
      <c r="G400" s="78" t="s">
        <v>1517</v>
      </c>
    </row>
    <row r="401" spans="1:7" x14ac:dyDescent="0.25">
      <c r="A401" s="5" t="s">
        <v>1511</v>
      </c>
      <c r="B401" s="78">
        <f t="shared" si="6"/>
        <v>190.22806</v>
      </c>
      <c r="C401" s="78" t="s">
        <v>1349</v>
      </c>
      <c r="D401" s="7" t="s">
        <v>188</v>
      </c>
      <c r="E401" s="80" t="s">
        <v>1177</v>
      </c>
      <c r="F401" s="78">
        <v>190228.06</v>
      </c>
      <c r="G401" s="78" t="s">
        <v>1514</v>
      </c>
    </row>
    <row r="402" spans="1:7" x14ac:dyDescent="0.25">
      <c r="A402" s="5" t="s">
        <v>1511</v>
      </c>
      <c r="B402" s="78">
        <f t="shared" si="6"/>
        <v>190.68100000000001</v>
      </c>
      <c r="C402" s="78" t="s">
        <v>1350</v>
      </c>
      <c r="D402" s="7" t="s">
        <v>696</v>
      </c>
      <c r="E402" s="80" t="s">
        <v>1177</v>
      </c>
      <c r="F402" s="78">
        <v>190681</v>
      </c>
      <c r="G402" s="78" t="s">
        <v>1514</v>
      </c>
    </row>
    <row r="403" spans="1:7" x14ac:dyDescent="0.25">
      <c r="A403" s="5" t="s">
        <v>1511</v>
      </c>
      <c r="B403" s="78">
        <f t="shared" si="6"/>
        <v>191.18</v>
      </c>
      <c r="C403" s="78" t="s">
        <v>1351</v>
      </c>
      <c r="D403" s="7" t="s">
        <v>695</v>
      </c>
      <c r="E403" s="80" t="s">
        <v>1177</v>
      </c>
      <c r="F403" s="78">
        <v>191180</v>
      </c>
      <c r="G403" s="78" t="s">
        <v>1514</v>
      </c>
    </row>
    <row r="404" spans="1:7" x14ac:dyDescent="0.25">
      <c r="A404" s="5" t="s">
        <v>1511</v>
      </c>
      <c r="B404" s="78">
        <f t="shared" si="6"/>
        <v>191.65899999999999</v>
      </c>
      <c r="C404" s="78" t="s">
        <v>1352</v>
      </c>
      <c r="D404" s="7" t="s">
        <v>694</v>
      </c>
      <c r="E404" s="80" t="s">
        <v>1177</v>
      </c>
      <c r="F404" s="78">
        <v>191659</v>
      </c>
      <c r="G404" s="78" t="s">
        <v>1514</v>
      </c>
    </row>
    <row r="405" spans="1:7" x14ac:dyDescent="0.25">
      <c r="A405" s="5" t="s">
        <v>1511</v>
      </c>
      <c r="B405" s="78">
        <f t="shared" si="6"/>
        <v>192.114</v>
      </c>
      <c r="C405" s="78" t="s">
        <v>1353</v>
      </c>
      <c r="D405" s="7" t="s">
        <v>693</v>
      </c>
      <c r="E405" s="80" t="s">
        <v>1177</v>
      </c>
      <c r="F405" s="78">
        <v>192114</v>
      </c>
      <c r="G405" s="78" t="s">
        <v>1514</v>
      </c>
    </row>
    <row r="406" spans="1:7" x14ac:dyDescent="0.25">
      <c r="A406" s="5" t="s">
        <v>1511</v>
      </c>
      <c r="B406" s="78">
        <f t="shared" si="6"/>
        <v>192.559</v>
      </c>
      <c r="C406" s="78" t="s">
        <v>1354</v>
      </c>
      <c r="D406" s="7" t="s">
        <v>692</v>
      </c>
      <c r="E406" s="80" t="s">
        <v>1177</v>
      </c>
      <c r="F406" s="78">
        <v>192559</v>
      </c>
      <c r="G406" s="78" t="s">
        <v>1514</v>
      </c>
    </row>
    <row r="407" spans="1:7" x14ac:dyDescent="0.25">
      <c r="A407" s="5" t="s">
        <v>1511</v>
      </c>
      <c r="B407" s="78">
        <f t="shared" si="6"/>
        <v>193.04900000000001</v>
      </c>
      <c r="C407" s="78" t="s">
        <v>1355</v>
      </c>
      <c r="D407" s="7" t="s">
        <v>691</v>
      </c>
      <c r="E407" s="80" t="s">
        <v>1177</v>
      </c>
      <c r="F407" s="78">
        <v>193049</v>
      </c>
      <c r="G407" s="78" t="s">
        <v>1514</v>
      </c>
    </row>
    <row r="408" spans="1:7" x14ac:dyDescent="0.25">
      <c r="A408" s="5" t="s">
        <v>1511</v>
      </c>
      <c r="B408" s="78">
        <f t="shared" si="6"/>
        <v>193.499</v>
      </c>
      <c r="C408" s="78" t="s">
        <v>1356</v>
      </c>
      <c r="D408" s="7" t="s">
        <v>690</v>
      </c>
      <c r="E408" s="80" t="s">
        <v>1177</v>
      </c>
      <c r="F408" s="78">
        <v>193499</v>
      </c>
      <c r="G408" s="78" t="s">
        <v>1514</v>
      </c>
    </row>
    <row r="409" spans="1:7" x14ac:dyDescent="0.25">
      <c r="A409" s="5" t="s">
        <v>1511</v>
      </c>
      <c r="B409" s="78">
        <f t="shared" si="6"/>
        <v>193.93610000000001</v>
      </c>
      <c r="C409" s="78" t="s">
        <v>1357</v>
      </c>
      <c r="D409" s="7" t="s">
        <v>689</v>
      </c>
      <c r="E409" s="80" t="s">
        <v>1177</v>
      </c>
      <c r="F409" s="78">
        <v>193936.1</v>
      </c>
      <c r="G409" s="78" t="s">
        <v>1514</v>
      </c>
    </row>
    <row r="410" spans="1:7" x14ac:dyDescent="0.25">
      <c r="A410" s="5" t="s">
        <v>1511</v>
      </c>
      <c r="B410" s="78">
        <f t="shared" si="6"/>
        <v>194.38263000000001</v>
      </c>
      <c r="C410" s="78" t="s">
        <v>1358</v>
      </c>
      <c r="D410" s="7" t="s">
        <v>688</v>
      </c>
      <c r="E410" s="80" t="s">
        <v>1177</v>
      </c>
      <c r="F410" s="78">
        <v>194382.63</v>
      </c>
      <c r="G410" s="78" t="s">
        <v>1514</v>
      </c>
    </row>
    <row r="411" spans="1:7" x14ac:dyDescent="0.25">
      <c r="A411" s="5" t="s">
        <v>1511</v>
      </c>
      <c r="B411" s="78">
        <f t="shared" si="6"/>
        <v>194.88300000000001</v>
      </c>
      <c r="C411" s="78" t="s">
        <v>1359</v>
      </c>
      <c r="D411" s="7" t="s">
        <v>687</v>
      </c>
      <c r="E411" s="80" t="s">
        <v>1177</v>
      </c>
      <c r="F411" s="78">
        <v>194883</v>
      </c>
      <c r="G411" s="78" t="s">
        <v>1514</v>
      </c>
    </row>
    <row r="412" spans="1:7" x14ac:dyDescent="0.25">
      <c r="A412" s="5" t="s">
        <v>1511</v>
      </c>
      <c r="B412" s="78">
        <f t="shared" si="6"/>
        <v>195.33</v>
      </c>
      <c r="C412" s="78" t="s">
        <v>1360</v>
      </c>
      <c r="D412" s="7" t="s">
        <v>686</v>
      </c>
      <c r="E412" s="80" t="s">
        <v>1177</v>
      </c>
      <c r="F412" s="78">
        <v>195330</v>
      </c>
      <c r="G412" s="78" t="s">
        <v>1514</v>
      </c>
    </row>
    <row r="413" spans="1:7" x14ac:dyDescent="0.25">
      <c r="A413" s="5" t="s">
        <v>1511</v>
      </c>
      <c r="B413" s="78">
        <f t="shared" si="6"/>
        <v>195.80500000000001</v>
      </c>
      <c r="C413" s="78" t="s">
        <v>1361</v>
      </c>
      <c r="D413" s="7" t="s">
        <v>685</v>
      </c>
      <c r="E413" s="80" t="s">
        <v>1177</v>
      </c>
      <c r="F413" s="78">
        <v>195805</v>
      </c>
      <c r="G413" s="78" t="s">
        <v>1514</v>
      </c>
    </row>
    <row r="414" spans="1:7" x14ac:dyDescent="0.25">
      <c r="A414" s="5" t="s">
        <v>1511</v>
      </c>
      <c r="B414" s="78">
        <f t="shared" si="6"/>
        <v>196.25433999999998</v>
      </c>
      <c r="C414" s="78" t="s">
        <v>1362</v>
      </c>
      <c r="D414" s="7" t="s">
        <v>684</v>
      </c>
      <c r="E414" s="80" t="s">
        <v>1177</v>
      </c>
      <c r="F414" s="78">
        <v>196254.34</v>
      </c>
      <c r="G414" s="78" t="s">
        <v>1514</v>
      </c>
    </row>
    <row r="415" spans="1:7" x14ac:dyDescent="0.25">
      <c r="A415" s="5" t="s">
        <v>1511</v>
      </c>
      <c r="B415" s="78">
        <f t="shared" si="6"/>
        <v>196.60395</v>
      </c>
      <c r="C415" s="78" t="s">
        <v>1363</v>
      </c>
      <c r="D415" s="7" t="s">
        <v>683</v>
      </c>
      <c r="E415" s="80" t="s">
        <v>1177</v>
      </c>
      <c r="F415" s="90">
        <v>196603.95</v>
      </c>
      <c r="G415" s="78" t="s">
        <v>1515</v>
      </c>
    </row>
    <row r="416" spans="1:7" x14ac:dyDescent="0.25">
      <c r="A416" s="5" t="s">
        <v>1511</v>
      </c>
      <c r="B416" s="78">
        <f t="shared" si="6"/>
        <v>196.31200000000001</v>
      </c>
      <c r="C416" s="78" t="s">
        <v>1364</v>
      </c>
      <c r="D416" s="7" t="s">
        <v>682</v>
      </c>
      <c r="E416" s="80" t="s">
        <v>1177</v>
      </c>
      <c r="F416" s="78">
        <v>196312</v>
      </c>
      <c r="G416" s="78" t="s">
        <v>1514</v>
      </c>
    </row>
    <row r="417" spans="1:7" x14ac:dyDescent="0.25">
      <c r="A417" s="5" t="s">
        <v>1511</v>
      </c>
      <c r="B417" s="78">
        <f t="shared" si="6"/>
        <v>196.81299999999999</v>
      </c>
      <c r="C417" s="78" t="s">
        <v>1365</v>
      </c>
      <c r="D417" s="7" t="s">
        <v>681</v>
      </c>
      <c r="E417" s="80" t="s">
        <v>1177</v>
      </c>
      <c r="F417" s="78">
        <v>196813</v>
      </c>
      <c r="G417" s="78" t="s">
        <v>1514</v>
      </c>
    </row>
    <row r="418" spans="1:7" x14ac:dyDescent="0.25">
      <c r="A418" s="5" t="s">
        <v>1511</v>
      </c>
      <c r="B418" s="78">
        <f t="shared" si="6"/>
        <v>197.303</v>
      </c>
      <c r="C418" s="78" t="s">
        <v>1366</v>
      </c>
      <c r="D418" s="7" t="s">
        <v>680</v>
      </c>
      <c r="E418" s="80" t="s">
        <v>1177</v>
      </c>
      <c r="F418" s="78">
        <v>197303</v>
      </c>
      <c r="G418" s="78" t="s">
        <v>1514</v>
      </c>
    </row>
    <row r="419" spans="1:7" x14ac:dyDescent="0.25">
      <c r="A419" s="5" t="s">
        <v>1511</v>
      </c>
      <c r="B419" s="78">
        <f t="shared" si="6"/>
        <v>197.78299999999999</v>
      </c>
      <c r="C419" s="78" t="s">
        <v>1367</v>
      </c>
      <c r="D419" s="7" t="s">
        <v>679</v>
      </c>
      <c r="E419" s="80" t="s">
        <v>1177</v>
      </c>
      <c r="F419" s="78">
        <v>197783</v>
      </c>
      <c r="G419" s="78" t="s">
        <v>1514</v>
      </c>
    </row>
    <row r="420" spans="1:7" x14ac:dyDescent="0.25">
      <c r="A420" s="5" t="s">
        <v>1511</v>
      </c>
      <c r="B420" s="78">
        <f t="shared" si="6"/>
        <v>198.29499999999999</v>
      </c>
      <c r="C420" s="78" t="s">
        <v>1368</v>
      </c>
      <c r="D420" s="7" t="s">
        <v>678</v>
      </c>
      <c r="E420" s="80" t="s">
        <v>1177</v>
      </c>
      <c r="F420" s="78">
        <v>198295</v>
      </c>
      <c r="G420" s="78" t="s">
        <v>1514</v>
      </c>
    </row>
    <row r="421" spans="1:7" x14ac:dyDescent="0.25">
      <c r="A421" s="5" t="s">
        <v>1511</v>
      </c>
      <c r="B421" s="78">
        <f t="shared" si="6"/>
        <v>198.77500000000001</v>
      </c>
      <c r="C421" s="78" t="s">
        <v>1369</v>
      </c>
      <c r="D421" s="7" t="s">
        <v>677</v>
      </c>
      <c r="E421" s="80" t="s">
        <v>1177</v>
      </c>
      <c r="F421" s="78">
        <v>198775</v>
      </c>
      <c r="G421" s="78" t="s">
        <v>1514</v>
      </c>
    </row>
    <row r="422" spans="1:7" x14ac:dyDescent="0.25">
      <c r="A422" s="5" t="s">
        <v>1511</v>
      </c>
      <c r="B422" s="78">
        <f t="shared" si="6"/>
        <v>199.285</v>
      </c>
      <c r="C422" s="78" t="s">
        <v>1370</v>
      </c>
      <c r="D422" s="7" t="s">
        <v>676</v>
      </c>
      <c r="E422" s="80" t="s">
        <v>1177</v>
      </c>
      <c r="F422" s="78">
        <v>199285</v>
      </c>
      <c r="G422" s="78" t="s">
        <v>1514</v>
      </c>
    </row>
    <row r="423" spans="1:7" x14ac:dyDescent="0.25">
      <c r="A423" s="5" t="s">
        <v>1511</v>
      </c>
      <c r="B423" s="78">
        <f t="shared" si="6"/>
        <v>199.77</v>
      </c>
      <c r="C423" s="78" t="s">
        <v>1371</v>
      </c>
      <c r="D423" s="7" t="s">
        <v>675</v>
      </c>
      <c r="E423" s="80" t="s">
        <v>1177</v>
      </c>
      <c r="F423" s="78">
        <v>199770</v>
      </c>
      <c r="G423" s="78" t="s">
        <v>1514</v>
      </c>
    </row>
    <row r="424" spans="1:7" x14ac:dyDescent="0.25">
      <c r="A424" s="5" t="s">
        <v>1511</v>
      </c>
      <c r="B424" s="78">
        <f t="shared" si="6"/>
        <v>200.23590999999999</v>
      </c>
      <c r="C424" s="78" t="s">
        <v>1372</v>
      </c>
      <c r="D424" s="7" t="s">
        <v>674</v>
      </c>
      <c r="E424" s="80" t="s">
        <v>1177</v>
      </c>
      <c r="F424" s="78">
        <v>200235.91</v>
      </c>
      <c r="G424" s="78" t="s">
        <v>1514</v>
      </c>
    </row>
    <row r="425" spans="1:7" x14ac:dyDescent="0.25">
      <c r="A425" s="5" t="s">
        <v>1511</v>
      </c>
      <c r="B425" s="78">
        <f t="shared" si="6"/>
        <v>200.76599999999999</v>
      </c>
      <c r="C425" s="78" t="s">
        <v>1373</v>
      </c>
      <c r="D425" s="7" t="s">
        <v>673</v>
      </c>
      <c r="E425" s="80" t="s">
        <v>1177</v>
      </c>
      <c r="F425" s="78">
        <v>200766</v>
      </c>
      <c r="G425" s="78" t="s">
        <v>1514</v>
      </c>
    </row>
    <row r="426" spans="1:7" x14ac:dyDescent="0.25">
      <c r="A426" s="5" t="s">
        <v>1511</v>
      </c>
      <c r="B426" s="78">
        <f t="shared" si="6"/>
        <v>201.19499999999999</v>
      </c>
      <c r="C426" s="78" t="s">
        <v>1374</v>
      </c>
      <c r="D426" s="7" t="s">
        <v>672</v>
      </c>
      <c r="E426" s="80" t="s">
        <v>1177</v>
      </c>
      <c r="F426" s="78">
        <v>201195</v>
      </c>
      <c r="G426" s="78" t="s">
        <v>1514</v>
      </c>
    </row>
    <row r="427" spans="1:7" x14ac:dyDescent="0.25">
      <c r="A427" s="5" t="s">
        <v>1511</v>
      </c>
      <c r="B427" s="78">
        <f t="shared" si="6"/>
        <v>201.76300000000001</v>
      </c>
      <c r="C427" s="78" t="s">
        <v>1375</v>
      </c>
      <c r="D427" s="7" t="s">
        <v>671</v>
      </c>
      <c r="E427" s="80" t="s">
        <v>1177</v>
      </c>
      <c r="F427" s="78">
        <v>201763</v>
      </c>
      <c r="G427" s="78" t="s">
        <v>1514</v>
      </c>
    </row>
    <row r="428" spans="1:7" x14ac:dyDescent="0.25">
      <c r="A428" s="5" t="s">
        <v>1511</v>
      </c>
      <c r="B428" s="78">
        <f t="shared" si="6"/>
        <v>202.19300000000001</v>
      </c>
      <c r="C428" s="78" t="s">
        <v>1376</v>
      </c>
      <c r="D428" s="7" t="s">
        <v>670</v>
      </c>
      <c r="E428" s="80" t="s">
        <v>1177</v>
      </c>
      <c r="F428" s="78">
        <v>202193</v>
      </c>
      <c r="G428" s="78" t="s">
        <v>1514</v>
      </c>
    </row>
    <row r="429" spans="1:7" x14ac:dyDescent="0.25">
      <c r="A429" s="5" t="s">
        <v>1511</v>
      </c>
      <c r="B429" s="78">
        <f t="shared" si="6"/>
        <v>202.65799999999999</v>
      </c>
      <c r="C429" s="78" t="s">
        <v>1377</v>
      </c>
      <c r="D429" s="7" t="s">
        <v>669</v>
      </c>
      <c r="E429" s="80" t="s">
        <v>1177</v>
      </c>
      <c r="F429" s="78">
        <v>202658</v>
      </c>
      <c r="G429" s="78" t="s">
        <v>1514</v>
      </c>
    </row>
    <row r="430" spans="1:7" x14ac:dyDescent="0.25">
      <c r="A430" s="5" t="s">
        <v>1511</v>
      </c>
      <c r="B430" s="78">
        <f t="shared" si="6"/>
        <v>203.173</v>
      </c>
      <c r="C430" s="78" t="s">
        <v>1378</v>
      </c>
      <c r="D430" s="7" t="s">
        <v>668</v>
      </c>
      <c r="E430" s="80" t="s">
        <v>1177</v>
      </c>
      <c r="F430" s="78">
        <v>203173</v>
      </c>
      <c r="G430" s="78" t="s">
        <v>1514</v>
      </c>
    </row>
    <row r="431" spans="1:7" x14ac:dyDescent="0.25">
      <c r="A431" s="5" t="s">
        <v>1511</v>
      </c>
      <c r="B431" s="78">
        <f t="shared" si="6"/>
        <v>203.65299999999999</v>
      </c>
      <c r="C431" s="78" t="s">
        <v>1379</v>
      </c>
      <c r="D431" s="7" t="s">
        <v>667</v>
      </c>
      <c r="E431" s="80" t="s">
        <v>1177</v>
      </c>
      <c r="F431" s="78">
        <v>203653</v>
      </c>
      <c r="G431" s="78" t="s">
        <v>1514</v>
      </c>
    </row>
    <row r="432" spans="1:7" x14ac:dyDescent="0.25">
      <c r="A432" s="5" t="s">
        <v>1511</v>
      </c>
      <c r="B432" s="78">
        <f t="shared" si="6"/>
        <v>204.15299999999999</v>
      </c>
      <c r="C432" s="78" t="s">
        <v>1380</v>
      </c>
      <c r="D432" s="7" t="s">
        <v>666</v>
      </c>
      <c r="E432" s="80" t="s">
        <v>1177</v>
      </c>
      <c r="F432" s="78">
        <v>204153</v>
      </c>
      <c r="G432" s="78" t="s">
        <v>1514</v>
      </c>
    </row>
    <row r="433" spans="1:7" x14ac:dyDescent="0.25">
      <c r="A433" s="5" t="s">
        <v>1511</v>
      </c>
      <c r="B433" s="78">
        <f t="shared" si="6"/>
        <v>204.5778</v>
      </c>
      <c r="C433" s="78" t="s">
        <v>1381</v>
      </c>
      <c r="D433" s="7" t="s">
        <v>665</v>
      </c>
      <c r="E433" s="80" t="s">
        <v>1177</v>
      </c>
      <c r="F433" s="78">
        <v>204577.8</v>
      </c>
      <c r="G433" s="78" t="s">
        <v>1515</v>
      </c>
    </row>
    <row r="434" spans="1:7" x14ac:dyDescent="0.25">
      <c r="A434" s="5" t="s">
        <v>1511</v>
      </c>
      <c r="B434" s="78">
        <f t="shared" si="6"/>
        <v>204.96600000000001</v>
      </c>
      <c r="C434" s="78" t="s">
        <v>1382</v>
      </c>
      <c r="D434" s="7" t="s">
        <v>664</v>
      </c>
      <c r="E434" s="80" t="s">
        <v>1177</v>
      </c>
      <c r="F434" s="78">
        <v>204966</v>
      </c>
      <c r="G434" s="78" t="s">
        <v>1514</v>
      </c>
    </row>
    <row r="435" spans="1:7" x14ac:dyDescent="0.25">
      <c r="A435" s="5" t="s">
        <v>1511</v>
      </c>
      <c r="B435" s="78">
        <f t="shared" si="6"/>
        <v>205.458</v>
      </c>
      <c r="C435" s="78" t="s">
        <v>1383</v>
      </c>
      <c r="D435" s="7" t="s">
        <v>663</v>
      </c>
      <c r="E435" s="80" t="s">
        <v>1177</v>
      </c>
      <c r="F435" s="78">
        <v>205458</v>
      </c>
      <c r="G435" s="78" t="s">
        <v>1514</v>
      </c>
    </row>
    <row r="436" spans="1:7" x14ac:dyDescent="0.25">
      <c r="A436" s="5" t="s">
        <v>1511</v>
      </c>
      <c r="B436" s="78">
        <f t="shared" si="6"/>
        <v>205.958</v>
      </c>
      <c r="C436" s="78" t="s">
        <v>1384</v>
      </c>
      <c r="D436" s="7" t="s">
        <v>662</v>
      </c>
      <c r="E436" s="80" t="s">
        <v>1177</v>
      </c>
      <c r="F436" s="78">
        <v>205958</v>
      </c>
      <c r="G436" s="78" t="s">
        <v>1514</v>
      </c>
    </row>
    <row r="437" spans="1:7" x14ac:dyDescent="0.25">
      <c r="A437" s="5" t="s">
        <v>1511</v>
      </c>
      <c r="B437" s="78">
        <f t="shared" si="6"/>
        <v>206.44300000000001</v>
      </c>
      <c r="C437" s="78" t="s">
        <v>1385</v>
      </c>
      <c r="D437" s="7" t="s">
        <v>661</v>
      </c>
      <c r="E437" s="80" t="s">
        <v>1177</v>
      </c>
      <c r="F437" s="78">
        <v>206443</v>
      </c>
      <c r="G437" s="78" t="s">
        <v>1514</v>
      </c>
    </row>
    <row r="438" spans="1:7" x14ac:dyDescent="0.25">
      <c r="A438" s="5" t="s">
        <v>1511</v>
      </c>
      <c r="B438" s="78">
        <f t="shared" si="6"/>
        <v>206.86799999999999</v>
      </c>
      <c r="C438" s="78" t="s">
        <v>1386</v>
      </c>
      <c r="D438" s="7" t="s">
        <v>660</v>
      </c>
      <c r="E438" s="80" t="s">
        <v>1177</v>
      </c>
      <c r="F438" s="78">
        <v>206868</v>
      </c>
      <c r="G438" s="78" t="s">
        <v>1514</v>
      </c>
    </row>
    <row r="439" spans="1:7" x14ac:dyDescent="0.25">
      <c r="A439" s="5" t="s">
        <v>1511</v>
      </c>
      <c r="B439" s="78">
        <f t="shared" si="6"/>
        <v>207.44200000000001</v>
      </c>
      <c r="C439" s="78" t="s">
        <v>1387</v>
      </c>
      <c r="D439" s="7" t="s">
        <v>659</v>
      </c>
      <c r="E439" s="80" t="s">
        <v>1177</v>
      </c>
      <c r="F439" s="78">
        <v>207442</v>
      </c>
      <c r="G439" s="78" t="s">
        <v>1517</v>
      </c>
    </row>
    <row r="440" spans="1:7" x14ac:dyDescent="0.25">
      <c r="A440" s="5" t="s">
        <v>1511</v>
      </c>
      <c r="B440" s="78">
        <f t="shared" si="6"/>
        <v>207.86099999999999</v>
      </c>
      <c r="C440" s="78" t="s">
        <v>1388</v>
      </c>
      <c r="D440" s="7" t="s">
        <v>658</v>
      </c>
      <c r="E440" s="80" t="s">
        <v>1177</v>
      </c>
      <c r="F440" s="78">
        <v>207861</v>
      </c>
      <c r="G440" s="78" t="s">
        <v>1514</v>
      </c>
    </row>
    <row r="441" spans="1:7" x14ac:dyDescent="0.25">
      <c r="A441" s="5" t="s">
        <v>1511</v>
      </c>
      <c r="B441" s="78">
        <f t="shared" si="6"/>
        <v>208.37100000000001</v>
      </c>
      <c r="C441" s="78" t="s">
        <v>1389</v>
      </c>
      <c r="D441" s="7" t="s">
        <v>657</v>
      </c>
      <c r="E441" s="80" t="s">
        <v>1177</v>
      </c>
      <c r="F441" s="78">
        <v>208371</v>
      </c>
      <c r="G441" s="78" t="s">
        <v>1514</v>
      </c>
    </row>
    <row r="442" spans="1:7" x14ac:dyDescent="0.25">
      <c r="A442" s="5" t="s">
        <v>1511</v>
      </c>
      <c r="B442" s="78">
        <f t="shared" si="6"/>
        <v>208.85599999999999</v>
      </c>
      <c r="C442" s="78" t="s">
        <v>1390</v>
      </c>
      <c r="D442" s="7" t="s">
        <v>656</v>
      </c>
      <c r="E442" s="80" t="s">
        <v>1177</v>
      </c>
      <c r="F442" s="78">
        <v>208856</v>
      </c>
      <c r="G442" s="78" t="s">
        <v>1514</v>
      </c>
    </row>
    <row r="443" spans="1:7" x14ac:dyDescent="0.25">
      <c r="A443" s="5" t="s">
        <v>1511</v>
      </c>
      <c r="B443" s="78">
        <f t="shared" si="6"/>
        <v>209.36600000000001</v>
      </c>
      <c r="C443" s="78" t="s">
        <v>1391</v>
      </c>
      <c r="D443" s="7" t="s">
        <v>655</v>
      </c>
      <c r="E443" s="80" t="s">
        <v>1177</v>
      </c>
      <c r="F443" s="78">
        <v>209366</v>
      </c>
      <c r="G443" s="78" t="s">
        <v>1514</v>
      </c>
    </row>
    <row r="444" spans="1:7" x14ac:dyDescent="0.25">
      <c r="A444" s="5" t="s">
        <v>1511</v>
      </c>
      <c r="B444" s="78">
        <f t="shared" si="6"/>
        <v>209.82041000000001</v>
      </c>
      <c r="C444" s="78" t="s">
        <v>1392</v>
      </c>
      <c r="D444" s="7" t="s">
        <v>654</v>
      </c>
      <c r="E444" s="80" t="s">
        <v>1177</v>
      </c>
      <c r="F444" s="78">
        <v>209820.41</v>
      </c>
      <c r="G444" s="78" t="s">
        <v>1515</v>
      </c>
    </row>
    <row r="445" spans="1:7" x14ac:dyDescent="0.25">
      <c r="A445" s="5" t="s">
        <v>1511</v>
      </c>
      <c r="B445" s="78">
        <f t="shared" si="6"/>
        <v>210.245</v>
      </c>
      <c r="C445" s="78" t="s">
        <v>1393</v>
      </c>
      <c r="D445" s="7" t="s">
        <v>653</v>
      </c>
      <c r="E445" s="80" t="s">
        <v>1177</v>
      </c>
      <c r="F445" s="78">
        <v>210245</v>
      </c>
      <c r="G445" s="78" t="s">
        <v>1514</v>
      </c>
    </row>
    <row r="446" spans="1:7" x14ac:dyDescent="0.25">
      <c r="A446" s="5" t="s">
        <v>1511</v>
      </c>
      <c r="B446" s="78">
        <f t="shared" si="6"/>
        <v>210.6163</v>
      </c>
      <c r="C446" s="78" t="s">
        <v>1394</v>
      </c>
      <c r="D446" s="7" t="s">
        <v>652</v>
      </c>
      <c r="E446" s="80" t="s">
        <v>1177</v>
      </c>
      <c r="F446" s="78">
        <v>210616.3</v>
      </c>
      <c r="G446" s="78" t="s">
        <v>1514</v>
      </c>
    </row>
    <row r="447" spans="1:7" x14ac:dyDescent="0.25">
      <c r="A447" s="5" t="s">
        <v>1511</v>
      </c>
      <c r="B447" s="78">
        <f t="shared" si="6"/>
        <v>211.04599999999999</v>
      </c>
      <c r="C447" s="78" t="s">
        <v>1395</v>
      </c>
      <c r="D447" s="7" t="s">
        <v>651</v>
      </c>
      <c r="E447" s="80" t="s">
        <v>1177</v>
      </c>
      <c r="F447" s="78">
        <v>211046</v>
      </c>
      <c r="G447" s="78" t="s">
        <v>1514</v>
      </c>
    </row>
    <row r="448" spans="1:7" x14ac:dyDescent="0.25">
      <c r="A448" s="5" t="s">
        <v>1511</v>
      </c>
      <c r="B448" s="78">
        <f t="shared" si="6"/>
        <v>211.53100000000001</v>
      </c>
      <c r="C448" s="78" t="s">
        <v>1396</v>
      </c>
      <c r="D448" s="7" t="s">
        <v>650</v>
      </c>
      <c r="E448" s="80" t="s">
        <v>1177</v>
      </c>
      <c r="F448" s="78">
        <v>211531</v>
      </c>
      <c r="G448" s="78" t="s">
        <v>1514</v>
      </c>
    </row>
    <row r="449" spans="1:7" x14ac:dyDescent="0.25">
      <c r="A449" s="5" t="s">
        <v>1511</v>
      </c>
      <c r="B449" s="78">
        <f t="shared" si="6"/>
        <v>212.02099999999999</v>
      </c>
      <c r="C449" s="78" t="s">
        <v>1397</v>
      </c>
      <c r="D449" s="7" t="s">
        <v>649</v>
      </c>
      <c r="E449" s="80" t="s">
        <v>1177</v>
      </c>
      <c r="F449" s="78">
        <v>212021</v>
      </c>
      <c r="G449" s="78" t="s">
        <v>1514</v>
      </c>
    </row>
    <row r="450" spans="1:7" x14ac:dyDescent="0.25">
      <c r="A450" s="5" t="s">
        <v>1511</v>
      </c>
      <c r="B450" s="78">
        <f t="shared" si="6"/>
        <v>212.52099999999999</v>
      </c>
      <c r="C450" s="78" t="s">
        <v>1398</v>
      </c>
      <c r="D450" s="7" t="s">
        <v>648</v>
      </c>
      <c r="E450" s="80" t="s">
        <v>1177</v>
      </c>
      <c r="F450" s="78">
        <v>212521</v>
      </c>
      <c r="G450" s="78" t="s">
        <v>1514</v>
      </c>
    </row>
    <row r="451" spans="1:7" x14ac:dyDescent="0.25">
      <c r="A451" s="5" t="s">
        <v>1511</v>
      </c>
      <c r="B451" s="78">
        <f t="shared" ref="B451:B514" si="7">F451/1000</f>
        <v>213.011</v>
      </c>
      <c r="C451" s="78" t="s">
        <v>1399</v>
      </c>
      <c r="D451" s="7" t="s">
        <v>647</v>
      </c>
      <c r="E451" s="80" t="s">
        <v>1177</v>
      </c>
      <c r="F451" s="78">
        <v>213011</v>
      </c>
      <c r="G451" s="78" t="s">
        <v>1514</v>
      </c>
    </row>
    <row r="452" spans="1:7" x14ac:dyDescent="0.25">
      <c r="A452" s="5" t="s">
        <v>1511</v>
      </c>
      <c r="B452" s="78">
        <f t="shared" si="7"/>
        <v>213.51599999999999</v>
      </c>
      <c r="C452" s="78" t="s">
        <v>1400</v>
      </c>
      <c r="D452" s="7" t="s">
        <v>646</v>
      </c>
      <c r="E452" s="80" t="s">
        <v>1177</v>
      </c>
      <c r="F452" s="78">
        <v>213516</v>
      </c>
      <c r="G452" s="78" t="s">
        <v>1514</v>
      </c>
    </row>
    <row r="453" spans="1:7" x14ac:dyDescent="0.25">
      <c r="A453" s="5" t="s">
        <v>1511</v>
      </c>
      <c r="B453" s="78">
        <f t="shared" si="7"/>
        <v>214.001</v>
      </c>
      <c r="C453" s="78" t="s">
        <v>1401</v>
      </c>
      <c r="D453" s="7" t="s">
        <v>645</v>
      </c>
      <c r="E453" s="80" t="s">
        <v>1177</v>
      </c>
      <c r="F453" s="78">
        <v>214001</v>
      </c>
      <c r="G453" s="78" t="s">
        <v>1514</v>
      </c>
    </row>
    <row r="454" spans="1:7" x14ac:dyDescent="0.25">
      <c r="A454" s="5" t="s">
        <v>1511</v>
      </c>
      <c r="B454" s="78">
        <f t="shared" si="7"/>
        <v>214.51300000000001</v>
      </c>
      <c r="C454" s="78" t="s">
        <v>1402</v>
      </c>
      <c r="D454" s="7" t="s">
        <v>644</v>
      </c>
      <c r="E454" s="80" t="s">
        <v>1177</v>
      </c>
      <c r="F454" s="78">
        <v>214513</v>
      </c>
      <c r="G454" s="78" t="s">
        <v>1514</v>
      </c>
    </row>
    <row r="455" spans="1:7" x14ac:dyDescent="0.25">
      <c r="A455" s="5" t="s">
        <v>1511</v>
      </c>
      <c r="B455" s="78">
        <f t="shared" si="7"/>
        <v>214.99299999999999</v>
      </c>
      <c r="C455" s="78" t="s">
        <v>1403</v>
      </c>
      <c r="D455" s="7" t="s">
        <v>643</v>
      </c>
      <c r="E455" s="80" t="s">
        <v>1177</v>
      </c>
      <c r="F455" s="78">
        <v>214993</v>
      </c>
      <c r="G455" s="78" t="s">
        <v>1514</v>
      </c>
    </row>
    <row r="456" spans="1:7" x14ac:dyDescent="0.25">
      <c r="A456" s="5" t="s">
        <v>1511</v>
      </c>
      <c r="B456" s="78">
        <f t="shared" si="7"/>
        <v>215.51</v>
      </c>
      <c r="C456" s="78" t="s">
        <v>1404</v>
      </c>
      <c r="D456" s="7" t="s">
        <v>642</v>
      </c>
      <c r="E456" s="80" t="s">
        <v>1177</v>
      </c>
      <c r="F456" s="78">
        <v>215510</v>
      </c>
      <c r="G456" s="78" t="s">
        <v>1514</v>
      </c>
    </row>
    <row r="457" spans="1:7" x14ac:dyDescent="0.25">
      <c r="A457" s="5" t="s">
        <v>1511</v>
      </c>
      <c r="B457" s="78">
        <f t="shared" si="7"/>
        <v>215.99199999999999</v>
      </c>
      <c r="C457" s="78" t="s">
        <v>1405</v>
      </c>
      <c r="D457" s="7" t="s">
        <v>641</v>
      </c>
      <c r="E457" s="80" t="s">
        <v>1177</v>
      </c>
      <c r="F457" s="78">
        <v>215992</v>
      </c>
      <c r="G457" s="78" t="s">
        <v>1514</v>
      </c>
    </row>
    <row r="458" spans="1:7" x14ac:dyDescent="0.25">
      <c r="A458" s="5" t="s">
        <v>1511</v>
      </c>
      <c r="B458" s="78">
        <f t="shared" si="7"/>
        <v>216.49199999999999</v>
      </c>
      <c r="C458" s="78" t="s">
        <v>1406</v>
      </c>
      <c r="D458" s="7" t="s">
        <v>640</v>
      </c>
      <c r="E458" s="80" t="s">
        <v>1177</v>
      </c>
      <c r="F458" s="78">
        <v>216492</v>
      </c>
      <c r="G458" s="78" t="s">
        <v>1514</v>
      </c>
    </row>
    <row r="459" spans="1:7" x14ac:dyDescent="0.25">
      <c r="A459" s="5" t="s">
        <v>1511</v>
      </c>
      <c r="B459" s="78">
        <f t="shared" si="7"/>
        <v>216.97800000000001</v>
      </c>
      <c r="C459" s="78" t="s">
        <v>1407</v>
      </c>
      <c r="D459" s="7" t="s">
        <v>639</v>
      </c>
      <c r="E459" s="80" t="s">
        <v>1177</v>
      </c>
      <c r="F459" s="78">
        <v>216978</v>
      </c>
      <c r="G459" s="78" t="s">
        <v>1514</v>
      </c>
    </row>
    <row r="460" spans="1:7" x14ac:dyDescent="0.25">
      <c r="A460" s="5" t="s">
        <v>1511</v>
      </c>
      <c r="B460" s="78">
        <f t="shared" si="7"/>
        <v>217.477</v>
      </c>
      <c r="C460" s="78" t="s">
        <v>1408</v>
      </c>
      <c r="D460" s="7" t="s">
        <v>638</v>
      </c>
      <c r="E460" s="80" t="s">
        <v>1177</v>
      </c>
      <c r="F460" s="78">
        <v>217477</v>
      </c>
      <c r="G460" s="78" t="s">
        <v>1514</v>
      </c>
    </row>
    <row r="461" spans="1:7" x14ac:dyDescent="0.25">
      <c r="A461" s="5" t="s">
        <v>1511</v>
      </c>
      <c r="B461" s="78">
        <f t="shared" si="7"/>
        <v>217.86419000000001</v>
      </c>
      <c r="C461" s="78" t="s">
        <v>1409</v>
      </c>
      <c r="D461" s="7" t="s">
        <v>637</v>
      </c>
      <c r="E461" s="80" t="s">
        <v>1177</v>
      </c>
      <c r="F461" s="90">
        <v>217864.19</v>
      </c>
      <c r="G461" s="78" t="s">
        <v>1513</v>
      </c>
    </row>
    <row r="462" spans="1:7" x14ac:dyDescent="0.25">
      <c r="A462" s="5" t="s">
        <v>1511</v>
      </c>
      <c r="B462" s="78">
        <f t="shared" si="7"/>
        <v>218.23400000000001</v>
      </c>
      <c r="C462" s="78" t="s">
        <v>1410</v>
      </c>
      <c r="D462" s="7" t="s">
        <v>636</v>
      </c>
      <c r="E462" s="80" t="s">
        <v>1177</v>
      </c>
      <c r="F462" s="78">
        <v>218234</v>
      </c>
      <c r="G462" s="78" t="s">
        <v>1517</v>
      </c>
    </row>
    <row r="463" spans="1:7" x14ac:dyDescent="0.25">
      <c r="A463" s="5" t="s">
        <v>1511</v>
      </c>
      <c r="B463" s="78">
        <f t="shared" si="7"/>
        <v>218.71545</v>
      </c>
      <c r="C463" s="78" t="s">
        <v>1411</v>
      </c>
      <c r="D463" s="7" t="s">
        <v>635</v>
      </c>
      <c r="E463" s="80" t="s">
        <v>1177</v>
      </c>
      <c r="F463" s="78">
        <v>218715.45</v>
      </c>
      <c r="G463" s="78" t="s">
        <v>1517</v>
      </c>
    </row>
    <row r="464" spans="1:7" x14ac:dyDescent="0.25">
      <c r="A464" s="5" t="s">
        <v>1511</v>
      </c>
      <c r="B464" s="78">
        <f t="shared" si="7"/>
        <v>219.029</v>
      </c>
      <c r="C464" s="78" t="s">
        <v>1412</v>
      </c>
      <c r="D464" s="7" t="s">
        <v>634</v>
      </c>
      <c r="E464" s="80" t="s">
        <v>1177</v>
      </c>
      <c r="F464" s="78">
        <v>219029</v>
      </c>
      <c r="G464" s="78" t="s">
        <v>1514</v>
      </c>
    </row>
    <row r="465" spans="1:7" x14ac:dyDescent="0.25">
      <c r="A465" s="5" t="s">
        <v>1511</v>
      </c>
      <c r="B465" s="78">
        <f t="shared" si="7"/>
        <v>219.559</v>
      </c>
      <c r="C465" s="78" t="s">
        <v>1413</v>
      </c>
      <c r="D465" s="7" t="s">
        <v>633</v>
      </c>
      <c r="E465" s="80" t="s">
        <v>1177</v>
      </c>
      <c r="F465" s="78">
        <v>219559</v>
      </c>
      <c r="G465" s="78" t="s">
        <v>1514</v>
      </c>
    </row>
    <row r="466" spans="1:7" x14ac:dyDescent="0.25">
      <c r="A466" s="5" t="s">
        <v>1511</v>
      </c>
      <c r="B466" s="78">
        <f t="shared" si="7"/>
        <v>219.89243999999999</v>
      </c>
      <c r="C466" s="78" t="s">
        <v>1414</v>
      </c>
      <c r="D466" s="7" t="s">
        <v>632</v>
      </c>
      <c r="E466" s="80" t="s">
        <v>1177</v>
      </c>
      <c r="F466" s="78">
        <v>219892.44</v>
      </c>
      <c r="G466" s="78" t="s">
        <v>1513</v>
      </c>
    </row>
    <row r="467" spans="1:7" x14ac:dyDescent="0.25">
      <c r="A467" s="5" t="s">
        <v>1511</v>
      </c>
      <c r="B467" s="78">
        <f t="shared" si="7"/>
        <v>220.423</v>
      </c>
      <c r="C467" s="78" t="s">
        <v>1415</v>
      </c>
      <c r="D467" s="7" t="s">
        <v>631</v>
      </c>
      <c r="E467" s="80" t="s">
        <v>1177</v>
      </c>
      <c r="F467" s="78">
        <v>220423</v>
      </c>
      <c r="G467" s="78" t="s">
        <v>1514</v>
      </c>
    </row>
    <row r="468" spans="1:7" x14ac:dyDescent="0.25">
      <c r="A468" s="5" t="s">
        <v>1511</v>
      </c>
      <c r="B468" s="78">
        <f t="shared" si="7"/>
        <v>220.881</v>
      </c>
      <c r="C468" s="78" t="s">
        <v>1416</v>
      </c>
      <c r="D468" s="7" t="s">
        <v>630</v>
      </c>
      <c r="E468" s="80" t="s">
        <v>1177</v>
      </c>
      <c r="F468" s="78">
        <v>220881</v>
      </c>
      <c r="G468" s="78" t="s">
        <v>1514</v>
      </c>
    </row>
    <row r="469" spans="1:7" x14ac:dyDescent="0.25">
      <c r="A469" s="5" t="s">
        <v>1511</v>
      </c>
      <c r="B469" s="78">
        <f t="shared" si="7"/>
        <v>221.27977999999999</v>
      </c>
      <c r="C469" s="78" t="s">
        <v>1417</v>
      </c>
      <c r="D469" s="7" t="s">
        <v>629</v>
      </c>
      <c r="E469" s="80" t="s">
        <v>1177</v>
      </c>
      <c r="F469" s="78">
        <v>221279.78</v>
      </c>
      <c r="G469" s="78" t="s">
        <v>1515</v>
      </c>
    </row>
    <row r="470" spans="1:7" x14ac:dyDescent="0.25">
      <c r="A470" s="5" t="s">
        <v>1511</v>
      </c>
      <c r="B470" s="78">
        <f t="shared" si="7"/>
        <v>221.69</v>
      </c>
      <c r="C470" s="78" t="s">
        <v>1418</v>
      </c>
      <c r="D470" s="7" t="s">
        <v>628</v>
      </c>
      <c r="E470" s="80" t="s">
        <v>1177</v>
      </c>
      <c r="F470" s="78">
        <v>221690</v>
      </c>
      <c r="G470" s="78" t="s">
        <v>1514</v>
      </c>
    </row>
    <row r="471" spans="1:7" x14ac:dyDescent="0.25">
      <c r="A471" s="5" t="s">
        <v>1511</v>
      </c>
      <c r="B471" s="78">
        <f t="shared" si="7"/>
        <v>222.22499999999999</v>
      </c>
      <c r="C471" s="78" t="s">
        <v>1419</v>
      </c>
      <c r="D471" s="7" t="s">
        <v>627</v>
      </c>
      <c r="E471" s="80" t="s">
        <v>1177</v>
      </c>
      <c r="F471" s="78">
        <v>222225</v>
      </c>
      <c r="G471" s="78" t="s">
        <v>1514</v>
      </c>
    </row>
    <row r="472" spans="1:7" x14ac:dyDescent="0.25">
      <c r="A472" s="5" t="s">
        <v>1511</v>
      </c>
      <c r="B472" s="78">
        <f t="shared" si="7"/>
        <v>222.68298999999999</v>
      </c>
      <c r="C472" s="78" t="s">
        <v>1420</v>
      </c>
      <c r="D472" s="7" t="s">
        <v>626</v>
      </c>
      <c r="E472" s="80" t="s">
        <v>1178</v>
      </c>
      <c r="F472" s="78">
        <v>222682.99</v>
      </c>
      <c r="G472" s="78" t="s">
        <v>1517</v>
      </c>
    </row>
    <row r="473" spans="1:7" x14ac:dyDescent="0.25">
      <c r="A473" s="5" t="s">
        <v>1511</v>
      </c>
      <c r="B473" s="78">
        <f t="shared" si="7"/>
        <v>223.209</v>
      </c>
      <c r="C473" s="78" t="s">
        <v>1421</v>
      </c>
      <c r="D473" s="7" t="s">
        <v>625</v>
      </c>
      <c r="E473" s="80" t="s">
        <v>1179</v>
      </c>
      <c r="F473" s="78">
        <v>223209</v>
      </c>
      <c r="G473" s="78" t="s">
        <v>1518</v>
      </c>
    </row>
    <row r="474" spans="1:7" x14ac:dyDescent="0.25">
      <c r="A474" s="5" t="s">
        <v>1511</v>
      </c>
      <c r="B474" s="78">
        <f t="shared" si="7"/>
        <v>223.67</v>
      </c>
      <c r="C474" s="78" t="s">
        <v>1422</v>
      </c>
      <c r="D474" s="7" t="s">
        <v>624</v>
      </c>
      <c r="E474" s="80" t="s">
        <v>1179</v>
      </c>
      <c r="F474" s="78">
        <v>223670</v>
      </c>
      <c r="G474" s="78" t="s">
        <v>1514</v>
      </c>
    </row>
    <row r="475" spans="1:7" x14ac:dyDescent="0.25">
      <c r="A475" s="5" t="s">
        <v>1511</v>
      </c>
      <c r="B475" s="78">
        <f t="shared" si="7"/>
        <v>224.179</v>
      </c>
      <c r="C475" s="78" t="s">
        <v>1423</v>
      </c>
      <c r="D475" s="7" t="s">
        <v>623</v>
      </c>
      <c r="E475" s="80" t="s">
        <v>1179</v>
      </c>
      <c r="F475" s="78">
        <v>224179</v>
      </c>
      <c r="G475" s="78" t="s">
        <v>1514</v>
      </c>
    </row>
    <row r="476" spans="1:7" x14ac:dyDescent="0.25">
      <c r="A476" s="5" t="s">
        <v>1511</v>
      </c>
      <c r="B476" s="78">
        <f t="shared" si="7"/>
        <v>224.65899999999999</v>
      </c>
      <c r="C476" s="78" t="s">
        <v>1424</v>
      </c>
      <c r="D476" s="7" t="s">
        <v>622</v>
      </c>
      <c r="E476" s="80" t="s">
        <v>1179</v>
      </c>
      <c r="F476" s="78">
        <v>224659</v>
      </c>
      <c r="G476" s="78" t="s">
        <v>1514</v>
      </c>
    </row>
    <row r="477" spans="1:7" x14ac:dyDescent="0.25">
      <c r="A477" s="5" t="s">
        <v>1511</v>
      </c>
      <c r="B477" s="78">
        <f t="shared" si="7"/>
        <v>225.17099999999999</v>
      </c>
      <c r="C477" s="78" t="s">
        <v>1425</v>
      </c>
      <c r="D477" s="7" t="s">
        <v>621</v>
      </c>
      <c r="E477" s="80" t="s">
        <v>1179</v>
      </c>
      <c r="F477" s="78">
        <v>225171</v>
      </c>
      <c r="G477" s="78" t="s">
        <v>1514</v>
      </c>
    </row>
    <row r="478" spans="1:7" x14ac:dyDescent="0.25">
      <c r="A478" s="5" t="s">
        <v>1511</v>
      </c>
      <c r="B478" s="78">
        <f t="shared" si="7"/>
        <v>225.65600000000001</v>
      </c>
      <c r="C478" s="78" t="s">
        <v>1426</v>
      </c>
      <c r="D478" s="7" t="s">
        <v>620</v>
      </c>
      <c r="E478" s="80" t="s">
        <v>1179</v>
      </c>
      <c r="F478" s="78">
        <v>225656</v>
      </c>
      <c r="G478" s="78" t="s">
        <v>1514</v>
      </c>
    </row>
    <row r="479" spans="1:7" x14ac:dyDescent="0.25">
      <c r="A479" s="5" t="s">
        <v>1511</v>
      </c>
      <c r="B479" s="78">
        <f t="shared" si="7"/>
        <v>226.166</v>
      </c>
      <c r="C479" s="78" t="s">
        <v>1427</v>
      </c>
      <c r="D479" s="7" t="s">
        <v>619</v>
      </c>
      <c r="E479" s="80" t="s">
        <v>1179</v>
      </c>
      <c r="F479" s="78">
        <v>226166</v>
      </c>
      <c r="G479" s="78" t="s">
        <v>1514</v>
      </c>
    </row>
    <row r="480" spans="1:7" x14ac:dyDescent="0.25">
      <c r="A480" s="5" t="s">
        <v>1511</v>
      </c>
      <c r="B480" s="78">
        <f t="shared" si="7"/>
        <v>226.64599999999999</v>
      </c>
      <c r="C480" s="78" t="s">
        <v>1428</v>
      </c>
      <c r="D480" s="7" t="s">
        <v>618</v>
      </c>
      <c r="E480" s="80" t="s">
        <v>1179</v>
      </c>
      <c r="F480" s="78">
        <v>226646</v>
      </c>
      <c r="G480" s="78" t="s">
        <v>1514</v>
      </c>
    </row>
    <row r="481" spans="1:7" x14ac:dyDescent="0.25">
      <c r="A481" s="5" t="s">
        <v>1511</v>
      </c>
      <c r="B481" s="78">
        <f t="shared" si="7"/>
        <v>227.161</v>
      </c>
      <c r="C481" s="78" t="s">
        <v>1429</v>
      </c>
      <c r="D481" s="7" t="s">
        <v>617</v>
      </c>
      <c r="E481" s="80" t="s">
        <v>1179</v>
      </c>
      <c r="F481" s="78">
        <v>227161</v>
      </c>
      <c r="G481" s="78" t="s">
        <v>1514</v>
      </c>
    </row>
    <row r="482" spans="1:7" x14ac:dyDescent="0.25">
      <c r="A482" s="5" t="s">
        <v>1511</v>
      </c>
      <c r="B482" s="78">
        <f t="shared" si="7"/>
        <v>227.64099999999999</v>
      </c>
      <c r="C482" s="78" t="s">
        <v>1430</v>
      </c>
      <c r="D482" s="7" t="s">
        <v>616</v>
      </c>
      <c r="E482" s="80" t="s">
        <v>1179</v>
      </c>
      <c r="F482" s="78">
        <v>227641</v>
      </c>
      <c r="G482" s="78" t="s">
        <v>1514</v>
      </c>
    </row>
    <row r="483" spans="1:7" x14ac:dyDescent="0.25">
      <c r="A483" s="5" t="s">
        <v>1511</v>
      </c>
      <c r="B483" s="78">
        <f t="shared" si="7"/>
        <v>228.15600000000001</v>
      </c>
      <c r="C483" s="78" t="s">
        <v>1431</v>
      </c>
      <c r="D483" s="7" t="s">
        <v>615</v>
      </c>
      <c r="E483" s="80" t="s">
        <v>1179</v>
      </c>
      <c r="F483" s="78">
        <v>228156</v>
      </c>
      <c r="G483" s="78" t="s">
        <v>1517</v>
      </c>
    </row>
    <row r="484" spans="1:7" x14ac:dyDescent="0.25">
      <c r="A484" s="5" t="s">
        <v>1511</v>
      </c>
      <c r="B484" s="78">
        <f t="shared" si="7"/>
        <v>228.61799999999999</v>
      </c>
      <c r="C484" s="78" t="s">
        <v>1432</v>
      </c>
      <c r="D484" s="7" t="s">
        <v>614</v>
      </c>
      <c r="E484" s="80" t="s">
        <v>1179</v>
      </c>
      <c r="F484" s="78">
        <v>228618</v>
      </c>
      <c r="G484" s="78" t="s">
        <v>1514</v>
      </c>
    </row>
    <row r="485" spans="1:7" x14ac:dyDescent="0.25">
      <c r="A485" s="5" t="s">
        <v>1511</v>
      </c>
      <c r="B485" s="78">
        <f t="shared" si="7"/>
        <v>229.018</v>
      </c>
      <c r="C485" s="78" t="s">
        <v>1433</v>
      </c>
      <c r="D485" s="7" t="s">
        <v>613</v>
      </c>
      <c r="E485" s="80" t="s">
        <v>1179</v>
      </c>
      <c r="F485" s="78">
        <v>229018</v>
      </c>
      <c r="G485" s="78" t="s">
        <v>1514</v>
      </c>
    </row>
    <row r="486" spans="1:7" x14ac:dyDescent="0.25">
      <c r="A486" s="5" t="s">
        <v>1511</v>
      </c>
      <c r="B486" s="78">
        <f t="shared" si="7"/>
        <v>229.46799999999999</v>
      </c>
      <c r="C486" s="78" t="s">
        <v>1434</v>
      </c>
      <c r="D486" s="7" t="s">
        <v>612</v>
      </c>
      <c r="E486" s="80" t="s">
        <v>1179</v>
      </c>
      <c r="F486" s="78">
        <v>229468</v>
      </c>
      <c r="G486" s="78" t="s">
        <v>1514</v>
      </c>
    </row>
    <row r="487" spans="1:7" x14ac:dyDescent="0.25">
      <c r="A487" s="5" t="s">
        <v>1511</v>
      </c>
      <c r="B487" s="78">
        <f t="shared" si="7"/>
        <v>229.91451999999998</v>
      </c>
      <c r="C487" s="78" t="s">
        <v>1435</v>
      </c>
      <c r="D487" s="7" t="s">
        <v>611</v>
      </c>
      <c r="E487" s="80" t="s">
        <v>1179</v>
      </c>
      <c r="F487" s="78">
        <v>229914.52</v>
      </c>
      <c r="G487" s="78" t="s">
        <v>1514</v>
      </c>
    </row>
    <row r="488" spans="1:7" x14ac:dyDescent="0.25">
      <c r="A488" s="5" t="s">
        <v>1511</v>
      </c>
      <c r="B488" s="78">
        <f t="shared" si="7"/>
        <v>230.23751999999999</v>
      </c>
      <c r="C488" s="78" t="s">
        <v>1436</v>
      </c>
      <c r="D488" s="7" t="s">
        <v>610</v>
      </c>
      <c r="E488" s="80" t="s">
        <v>1179</v>
      </c>
      <c r="F488" s="78">
        <v>230237.52</v>
      </c>
      <c r="G488" s="78" t="s">
        <v>1514</v>
      </c>
    </row>
    <row r="489" spans="1:7" x14ac:dyDescent="0.25">
      <c r="A489" s="5" t="s">
        <v>1511</v>
      </c>
      <c r="B489" s="78">
        <f t="shared" si="7"/>
        <v>230.56052</v>
      </c>
      <c r="C489" s="78" t="s">
        <v>1437</v>
      </c>
      <c r="D489" s="7" t="s">
        <v>609</v>
      </c>
      <c r="E489" s="80" t="s">
        <v>1179</v>
      </c>
      <c r="F489" s="78">
        <v>230560.52</v>
      </c>
      <c r="G489" s="78" t="s">
        <v>1514</v>
      </c>
    </row>
    <row r="490" spans="1:7" x14ac:dyDescent="0.25">
      <c r="A490" s="5" t="s">
        <v>1511</v>
      </c>
      <c r="B490" s="78">
        <f t="shared" si="7"/>
        <v>230.88200000000001</v>
      </c>
      <c r="C490" s="78" t="s">
        <v>1438</v>
      </c>
      <c r="D490" s="7" t="s">
        <v>608</v>
      </c>
      <c r="E490" s="80" t="s">
        <v>1179</v>
      </c>
      <c r="F490" s="78">
        <v>230882</v>
      </c>
      <c r="G490" s="78" t="s">
        <v>1514</v>
      </c>
    </row>
    <row r="491" spans="1:7" x14ac:dyDescent="0.25">
      <c r="A491" s="5" t="s">
        <v>1511</v>
      </c>
      <c r="B491" s="78">
        <f t="shared" si="7"/>
        <v>231.387</v>
      </c>
      <c r="C491" s="78" t="s">
        <v>1439</v>
      </c>
      <c r="D491" s="7" t="s">
        <v>607</v>
      </c>
      <c r="E491" s="80" t="s">
        <v>1179</v>
      </c>
      <c r="F491" s="78">
        <v>231387</v>
      </c>
      <c r="G491" s="78" t="s">
        <v>1514</v>
      </c>
    </row>
    <row r="492" spans="1:7" x14ac:dyDescent="0.25">
      <c r="A492" s="5" t="s">
        <v>1511</v>
      </c>
      <c r="B492" s="78">
        <f t="shared" si="7"/>
        <v>231.87200000000001</v>
      </c>
      <c r="C492" s="78" t="s">
        <v>1440</v>
      </c>
      <c r="D492" s="7" t="s">
        <v>606</v>
      </c>
      <c r="E492" s="80" t="s">
        <v>1179</v>
      </c>
      <c r="F492" s="78">
        <v>231872</v>
      </c>
      <c r="G492" s="78" t="s">
        <v>1514</v>
      </c>
    </row>
    <row r="493" spans="1:7" x14ac:dyDescent="0.25">
      <c r="A493" s="5" t="s">
        <v>1511</v>
      </c>
      <c r="B493" s="78">
        <f t="shared" si="7"/>
        <v>232.36699999999999</v>
      </c>
      <c r="C493" s="78" t="s">
        <v>1441</v>
      </c>
      <c r="D493" s="7" t="s">
        <v>605</v>
      </c>
      <c r="E493" s="80" t="s">
        <v>1179</v>
      </c>
      <c r="F493" s="78">
        <v>232367</v>
      </c>
      <c r="G493" s="78" t="s">
        <v>1514</v>
      </c>
    </row>
    <row r="494" spans="1:7" x14ac:dyDescent="0.25">
      <c r="A494" s="5" t="s">
        <v>1511</v>
      </c>
      <c r="B494" s="78">
        <f t="shared" si="7"/>
        <v>232.86199999999999</v>
      </c>
      <c r="C494" s="78" t="s">
        <v>1442</v>
      </c>
      <c r="D494" s="7" t="s">
        <v>604</v>
      </c>
      <c r="E494" s="80" t="s">
        <v>1179</v>
      </c>
      <c r="F494" s="78">
        <v>232862</v>
      </c>
      <c r="G494" s="78" t="s">
        <v>1514</v>
      </c>
    </row>
    <row r="495" spans="1:7" x14ac:dyDescent="0.25">
      <c r="A495" s="5" t="s">
        <v>1511</v>
      </c>
      <c r="B495" s="78">
        <f t="shared" si="7"/>
        <v>233.36500000000001</v>
      </c>
      <c r="C495" s="78" t="s">
        <v>1443</v>
      </c>
      <c r="D495" s="7" t="s">
        <v>603</v>
      </c>
      <c r="E495" s="80" t="s">
        <v>1179</v>
      </c>
      <c r="F495" s="78">
        <v>233365</v>
      </c>
      <c r="G495" s="78" t="s">
        <v>1514</v>
      </c>
    </row>
    <row r="496" spans="1:7" x14ac:dyDescent="0.25">
      <c r="A496" s="5" t="s">
        <v>1511</v>
      </c>
      <c r="B496" s="78">
        <f t="shared" si="7"/>
        <v>233.84700000000001</v>
      </c>
      <c r="C496" s="78" t="s">
        <v>1444</v>
      </c>
      <c r="D496" s="7" t="s">
        <v>602</v>
      </c>
      <c r="E496" s="80" t="s">
        <v>1179</v>
      </c>
      <c r="F496" s="78">
        <v>233847</v>
      </c>
      <c r="G496" s="78" t="s">
        <v>1514</v>
      </c>
    </row>
    <row r="497" spans="1:7" x14ac:dyDescent="0.25">
      <c r="A497" s="5" t="s">
        <v>1511</v>
      </c>
      <c r="B497" s="78">
        <f t="shared" si="7"/>
        <v>234.292</v>
      </c>
      <c r="C497" s="78" t="s">
        <v>1445</v>
      </c>
      <c r="D497" s="7" t="s">
        <v>601</v>
      </c>
      <c r="E497" s="80" t="s">
        <v>1179</v>
      </c>
      <c r="F497" s="78">
        <v>234292</v>
      </c>
      <c r="G497" s="78" t="s">
        <v>1514</v>
      </c>
    </row>
    <row r="498" spans="1:7" x14ac:dyDescent="0.25">
      <c r="A498" s="5" t="s">
        <v>1511</v>
      </c>
      <c r="B498" s="78">
        <f t="shared" si="7"/>
        <v>234.762</v>
      </c>
      <c r="C498" s="78" t="s">
        <v>1446</v>
      </c>
      <c r="D498" s="7" t="s">
        <v>600</v>
      </c>
      <c r="E498" s="80" t="s">
        <v>1179</v>
      </c>
      <c r="F498" s="78">
        <v>234762</v>
      </c>
      <c r="G498" s="78" t="s">
        <v>1514</v>
      </c>
    </row>
    <row r="499" spans="1:7" x14ac:dyDescent="0.25">
      <c r="A499" s="5" t="s">
        <v>1511</v>
      </c>
      <c r="B499" s="78">
        <f t="shared" si="7"/>
        <v>235.01054000000002</v>
      </c>
      <c r="C499" s="78" t="s">
        <v>1447</v>
      </c>
      <c r="D499" s="7" t="s">
        <v>599</v>
      </c>
      <c r="E499" s="80" t="s">
        <v>1179</v>
      </c>
      <c r="F499" s="78">
        <v>235010.54</v>
      </c>
      <c r="G499" s="78" t="s">
        <v>1514</v>
      </c>
    </row>
    <row r="500" spans="1:7" x14ac:dyDescent="0.25">
      <c r="A500" s="5" t="s">
        <v>1511</v>
      </c>
      <c r="B500" s="78">
        <f t="shared" si="7"/>
        <v>235.38451000000001</v>
      </c>
      <c r="C500" s="78" t="s">
        <v>1448</v>
      </c>
      <c r="D500" s="7" t="s">
        <v>598</v>
      </c>
      <c r="E500" s="80" t="s">
        <v>1179</v>
      </c>
      <c r="F500" s="78">
        <v>235384.51</v>
      </c>
      <c r="G500" s="78" t="s">
        <v>1514</v>
      </c>
    </row>
    <row r="501" spans="1:7" x14ac:dyDescent="0.25">
      <c r="A501" s="5" t="s">
        <v>1511</v>
      </c>
      <c r="B501" s="78">
        <f t="shared" si="7"/>
        <v>235.75700000000001</v>
      </c>
      <c r="C501" s="78" t="s">
        <v>1449</v>
      </c>
      <c r="D501" s="7" t="s">
        <v>597</v>
      </c>
      <c r="E501" s="80" t="s">
        <v>1179</v>
      </c>
      <c r="F501" s="78">
        <v>235757</v>
      </c>
      <c r="G501" s="78" t="s">
        <v>1514</v>
      </c>
    </row>
    <row r="502" spans="1:7" x14ac:dyDescent="0.25">
      <c r="A502" s="5" t="s">
        <v>1511</v>
      </c>
      <c r="B502" s="78">
        <f t="shared" si="7"/>
        <v>236.24199999999999</v>
      </c>
      <c r="C502" s="78" t="s">
        <v>1450</v>
      </c>
      <c r="D502" s="7" t="s">
        <v>596</v>
      </c>
      <c r="E502" s="80" t="s">
        <v>1179</v>
      </c>
      <c r="F502" s="78">
        <v>236242</v>
      </c>
      <c r="G502" s="78" t="s">
        <v>1514</v>
      </c>
    </row>
    <row r="503" spans="1:7" x14ac:dyDescent="0.25">
      <c r="A503" s="5" t="s">
        <v>1511</v>
      </c>
      <c r="B503" s="78">
        <f t="shared" si="7"/>
        <v>236.75200000000001</v>
      </c>
      <c r="C503" s="78" t="s">
        <v>1451</v>
      </c>
      <c r="D503" s="7" t="s">
        <v>595</v>
      </c>
      <c r="E503" s="80" t="s">
        <v>1179</v>
      </c>
      <c r="F503" s="78">
        <v>236752</v>
      </c>
      <c r="G503" s="78" t="s">
        <v>1514</v>
      </c>
    </row>
    <row r="504" spans="1:7" x14ac:dyDescent="0.25">
      <c r="A504" s="5" t="s">
        <v>1511</v>
      </c>
      <c r="B504" s="78">
        <f t="shared" si="7"/>
        <v>237.22200000000001</v>
      </c>
      <c r="C504" s="78" t="s">
        <v>1452</v>
      </c>
      <c r="D504" s="7" t="s">
        <v>594</v>
      </c>
      <c r="E504" s="80" t="s">
        <v>1179</v>
      </c>
      <c r="F504" s="78">
        <v>237222</v>
      </c>
      <c r="G504" s="78" t="s">
        <v>1514</v>
      </c>
    </row>
    <row r="505" spans="1:7" x14ac:dyDescent="0.25">
      <c r="A505" s="5" t="s">
        <v>1511</v>
      </c>
      <c r="B505" s="78">
        <f t="shared" si="7"/>
        <v>237.751</v>
      </c>
      <c r="C505" s="78" t="s">
        <v>1453</v>
      </c>
      <c r="D505" s="7" t="s">
        <v>593</v>
      </c>
      <c r="E505" s="80" t="s">
        <v>1179</v>
      </c>
      <c r="F505" s="78">
        <v>237751</v>
      </c>
      <c r="G505" s="78" t="s">
        <v>1514</v>
      </c>
    </row>
    <row r="506" spans="1:7" x14ac:dyDescent="0.25">
      <c r="A506" s="5" t="s">
        <v>1511</v>
      </c>
      <c r="B506" s="78">
        <f t="shared" si="7"/>
        <v>238.21600000000001</v>
      </c>
      <c r="C506" s="78" t="s">
        <v>1454</v>
      </c>
      <c r="D506" s="7" t="s">
        <v>592</v>
      </c>
      <c r="E506" s="80" t="s">
        <v>1179</v>
      </c>
      <c r="F506" s="78">
        <v>238216</v>
      </c>
      <c r="G506" s="78" t="s">
        <v>1514</v>
      </c>
    </row>
    <row r="507" spans="1:7" x14ac:dyDescent="0.25">
      <c r="A507" s="5" t="s">
        <v>1511</v>
      </c>
      <c r="B507" s="78">
        <f t="shared" si="7"/>
        <v>238.73599999999999</v>
      </c>
      <c r="C507" s="78" t="s">
        <v>1455</v>
      </c>
      <c r="D507" s="7" t="s">
        <v>591</v>
      </c>
      <c r="E507" s="80" t="s">
        <v>1179</v>
      </c>
      <c r="F507" s="78">
        <v>238736</v>
      </c>
      <c r="G507" s="78" t="s">
        <v>1514</v>
      </c>
    </row>
    <row r="508" spans="1:7" x14ac:dyDescent="0.25">
      <c r="A508" s="5" t="s">
        <v>1511</v>
      </c>
      <c r="B508" s="78">
        <f t="shared" si="7"/>
        <v>239.21100000000001</v>
      </c>
      <c r="C508" s="78" t="s">
        <v>1456</v>
      </c>
      <c r="D508" s="7" t="s">
        <v>590</v>
      </c>
      <c r="E508" s="80" t="s">
        <v>1179</v>
      </c>
      <c r="F508" s="78">
        <v>239211</v>
      </c>
      <c r="G508" s="78" t="s">
        <v>1514</v>
      </c>
    </row>
    <row r="509" spans="1:7" x14ac:dyDescent="0.25">
      <c r="A509" s="5" t="s">
        <v>1511</v>
      </c>
      <c r="B509" s="78">
        <f t="shared" si="7"/>
        <v>239.732</v>
      </c>
      <c r="C509" s="78" t="s">
        <v>1457</v>
      </c>
      <c r="D509" s="7" t="s">
        <v>589</v>
      </c>
      <c r="E509" s="80" t="s">
        <v>1179</v>
      </c>
      <c r="F509" s="78">
        <v>239732</v>
      </c>
      <c r="G509" s="78" t="s">
        <v>1514</v>
      </c>
    </row>
    <row r="510" spans="1:7" x14ac:dyDescent="0.25">
      <c r="A510" s="5" t="s">
        <v>1511</v>
      </c>
      <c r="B510" s="78">
        <f t="shared" si="7"/>
        <v>240.06100000000001</v>
      </c>
      <c r="C510" s="78" t="s">
        <v>1458</v>
      </c>
      <c r="D510" s="7" t="s">
        <v>588</v>
      </c>
      <c r="E510" s="80" t="s">
        <v>1179</v>
      </c>
      <c r="F510" s="78">
        <v>240061</v>
      </c>
      <c r="G510" s="78" t="s">
        <v>1514</v>
      </c>
    </row>
    <row r="511" spans="1:7" x14ac:dyDescent="0.25">
      <c r="A511" s="5" t="s">
        <v>1511</v>
      </c>
      <c r="B511" s="78">
        <f t="shared" si="7"/>
        <v>240.48099999999999</v>
      </c>
      <c r="C511" s="78" t="s">
        <v>1459</v>
      </c>
      <c r="D511" s="7" t="s">
        <v>587</v>
      </c>
      <c r="E511" s="80" t="s">
        <v>1179</v>
      </c>
      <c r="F511" s="78">
        <v>240481</v>
      </c>
      <c r="G511" s="78" t="s">
        <v>1514</v>
      </c>
    </row>
    <row r="512" spans="1:7" x14ac:dyDescent="0.25">
      <c r="A512" s="5" t="s">
        <v>1511</v>
      </c>
      <c r="B512" s="78">
        <f t="shared" si="7"/>
        <v>240.95099999999999</v>
      </c>
      <c r="C512" s="78" t="s">
        <v>1460</v>
      </c>
      <c r="D512" s="7" t="s">
        <v>586</v>
      </c>
      <c r="E512" s="80" t="s">
        <v>1179</v>
      </c>
      <c r="F512" s="78">
        <v>240951</v>
      </c>
      <c r="G512" s="78" t="s">
        <v>1514</v>
      </c>
    </row>
    <row r="513" spans="1:7" x14ac:dyDescent="0.25">
      <c r="A513" s="5" t="s">
        <v>1511</v>
      </c>
      <c r="B513" s="78">
        <f t="shared" si="7"/>
        <v>241.45599999999999</v>
      </c>
      <c r="C513" s="78" t="s">
        <v>1461</v>
      </c>
      <c r="D513" s="7" t="s">
        <v>585</v>
      </c>
      <c r="E513" s="80" t="s">
        <v>1179</v>
      </c>
      <c r="F513" s="78">
        <v>241456</v>
      </c>
      <c r="G513" s="78" t="s">
        <v>1514</v>
      </c>
    </row>
    <row r="514" spans="1:7" x14ac:dyDescent="0.25">
      <c r="A514" s="5" t="s">
        <v>1511</v>
      </c>
      <c r="B514" s="78">
        <f t="shared" si="7"/>
        <v>241.84717000000001</v>
      </c>
      <c r="C514" s="78" t="s">
        <v>1462</v>
      </c>
      <c r="D514" s="7" t="s">
        <v>584</v>
      </c>
      <c r="E514" s="80" t="s">
        <v>1179</v>
      </c>
      <c r="F514" s="90">
        <v>241847.17</v>
      </c>
      <c r="G514" s="78" t="s">
        <v>1515</v>
      </c>
    </row>
    <row r="515" spans="1:7" x14ac:dyDescent="0.25">
      <c r="A515" s="5" t="s">
        <v>1511</v>
      </c>
      <c r="B515" s="78">
        <f t="shared" ref="B515:B563" si="8">F515/1000</f>
        <v>241.28899999999999</v>
      </c>
      <c r="C515" s="78" t="s">
        <v>1463</v>
      </c>
      <c r="D515" s="7" t="s">
        <v>583</v>
      </c>
      <c r="E515" s="80" t="s">
        <v>1179</v>
      </c>
      <c r="F515" s="78">
        <v>241289</v>
      </c>
      <c r="G515" s="78" t="s">
        <v>1514</v>
      </c>
    </row>
    <row r="516" spans="1:7" x14ac:dyDescent="0.25">
      <c r="A516" s="5" t="s">
        <v>1511</v>
      </c>
      <c r="B516" s="78">
        <f t="shared" si="8"/>
        <v>241.79400000000001</v>
      </c>
      <c r="C516" s="78" t="s">
        <v>1464</v>
      </c>
      <c r="D516" s="7" t="s">
        <v>582</v>
      </c>
      <c r="E516" s="80" t="s">
        <v>1179</v>
      </c>
      <c r="F516" s="78">
        <v>241794</v>
      </c>
      <c r="G516" s="78" t="s">
        <v>1514</v>
      </c>
    </row>
    <row r="517" spans="1:7" x14ac:dyDescent="0.25">
      <c r="A517" s="5" t="s">
        <v>1511</v>
      </c>
      <c r="B517" s="78">
        <f t="shared" si="8"/>
        <v>242.28800000000001</v>
      </c>
      <c r="C517" s="78" t="s">
        <v>1465</v>
      </c>
      <c r="D517" s="7" t="s">
        <v>581</v>
      </c>
      <c r="E517" s="80" t="s">
        <v>1179</v>
      </c>
      <c r="F517" s="78">
        <v>242288</v>
      </c>
      <c r="G517" s="78" t="s">
        <v>1514</v>
      </c>
    </row>
    <row r="518" spans="1:7" x14ac:dyDescent="0.25">
      <c r="A518" s="5" t="s">
        <v>1511</v>
      </c>
      <c r="B518" s="78">
        <f t="shared" si="8"/>
        <v>242.79300000000001</v>
      </c>
      <c r="C518" s="78" t="s">
        <v>1466</v>
      </c>
      <c r="D518" s="7" t="s">
        <v>580</v>
      </c>
      <c r="E518" s="80" t="s">
        <v>1179</v>
      </c>
      <c r="F518" s="78">
        <v>242793</v>
      </c>
      <c r="G518" s="78" t="s">
        <v>1514</v>
      </c>
    </row>
    <row r="519" spans="1:7" x14ac:dyDescent="0.25">
      <c r="A519" s="5" t="s">
        <v>1511</v>
      </c>
      <c r="B519" s="78">
        <f t="shared" si="8"/>
        <v>243.28</v>
      </c>
      <c r="C519" s="78" t="s">
        <v>1467</v>
      </c>
      <c r="D519" s="7" t="s">
        <v>579</v>
      </c>
      <c r="E519" s="80" t="s">
        <v>1179</v>
      </c>
      <c r="F519" s="78">
        <v>243280</v>
      </c>
      <c r="G519" s="78" t="s">
        <v>1514</v>
      </c>
    </row>
    <row r="520" spans="1:7" x14ac:dyDescent="0.25">
      <c r="A520" s="5" t="s">
        <v>1511</v>
      </c>
      <c r="B520" s="78">
        <f t="shared" si="8"/>
        <v>243.79</v>
      </c>
      <c r="C520" s="78" t="s">
        <v>1468</v>
      </c>
      <c r="D520" s="7" t="s">
        <v>578</v>
      </c>
      <c r="E520" s="80" t="s">
        <v>1179</v>
      </c>
      <c r="F520" s="78">
        <v>243790</v>
      </c>
      <c r="G520" s="78" t="s">
        <v>1514</v>
      </c>
    </row>
    <row r="521" spans="1:7" x14ac:dyDescent="0.25">
      <c r="A521" s="5" t="s">
        <v>1511</v>
      </c>
      <c r="B521" s="78">
        <f t="shared" si="8"/>
        <v>244.27600000000001</v>
      </c>
      <c r="C521" s="78" t="s">
        <v>1469</v>
      </c>
      <c r="D521" s="7" t="s">
        <v>577</v>
      </c>
      <c r="E521" s="80" t="s">
        <v>1179</v>
      </c>
      <c r="F521" s="78">
        <v>244276</v>
      </c>
      <c r="G521" s="78" t="s">
        <v>1514</v>
      </c>
    </row>
    <row r="522" spans="1:7" x14ac:dyDescent="0.25">
      <c r="A522" s="5" t="s">
        <v>1511</v>
      </c>
      <c r="B522" s="78">
        <f t="shared" si="8"/>
        <v>244.786</v>
      </c>
      <c r="C522" s="78" t="s">
        <v>1470</v>
      </c>
      <c r="D522" s="7" t="s">
        <v>576</v>
      </c>
      <c r="E522" s="80" t="s">
        <v>1179</v>
      </c>
      <c r="F522" s="78">
        <v>244786</v>
      </c>
      <c r="G522" s="78" t="s">
        <v>1514</v>
      </c>
    </row>
    <row r="523" spans="1:7" x14ac:dyDescent="0.25">
      <c r="A523" s="5" t="s">
        <v>1511</v>
      </c>
      <c r="B523" s="78">
        <f t="shared" si="8"/>
        <v>245.27500000000001</v>
      </c>
      <c r="C523" s="78" t="s">
        <v>1471</v>
      </c>
      <c r="D523" s="7" t="s">
        <v>575</v>
      </c>
      <c r="E523" s="80" t="s">
        <v>1179</v>
      </c>
      <c r="F523" s="78">
        <v>245275</v>
      </c>
      <c r="G523" s="78" t="s">
        <v>1514</v>
      </c>
    </row>
    <row r="524" spans="1:7" x14ac:dyDescent="0.25">
      <c r="A524" s="5" t="s">
        <v>1511</v>
      </c>
      <c r="B524" s="78">
        <f t="shared" si="8"/>
        <v>245.78200000000001</v>
      </c>
      <c r="C524" s="78" t="s">
        <v>1472</v>
      </c>
      <c r="D524" s="7" t="s">
        <v>574</v>
      </c>
      <c r="E524" s="80" t="s">
        <v>1179</v>
      </c>
      <c r="F524" s="78">
        <v>245782</v>
      </c>
      <c r="G524" s="78" t="s">
        <v>1514</v>
      </c>
    </row>
    <row r="525" spans="1:7" x14ac:dyDescent="0.25">
      <c r="A525" s="5" t="s">
        <v>1511</v>
      </c>
      <c r="B525" s="78">
        <f t="shared" si="8"/>
        <v>246.273</v>
      </c>
      <c r="C525" s="78" t="s">
        <v>1473</v>
      </c>
      <c r="D525" s="7" t="s">
        <v>573</v>
      </c>
      <c r="E525" s="80" t="s">
        <v>1179</v>
      </c>
      <c r="F525" s="78">
        <v>246273</v>
      </c>
      <c r="G525" s="78" t="s">
        <v>1514</v>
      </c>
    </row>
    <row r="526" spans="1:7" x14ac:dyDescent="0.25">
      <c r="A526" s="5" t="s">
        <v>1511</v>
      </c>
      <c r="B526" s="78">
        <f t="shared" si="8"/>
        <v>246.78100000000001</v>
      </c>
      <c r="C526" s="78" t="s">
        <v>1474</v>
      </c>
      <c r="D526" s="7" t="s">
        <v>572</v>
      </c>
      <c r="E526" s="80" t="s">
        <v>1179</v>
      </c>
      <c r="F526" s="78">
        <v>246781</v>
      </c>
      <c r="G526" s="78" t="s">
        <v>1514</v>
      </c>
    </row>
    <row r="527" spans="1:7" x14ac:dyDescent="0.25">
      <c r="A527" s="5" t="s">
        <v>1511</v>
      </c>
      <c r="B527" s="78">
        <f t="shared" si="8"/>
        <v>247.27</v>
      </c>
      <c r="C527" s="78" t="s">
        <v>1475</v>
      </c>
      <c r="D527" s="7" t="s">
        <v>571</v>
      </c>
      <c r="E527" s="80" t="s">
        <v>1179</v>
      </c>
      <c r="F527" s="78">
        <v>247270</v>
      </c>
      <c r="G527" s="78" t="s">
        <v>1514</v>
      </c>
    </row>
    <row r="528" spans="1:7" x14ac:dyDescent="0.25">
      <c r="A528" s="5" t="s">
        <v>1511</v>
      </c>
      <c r="B528" s="78">
        <f t="shared" si="8"/>
        <v>247.77500000000001</v>
      </c>
      <c r="C528" s="78" t="s">
        <v>1476</v>
      </c>
      <c r="D528" s="7" t="s">
        <v>570</v>
      </c>
      <c r="E528" s="80" t="s">
        <v>1179</v>
      </c>
      <c r="F528" s="78">
        <v>247775</v>
      </c>
      <c r="G528" s="78" t="s">
        <v>1514</v>
      </c>
    </row>
    <row r="529" spans="1:7" x14ac:dyDescent="0.25">
      <c r="A529" s="5" t="s">
        <v>1511</v>
      </c>
      <c r="B529" s="78">
        <f t="shared" si="8"/>
        <v>248.27199999999999</v>
      </c>
      <c r="C529" s="78" t="s">
        <v>1477</v>
      </c>
      <c r="D529" s="7" t="s">
        <v>569</v>
      </c>
      <c r="E529" s="80" t="s">
        <v>1179</v>
      </c>
      <c r="F529" s="78">
        <v>248272</v>
      </c>
      <c r="G529" s="78" t="s">
        <v>1514</v>
      </c>
    </row>
    <row r="530" spans="1:7" x14ac:dyDescent="0.25">
      <c r="A530" s="5" t="s">
        <v>1511</v>
      </c>
      <c r="B530" s="78">
        <f t="shared" si="8"/>
        <v>248.76</v>
      </c>
      <c r="C530" s="78" t="s">
        <v>1478</v>
      </c>
      <c r="D530" s="7" t="s">
        <v>568</v>
      </c>
      <c r="E530" s="80" t="s">
        <v>1179</v>
      </c>
      <c r="F530" s="78">
        <v>248760</v>
      </c>
      <c r="G530" s="78" t="s">
        <v>1514</v>
      </c>
    </row>
    <row r="531" spans="1:7" x14ac:dyDescent="0.25">
      <c r="A531" s="5" t="s">
        <v>1511</v>
      </c>
      <c r="B531" s="78">
        <f t="shared" si="8"/>
        <v>249.26</v>
      </c>
      <c r="C531" s="78" t="s">
        <v>1479</v>
      </c>
      <c r="D531" s="7" t="s">
        <v>567</v>
      </c>
      <c r="E531" s="80" t="s">
        <v>1179</v>
      </c>
      <c r="F531" s="78">
        <v>249260</v>
      </c>
      <c r="G531" s="78" t="s">
        <v>1514</v>
      </c>
    </row>
    <row r="532" spans="1:7" x14ac:dyDescent="0.25">
      <c r="A532" s="5" t="s">
        <v>1511</v>
      </c>
      <c r="B532" s="78">
        <f t="shared" si="8"/>
        <v>249.75800000000001</v>
      </c>
      <c r="C532" s="78" t="s">
        <v>1480</v>
      </c>
      <c r="D532" s="7" t="s">
        <v>566</v>
      </c>
      <c r="E532" s="80" t="s">
        <v>1179</v>
      </c>
      <c r="F532" s="78">
        <v>249758</v>
      </c>
      <c r="G532" s="78" t="s">
        <v>1514</v>
      </c>
    </row>
    <row r="533" spans="1:7" x14ac:dyDescent="0.25">
      <c r="A533" s="5" t="s">
        <v>1511</v>
      </c>
      <c r="B533" s="78">
        <f t="shared" si="8"/>
        <v>250.245</v>
      </c>
      <c r="C533" s="78" t="s">
        <v>1481</v>
      </c>
      <c r="D533" s="7" t="s">
        <v>565</v>
      </c>
      <c r="E533" s="80" t="s">
        <v>1179</v>
      </c>
      <c r="F533" s="78">
        <v>250245</v>
      </c>
      <c r="G533" s="78" t="s">
        <v>1514</v>
      </c>
    </row>
    <row r="534" spans="1:7" x14ac:dyDescent="0.25">
      <c r="A534" s="5" t="s">
        <v>1511</v>
      </c>
      <c r="B534" s="78">
        <f t="shared" si="8"/>
        <v>250.66499999999999</v>
      </c>
      <c r="C534" s="78" t="s">
        <v>1482</v>
      </c>
      <c r="D534" s="7" t="s">
        <v>564</v>
      </c>
      <c r="E534" s="80" t="s">
        <v>1179</v>
      </c>
      <c r="F534" s="78">
        <v>250665</v>
      </c>
      <c r="G534" s="78" t="s">
        <v>1517</v>
      </c>
    </row>
    <row r="535" spans="1:7" x14ac:dyDescent="0.25">
      <c r="A535" s="5" t="s">
        <v>1511</v>
      </c>
      <c r="B535" s="78">
        <f t="shared" si="8"/>
        <v>251.14260999999999</v>
      </c>
      <c r="C535" s="78" t="s">
        <v>1483</v>
      </c>
      <c r="D535" s="7" t="s">
        <v>563</v>
      </c>
      <c r="E535" s="80" t="s">
        <v>1179</v>
      </c>
      <c r="F535" s="78">
        <v>251142.61</v>
      </c>
      <c r="G535" s="78" t="s">
        <v>1517</v>
      </c>
    </row>
    <row r="536" spans="1:7" x14ac:dyDescent="0.25">
      <c r="A536" s="5" t="s">
        <v>1511</v>
      </c>
      <c r="B536" s="78">
        <f t="shared" si="8"/>
        <v>251.66300000000001</v>
      </c>
      <c r="C536" s="78" t="s">
        <v>1484</v>
      </c>
      <c r="D536" s="7" t="s">
        <v>562</v>
      </c>
      <c r="E536" s="80" t="s">
        <v>1179</v>
      </c>
      <c r="F536" s="78">
        <v>251663</v>
      </c>
      <c r="G536" s="78" t="s">
        <v>1516</v>
      </c>
    </row>
    <row r="537" spans="1:7" x14ac:dyDescent="0.25">
      <c r="A537" s="5" t="s">
        <v>1511</v>
      </c>
      <c r="B537" s="78">
        <f t="shared" si="8"/>
        <v>252.142</v>
      </c>
      <c r="C537" s="78" t="s">
        <v>1485</v>
      </c>
      <c r="D537" s="7" t="s">
        <v>561</v>
      </c>
      <c r="E537" s="80" t="s">
        <v>1179</v>
      </c>
      <c r="F537" s="78">
        <v>252142</v>
      </c>
      <c r="G537" s="78" t="s">
        <v>1514</v>
      </c>
    </row>
    <row r="538" spans="1:7" x14ac:dyDescent="0.25">
      <c r="A538" s="5" t="s">
        <v>1511</v>
      </c>
      <c r="B538" s="78">
        <f t="shared" si="8"/>
        <v>252.64699999999999</v>
      </c>
      <c r="C538" s="78" t="s">
        <v>1486</v>
      </c>
      <c r="D538" s="7" t="s">
        <v>560</v>
      </c>
      <c r="E538" s="80" t="s">
        <v>1179</v>
      </c>
      <c r="F538" s="78">
        <v>252647</v>
      </c>
      <c r="G538" s="78" t="s">
        <v>1514</v>
      </c>
    </row>
    <row r="539" spans="1:7" x14ac:dyDescent="0.25">
      <c r="A539" s="5" t="s">
        <v>1511</v>
      </c>
      <c r="B539" s="78">
        <f t="shared" si="8"/>
        <v>253.14099999999999</v>
      </c>
      <c r="C539" s="78" t="s">
        <v>1487</v>
      </c>
      <c r="D539" s="7" t="s">
        <v>559</v>
      </c>
      <c r="E539" s="80" t="s">
        <v>1179</v>
      </c>
      <c r="F539" s="78">
        <v>253141</v>
      </c>
      <c r="G539" s="78" t="s">
        <v>1514</v>
      </c>
    </row>
    <row r="540" spans="1:7" x14ac:dyDescent="0.25">
      <c r="A540" s="5" t="s">
        <v>1511</v>
      </c>
      <c r="B540" s="78">
        <f t="shared" si="8"/>
        <v>253.63399999999999</v>
      </c>
      <c r="C540" s="78" t="s">
        <v>1488</v>
      </c>
      <c r="D540" s="7" t="s">
        <v>558</v>
      </c>
      <c r="E540" s="80" t="s">
        <v>1179</v>
      </c>
      <c r="F540" s="78">
        <v>253634</v>
      </c>
      <c r="G540" s="78" t="s">
        <v>1514</v>
      </c>
    </row>
    <row r="541" spans="1:7" x14ac:dyDescent="0.25">
      <c r="A541" s="5" t="s">
        <v>1511</v>
      </c>
      <c r="B541" s="78">
        <f t="shared" si="8"/>
        <v>254.12899999999999</v>
      </c>
      <c r="C541" s="78" t="s">
        <v>1489</v>
      </c>
      <c r="D541" s="7" t="s">
        <v>557</v>
      </c>
      <c r="E541" s="80" t="s">
        <v>1179</v>
      </c>
      <c r="F541" s="78">
        <v>254129</v>
      </c>
      <c r="G541" s="78" t="s">
        <v>1514</v>
      </c>
    </row>
    <row r="542" spans="1:7" x14ac:dyDescent="0.25">
      <c r="A542" s="5" t="s">
        <v>1511</v>
      </c>
      <c r="B542" s="78">
        <f t="shared" si="8"/>
        <v>254.62899999999999</v>
      </c>
      <c r="C542" s="78" t="s">
        <v>1490</v>
      </c>
      <c r="D542" s="7" t="s">
        <v>556</v>
      </c>
      <c r="E542" s="80" t="s">
        <v>1179</v>
      </c>
      <c r="F542" s="78">
        <v>254629</v>
      </c>
      <c r="G542" s="78" t="s">
        <v>1514</v>
      </c>
    </row>
    <row r="543" spans="1:7" x14ac:dyDescent="0.25">
      <c r="A543" s="5" t="s">
        <v>1511</v>
      </c>
      <c r="B543" s="78">
        <f t="shared" si="8"/>
        <v>255.119</v>
      </c>
      <c r="C543" s="78" t="s">
        <v>1491</v>
      </c>
      <c r="D543" s="7" t="s">
        <v>555</v>
      </c>
      <c r="E543" s="80" t="s">
        <v>1179</v>
      </c>
      <c r="F543" s="78">
        <v>255119</v>
      </c>
      <c r="G543" s="78" t="s">
        <v>1514</v>
      </c>
    </row>
    <row r="544" spans="1:7" x14ac:dyDescent="0.25">
      <c r="A544" s="5" t="s">
        <v>1511</v>
      </c>
      <c r="B544" s="78">
        <f t="shared" si="8"/>
        <v>255.624</v>
      </c>
      <c r="C544" s="78" t="s">
        <v>1492</v>
      </c>
      <c r="D544" s="7" t="s">
        <v>554</v>
      </c>
      <c r="E544" s="80" t="s">
        <v>1179</v>
      </c>
      <c r="F544" s="78">
        <v>255624</v>
      </c>
      <c r="G544" s="78" t="s">
        <v>1514</v>
      </c>
    </row>
    <row r="545" spans="1:7" x14ac:dyDescent="0.25">
      <c r="A545" s="5" t="s">
        <v>1511</v>
      </c>
      <c r="B545" s="78">
        <f t="shared" si="8"/>
        <v>256.06887999999998</v>
      </c>
      <c r="C545" s="78" t="s">
        <v>1493</v>
      </c>
      <c r="D545" s="7" t="s">
        <v>553</v>
      </c>
      <c r="E545" s="80" t="s">
        <v>1179</v>
      </c>
      <c r="F545" s="78">
        <v>256068.88</v>
      </c>
      <c r="G545" s="78" t="s">
        <v>1515</v>
      </c>
    </row>
    <row r="546" spans="1:7" x14ac:dyDescent="0.25">
      <c r="A546" s="5" t="s">
        <v>1511</v>
      </c>
      <c r="B546" s="78">
        <f t="shared" si="8"/>
        <v>256.53399999999999</v>
      </c>
      <c r="C546" s="78" t="s">
        <v>1494</v>
      </c>
      <c r="D546" s="7" t="s">
        <v>552</v>
      </c>
      <c r="E546" s="80" t="s">
        <v>1179</v>
      </c>
      <c r="F546" s="78">
        <v>256534</v>
      </c>
      <c r="G546" s="78" t="s">
        <v>1514</v>
      </c>
    </row>
    <row r="547" spans="1:7" x14ac:dyDescent="0.25">
      <c r="A547" s="5" t="s">
        <v>1511</v>
      </c>
      <c r="B547" s="78">
        <f t="shared" si="8"/>
        <v>257.04399999999998</v>
      </c>
      <c r="C547" s="78" t="s">
        <v>1495</v>
      </c>
      <c r="D547" s="7" t="s">
        <v>551</v>
      </c>
      <c r="E547" s="80" t="s">
        <v>1179</v>
      </c>
      <c r="F547" s="78">
        <v>257044</v>
      </c>
      <c r="G547" s="78" t="s">
        <v>1514</v>
      </c>
    </row>
    <row r="548" spans="1:7" x14ac:dyDescent="0.25">
      <c r="A548" s="5" t="s">
        <v>1511</v>
      </c>
      <c r="B548" s="78">
        <f t="shared" si="8"/>
        <v>257.49400000000003</v>
      </c>
      <c r="C548" s="78" t="s">
        <v>1496</v>
      </c>
      <c r="D548" s="7" t="s">
        <v>550</v>
      </c>
      <c r="E548" s="80" t="s">
        <v>1179</v>
      </c>
      <c r="F548" s="78">
        <v>257494</v>
      </c>
      <c r="G548" s="78" t="s">
        <v>1514</v>
      </c>
    </row>
    <row r="549" spans="1:7" x14ac:dyDescent="0.25">
      <c r="A549" s="5" t="s">
        <v>1511</v>
      </c>
      <c r="B549" s="78">
        <f t="shared" si="8"/>
        <v>257.93900000000002</v>
      </c>
      <c r="C549" s="78" t="s">
        <v>1497</v>
      </c>
      <c r="D549" s="7" t="s">
        <v>549</v>
      </c>
      <c r="E549" s="80" t="s">
        <v>1179</v>
      </c>
      <c r="F549" s="78">
        <v>257939</v>
      </c>
      <c r="G549" s="78" t="s">
        <v>1514</v>
      </c>
    </row>
    <row r="550" spans="1:7" x14ac:dyDescent="0.25">
      <c r="A550" s="5" t="s">
        <v>1511</v>
      </c>
      <c r="B550" s="78">
        <f t="shared" si="8"/>
        <v>258.43700999999999</v>
      </c>
      <c r="C550" s="78" t="s">
        <v>1498</v>
      </c>
      <c r="D550" s="7" t="s">
        <v>548</v>
      </c>
      <c r="E550" s="80" t="s">
        <v>1179</v>
      </c>
      <c r="F550" s="78">
        <v>258437.01</v>
      </c>
      <c r="G550" s="78" t="s">
        <v>1515</v>
      </c>
    </row>
    <row r="551" spans="1:7" x14ac:dyDescent="0.25">
      <c r="A551" s="5" t="s">
        <v>1511</v>
      </c>
      <c r="B551" s="78">
        <f t="shared" si="8"/>
        <v>258.91206</v>
      </c>
      <c r="C551" s="78" t="s">
        <v>1499</v>
      </c>
      <c r="D551" s="7" t="s">
        <v>547</v>
      </c>
      <c r="E551" s="80" t="s">
        <v>1179</v>
      </c>
      <c r="F551" s="78">
        <v>258912.06</v>
      </c>
      <c r="G551" s="78" t="s">
        <v>1514</v>
      </c>
    </row>
    <row r="552" spans="1:7" x14ac:dyDescent="0.25">
      <c r="A552" s="5" t="s">
        <v>1511</v>
      </c>
      <c r="B552" s="78">
        <f t="shared" si="8"/>
        <v>259.41590000000002</v>
      </c>
      <c r="C552" s="78" t="s">
        <v>1500</v>
      </c>
      <c r="D552" s="7" t="s">
        <v>546</v>
      </c>
      <c r="E552" s="80" t="s">
        <v>1179</v>
      </c>
      <c r="F552" s="78">
        <v>259415.9</v>
      </c>
      <c r="G552" s="78" t="s">
        <v>1513</v>
      </c>
    </row>
    <row r="553" spans="1:7" x14ac:dyDescent="0.25">
      <c r="A553" s="5" t="s">
        <v>1511</v>
      </c>
      <c r="B553" s="78">
        <f t="shared" si="8"/>
        <v>259.55171999999999</v>
      </c>
      <c r="C553" s="78" t="s">
        <v>1501</v>
      </c>
      <c r="D553" s="7" t="s">
        <v>545</v>
      </c>
      <c r="E553" s="80" t="s">
        <v>1179</v>
      </c>
      <c r="F553" s="78">
        <v>259551.72</v>
      </c>
      <c r="G553" s="78" t="s">
        <v>1513</v>
      </c>
    </row>
    <row r="554" spans="1:7" x14ac:dyDescent="0.25">
      <c r="A554" s="5" t="s">
        <v>1511</v>
      </c>
      <c r="B554" s="78">
        <f t="shared" si="8"/>
        <v>259.95935000000003</v>
      </c>
      <c r="C554" s="78" t="s">
        <v>1502</v>
      </c>
      <c r="D554" s="7" t="s">
        <v>544</v>
      </c>
      <c r="E554" s="80" t="s">
        <v>1179</v>
      </c>
      <c r="F554" s="90">
        <v>259959.35</v>
      </c>
      <c r="G554" s="78" t="s">
        <v>1514</v>
      </c>
    </row>
    <row r="555" spans="1:7" x14ac:dyDescent="0.25">
      <c r="A555" s="5" t="s">
        <v>1511</v>
      </c>
      <c r="B555" s="78">
        <f t="shared" si="8"/>
        <v>260.06628999999998</v>
      </c>
      <c r="C555" s="78" t="s">
        <v>1503</v>
      </c>
      <c r="D555" s="7" t="s">
        <v>543</v>
      </c>
      <c r="E555" s="80" t="s">
        <v>1179</v>
      </c>
      <c r="F555" s="78">
        <v>260066.29</v>
      </c>
      <c r="G555" s="78" t="s">
        <v>1514</v>
      </c>
    </row>
    <row r="556" spans="1:7" x14ac:dyDescent="0.25">
      <c r="A556" s="5" t="s">
        <v>1511</v>
      </c>
      <c r="B556" s="78">
        <f t="shared" si="8"/>
        <v>260.56031000000002</v>
      </c>
      <c r="C556" s="78" t="s">
        <v>1504</v>
      </c>
      <c r="D556" s="7" t="s">
        <v>542</v>
      </c>
      <c r="E556" s="80" t="s">
        <v>1179</v>
      </c>
      <c r="F556" s="78">
        <v>260560.31</v>
      </c>
      <c r="G556" s="78" t="s">
        <v>1514</v>
      </c>
    </row>
    <row r="557" spans="1:7" x14ac:dyDescent="0.25">
      <c r="A557" s="5" t="s">
        <v>1511</v>
      </c>
      <c r="B557" s="78">
        <f t="shared" si="8"/>
        <v>261.012</v>
      </c>
      <c r="C557" s="78" t="s">
        <v>1505</v>
      </c>
      <c r="D557" s="7" t="s">
        <v>541</v>
      </c>
      <c r="E557" s="80" t="s">
        <v>1179</v>
      </c>
      <c r="F557" s="78">
        <v>261012</v>
      </c>
      <c r="G557" s="78" t="s">
        <v>1514</v>
      </c>
    </row>
    <row r="558" spans="1:7" x14ac:dyDescent="0.25">
      <c r="A558" s="5" t="s">
        <v>1511</v>
      </c>
      <c r="B558" s="78">
        <f t="shared" si="8"/>
        <v>261.46664000000004</v>
      </c>
      <c r="C558" s="78" t="s">
        <v>1506</v>
      </c>
      <c r="D558" s="7" t="s">
        <v>540</v>
      </c>
      <c r="E558" s="80" t="s">
        <v>1179</v>
      </c>
      <c r="F558" s="78">
        <v>261466.64</v>
      </c>
      <c r="G558" s="78" t="s">
        <v>1514</v>
      </c>
    </row>
    <row r="559" spans="1:7" x14ac:dyDescent="0.25">
      <c r="A559" s="5" t="s">
        <v>1511</v>
      </c>
      <c r="B559" s="78">
        <f t="shared" si="8"/>
        <v>261.65600000000001</v>
      </c>
      <c r="C559" s="78" t="s">
        <v>1507</v>
      </c>
      <c r="D559" s="7" t="s">
        <v>539</v>
      </c>
      <c r="E559" s="80" t="s">
        <v>1179</v>
      </c>
      <c r="F559" s="78">
        <v>261656</v>
      </c>
      <c r="G559" s="78" t="s">
        <v>1514</v>
      </c>
    </row>
    <row r="560" spans="1:7" x14ac:dyDescent="0.25">
      <c r="A560" s="5" t="s">
        <v>1511</v>
      </c>
      <c r="B560" s="78">
        <f t="shared" si="8"/>
        <v>262.16000000000003</v>
      </c>
      <c r="C560" s="78" t="s">
        <v>1508</v>
      </c>
      <c r="D560" s="7" t="s">
        <v>538</v>
      </c>
      <c r="E560" s="80" t="s">
        <v>1179</v>
      </c>
      <c r="F560" s="78">
        <v>262160</v>
      </c>
      <c r="G560" s="78" t="s">
        <v>1514</v>
      </c>
    </row>
    <row r="561" spans="1:7" x14ac:dyDescent="0.25">
      <c r="A561" s="5" t="s">
        <v>1511</v>
      </c>
      <c r="B561" s="78">
        <f t="shared" si="8"/>
        <v>262.60500000000002</v>
      </c>
      <c r="C561" s="78" t="s">
        <v>1509</v>
      </c>
      <c r="D561" s="7" t="s">
        <v>537</v>
      </c>
      <c r="E561" s="80" t="s">
        <v>1179</v>
      </c>
      <c r="F561" s="78">
        <v>262605</v>
      </c>
      <c r="G561" s="78" t="s">
        <v>1514</v>
      </c>
    </row>
    <row r="562" spans="1:7" x14ac:dyDescent="0.25">
      <c r="A562" s="5" t="s">
        <v>1511</v>
      </c>
      <c r="B562" s="78">
        <f t="shared" si="8"/>
        <v>262.88175999999999</v>
      </c>
      <c r="C562" s="78" t="s">
        <v>1510</v>
      </c>
      <c r="D562" s="7" t="s">
        <v>536</v>
      </c>
      <c r="F562" s="78">
        <v>262881.76</v>
      </c>
      <c r="G562" s="78" t="s">
        <v>1513</v>
      </c>
    </row>
    <row r="563" spans="1:7" x14ac:dyDescent="0.25">
      <c r="A563" s="5" t="s">
        <v>1511</v>
      </c>
      <c r="B563" s="78">
        <f t="shared" si="8"/>
        <v>262.97271999999998</v>
      </c>
      <c r="C563" s="78" t="s">
        <v>1220</v>
      </c>
      <c r="D563" s="7" t="s">
        <v>535</v>
      </c>
      <c r="F563" s="78">
        <v>262972.71999999997</v>
      </c>
    </row>
  </sheetData>
  <phoneticPr fontId="7" type="noConversion"/>
  <dataValidations count="3">
    <dataValidation type="textLength" allowBlank="1" showInputMessage="1" showErrorMessage="1" sqref="WUV982794:WVA982794 IJ1:IO1 SF1:SK1 ACB1:ACG1 ALX1:AMC1 AVT1:AVY1 BFP1:BFU1 BPL1:BPQ1 BZH1:BZM1 CJD1:CJI1 CSZ1:CTE1 DCV1:DDA1 DMR1:DMW1 DWN1:DWS1 EGJ1:EGO1 EQF1:EQK1 FAB1:FAG1 FJX1:FKC1 FTT1:FTY1 GDP1:GDU1 GNL1:GNQ1 GXH1:GXM1 HHD1:HHI1 HQZ1:HRE1 IAV1:IBA1 IKR1:IKW1 IUN1:IUS1 JEJ1:JEO1 JOF1:JOK1 JYB1:JYG1 KHX1:KIC1 KRT1:KRY1 LBP1:LBU1 LLL1:LLQ1 LVH1:LVM1 MFD1:MFI1 MOZ1:MPE1 MYV1:MZA1 NIR1:NIW1 NSN1:NSS1 OCJ1:OCO1 OMF1:OMK1 OWB1:OWG1 PFX1:PGC1 PPT1:PPY1 PZP1:PZU1 QJL1:QJQ1 QTH1:QTM1 RDD1:RDI1 RMZ1:RNE1 RWV1:RXA1 SGR1:SGW1 SQN1:SQS1 TAJ1:TAO1 TKF1:TKK1 TUB1:TUG1 UDX1:UEC1 UNT1:UNY1 UXP1:UXU1 VHL1:VHQ1 VRH1:VRM1 WBD1:WBI1 WKZ1:WLE1 WUV1:WVA1 C65290:E65290 IJ65290:IO65290 SF65290:SK65290 ACB65290:ACG65290 ALX65290:AMC65290 AVT65290:AVY65290 BFP65290:BFU65290 BPL65290:BPQ65290 BZH65290:BZM65290 CJD65290:CJI65290 CSZ65290:CTE65290 DCV65290:DDA65290 DMR65290:DMW65290 DWN65290:DWS65290 EGJ65290:EGO65290 EQF65290:EQK65290 FAB65290:FAG65290 FJX65290:FKC65290 FTT65290:FTY65290 GDP65290:GDU65290 GNL65290:GNQ65290 GXH65290:GXM65290 HHD65290:HHI65290 HQZ65290:HRE65290 IAV65290:IBA65290 IKR65290:IKW65290 IUN65290:IUS65290 JEJ65290:JEO65290 JOF65290:JOK65290 JYB65290:JYG65290 KHX65290:KIC65290 KRT65290:KRY65290 LBP65290:LBU65290 LLL65290:LLQ65290 LVH65290:LVM65290 MFD65290:MFI65290 MOZ65290:MPE65290 MYV65290:MZA65290 NIR65290:NIW65290 NSN65290:NSS65290 OCJ65290:OCO65290 OMF65290:OMK65290 OWB65290:OWG65290 PFX65290:PGC65290 PPT65290:PPY65290 PZP65290:PZU65290 QJL65290:QJQ65290 QTH65290:QTM65290 RDD65290:RDI65290 RMZ65290:RNE65290 RWV65290:RXA65290 SGR65290:SGW65290 SQN65290:SQS65290 TAJ65290:TAO65290 TKF65290:TKK65290 TUB65290:TUG65290 UDX65290:UEC65290 UNT65290:UNY65290 UXP65290:UXU65290 VHL65290:VHQ65290 VRH65290:VRM65290 WBD65290:WBI65290 WKZ65290:WLE65290 WUV65290:WVA65290 C130826:E130826 IJ130826:IO130826 SF130826:SK130826 ACB130826:ACG130826 ALX130826:AMC130826 AVT130826:AVY130826 BFP130826:BFU130826 BPL130826:BPQ130826 BZH130826:BZM130826 CJD130826:CJI130826 CSZ130826:CTE130826 DCV130826:DDA130826 DMR130826:DMW130826 DWN130826:DWS130826 EGJ130826:EGO130826 EQF130826:EQK130826 FAB130826:FAG130826 FJX130826:FKC130826 FTT130826:FTY130826 GDP130826:GDU130826 GNL130826:GNQ130826 GXH130826:GXM130826 HHD130826:HHI130826 HQZ130826:HRE130826 IAV130826:IBA130826 IKR130826:IKW130826 IUN130826:IUS130826 JEJ130826:JEO130826 JOF130826:JOK130826 JYB130826:JYG130826 KHX130826:KIC130826 KRT130826:KRY130826 LBP130826:LBU130826 LLL130826:LLQ130826 LVH130826:LVM130826 MFD130826:MFI130826 MOZ130826:MPE130826 MYV130826:MZA130826 NIR130826:NIW130826 NSN130826:NSS130826 OCJ130826:OCO130826 OMF130826:OMK130826 OWB130826:OWG130826 PFX130826:PGC130826 PPT130826:PPY130826 PZP130826:PZU130826 QJL130826:QJQ130826 QTH130826:QTM130826 RDD130826:RDI130826 RMZ130826:RNE130826 RWV130826:RXA130826 SGR130826:SGW130826 SQN130826:SQS130826 TAJ130826:TAO130826 TKF130826:TKK130826 TUB130826:TUG130826 UDX130826:UEC130826 UNT130826:UNY130826 UXP130826:UXU130826 VHL130826:VHQ130826 VRH130826:VRM130826 WBD130826:WBI130826 WKZ130826:WLE130826 WUV130826:WVA130826 C196362:E196362 IJ196362:IO196362 SF196362:SK196362 ACB196362:ACG196362 ALX196362:AMC196362 AVT196362:AVY196362 BFP196362:BFU196362 BPL196362:BPQ196362 BZH196362:BZM196362 CJD196362:CJI196362 CSZ196362:CTE196362 DCV196362:DDA196362 DMR196362:DMW196362 DWN196362:DWS196362 EGJ196362:EGO196362 EQF196362:EQK196362 FAB196362:FAG196362 FJX196362:FKC196362 FTT196362:FTY196362 GDP196362:GDU196362 GNL196362:GNQ196362 GXH196362:GXM196362 HHD196362:HHI196362 HQZ196362:HRE196362 IAV196362:IBA196362 IKR196362:IKW196362 IUN196362:IUS196362 JEJ196362:JEO196362 JOF196362:JOK196362 JYB196362:JYG196362 KHX196362:KIC196362 KRT196362:KRY196362 LBP196362:LBU196362 LLL196362:LLQ196362 LVH196362:LVM196362 MFD196362:MFI196362 MOZ196362:MPE196362 MYV196362:MZA196362 NIR196362:NIW196362 NSN196362:NSS196362 OCJ196362:OCO196362 OMF196362:OMK196362 OWB196362:OWG196362 PFX196362:PGC196362 PPT196362:PPY196362 PZP196362:PZU196362 QJL196362:QJQ196362 QTH196362:QTM196362 RDD196362:RDI196362 RMZ196362:RNE196362 RWV196362:RXA196362 SGR196362:SGW196362 SQN196362:SQS196362 TAJ196362:TAO196362 TKF196362:TKK196362 TUB196362:TUG196362 UDX196362:UEC196362 UNT196362:UNY196362 UXP196362:UXU196362 VHL196362:VHQ196362 VRH196362:VRM196362 WBD196362:WBI196362 WKZ196362:WLE196362 WUV196362:WVA196362 C261898:E261898 IJ261898:IO261898 SF261898:SK261898 ACB261898:ACG261898 ALX261898:AMC261898 AVT261898:AVY261898 BFP261898:BFU261898 BPL261898:BPQ261898 BZH261898:BZM261898 CJD261898:CJI261898 CSZ261898:CTE261898 DCV261898:DDA261898 DMR261898:DMW261898 DWN261898:DWS261898 EGJ261898:EGO261898 EQF261898:EQK261898 FAB261898:FAG261898 FJX261898:FKC261898 FTT261898:FTY261898 GDP261898:GDU261898 GNL261898:GNQ261898 GXH261898:GXM261898 HHD261898:HHI261898 HQZ261898:HRE261898 IAV261898:IBA261898 IKR261898:IKW261898 IUN261898:IUS261898 JEJ261898:JEO261898 JOF261898:JOK261898 JYB261898:JYG261898 KHX261898:KIC261898 KRT261898:KRY261898 LBP261898:LBU261898 LLL261898:LLQ261898 LVH261898:LVM261898 MFD261898:MFI261898 MOZ261898:MPE261898 MYV261898:MZA261898 NIR261898:NIW261898 NSN261898:NSS261898 OCJ261898:OCO261898 OMF261898:OMK261898 OWB261898:OWG261898 PFX261898:PGC261898 PPT261898:PPY261898 PZP261898:PZU261898 QJL261898:QJQ261898 QTH261898:QTM261898 RDD261898:RDI261898 RMZ261898:RNE261898 RWV261898:RXA261898 SGR261898:SGW261898 SQN261898:SQS261898 TAJ261898:TAO261898 TKF261898:TKK261898 TUB261898:TUG261898 UDX261898:UEC261898 UNT261898:UNY261898 UXP261898:UXU261898 VHL261898:VHQ261898 VRH261898:VRM261898 WBD261898:WBI261898 WKZ261898:WLE261898 WUV261898:WVA261898 C327434:E327434 IJ327434:IO327434 SF327434:SK327434 ACB327434:ACG327434 ALX327434:AMC327434 AVT327434:AVY327434 BFP327434:BFU327434 BPL327434:BPQ327434 BZH327434:BZM327434 CJD327434:CJI327434 CSZ327434:CTE327434 DCV327434:DDA327434 DMR327434:DMW327434 DWN327434:DWS327434 EGJ327434:EGO327434 EQF327434:EQK327434 FAB327434:FAG327434 FJX327434:FKC327434 FTT327434:FTY327434 GDP327434:GDU327434 GNL327434:GNQ327434 GXH327434:GXM327434 HHD327434:HHI327434 HQZ327434:HRE327434 IAV327434:IBA327434 IKR327434:IKW327434 IUN327434:IUS327434 JEJ327434:JEO327434 JOF327434:JOK327434 JYB327434:JYG327434 KHX327434:KIC327434 KRT327434:KRY327434 LBP327434:LBU327434 LLL327434:LLQ327434 LVH327434:LVM327434 MFD327434:MFI327434 MOZ327434:MPE327434 MYV327434:MZA327434 NIR327434:NIW327434 NSN327434:NSS327434 OCJ327434:OCO327434 OMF327434:OMK327434 OWB327434:OWG327434 PFX327434:PGC327434 PPT327434:PPY327434 PZP327434:PZU327434 QJL327434:QJQ327434 QTH327434:QTM327434 RDD327434:RDI327434 RMZ327434:RNE327434 RWV327434:RXA327434 SGR327434:SGW327434 SQN327434:SQS327434 TAJ327434:TAO327434 TKF327434:TKK327434 TUB327434:TUG327434 UDX327434:UEC327434 UNT327434:UNY327434 UXP327434:UXU327434 VHL327434:VHQ327434 VRH327434:VRM327434 WBD327434:WBI327434 WKZ327434:WLE327434 WUV327434:WVA327434 C392970:E392970 IJ392970:IO392970 SF392970:SK392970 ACB392970:ACG392970 ALX392970:AMC392970 AVT392970:AVY392970 BFP392970:BFU392970 BPL392970:BPQ392970 BZH392970:BZM392970 CJD392970:CJI392970 CSZ392970:CTE392970 DCV392970:DDA392970 DMR392970:DMW392970 DWN392970:DWS392970 EGJ392970:EGO392970 EQF392970:EQK392970 FAB392970:FAG392970 FJX392970:FKC392970 FTT392970:FTY392970 GDP392970:GDU392970 GNL392970:GNQ392970 GXH392970:GXM392970 HHD392970:HHI392970 HQZ392970:HRE392970 IAV392970:IBA392970 IKR392970:IKW392970 IUN392970:IUS392970 JEJ392970:JEO392970 JOF392970:JOK392970 JYB392970:JYG392970 KHX392970:KIC392970 KRT392970:KRY392970 LBP392970:LBU392970 LLL392970:LLQ392970 LVH392970:LVM392970 MFD392970:MFI392970 MOZ392970:MPE392970 MYV392970:MZA392970 NIR392970:NIW392970 NSN392970:NSS392970 OCJ392970:OCO392970 OMF392970:OMK392970 OWB392970:OWG392970 PFX392970:PGC392970 PPT392970:PPY392970 PZP392970:PZU392970 QJL392970:QJQ392970 QTH392970:QTM392970 RDD392970:RDI392970 RMZ392970:RNE392970 RWV392970:RXA392970 SGR392970:SGW392970 SQN392970:SQS392970 TAJ392970:TAO392970 TKF392970:TKK392970 TUB392970:TUG392970 UDX392970:UEC392970 UNT392970:UNY392970 UXP392970:UXU392970 VHL392970:VHQ392970 VRH392970:VRM392970 WBD392970:WBI392970 WKZ392970:WLE392970 WUV392970:WVA392970 C458506:E458506 IJ458506:IO458506 SF458506:SK458506 ACB458506:ACG458506 ALX458506:AMC458506 AVT458506:AVY458506 BFP458506:BFU458506 BPL458506:BPQ458506 BZH458506:BZM458506 CJD458506:CJI458506 CSZ458506:CTE458506 DCV458506:DDA458506 DMR458506:DMW458506 DWN458506:DWS458506 EGJ458506:EGO458506 EQF458506:EQK458506 FAB458506:FAG458506 FJX458506:FKC458506 FTT458506:FTY458506 GDP458506:GDU458506 GNL458506:GNQ458506 GXH458506:GXM458506 HHD458506:HHI458506 HQZ458506:HRE458506 IAV458506:IBA458506 IKR458506:IKW458506 IUN458506:IUS458506 JEJ458506:JEO458506 JOF458506:JOK458506 JYB458506:JYG458506 KHX458506:KIC458506 KRT458506:KRY458506 LBP458506:LBU458506 LLL458506:LLQ458506 LVH458506:LVM458506 MFD458506:MFI458506 MOZ458506:MPE458506 MYV458506:MZA458506 NIR458506:NIW458506 NSN458506:NSS458506 OCJ458506:OCO458506 OMF458506:OMK458506 OWB458506:OWG458506 PFX458506:PGC458506 PPT458506:PPY458506 PZP458506:PZU458506 QJL458506:QJQ458506 QTH458506:QTM458506 RDD458506:RDI458506 RMZ458506:RNE458506 RWV458506:RXA458506 SGR458506:SGW458506 SQN458506:SQS458506 TAJ458506:TAO458506 TKF458506:TKK458506 TUB458506:TUG458506 UDX458506:UEC458506 UNT458506:UNY458506 UXP458506:UXU458506 VHL458506:VHQ458506 VRH458506:VRM458506 WBD458506:WBI458506 WKZ458506:WLE458506 WUV458506:WVA458506 C524042:E524042 IJ524042:IO524042 SF524042:SK524042 ACB524042:ACG524042 ALX524042:AMC524042 AVT524042:AVY524042 BFP524042:BFU524042 BPL524042:BPQ524042 BZH524042:BZM524042 CJD524042:CJI524042 CSZ524042:CTE524042 DCV524042:DDA524042 DMR524042:DMW524042 DWN524042:DWS524042 EGJ524042:EGO524042 EQF524042:EQK524042 FAB524042:FAG524042 FJX524042:FKC524042 FTT524042:FTY524042 GDP524042:GDU524042 GNL524042:GNQ524042 GXH524042:GXM524042 HHD524042:HHI524042 HQZ524042:HRE524042 IAV524042:IBA524042 IKR524042:IKW524042 IUN524042:IUS524042 JEJ524042:JEO524042 JOF524042:JOK524042 JYB524042:JYG524042 KHX524042:KIC524042 KRT524042:KRY524042 LBP524042:LBU524042 LLL524042:LLQ524042 LVH524042:LVM524042 MFD524042:MFI524042 MOZ524042:MPE524042 MYV524042:MZA524042 NIR524042:NIW524042 NSN524042:NSS524042 OCJ524042:OCO524042 OMF524042:OMK524042 OWB524042:OWG524042 PFX524042:PGC524042 PPT524042:PPY524042 PZP524042:PZU524042 QJL524042:QJQ524042 QTH524042:QTM524042 RDD524042:RDI524042 RMZ524042:RNE524042 RWV524042:RXA524042 SGR524042:SGW524042 SQN524042:SQS524042 TAJ524042:TAO524042 TKF524042:TKK524042 TUB524042:TUG524042 UDX524042:UEC524042 UNT524042:UNY524042 UXP524042:UXU524042 VHL524042:VHQ524042 VRH524042:VRM524042 WBD524042:WBI524042 WKZ524042:WLE524042 WUV524042:WVA524042 C589578:E589578 IJ589578:IO589578 SF589578:SK589578 ACB589578:ACG589578 ALX589578:AMC589578 AVT589578:AVY589578 BFP589578:BFU589578 BPL589578:BPQ589578 BZH589578:BZM589578 CJD589578:CJI589578 CSZ589578:CTE589578 DCV589578:DDA589578 DMR589578:DMW589578 DWN589578:DWS589578 EGJ589578:EGO589578 EQF589578:EQK589578 FAB589578:FAG589578 FJX589578:FKC589578 FTT589578:FTY589578 GDP589578:GDU589578 GNL589578:GNQ589578 GXH589578:GXM589578 HHD589578:HHI589578 HQZ589578:HRE589578 IAV589578:IBA589578 IKR589578:IKW589578 IUN589578:IUS589578 JEJ589578:JEO589578 JOF589578:JOK589578 JYB589578:JYG589578 KHX589578:KIC589578 KRT589578:KRY589578 LBP589578:LBU589578 LLL589578:LLQ589578 LVH589578:LVM589578 MFD589578:MFI589578 MOZ589578:MPE589578 MYV589578:MZA589578 NIR589578:NIW589578 NSN589578:NSS589578 OCJ589578:OCO589578 OMF589578:OMK589578 OWB589578:OWG589578 PFX589578:PGC589578 PPT589578:PPY589578 PZP589578:PZU589578 QJL589578:QJQ589578 QTH589578:QTM589578 RDD589578:RDI589578 RMZ589578:RNE589578 RWV589578:RXA589578 SGR589578:SGW589578 SQN589578:SQS589578 TAJ589578:TAO589578 TKF589578:TKK589578 TUB589578:TUG589578 UDX589578:UEC589578 UNT589578:UNY589578 UXP589578:UXU589578 VHL589578:VHQ589578 VRH589578:VRM589578 WBD589578:WBI589578 WKZ589578:WLE589578 WUV589578:WVA589578 C655114:E655114 IJ655114:IO655114 SF655114:SK655114 ACB655114:ACG655114 ALX655114:AMC655114 AVT655114:AVY655114 BFP655114:BFU655114 BPL655114:BPQ655114 BZH655114:BZM655114 CJD655114:CJI655114 CSZ655114:CTE655114 DCV655114:DDA655114 DMR655114:DMW655114 DWN655114:DWS655114 EGJ655114:EGO655114 EQF655114:EQK655114 FAB655114:FAG655114 FJX655114:FKC655114 FTT655114:FTY655114 GDP655114:GDU655114 GNL655114:GNQ655114 GXH655114:GXM655114 HHD655114:HHI655114 HQZ655114:HRE655114 IAV655114:IBA655114 IKR655114:IKW655114 IUN655114:IUS655114 JEJ655114:JEO655114 JOF655114:JOK655114 JYB655114:JYG655114 KHX655114:KIC655114 KRT655114:KRY655114 LBP655114:LBU655114 LLL655114:LLQ655114 LVH655114:LVM655114 MFD655114:MFI655114 MOZ655114:MPE655114 MYV655114:MZA655114 NIR655114:NIW655114 NSN655114:NSS655114 OCJ655114:OCO655114 OMF655114:OMK655114 OWB655114:OWG655114 PFX655114:PGC655114 PPT655114:PPY655114 PZP655114:PZU655114 QJL655114:QJQ655114 QTH655114:QTM655114 RDD655114:RDI655114 RMZ655114:RNE655114 RWV655114:RXA655114 SGR655114:SGW655114 SQN655114:SQS655114 TAJ655114:TAO655114 TKF655114:TKK655114 TUB655114:TUG655114 UDX655114:UEC655114 UNT655114:UNY655114 UXP655114:UXU655114 VHL655114:VHQ655114 VRH655114:VRM655114 WBD655114:WBI655114 WKZ655114:WLE655114 WUV655114:WVA655114 C720650:E720650 IJ720650:IO720650 SF720650:SK720650 ACB720650:ACG720650 ALX720650:AMC720650 AVT720650:AVY720650 BFP720650:BFU720650 BPL720650:BPQ720650 BZH720650:BZM720650 CJD720650:CJI720650 CSZ720650:CTE720650 DCV720650:DDA720650 DMR720650:DMW720650 DWN720650:DWS720650 EGJ720650:EGO720650 EQF720650:EQK720650 FAB720650:FAG720650 FJX720650:FKC720650 FTT720650:FTY720650 GDP720650:GDU720650 GNL720650:GNQ720650 GXH720650:GXM720650 HHD720650:HHI720650 HQZ720650:HRE720650 IAV720650:IBA720650 IKR720650:IKW720650 IUN720650:IUS720650 JEJ720650:JEO720650 JOF720650:JOK720650 JYB720650:JYG720650 KHX720650:KIC720650 KRT720650:KRY720650 LBP720650:LBU720650 LLL720650:LLQ720650 LVH720650:LVM720650 MFD720650:MFI720650 MOZ720650:MPE720650 MYV720650:MZA720650 NIR720650:NIW720650 NSN720650:NSS720650 OCJ720650:OCO720650 OMF720650:OMK720650 OWB720650:OWG720650 PFX720650:PGC720650 PPT720650:PPY720650 PZP720650:PZU720650 QJL720650:QJQ720650 QTH720650:QTM720650 RDD720650:RDI720650 RMZ720650:RNE720650 RWV720650:RXA720650 SGR720650:SGW720650 SQN720650:SQS720650 TAJ720650:TAO720650 TKF720650:TKK720650 TUB720650:TUG720650 UDX720650:UEC720650 UNT720650:UNY720650 UXP720650:UXU720650 VHL720650:VHQ720650 VRH720650:VRM720650 WBD720650:WBI720650 WKZ720650:WLE720650 WUV720650:WVA720650 C786186:E786186 IJ786186:IO786186 SF786186:SK786186 ACB786186:ACG786186 ALX786186:AMC786186 AVT786186:AVY786186 BFP786186:BFU786186 BPL786186:BPQ786186 BZH786186:BZM786186 CJD786186:CJI786186 CSZ786186:CTE786186 DCV786186:DDA786186 DMR786186:DMW786186 DWN786186:DWS786186 EGJ786186:EGO786186 EQF786186:EQK786186 FAB786186:FAG786186 FJX786186:FKC786186 FTT786186:FTY786186 GDP786186:GDU786186 GNL786186:GNQ786186 GXH786186:GXM786186 HHD786186:HHI786186 HQZ786186:HRE786186 IAV786186:IBA786186 IKR786186:IKW786186 IUN786186:IUS786186 JEJ786186:JEO786186 JOF786186:JOK786186 JYB786186:JYG786186 KHX786186:KIC786186 KRT786186:KRY786186 LBP786186:LBU786186 LLL786186:LLQ786186 LVH786186:LVM786186 MFD786186:MFI786186 MOZ786186:MPE786186 MYV786186:MZA786186 NIR786186:NIW786186 NSN786186:NSS786186 OCJ786186:OCO786186 OMF786186:OMK786186 OWB786186:OWG786186 PFX786186:PGC786186 PPT786186:PPY786186 PZP786186:PZU786186 QJL786186:QJQ786186 QTH786186:QTM786186 RDD786186:RDI786186 RMZ786186:RNE786186 RWV786186:RXA786186 SGR786186:SGW786186 SQN786186:SQS786186 TAJ786186:TAO786186 TKF786186:TKK786186 TUB786186:TUG786186 UDX786186:UEC786186 UNT786186:UNY786186 UXP786186:UXU786186 VHL786186:VHQ786186 VRH786186:VRM786186 WBD786186:WBI786186 WKZ786186:WLE786186 WUV786186:WVA786186 C851722:E851722 IJ851722:IO851722 SF851722:SK851722 ACB851722:ACG851722 ALX851722:AMC851722 AVT851722:AVY851722 BFP851722:BFU851722 BPL851722:BPQ851722 BZH851722:BZM851722 CJD851722:CJI851722 CSZ851722:CTE851722 DCV851722:DDA851722 DMR851722:DMW851722 DWN851722:DWS851722 EGJ851722:EGO851722 EQF851722:EQK851722 FAB851722:FAG851722 FJX851722:FKC851722 FTT851722:FTY851722 GDP851722:GDU851722 GNL851722:GNQ851722 GXH851722:GXM851722 HHD851722:HHI851722 HQZ851722:HRE851722 IAV851722:IBA851722 IKR851722:IKW851722 IUN851722:IUS851722 JEJ851722:JEO851722 JOF851722:JOK851722 JYB851722:JYG851722 KHX851722:KIC851722 KRT851722:KRY851722 LBP851722:LBU851722 LLL851722:LLQ851722 LVH851722:LVM851722 MFD851722:MFI851722 MOZ851722:MPE851722 MYV851722:MZA851722 NIR851722:NIW851722 NSN851722:NSS851722 OCJ851722:OCO851722 OMF851722:OMK851722 OWB851722:OWG851722 PFX851722:PGC851722 PPT851722:PPY851722 PZP851722:PZU851722 QJL851722:QJQ851722 QTH851722:QTM851722 RDD851722:RDI851722 RMZ851722:RNE851722 RWV851722:RXA851722 SGR851722:SGW851722 SQN851722:SQS851722 TAJ851722:TAO851722 TKF851722:TKK851722 TUB851722:TUG851722 UDX851722:UEC851722 UNT851722:UNY851722 UXP851722:UXU851722 VHL851722:VHQ851722 VRH851722:VRM851722 WBD851722:WBI851722 WKZ851722:WLE851722 WUV851722:WVA851722 C917258:E917258 IJ917258:IO917258 SF917258:SK917258 ACB917258:ACG917258 ALX917258:AMC917258 AVT917258:AVY917258 BFP917258:BFU917258 BPL917258:BPQ917258 BZH917258:BZM917258 CJD917258:CJI917258 CSZ917258:CTE917258 DCV917258:DDA917258 DMR917258:DMW917258 DWN917258:DWS917258 EGJ917258:EGO917258 EQF917258:EQK917258 FAB917258:FAG917258 FJX917258:FKC917258 FTT917258:FTY917258 GDP917258:GDU917258 GNL917258:GNQ917258 GXH917258:GXM917258 HHD917258:HHI917258 HQZ917258:HRE917258 IAV917258:IBA917258 IKR917258:IKW917258 IUN917258:IUS917258 JEJ917258:JEO917258 JOF917258:JOK917258 JYB917258:JYG917258 KHX917258:KIC917258 KRT917258:KRY917258 LBP917258:LBU917258 LLL917258:LLQ917258 LVH917258:LVM917258 MFD917258:MFI917258 MOZ917258:MPE917258 MYV917258:MZA917258 NIR917258:NIW917258 NSN917258:NSS917258 OCJ917258:OCO917258 OMF917258:OMK917258 OWB917258:OWG917258 PFX917258:PGC917258 PPT917258:PPY917258 PZP917258:PZU917258 QJL917258:QJQ917258 QTH917258:QTM917258 RDD917258:RDI917258 RMZ917258:RNE917258 RWV917258:RXA917258 SGR917258:SGW917258 SQN917258:SQS917258 TAJ917258:TAO917258 TKF917258:TKK917258 TUB917258:TUG917258 UDX917258:UEC917258 UNT917258:UNY917258 UXP917258:UXU917258 VHL917258:VHQ917258 VRH917258:VRM917258 WBD917258:WBI917258 WKZ917258:WLE917258 WUV917258:WVA917258 C982794:E982794 IJ982794:IO982794 SF982794:SK982794 ACB982794:ACG982794 ALX982794:AMC982794 AVT982794:AVY982794 BFP982794:BFU982794 BPL982794:BPQ982794 BZH982794:BZM982794 CJD982794:CJI982794 CSZ982794:CTE982794 DCV982794:DDA982794 DMR982794:DMW982794 DWN982794:DWS982794 EGJ982794:EGO982794 EQF982794:EQK982794 FAB982794:FAG982794 FJX982794:FKC982794 FTT982794:FTY982794 GDP982794:GDU982794 GNL982794:GNQ982794 GXH982794:GXM982794 HHD982794:HHI982794 HQZ982794:HRE982794 IAV982794:IBA982794 IKR982794:IKW982794 IUN982794:IUS982794 JEJ982794:JEO982794 JOF982794:JOK982794 JYB982794:JYG982794 KHX982794:KIC982794 KRT982794:KRY982794 LBP982794:LBU982794 LLL982794:LLQ982794 LVH982794:LVM982794 MFD982794:MFI982794 MOZ982794:MPE982794 MYV982794:MZA982794 NIR982794:NIW982794 NSN982794:NSS982794 OCJ982794:OCO982794 OMF982794:OMK982794 OWB982794:OWG982794 PFX982794:PGC982794 PPT982794:PPY982794 PZP982794:PZU982794 QJL982794:QJQ982794 QTH982794:QTM982794 RDD982794:RDI982794 RMZ982794:RNE982794 RWV982794:RXA982794 SGR982794:SGW982794 SQN982794:SQS982794 TAJ982794:TAO982794 TKF982794:TKK982794 TUB982794:TUG982794 UDX982794:UEC982794 UNT982794:UNY982794 UXP982794:UXU982794 VHL982794:VHQ982794 VRH982794:VRM982794 WBD982794:WBI982794 WKZ982794:WLE982794 C1:E1" xr:uid="{A07CA779-51BC-46F3-AE1B-41919582FC7C}">
      <formula1>0</formula1>
      <formula2>30</formula2>
    </dataValidation>
    <dataValidation type="textLength" allowBlank="1" showInputMessage="1" showErrorMessage="1" sqref="WUT982794:WUU982794 IH1:II1 SD1:SE1 ABZ1:ACA1 ALV1:ALW1 AVR1:AVS1 BFN1:BFO1 BPJ1:BPK1 BZF1:BZG1 CJB1:CJC1 CSX1:CSY1 DCT1:DCU1 DMP1:DMQ1 DWL1:DWM1 EGH1:EGI1 EQD1:EQE1 EZZ1:FAA1 FJV1:FJW1 FTR1:FTS1 GDN1:GDO1 GNJ1:GNK1 GXF1:GXG1 HHB1:HHC1 HQX1:HQY1 IAT1:IAU1 IKP1:IKQ1 IUL1:IUM1 JEH1:JEI1 JOD1:JOE1 JXZ1:JYA1 KHV1:KHW1 KRR1:KRS1 LBN1:LBO1 LLJ1:LLK1 LVF1:LVG1 MFB1:MFC1 MOX1:MOY1 MYT1:MYU1 NIP1:NIQ1 NSL1:NSM1 OCH1:OCI1 OMD1:OME1 OVZ1:OWA1 PFV1:PFW1 PPR1:PPS1 PZN1:PZO1 QJJ1:QJK1 QTF1:QTG1 RDB1:RDC1 RMX1:RMY1 RWT1:RWU1 SGP1:SGQ1 SQL1:SQM1 TAH1:TAI1 TKD1:TKE1 TTZ1:TUA1 UDV1:UDW1 UNR1:UNS1 UXN1:UXO1 VHJ1:VHK1 VRF1:VRG1 WBB1:WBC1 WKX1:WKY1 WUT1:WUU1 A65290:B65290 IH65290:II65290 SD65290:SE65290 ABZ65290:ACA65290 ALV65290:ALW65290 AVR65290:AVS65290 BFN65290:BFO65290 BPJ65290:BPK65290 BZF65290:BZG65290 CJB65290:CJC65290 CSX65290:CSY65290 DCT65290:DCU65290 DMP65290:DMQ65290 DWL65290:DWM65290 EGH65290:EGI65290 EQD65290:EQE65290 EZZ65290:FAA65290 FJV65290:FJW65290 FTR65290:FTS65290 GDN65290:GDO65290 GNJ65290:GNK65290 GXF65290:GXG65290 HHB65290:HHC65290 HQX65290:HQY65290 IAT65290:IAU65290 IKP65290:IKQ65290 IUL65290:IUM65290 JEH65290:JEI65290 JOD65290:JOE65290 JXZ65290:JYA65290 KHV65290:KHW65290 KRR65290:KRS65290 LBN65290:LBO65290 LLJ65290:LLK65290 LVF65290:LVG65290 MFB65290:MFC65290 MOX65290:MOY65290 MYT65290:MYU65290 NIP65290:NIQ65290 NSL65290:NSM65290 OCH65290:OCI65290 OMD65290:OME65290 OVZ65290:OWA65290 PFV65290:PFW65290 PPR65290:PPS65290 PZN65290:PZO65290 QJJ65290:QJK65290 QTF65290:QTG65290 RDB65290:RDC65290 RMX65290:RMY65290 RWT65290:RWU65290 SGP65290:SGQ65290 SQL65290:SQM65290 TAH65290:TAI65290 TKD65290:TKE65290 TTZ65290:TUA65290 UDV65290:UDW65290 UNR65290:UNS65290 UXN65290:UXO65290 VHJ65290:VHK65290 VRF65290:VRG65290 WBB65290:WBC65290 WKX65290:WKY65290 WUT65290:WUU65290 A130826:B130826 IH130826:II130826 SD130826:SE130826 ABZ130826:ACA130826 ALV130826:ALW130826 AVR130826:AVS130826 BFN130826:BFO130826 BPJ130826:BPK130826 BZF130826:BZG130826 CJB130826:CJC130826 CSX130826:CSY130826 DCT130826:DCU130826 DMP130826:DMQ130826 DWL130826:DWM130826 EGH130826:EGI130826 EQD130826:EQE130826 EZZ130826:FAA130826 FJV130826:FJW130826 FTR130826:FTS130826 GDN130826:GDO130826 GNJ130826:GNK130826 GXF130826:GXG130826 HHB130826:HHC130826 HQX130826:HQY130826 IAT130826:IAU130826 IKP130826:IKQ130826 IUL130826:IUM130826 JEH130826:JEI130826 JOD130826:JOE130826 JXZ130826:JYA130826 KHV130826:KHW130826 KRR130826:KRS130826 LBN130826:LBO130826 LLJ130826:LLK130826 LVF130826:LVG130826 MFB130826:MFC130826 MOX130826:MOY130826 MYT130826:MYU130826 NIP130826:NIQ130826 NSL130826:NSM130826 OCH130826:OCI130826 OMD130826:OME130826 OVZ130826:OWA130826 PFV130826:PFW130826 PPR130826:PPS130826 PZN130826:PZO130826 QJJ130826:QJK130826 QTF130826:QTG130826 RDB130826:RDC130826 RMX130826:RMY130826 RWT130826:RWU130826 SGP130826:SGQ130826 SQL130826:SQM130826 TAH130826:TAI130826 TKD130826:TKE130826 TTZ130826:TUA130826 UDV130826:UDW130826 UNR130826:UNS130826 UXN130826:UXO130826 VHJ130826:VHK130826 VRF130826:VRG130826 WBB130826:WBC130826 WKX130826:WKY130826 WUT130826:WUU130826 A196362:B196362 IH196362:II196362 SD196362:SE196362 ABZ196362:ACA196362 ALV196362:ALW196362 AVR196362:AVS196362 BFN196362:BFO196362 BPJ196362:BPK196362 BZF196362:BZG196362 CJB196362:CJC196362 CSX196362:CSY196362 DCT196362:DCU196362 DMP196362:DMQ196362 DWL196362:DWM196362 EGH196362:EGI196362 EQD196362:EQE196362 EZZ196362:FAA196362 FJV196362:FJW196362 FTR196362:FTS196362 GDN196362:GDO196362 GNJ196362:GNK196362 GXF196362:GXG196362 HHB196362:HHC196362 HQX196362:HQY196362 IAT196362:IAU196362 IKP196362:IKQ196362 IUL196362:IUM196362 JEH196362:JEI196362 JOD196362:JOE196362 JXZ196362:JYA196362 KHV196362:KHW196362 KRR196362:KRS196362 LBN196362:LBO196362 LLJ196362:LLK196362 LVF196362:LVG196362 MFB196362:MFC196362 MOX196362:MOY196362 MYT196362:MYU196362 NIP196362:NIQ196362 NSL196362:NSM196362 OCH196362:OCI196362 OMD196362:OME196362 OVZ196362:OWA196362 PFV196362:PFW196362 PPR196362:PPS196362 PZN196362:PZO196362 QJJ196362:QJK196362 QTF196362:QTG196362 RDB196362:RDC196362 RMX196362:RMY196362 RWT196362:RWU196362 SGP196362:SGQ196362 SQL196362:SQM196362 TAH196362:TAI196362 TKD196362:TKE196362 TTZ196362:TUA196362 UDV196362:UDW196362 UNR196362:UNS196362 UXN196362:UXO196362 VHJ196362:VHK196362 VRF196362:VRG196362 WBB196362:WBC196362 WKX196362:WKY196362 WUT196362:WUU196362 A261898:B261898 IH261898:II261898 SD261898:SE261898 ABZ261898:ACA261898 ALV261898:ALW261898 AVR261898:AVS261898 BFN261898:BFO261898 BPJ261898:BPK261898 BZF261898:BZG261898 CJB261898:CJC261898 CSX261898:CSY261898 DCT261898:DCU261898 DMP261898:DMQ261898 DWL261898:DWM261898 EGH261898:EGI261898 EQD261898:EQE261898 EZZ261898:FAA261898 FJV261898:FJW261898 FTR261898:FTS261898 GDN261898:GDO261898 GNJ261898:GNK261898 GXF261898:GXG261898 HHB261898:HHC261898 HQX261898:HQY261898 IAT261898:IAU261898 IKP261898:IKQ261898 IUL261898:IUM261898 JEH261898:JEI261898 JOD261898:JOE261898 JXZ261898:JYA261898 KHV261898:KHW261898 KRR261898:KRS261898 LBN261898:LBO261898 LLJ261898:LLK261898 LVF261898:LVG261898 MFB261898:MFC261898 MOX261898:MOY261898 MYT261898:MYU261898 NIP261898:NIQ261898 NSL261898:NSM261898 OCH261898:OCI261898 OMD261898:OME261898 OVZ261898:OWA261898 PFV261898:PFW261898 PPR261898:PPS261898 PZN261898:PZO261898 QJJ261898:QJK261898 QTF261898:QTG261898 RDB261898:RDC261898 RMX261898:RMY261898 RWT261898:RWU261898 SGP261898:SGQ261898 SQL261898:SQM261898 TAH261898:TAI261898 TKD261898:TKE261898 TTZ261898:TUA261898 UDV261898:UDW261898 UNR261898:UNS261898 UXN261898:UXO261898 VHJ261898:VHK261898 VRF261898:VRG261898 WBB261898:WBC261898 WKX261898:WKY261898 WUT261898:WUU261898 A327434:B327434 IH327434:II327434 SD327434:SE327434 ABZ327434:ACA327434 ALV327434:ALW327434 AVR327434:AVS327434 BFN327434:BFO327434 BPJ327434:BPK327434 BZF327434:BZG327434 CJB327434:CJC327434 CSX327434:CSY327434 DCT327434:DCU327434 DMP327434:DMQ327434 DWL327434:DWM327434 EGH327434:EGI327434 EQD327434:EQE327434 EZZ327434:FAA327434 FJV327434:FJW327434 FTR327434:FTS327434 GDN327434:GDO327434 GNJ327434:GNK327434 GXF327434:GXG327434 HHB327434:HHC327434 HQX327434:HQY327434 IAT327434:IAU327434 IKP327434:IKQ327434 IUL327434:IUM327434 JEH327434:JEI327434 JOD327434:JOE327434 JXZ327434:JYA327434 KHV327434:KHW327434 KRR327434:KRS327434 LBN327434:LBO327434 LLJ327434:LLK327434 LVF327434:LVG327434 MFB327434:MFC327434 MOX327434:MOY327434 MYT327434:MYU327434 NIP327434:NIQ327434 NSL327434:NSM327434 OCH327434:OCI327434 OMD327434:OME327434 OVZ327434:OWA327434 PFV327434:PFW327434 PPR327434:PPS327434 PZN327434:PZO327434 QJJ327434:QJK327434 QTF327434:QTG327434 RDB327434:RDC327434 RMX327434:RMY327434 RWT327434:RWU327434 SGP327434:SGQ327434 SQL327434:SQM327434 TAH327434:TAI327434 TKD327434:TKE327434 TTZ327434:TUA327434 UDV327434:UDW327434 UNR327434:UNS327434 UXN327434:UXO327434 VHJ327434:VHK327434 VRF327434:VRG327434 WBB327434:WBC327434 WKX327434:WKY327434 WUT327434:WUU327434 A392970:B392970 IH392970:II392970 SD392970:SE392970 ABZ392970:ACA392970 ALV392970:ALW392970 AVR392970:AVS392970 BFN392970:BFO392970 BPJ392970:BPK392970 BZF392970:BZG392970 CJB392970:CJC392970 CSX392970:CSY392970 DCT392970:DCU392970 DMP392970:DMQ392970 DWL392970:DWM392970 EGH392970:EGI392970 EQD392970:EQE392970 EZZ392970:FAA392970 FJV392970:FJW392970 FTR392970:FTS392970 GDN392970:GDO392970 GNJ392970:GNK392970 GXF392970:GXG392970 HHB392970:HHC392970 HQX392970:HQY392970 IAT392970:IAU392970 IKP392970:IKQ392970 IUL392970:IUM392970 JEH392970:JEI392970 JOD392970:JOE392970 JXZ392970:JYA392970 KHV392970:KHW392970 KRR392970:KRS392970 LBN392970:LBO392970 LLJ392970:LLK392970 LVF392970:LVG392970 MFB392970:MFC392970 MOX392970:MOY392970 MYT392970:MYU392970 NIP392970:NIQ392970 NSL392970:NSM392970 OCH392970:OCI392970 OMD392970:OME392970 OVZ392970:OWA392970 PFV392970:PFW392970 PPR392970:PPS392970 PZN392970:PZO392970 QJJ392970:QJK392970 QTF392970:QTG392970 RDB392970:RDC392970 RMX392970:RMY392970 RWT392970:RWU392970 SGP392970:SGQ392970 SQL392970:SQM392970 TAH392970:TAI392970 TKD392970:TKE392970 TTZ392970:TUA392970 UDV392970:UDW392970 UNR392970:UNS392970 UXN392970:UXO392970 VHJ392970:VHK392970 VRF392970:VRG392970 WBB392970:WBC392970 WKX392970:WKY392970 WUT392970:WUU392970 A458506:B458506 IH458506:II458506 SD458506:SE458506 ABZ458506:ACA458506 ALV458506:ALW458506 AVR458506:AVS458506 BFN458506:BFO458506 BPJ458506:BPK458506 BZF458506:BZG458506 CJB458506:CJC458506 CSX458506:CSY458506 DCT458506:DCU458506 DMP458506:DMQ458506 DWL458506:DWM458506 EGH458506:EGI458506 EQD458506:EQE458506 EZZ458506:FAA458506 FJV458506:FJW458506 FTR458506:FTS458506 GDN458506:GDO458506 GNJ458506:GNK458506 GXF458506:GXG458506 HHB458506:HHC458506 HQX458506:HQY458506 IAT458506:IAU458506 IKP458506:IKQ458506 IUL458506:IUM458506 JEH458506:JEI458506 JOD458506:JOE458506 JXZ458506:JYA458506 KHV458506:KHW458506 KRR458506:KRS458506 LBN458506:LBO458506 LLJ458506:LLK458506 LVF458506:LVG458506 MFB458506:MFC458506 MOX458506:MOY458506 MYT458506:MYU458506 NIP458506:NIQ458506 NSL458506:NSM458506 OCH458506:OCI458506 OMD458506:OME458506 OVZ458506:OWA458506 PFV458506:PFW458506 PPR458506:PPS458506 PZN458506:PZO458506 QJJ458506:QJK458506 QTF458506:QTG458506 RDB458506:RDC458506 RMX458506:RMY458506 RWT458506:RWU458506 SGP458506:SGQ458506 SQL458506:SQM458506 TAH458506:TAI458506 TKD458506:TKE458506 TTZ458506:TUA458506 UDV458506:UDW458506 UNR458506:UNS458506 UXN458506:UXO458506 VHJ458506:VHK458506 VRF458506:VRG458506 WBB458506:WBC458506 WKX458506:WKY458506 WUT458506:WUU458506 A524042:B524042 IH524042:II524042 SD524042:SE524042 ABZ524042:ACA524042 ALV524042:ALW524042 AVR524042:AVS524042 BFN524042:BFO524042 BPJ524042:BPK524042 BZF524042:BZG524042 CJB524042:CJC524042 CSX524042:CSY524042 DCT524042:DCU524042 DMP524042:DMQ524042 DWL524042:DWM524042 EGH524042:EGI524042 EQD524042:EQE524042 EZZ524042:FAA524042 FJV524042:FJW524042 FTR524042:FTS524042 GDN524042:GDO524042 GNJ524042:GNK524042 GXF524042:GXG524042 HHB524042:HHC524042 HQX524042:HQY524042 IAT524042:IAU524042 IKP524042:IKQ524042 IUL524042:IUM524042 JEH524042:JEI524042 JOD524042:JOE524042 JXZ524042:JYA524042 KHV524042:KHW524042 KRR524042:KRS524042 LBN524042:LBO524042 LLJ524042:LLK524042 LVF524042:LVG524042 MFB524042:MFC524042 MOX524042:MOY524042 MYT524042:MYU524042 NIP524042:NIQ524042 NSL524042:NSM524042 OCH524042:OCI524042 OMD524042:OME524042 OVZ524042:OWA524042 PFV524042:PFW524042 PPR524042:PPS524042 PZN524042:PZO524042 QJJ524042:QJK524042 QTF524042:QTG524042 RDB524042:RDC524042 RMX524042:RMY524042 RWT524042:RWU524042 SGP524042:SGQ524042 SQL524042:SQM524042 TAH524042:TAI524042 TKD524042:TKE524042 TTZ524042:TUA524042 UDV524042:UDW524042 UNR524042:UNS524042 UXN524042:UXO524042 VHJ524042:VHK524042 VRF524042:VRG524042 WBB524042:WBC524042 WKX524042:WKY524042 WUT524042:WUU524042 A589578:B589578 IH589578:II589578 SD589578:SE589578 ABZ589578:ACA589578 ALV589578:ALW589578 AVR589578:AVS589578 BFN589578:BFO589578 BPJ589578:BPK589578 BZF589578:BZG589578 CJB589578:CJC589578 CSX589578:CSY589578 DCT589578:DCU589578 DMP589578:DMQ589578 DWL589578:DWM589578 EGH589578:EGI589578 EQD589578:EQE589578 EZZ589578:FAA589578 FJV589578:FJW589578 FTR589578:FTS589578 GDN589578:GDO589578 GNJ589578:GNK589578 GXF589578:GXG589578 HHB589578:HHC589578 HQX589578:HQY589578 IAT589578:IAU589578 IKP589578:IKQ589578 IUL589578:IUM589578 JEH589578:JEI589578 JOD589578:JOE589578 JXZ589578:JYA589578 KHV589578:KHW589578 KRR589578:KRS589578 LBN589578:LBO589578 LLJ589578:LLK589578 LVF589578:LVG589578 MFB589578:MFC589578 MOX589578:MOY589578 MYT589578:MYU589578 NIP589578:NIQ589578 NSL589578:NSM589578 OCH589578:OCI589578 OMD589578:OME589578 OVZ589578:OWA589578 PFV589578:PFW589578 PPR589578:PPS589578 PZN589578:PZO589578 QJJ589578:QJK589578 QTF589578:QTG589578 RDB589578:RDC589578 RMX589578:RMY589578 RWT589578:RWU589578 SGP589578:SGQ589578 SQL589578:SQM589578 TAH589578:TAI589578 TKD589578:TKE589578 TTZ589578:TUA589578 UDV589578:UDW589578 UNR589578:UNS589578 UXN589578:UXO589578 VHJ589578:VHK589578 VRF589578:VRG589578 WBB589578:WBC589578 WKX589578:WKY589578 WUT589578:WUU589578 A655114:B655114 IH655114:II655114 SD655114:SE655114 ABZ655114:ACA655114 ALV655114:ALW655114 AVR655114:AVS655114 BFN655114:BFO655114 BPJ655114:BPK655114 BZF655114:BZG655114 CJB655114:CJC655114 CSX655114:CSY655114 DCT655114:DCU655114 DMP655114:DMQ655114 DWL655114:DWM655114 EGH655114:EGI655114 EQD655114:EQE655114 EZZ655114:FAA655114 FJV655114:FJW655114 FTR655114:FTS655114 GDN655114:GDO655114 GNJ655114:GNK655114 GXF655114:GXG655114 HHB655114:HHC655114 HQX655114:HQY655114 IAT655114:IAU655114 IKP655114:IKQ655114 IUL655114:IUM655114 JEH655114:JEI655114 JOD655114:JOE655114 JXZ655114:JYA655114 KHV655114:KHW655114 KRR655114:KRS655114 LBN655114:LBO655114 LLJ655114:LLK655114 LVF655114:LVG655114 MFB655114:MFC655114 MOX655114:MOY655114 MYT655114:MYU655114 NIP655114:NIQ655114 NSL655114:NSM655114 OCH655114:OCI655114 OMD655114:OME655114 OVZ655114:OWA655114 PFV655114:PFW655114 PPR655114:PPS655114 PZN655114:PZO655114 QJJ655114:QJK655114 QTF655114:QTG655114 RDB655114:RDC655114 RMX655114:RMY655114 RWT655114:RWU655114 SGP655114:SGQ655114 SQL655114:SQM655114 TAH655114:TAI655114 TKD655114:TKE655114 TTZ655114:TUA655114 UDV655114:UDW655114 UNR655114:UNS655114 UXN655114:UXO655114 VHJ655114:VHK655114 VRF655114:VRG655114 WBB655114:WBC655114 WKX655114:WKY655114 WUT655114:WUU655114 A720650:B720650 IH720650:II720650 SD720650:SE720650 ABZ720650:ACA720650 ALV720650:ALW720650 AVR720650:AVS720650 BFN720650:BFO720650 BPJ720650:BPK720650 BZF720650:BZG720650 CJB720650:CJC720650 CSX720650:CSY720650 DCT720650:DCU720650 DMP720650:DMQ720650 DWL720650:DWM720650 EGH720650:EGI720650 EQD720650:EQE720650 EZZ720650:FAA720650 FJV720650:FJW720650 FTR720650:FTS720650 GDN720650:GDO720650 GNJ720650:GNK720650 GXF720650:GXG720650 HHB720650:HHC720650 HQX720650:HQY720650 IAT720650:IAU720650 IKP720650:IKQ720650 IUL720650:IUM720650 JEH720650:JEI720650 JOD720650:JOE720650 JXZ720650:JYA720650 KHV720650:KHW720650 KRR720650:KRS720650 LBN720650:LBO720650 LLJ720650:LLK720650 LVF720650:LVG720650 MFB720650:MFC720650 MOX720650:MOY720650 MYT720650:MYU720650 NIP720650:NIQ720650 NSL720650:NSM720650 OCH720650:OCI720650 OMD720650:OME720650 OVZ720650:OWA720650 PFV720650:PFW720650 PPR720650:PPS720650 PZN720650:PZO720650 QJJ720650:QJK720650 QTF720650:QTG720650 RDB720650:RDC720650 RMX720650:RMY720650 RWT720650:RWU720650 SGP720650:SGQ720650 SQL720650:SQM720650 TAH720650:TAI720650 TKD720650:TKE720650 TTZ720650:TUA720650 UDV720650:UDW720650 UNR720650:UNS720650 UXN720650:UXO720650 VHJ720650:VHK720650 VRF720650:VRG720650 WBB720650:WBC720650 WKX720650:WKY720650 WUT720650:WUU720650 A786186:B786186 IH786186:II786186 SD786186:SE786186 ABZ786186:ACA786186 ALV786186:ALW786186 AVR786186:AVS786186 BFN786186:BFO786186 BPJ786186:BPK786186 BZF786186:BZG786186 CJB786186:CJC786186 CSX786186:CSY786186 DCT786186:DCU786186 DMP786186:DMQ786186 DWL786186:DWM786186 EGH786186:EGI786186 EQD786186:EQE786186 EZZ786186:FAA786186 FJV786186:FJW786186 FTR786186:FTS786186 GDN786186:GDO786186 GNJ786186:GNK786186 GXF786186:GXG786186 HHB786186:HHC786186 HQX786186:HQY786186 IAT786186:IAU786186 IKP786186:IKQ786186 IUL786186:IUM786186 JEH786186:JEI786186 JOD786186:JOE786186 JXZ786186:JYA786186 KHV786186:KHW786186 KRR786186:KRS786186 LBN786186:LBO786186 LLJ786186:LLK786186 LVF786186:LVG786186 MFB786186:MFC786186 MOX786186:MOY786186 MYT786186:MYU786186 NIP786186:NIQ786186 NSL786186:NSM786186 OCH786186:OCI786186 OMD786186:OME786186 OVZ786186:OWA786186 PFV786186:PFW786186 PPR786186:PPS786186 PZN786186:PZO786186 QJJ786186:QJK786186 QTF786186:QTG786186 RDB786186:RDC786186 RMX786186:RMY786186 RWT786186:RWU786186 SGP786186:SGQ786186 SQL786186:SQM786186 TAH786186:TAI786186 TKD786186:TKE786186 TTZ786186:TUA786186 UDV786186:UDW786186 UNR786186:UNS786186 UXN786186:UXO786186 VHJ786186:VHK786186 VRF786186:VRG786186 WBB786186:WBC786186 WKX786186:WKY786186 WUT786186:WUU786186 A851722:B851722 IH851722:II851722 SD851722:SE851722 ABZ851722:ACA851722 ALV851722:ALW851722 AVR851722:AVS851722 BFN851722:BFO851722 BPJ851722:BPK851722 BZF851722:BZG851722 CJB851722:CJC851722 CSX851722:CSY851722 DCT851722:DCU851722 DMP851722:DMQ851722 DWL851722:DWM851722 EGH851722:EGI851722 EQD851722:EQE851722 EZZ851722:FAA851722 FJV851722:FJW851722 FTR851722:FTS851722 GDN851722:GDO851722 GNJ851722:GNK851722 GXF851722:GXG851722 HHB851722:HHC851722 HQX851722:HQY851722 IAT851722:IAU851722 IKP851722:IKQ851722 IUL851722:IUM851722 JEH851722:JEI851722 JOD851722:JOE851722 JXZ851722:JYA851722 KHV851722:KHW851722 KRR851722:KRS851722 LBN851722:LBO851722 LLJ851722:LLK851722 LVF851722:LVG851722 MFB851722:MFC851722 MOX851722:MOY851722 MYT851722:MYU851722 NIP851722:NIQ851722 NSL851722:NSM851722 OCH851722:OCI851722 OMD851722:OME851722 OVZ851722:OWA851722 PFV851722:PFW851722 PPR851722:PPS851722 PZN851722:PZO851722 QJJ851722:QJK851722 QTF851722:QTG851722 RDB851722:RDC851722 RMX851722:RMY851722 RWT851722:RWU851722 SGP851722:SGQ851722 SQL851722:SQM851722 TAH851722:TAI851722 TKD851722:TKE851722 TTZ851722:TUA851722 UDV851722:UDW851722 UNR851722:UNS851722 UXN851722:UXO851722 VHJ851722:VHK851722 VRF851722:VRG851722 WBB851722:WBC851722 WKX851722:WKY851722 WUT851722:WUU851722 A917258:B917258 IH917258:II917258 SD917258:SE917258 ABZ917258:ACA917258 ALV917258:ALW917258 AVR917258:AVS917258 BFN917258:BFO917258 BPJ917258:BPK917258 BZF917258:BZG917258 CJB917258:CJC917258 CSX917258:CSY917258 DCT917258:DCU917258 DMP917258:DMQ917258 DWL917258:DWM917258 EGH917258:EGI917258 EQD917258:EQE917258 EZZ917258:FAA917258 FJV917258:FJW917258 FTR917258:FTS917258 GDN917258:GDO917258 GNJ917258:GNK917258 GXF917258:GXG917258 HHB917258:HHC917258 HQX917258:HQY917258 IAT917258:IAU917258 IKP917258:IKQ917258 IUL917258:IUM917258 JEH917258:JEI917258 JOD917258:JOE917258 JXZ917258:JYA917258 KHV917258:KHW917258 KRR917258:KRS917258 LBN917258:LBO917258 LLJ917258:LLK917258 LVF917258:LVG917258 MFB917258:MFC917258 MOX917258:MOY917258 MYT917258:MYU917258 NIP917258:NIQ917258 NSL917258:NSM917258 OCH917258:OCI917258 OMD917258:OME917258 OVZ917258:OWA917258 PFV917258:PFW917258 PPR917258:PPS917258 PZN917258:PZO917258 QJJ917258:QJK917258 QTF917258:QTG917258 RDB917258:RDC917258 RMX917258:RMY917258 RWT917258:RWU917258 SGP917258:SGQ917258 SQL917258:SQM917258 TAH917258:TAI917258 TKD917258:TKE917258 TTZ917258:TUA917258 UDV917258:UDW917258 UNR917258:UNS917258 UXN917258:UXO917258 VHJ917258:VHK917258 VRF917258:VRG917258 WBB917258:WBC917258 WKX917258:WKY917258 WUT917258:WUU917258 A982794:B982794 IH982794:II982794 SD982794:SE982794 ABZ982794:ACA982794 ALV982794:ALW982794 AVR982794:AVS982794 BFN982794:BFO982794 BPJ982794:BPK982794 BZF982794:BZG982794 CJB982794:CJC982794 CSX982794:CSY982794 DCT982794:DCU982794 DMP982794:DMQ982794 DWL982794:DWM982794 EGH982794:EGI982794 EQD982794:EQE982794 EZZ982794:FAA982794 FJV982794:FJW982794 FTR982794:FTS982794 GDN982794:GDO982794 GNJ982794:GNK982794 GXF982794:GXG982794 HHB982794:HHC982794 HQX982794:HQY982794 IAT982794:IAU982794 IKP982794:IKQ982794 IUL982794:IUM982794 JEH982794:JEI982794 JOD982794:JOE982794 JXZ982794:JYA982794 KHV982794:KHW982794 KRR982794:KRS982794 LBN982794:LBO982794 LLJ982794:LLK982794 LVF982794:LVG982794 MFB982794:MFC982794 MOX982794:MOY982794 MYT982794:MYU982794 NIP982794:NIQ982794 NSL982794:NSM982794 OCH982794:OCI982794 OMD982794:OME982794 OVZ982794:OWA982794 PFV982794:PFW982794 PPR982794:PPS982794 PZN982794:PZO982794 QJJ982794:QJK982794 QTF982794:QTG982794 RDB982794:RDC982794 RMX982794:RMY982794 RWT982794:RWU982794 SGP982794:SGQ982794 SQL982794:SQM982794 TAH982794:TAI982794 TKD982794:TKE982794 TTZ982794:TUA982794 UDV982794:UDW982794 UNR982794:UNS982794 UXN982794:UXO982794 VHJ982794:VHK982794 VRF982794:VRG982794 WBB982794:WBC982794 WKX982794:WKY982794 A1:B1" xr:uid="{4484B0F8-7850-4478-A9CE-8A74E7C83EAD}">
      <formula1>0</formula1>
      <formula2>60</formula2>
    </dataValidation>
    <dataValidation type="textLength" allowBlank="1" showInputMessage="1" showErrorMessage="1" sqref="IP1:IQ1 SL1:SM1 ACH1:ACI1 AMD1:AME1 AVZ1:AWA1 BFV1:BFW1 BPR1:BPS1 BZN1:BZO1 CJJ1:CJK1 CTF1:CTG1 DDB1:DDC1 DMX1:DMY1 DWT1:DWU1 EGP1:EGQ1 EQL1:EQM1 FAH1:FAI1 FKD1:FKE1 FTZ1:FUA1 GDV1:GDW1 GNR1:GNS1 GXN1:GXO1 HHJ1:HHK1 HRF1:HRG1 IBB1:IBC1 IKX1:IKY1 IUT1:IUU1 JEP1:JEQ1 JOL1:JOM1 JYH1:JYI1 KID1:KIE1 KRZ1:KSA1 LBV1:LBW1 LLR1:LLS1 LVN1:LVO1 MFJ1:MFK1 MPF1:MPG1 MZB1:MZC1 NIX1:NIY1 NST1:NSU1 OCP1:OCQ1 OML1:OMM1 OWH1:OWI1 PGD1:PGE1 PPZ1:PQA1 PZV1:PZW1 QJR1:QJS1 QTN1:QTO1 RDJ1:RDK1 RNF1:RNG1 RXB1:RXC1 SGX1:SGY1 SQT1:SQU1 TAP1:TAQ1 TKL1:TKM1 TUH1:TUI1 UED1:UEE1 UNZ1:UOA1 UXV1:UXW1 VHR1:VHS1 VRN1:VRO1 WBJ1:WBK1 WLF1:WLG1 WVB1:WVC1 IP65290:IQ65290 SL65290:SM65290 ACH65290:ACI65290 AMD65290:AME65290 AVZ65290:AWA65290 BFV65290:BFW65290 BPR65290:BPS65290 BZN65290:BZO65290 CJJ65290:CJK65290 CTF65290:CTG65290 DDB65290:DDC65290 DMX65290:DMY65290 DWT65290:DWU65290 EGP65290:EGQ65290 EQL65290:EQM65290 FAH65290:FAI65290 FKD65290:FKE65290 FTZ65290:FUA65290 GDV65290:GDW65290 GNR65290:GNS65290 GXN65290:GXO65290 HHJ65290:HHK65290 HRF65290:HRG65290 IBB65290:IBC65290 IKX65290:IKY65290 IUT65290:IUU65290 JEP65290:JEQ65290 JOL65290:JOM65290 JYH65290:JYI65290 KID65290:KIE65290 KRZ65290:KSA65290 LBV65290:LBW65290 LLR65290:LLS65290 LVN65290:LVO65290 MFJ65290:MFK65290 MPF65290:MPG65290 MZB65290:MZC65290 NIX65290:NIY65290 NST65290:NSU65290 OCP65290:OCQ65290 OML65290:OMM65290 OWH65290:OWI65290 PGD65290:PGE65290 PPZ65290:PQA65290 PZV65290:PZW65290 QJR65290:QJS65290 QTN65290:QTO65290 RDJ65290:RDK65290 RNF65290:RNG65290 RXB65290:RXC65290 SGX65290:SGY65290 SQT65290:SQU65290 TAP65290:TAQ65290 TKL65290:TKM65290 TUH65290:TUI65290 UED65290:UEE65290 UNZ65290:UOA65290 UXV65290:UXW65290 VHR65290:VHS65290 VRN65290:VRO65290 WBJ65290:WBK65290 WLF65290:WLG65290 WVB65290:WVC65290 IP130826:IQ130826 SL130826:SM130826 ACH130826:ACI130826 AMD130826:AME130826 AVZ130826:AWA130826 BFV130826:BFW130826 BPR130826:BPS130826 BZN130826:BZO130826 CJJ130826:CJK130826 CTF130826:CTG130826 DDB130826:DDC130826 DMX130826:DMY130826 DWT130826:DWU130826 EGP130826:EGQ130826 EQL130826:EQM130826 FAH130826:FAI130826 FKD130826:FKE130826 FTZ130826:FUA130826 GDV130826:GDW130826 GNR130826:GNS130826 GXN130826:GXO130826 HHJ130826:HHK130826 HRF130826:HRG130826 IBB130826:IBC130826 IKX130826:IKY130826 IUT130826:IUU130826 JEP130826:JEQ130826 JOL130826:JOM130826 JYH130826:JYI130826 KID130826:KIE130826 KRZ130826:KSA130826 LBV130826:LBW130826 LLR130826:LLS130826 LVN130826:LVO130826 MFJ130826:MFK130826 MPF130826:MPG130826 MZB130826:MZC130826 NIX130826:NIY130826 NST130826:NSU130826 OCP130826:OCQ130826 OML130826:OMM130826 OWH130826:OWI130826 PGD130826:PGE130826 PPZ130826:PQA130826 PZV130826:PZW130826 QJR130826:QJS130826 QTN130826:QTO130826 RDJ130826:RDK130826 RNF130826:RNG130826 RXB130826:RXC130826 SGX130826:SGY130826 SQT130826:SQU130826 TAP130826:TAQ130826 TKL130826:TKM130826 TUH130826:TUI130826 UED130826:UEE130826 UNZ130826:UOA130826 UXV130826:UXW130826 VHR130826:VHS130826 VRN130826:VRO130826 WBJ130826:WBK130826 WLF130826:WLG130826 WVB130826:WVC130826 IP196362:IQ196362 SL196362:SM196362 ACH196362:ACI196362 AMD196362:AME196362 AVZ196362:AWA196362 BFV196362:BFW196362 BPR196362:BPS196362 BZN196362:BZO196362 CJJ196362:CJK196362 CTF196362:CTG196362 DDB196362:DDC196362 DMX196362:DMY196362 DWT196362:DWU196362 EGP196362:EGQ196362 EQL196362:EQM196362 FAH196362:FAI196362 FKD196362:FKE196362 FTZ196362:FUA196362 GDV196362:GDW196362 GNR196362:GNS196362 GXN196362:GXO196362 HHJ196362:HHK196362 HRF196362:HRG196362 IBB196362:IBC196362 IKX196362:IKY196362 IUT196362:IUU196362 JEP196362:JEQ196362 JOL196362:JOM196362 JYH196362:JYI196362 KID196362:KIE196362 KRZ196362:KSA196362 LBV196362:LBW196362 LLR196362:LLS196362 LVN196362:LVO196362 MFJ196362:MFK196362 MPF196362:MPG196362 MZB196362:MZC196362 NIX196362:NIY196362 NST196362:NSU196362 OCP196362:OCQ196362 OML196362:OMM196362 OWH196362:OWI196362 PGD196362:PGE196362 PPZ196362:PQA196362 PZV196362:PZW196362 QJR196362:QJS196362 QTN196362:QTO196362 RDJ196362:RDK196362 RNF196362:RNG196362 RXB196362:RXC196362 SGX196362:SGY196362 SQT196362:SQU196362 TAP196362:TAQ196362 TKL196362:TKM196362 TUH196362:TUI196362 UED196362:UEE196362 UNZ196362:UOA196362 UXV196362:UXW196362 VHR196362:VHS196362 VRN196362:VRO196362 WBJ196362:WBK196362 WLF196362:WLG196362 WVB196362:WVC196362 IP261898:IQ261898 SL261898:SM261898 ACH261898:ACI261898 AMD261898:AME261898 AVZ261898:AWA261898 BFV261898:BFW261898 BPR261898:BPS261898 BZN261898:BZO261898 CJJ261898:CJK261898 CTF261898:CTG261898 DDB261898:DDC261898 DMX261898:DMY261898 DWT261898:DWU261898 EGP261898:EGQ261898 EQL261898:EQM261898 FAH261898:FAI261898 FKD261898:FKE261898 FTZ261898:FUA261898 GDV261898:GDW261898 GNR261898:GNS261898 GXN261898:GXO261898 HHJ261898:HHK261898 HRF261898:HRG261898 IBB261898:IBC261898 IKX261898:IKY261898 IUT261898:IUU261898 JEP261898:JEQ261898 JOL261898:JOM261898 JYH261898:JYI261898 KID261898:KIE261898 KRZ261898:KSA261898 LBV261898:LBW261898 LLR261898:LLS261898 LVN261898:LVO261898 MFJ261898:MFK261898 MPF261898:MPG261898 MZB261898:MZC261898 NIX261898:NIY261898 NST261898:NSU261898 OCP261898:OCQ261898 OML261898:OMM261898 OWH261898:OWI261898 PGD261898:PGE261898 PPZ261898:PQA261898 PZV261898:PZW261898 QJR261898:QJS261898 QTN261898:QTO261898 RDJ261898:RDK261898 RNF261898:RNG261898 RXB261898:RXC261898 SGX261898:SGY261898 SQT261898:SQU261898 TAP261898:TAQ261898 TKL261898:TKM261898 TUH261898:TUI261898 UED261898:UEE261898 UNZ261898:UOA261898 UXV261898:UXW261898 VHR261898:VHS261898 VRN261898:VRO261898 WBJ261898:WBK261898 WLF261898:WLG261898 WVB261898:WVC261898 IP327434:IQ327434 SL327434:SM327434 ACH327434:ACI327434 AMD327434:AME327434 AVZ327434:AWA327434 BFV327434:BFW327434 BPR327434:BPS327434 BZN327434:BZO327434 CJJ327434:CJK327434 CTF327434:CTG327434 DDB327434:DDC327434 DMX327434:DMY327434 DWT327434:DWU327434 EGP327434:EGQ327434 EQL327434:EQM327434 FAH327434:FAI327434 FKD327434:FKE327434 FTZ327434:FUA327434 GDV327434:GDW327434 GNR327434:GNS327434 GXN327434:GXO327434 HHJ327434:HHK327434 HRF327434:HRG327434 IBB327434:IBC327434 IKX327434:IKY327434 IUT327434:IUU327434 JEP327434:JEQ327434 JOL327434:JOM327434 JYH327434:JYI327434 KID327434:KIE327434 KRZ327434:KSA327434 LBV327434:LBW327434 LLR327434:LLS327434 LVN327434:LVO327434 MFJ327434:MFK327434 MPF327434:MPG327434 MZB327434:MZC327434 NIX327434:NIY327434 NST327434:NSU327434 OCP327434:OCQ327434 OML327434:OMM327434 OWH327434:OWI327434 PGD327434:PGE327434 PPZ327434:PQA327434 PZV327434:PZW327434 QJR327434:QJS327434 QTN327434:QTO327434 RDJ327434:RDK327434 RNF327434:RNG327434 RXB327434:RXC327434 SGX327434:SGY327434 SQT327434:SQU327434 TAP327434:TAQ327434 TKL327434:TKM327434 TUH327434:TUI327434 UED327434:UEE327434 UNZ327434:UOA327434 UXV327434:UXW327434 VHR327434:VHS327434 VRN327434:VRO327434 WBJ327434:WBK327434 WLF327434:WLG327434 WVB327434:WVC327434 IP392970:IQ392970 SL392970:SM392970 ACH392970:ACI392970 AMD392970:AME392970 AVZ392970:AWA392970 BFV392970:BFW392970 BPR392970:BPS392970 BZN392970:BZO392970 CJJ392970:CJK392970 CTF392970:CTG392970 DDB392970:DDC392970 DMX392970:DMY392970 DWT392970:DWU392970 EGP392970:EGQ392970 EQL392970:EQM392970 FAH392970:FAI392970 FKD392970:FKE392970 FTZ392970:FUA392970 GDV392970:GDW392970 GNR392970:GNS392970 GXN392970:GXO392970 HHJ392970:HHK392970 HRF392970:HRG392970 IBB392970:IBC392970 IKX392970:IKY392970 IUT392970:IUU392970 JEP392970:JEQ392970 JOL392970:JOM392970 JYH392970:JYI392970 KID392970:KIE392970 KRZ392970:KSA392970 LBV392970:LBW392970 LLR392970:LLS392970 LVN392970:LVO392970 MFJ392970:MFK392970 MPF392970:MPG392970 MZB392970:MZC392970 NIX392970:NIY392970 NST392970:NSU392970 OCP392970:OCQ392970 OML392970:OMM392970 OWH392970:OWI392970 PGD392970:PGE392970 PPZ392970:PQA392970 PZV392970:PZW392970 QJR392970:QJS392970 QTN392970:QTO392970 RDJ392970:RDK392970 RNF392970:RNG392970 RXB392970:RXC392970 SGX392970:SGY392970 SQT392970:SQU392970 TAP392970:TAQ392970 TKL392970:TKM392970 TUH392970:TUI392970 UED392970:UEE392970 UNZ392970:UOA392970 UXV392970:UXW392970 VHR392970:VHS392970 VRN392970:VRO392970 WBJ392970:WBK392970 WLF392970:WLG392970 WVB392970:WVC392970 IP458506:IQ458506 SL458506:SM458506 ACH458506:ACI458506 AMD458506:AME458506 AVZ458506:AWA458506 BFV458506:BFW458506 BPR458506:BPS458506 BZN458506:BZO458506 CJJ458506:CJK458506 CTF458506:CTG458506 DDB458506:DDC458506 DMX458506:DMY458506 DWT458506:DWU458506 EGP458506:EGQ458506 EQL458506:EQM458506 FAH458506:FAI458506 FKD458506:FKE458506 FTZ458506:FUA458506 GDV458506:GDW458506 GNR458506:GNS458506 GXN458506:GXO458506 HHJ458506:HHK458506 HRF458506:HRG458506 IBB458506:IBC458506 IKX458506:IKY458506 IUT458506:IUU458506 JEP458506:JEQ458506 JOL458506:JOM458506 JYH458506:JYI458506 KID458506:KIE458506 KRZ458506:KSA458506 LBV458506:LBW458506 LLR458506:LLS458506 LVN458506:LVO458506 MFJ458506:MFK458506 MPF458506:MPG458506 MZB458506:MZC458506 NIX458506:NIY458506 NST458506:NSU458506 OCP458506:OCQ458506 OML458506:OMM458506 OWH458506:OWI458506 PGD458506:PGE458506 PPZ458506:PQA458506 PZV458506:PZW458506 QJR458506:QJS458506 QTN458506:QTO458506 RDJ458506:RDK458506 RNF458506:RNG458506 RXB458506:RXC458506 SGX458506:SGY458506 SQT458506:SQU458506 TAP458506:TAQ458506 TKL458506:TKM458506 TUH458506:TUI458506 UED458506:UEE458506 UNZ458506:UOA458506 UXV458506:UXW458506 VHR458506:VHS458506 VRN458506:VRO458506 WBJ458506:WBK458506 WLF458506:WLG458506 WVB458506:WVC458506 IP524042:IQ524042 SL524042:SM524042 ACH524042:ACI524042 AMD524042:AME524042 AVZ524042:AWA524042 BFV524042:BFW524042 BPR524042:BPS524042 BZN524042:BZO524042 CJJ524042:CJK524042 CTF524042:CTG524042 DDB524042:DDC524042 DMX524042:DMY524042 DWT524042:DWU524042 EGP524042:EGQ524042 EQL524042:EQM524042 FAH524042:FAI524042 FKD524042:FKE524042 FTZ524042:FUA524042 GDV524042:GDW524042 GNR524042:GNS524042 GXN524042:GXO524042 HHJ524042:HHK524042 HRF524042:HRG524042 IBB524042:IBC524042 IKX524042:IKY524042 IUT524042:IUU524042 JEP524042:JEQ524042 JOL524042:JOM524042 JYH524042:JYI524042 KID524042:KIE524042 KRZ524042:KSA524042 LBV524042:LBW524042 LLR524042:LLS524042 LVN524042:LVO524042 MFJ524042:MFK524042 MPF524042:MPG524042 MZB524042:MZC524042 NIX524042:NIY524042 NST524042:NSU524042 OCP524042:OCQ524042 OML524042:OMM524042 OWH524042:OWI524042 PGD524042:PGE524042 PPZ524042:PQA524042 PZV524042:PZW524042 QJR524042:QJS524042 QTN524042:QTO524042 RDJ524042:RDK524042 RNF524042:RNG524042 RXB524042:RXC524042 SGX524042:SGY524042 SQT524042:SQU524042 TAP524042:TAQ524042 TKL524042:TKM524042 TUH524042:TUI524042 UED524042:UEE524042 UNZ524042:UOA524042 UXV524042:UXW524042 VHR524042:VHS524042 VRN524042:VRO524042 WBJ524042:WBK524042 WLF524042:WLG524042 WVB524042:WVC524042 IP589578:IQ589578 SL589578:SM589578 ACH589578:ACI589578 AMD589578:AME589578 AVZ589578:AWA589578 BFV589578:BFW589578 BPR589578:BPS589578 BZN589578:BZO589578 CJJ589578:CJK589578 CTF589578:CTG589578 DDB589578:DDC589578 DMX589578:DMY589578 DWT589578:DWU589578 EGP589578:EGQ589578 EQL589578:EQM589578 FAH589578:FAI589578 FKD589578:FKE589578 FTZ589578:FUA589578 GDV589578:GDW589578 GNR589578:GNS589578 GXN589578:GXO589578 HHJ589578:HHK589578 HRF589578:HRG589578 IBB589578:IBC589578 IKX589578:IKY589578 IUT589578:IUU589578 JEP589578:JEQ589578 JOL589578:JOM589578 JYH589578:JYI589578 KID589578:KIE589578 KRZ589578:KSA589578 LBV589578:LBW589578 LLR589578:LLS589578 LVN589578:LVO589578 MFJ589578:MFK589578 MPF589578:MPG589578 MZB589578:MZC589578 NIX589578:NIY589578 NST589578:NSU589578 OCP589578:OCQ589578 OML589578:OMM589578 OWH589578:OWI589578 PGD589578:PGE589578 PPZ589578:PQA589578 PZV589578:PZW589578 QJR589578:QJS589578 QTN589578:QTO589578 RDJ589578:RDK589578 RNF589578:RNG589578 RXB589578:RXC589578 SGX589578:SGY589578 SQT589578:SQU589578 TAP589578:TAQ589578 TKL589578:TKM589578 TUH589578:TUI589578 UED589578:UEE589578 UNZ589578:UOA589578 UXV589578:UXW589578 VHR589578:VHS589578 VRN589578:VRO589578 WBJ589578:WBK589578 WLF589578:WLG589578 WVB589578:WVC589578 IP655114:IQ655114 SL655114:SM655114 ACH655114:ACI655114 AMD655114:AME655114 AVZ655114:AWA655114 BFV655114:BFW655114 BPR655114:BPS655114 BZN655114:BZO655114 CJJ655114:CJK655114 CTF655114:CTG655114 DDB655114:DDC655114 DMX655114:DMY655114 DWT655114:DWU655114 EGP655114:EGQ655114 EQL655114:EQM655114 FAH655114:FAI655114 FKD655114:FKE655114 FTZ655114:FUA655114 GDV655114:GDW655114 GNR655114:GNS655114 GXN655114:GXO655114 HHJ655114:HHK655114 HRF655114:HRG655114 IBB655114:IBC655114 IKX655114:IKY655114 IUT655114:IUU655114 JEP655114:JEQ655114 JOL655114:JOM655114 JYH655114:JYI655114 KID655114:KIE655114 KRZ655114:KSA655114 LBV655114:LBW655114 LLR655114:LLS655114 LVN655114:LVO655114 MFJ655114:MFK655114 MPF655114:MPG655114 MZB655114:MZC655114 NIX655114:NIY655114 NST655114:NSU655114 OCP655114:OCQ655114 OML655114:OMM655114 OWH655114:OWI655114 PGD655114:PGE655114 PPZ655114:PQA655114 PZV655114:PZW655114 QJR655114:QJS655114 QTN655114:QTO655114 RDJ655114:RDK655114 RNF655114:RNG655114 RXB655114:RXC655114 SGX655114:SGY655114 SQT655114:SQU655114 TAP655114:TAQ655114 TKL655114:TKM655114 TUH655114:TUI655114 UED655114:UEE655114 UNZ655114:UOA655114 UXV655114:UXW655114 VHR655114:VHS655114 VRN655114:VRO655114 WBJ655114:WBK655114 WLF655114:WLG655114 WVB655114:WVC655114 IP720650:IQ720650 SL720650:SM720650 ACH720650:ACI720650 AMD720650:AME720650 AVZ720650:AWA720650 BFV720650:BFW720650 BPR720650:BPS720650 BZN720650:BZO720650 CJJ720650:CJK720650 CTF720650:CTG720650 DDB720650:DDC720650 DMX720650:DMY720650 DWT720650:DWU720650 EGP720650:EGQ720650 EQL720650:EQM720650 FAH720650:FAI720650 FKD720650:FKE720650 FTZ720650:FUA720650 GDV720650:GDW720650 GNR720650:GNS720650 GXN720650:GXO720650 HHJ720650:HHK720650 HRF720650:HRG720650 IBB720650:IBC720650 IKX720650:IKY720650 IUT720650:IUU720650 JEP720650:JEQ720650 JOL720650:JOM720650 JYH720650:JYI720650 KID720650:KIE720650 KRZ720650:KSA720650 LBV720650:LBW720650 LLR720650:LLS720650 LVN720650:LVO720650 MFJ720650:MFK720650 MPF720650:MPG720650 MZB720650:MZC720650 NIX720650:NIY720650 NST720650:NSU720650 OCP720650:OCQ720650 OML720650:OMM720650 OWH720650:OWI720650 PGD720650:PGE720650 PPZ720650:PQA720650 PZV720650:PZW720650 QJR720650:QJS720650 QTN720650:QTO720650 RDJ720650:RDK720650 RNF720650:RNG720650 RXB720650:RXC720650 SGX720650:SGY720650 SQT720650:SQU720650 TAP720650:TAQ720650 TKL720650:TKM720650 TUH720650:TUI720650 UED720650:UEE720650 UNZ720650:UOA720650 UXV720650:UXW720650 VHR720650:VHS720650 VRN720650:VRO720650 WBJ720650:WBK720650 WLF720650:WLG720650 WVB720650:WVC720650 IP786186:IQ786186 SL786186:SM786186 ACH786186:ACI786186 AMD786186:AME786186 AVZ786186:AWA786186 BFV786186:BFW786186 BPR786186:BPS786186 BZN786186:BZO786186 CJJ786186:CJK786186 CTF786186:CTG786186 DDB786186:DDC786186 DMX786186:DMY786186 DWT786186:DWU786186 EGP786186:EGQ786186 EQL786186:EQM786186 FAH786186:FAI786186 FKD786186:FKE786186 FTZ786186:FUA786186 GDV786186:GDW786186 GNR786186:GNS786186 GXN786186:GXO786186 HHJ786186:HHK786186 HRF786186:HRG786186 IBB786186:IBC786186 IKX786186:IKY786186 IUT786186:IUU786186 JEP786186:JEQ786186 JOL786186:JOM786186 JYH786186:JYI786186 KID786186:KIE786186 KRZ786186:KSA786186 LBV786186:LBW786186 LLR786186:LLS786186 LVN786186:LVO786186 MFJ786186:MFK786186 MPF786186:MPG786186 MZB786186:MZC786186 NIX786186:NIY786186 NST786186:NSU786186 OCP786186:OCQ786186 OML786186:OMM786186 OWH786186:OWI786186 PGD786186:PGE786186 PPZ786186:PQA786186 PZV786186:PZW786186 QJR786186:QJS786186 QTN786186:QTO786186 RDJ786186:RDK786186 RNF786186:RNG786186 RXB786186:RXC786186 SGX786186:SGY786186 SQT786186:SQU786186 TAP786186:TAQ786186 TKL786186:TKM786186 TUH786186:TUI786186 UED786186:UEE786186 UNZ786186:UOA786186 UXV786186:UXW786186 VHR786186:VHS786186 VRN786186:VRO786186 WBJ786186:WBK786186 WLF786186:WLG786186 WVB786186:WVC786186 IP851722:IQ851722 SL851722:SM851722 ACH851722:ACI851722 AMD851722:AME851722 AVZ851722:AWA851722 BFV851722:BFW851722 BPR851722:BPS851722 BZN851722:BZO851722 CJJ851722:CJK851722 CTF851722:CTG851722 DDB851722:DDC851722 DMX851722:DMY851722 DWT851722:DWU851722 EGP851722:EGQ851722 EQL851722:EQM851722 FAH851722:FAI851722 FKD851722:FKE851722 FTZ851722:FUA851722 GDV851722:GDW851722 GNR851722:GNS851722 GXN851722:GXO851722 HHJ851722:HHK851722 HRF851722:HRG851722 IBB851722:IBC851722 IKX851722:IKY851722 IUT851722:IUU851722 JEP851722:JEQ851722 JOL851722:JOM851722 JYH851722:JYI851722 KID851722:KIE851722 KRZ851722:KSA851722 LBV851722:LBW851722 LLR851722:LLS851722 LVN851722:LVO851722 MFJ851722:MFK851722 MPF851722:MPG851722 MZB851722:MZC851722 NIX851722:NIY851722 NST851722:NSU851722 OCP851722:OCQ851722 OML851722:OMM851722 OWH851722:OWI851722 PGD851722:PGE851722 PPZ851722:PQA851722 PZV851722:PZW851722 QJR851722:QJS851722 QTN851722:QTO851722 RDJ851722:RDK851722 RNF851722:RNG851722 RXB851722:RXC851722 SGX851722:SGY851722 SQT851722:SQU851722 TAP851722:TAQ851722 TKL851722:TKM851722 TUH851722:TUI851722 UED851722:UEE851722 UNZ851722:UOA851722 UXV851722:UXW851722 VHR851722:VHS851722 VRN851722:VRO851722 WBJ851722:WBK851722 WLF851722:WLG851722 WVB851722:WVC851722 IP917258:IQ917258 SL917258:SM917258 ACH917258:ACI917258 AMD917258:AME917258 AVZ917258:AWA917258 BFV917258:BFW917258 BPR917258:BPS917258 BZN917258:BZO917258 CJJ917258:CJK917258 CTF917258:CTG917258 DDB917258:DDC917258 DMX917258:DMY917258 DWT917258:DWU917258 EGP917258:EGQ917258 EQL917258:EQM917258 FAH917258:FAI917258 FKD917258:FKE917258 FTZ917258:FUA917258 GDV917258:GDW917258 GNR917258:GNS917258 GXN917258:GXO917258 HHJ917258:HHK917258 HRF917258:HRG917258 IBB917258:IBC917258 IKX917258:IKY917258 IUT917258:IUU917258 JEP917258:JEQ917258 JOL917258:JOM917258 JYH917258:JYI917258 KID917258:KIE917258 KRZ917258:KSA917258 LBV917258:LBW917258 LLR917258:LLS917258 LVN917258:LVO917258 MFJ917258:MFK917258 MPF917258:MPG917258 MZB917258:MZC917258 NIX917258:NIY917258 NST917258:NSU917258 OCP917258:OCQ917258 OML917258:OMM917258 OWH917258:OWI917258 PGD917258:PGE917258 PPZ917258:PQA917258 PZV917258:PZW917258 QJR917258:QJS917258 QTN917258:QTO917258 RDJ917258:RDK917258 RNF917258:RNG917258 RXB917258:RXC917258 SGX917258:SGY917258 SQT917258:SQU917258 TAP917258:TAQ917258 TKL917258:TKM917258 TUH917258:TUI917258 UED917258:UEE917258 UNZ917258:UOA917258 UXV917258:UXW917258 VHR917258:VHS917258 VRN917258:VRO917258 WBJ917258:WBK917258 WLF917258:WLG917258 WVB917258:WVC917258 IP982794:IQ982794 SL982794:SM982794 ACH982794:ACI982794 AMD982794:AME982794 AVZ982794:AWA982794 BFV982794:BFW982794 BPR982794:BPS982794 BZN982794:BZO982794 CJJ982794:CJK982794 CTF982794:CTG982794 DDB982794:DDC982794 DMX982794:DMY982794 DWT982794:DWU982794 EGP982794:EGQ982794 EQL982794:EQM982794 FAH982794:FAI982794 FKD982794:FKE982794 FTZ982794:FUA982794 GDV982794:GDW982794 GNR982794:GNS982794 GXN982794:GXO982794 HHJ982794:HHK982794 HRF982794:HRG982794 IBB982794:IBC982794 IKX982794:IKY982794 IUT982794:IUU982794 JEP982794:JEQ982794 JOL982794:JOM982794 JYH982794:JYI982794 KID982794:KIE982794 KRZ982794:KSA982794 LBV982794:LBW982794 LLR982794:LLS982794 LVN982794:LVO982794 MFJ982794:MFK982794 MPF982794:MPG982794 MZB982794:MZC982794 NIX982794:NIY982794 NST982794:NSU982794 OCP982794:OCQ982794 OML982794:OMM982794 OWH982794:OWI982794 PGD982794:PGE982794 PPZ982794:PQA982794 PZV982794:PZW982794 QJR982794:QJS982794 QTN982794:QTO982794 RDJ982794:RDK982794 RNF982794:RNG982794 RXB982794:RXC982794 SGX982794:SGY982794 SQT982794:SQU982794 TAP982794:TAQ982794 TKL982794:TKM982794 TUH982794:TUI982794 UED982794:UEE982794 UNZ982794:UOA982794 UXV982794:UXW982794 VHR982794:VHS982794 VRN982794:VRO982794 WBJ982794:WBK982794 WLF982794:WLG982794 WVB982794:WVC982794" xr:uid="{E14A16CB-5EC7-435D-B082-4AB0B0D03566}">
      <formula1>0</formula1>
      <formula2>50</formula2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8989-0960-4026-8044-6DCAF0336A9D}">
  <dimension ref="A1:G563"/>
  <sheetViews>
    <sheetView workbookViewId="0">
      <selection activeCell="U35" sqref="U35"/>
    </sheetView>
  </sheetViews>
  <sheetFormatPr defaultRowHeight="15" x14ac:dyDescent="0.25"/>
  <cols>
    <col min="1" max="1" width="19.28515625" style="5" bestFit="1" customWidth="1"/>
    <col min="2" max="2" width="10" style="5" bestFit="1" customWidth="1"/>
    <col min="3" max="3" width="20.7109375" style="7" bestFit="1" customWidth="1"/>
    <col min="4" max="4" width="25.85546875" style="7" customWidth="1"/>
    <col min="5" max="5" width="7.140625" style="7" bestFit="1" customWidth="1"/>
    <col min="6" max="6" width="14.28515625" bestFit="1" customWidth="1"/>
    <col min="242" max="242" width="27.28515625" bestFit="1" customWidth="1"/>
    <col min="243" max="243" width="6.5703125" bestFit="1" customWidth="1"/>
    <col min="244" max="245" width="28.140625" bestFit="1" customWidth="1"/>
    <col min="246" max="246" width="6.5703125" bestFit="1" customWidth="1"/>
    <col min="247" max="248" width="28.140625" bestFit="1" customWidth="1"/>
    <col min="249" max="249" width="38.42578125" bestFit="1" customWidth="1"/>
    <col min="250" max="250" width="33.7109375" bestFit="1" customWidth="1"/>
    <col min="251" max="251" width="32" bestFit="1" customWidth="1"/>
    <col min="253" max="253" width="16.85546875" bestFit="1" customWidth="1"/>
    <col min="254" max="254" width="25.85546875" bestFit="1" customWidth="1"/>
    <col min="498" max="498" width="27.28515625" bestFit="1" customWidth="1"/>
    <col min="499" max="499" width="6.5703125" bestFit="1" customWidth="1"/>
    <col min="500" max="501" width="28.140625" bestFit="1" customWidth="1"/>
    <col min="502" max="502" width="6.5703125" bestFit="1" customWidth="1"/>
    <col min="503" max="504" width="28.140625" bestFit="1" customWidth="1"/>
    <col min="505" max="505" width="38.42578125" bestFit="1" customWidth="1"/>
    <col min="506" max="506" width="33.7109375" bestFit="1" customWidth="1"/>
    <col min="507" max="507" width="32" bestFit="1" customWidth="1"/>
    <col min="509" max="509" width="16.85546875" bestFit="1" customWidth="1"/>
    <col min="510" max="510" width="25.85546875" bestFit="1" customWidth="1"/>
    <col min="754" max="754" width="27.28515625" bestFit="1" customWidth="1"/>
    <col min="755" max="755" width="6.5703125" bestFit="1" customWidth="1"/>
    <col min="756" max="757" width="28.140625" bestFit="1" customWidth="1"/>
    <col min="758" max="758" width="6.5703125" bestFit="1" customWidth="1"/>
    <col min="759" max="760" width="28.140625" bestFit="1" customWidth="1"/>
    <col min="761" max="761" width="38.42578125" bestFit="1" customWidth="1"/>
    <col min="762" max="762" width="33.7109375" bestFit="1" customWidth="1"/>
    <col min="763" max="763" width="32" bestFit="1" customWidth="1"/>
    <col min="765" max="765" width="16.85546875" bestFit="1" customWidth="1"/>
    <col min="766" max="766" width="25.85546875" bestFit="1" customWidth="1"/>
    <col min="1010" max="1010" width="27.28515625" bestFit="1" customWidth="1"/>
    <col min="1011" max="1011" width="6.5703125" bestFit="1" customWidth="1"/>
    <col min="1012" max="1013" width="28.140625" bestFit="1" customWidth="1"/>
    <col min="1014" max="1014" width="6.5703125" bestFit="1" customWidth="1"/>
    <col min="1015" max="1016" width="28.140625" bestFit="1" customWidth="1"/>
    <col min="1017" max="1017" width="38.42578125" bestFit="1" customWidth="1"/>
    <col min="1018" max="1018" width="33.7109375" bestFit="1" customWidth="1"/>
    <col min="1019" max="1019" width="32" bestFit="1" customWidth="1"/>
    <col min="1021" max="1021" width="16.85546875" bestFit="1" customWidth="1"/>
    <col min="1022" max="1022" width="25.85546875" bestFit="1" customWidth="1"/>
    <col min="1266" max="1266" width="27.28515625" bestFit="1" customWidth="1"/>
    <col min="1267" max="1267" width="6.5703125" bestFit="1" customWidth="1"/>
    <col min="1268" max="1269" width="28.140625" bestFit="1" customWidth="1"/>
    <col min="1270" max="1270" width="6.5703125" bestFit="1" customWidth="1"/>
    <col min="1271" max="1272" width="28.140625" bestFit="1" customWidth="1"/>
    <col min="1273" max="1273" width="38.42578125" bestFit="1" customWidth="1"/>
    <col min="1274" max="1274" width="33.7109375" bestFit="1" customWidth="1"/>
    <col min="1275" max="1275" width="32" bestFit="1" customWidth="1"/>
    <col min="1277" max="1277" width="16.85546875" bestFit="1" customWidth="1"/>
    <col min="1278" max="1278" width="25.85546875" bestFit="1" customWidth="1"/>
    <col min="1522" max="1522" width="27.28515625" bestFit="1" customWidth="1"/>
    <col min="1523" max="1523" width="6.5703125" bestFit="1" customWidth="1"/>
    <col min="1524" max="1525" width="28.140625" bestFit="1" customWidth="1"/>
    <col min="1526" max="1526" width="6.5703125" bestFit="1" customWidth="1"/>
    <col min="1527" max="1528" width="28.140625" bestFit="1" customWidth="1"/>
    <col min="1529" max="1529" width="38.42578125" bestFit="1" customWidth="1"/>
    <col min="1530" max="1530" width="33.7109375" bestFit="1" customWidth="1"/>
    <col min="1531" max="1531" width="32" bestFit="1" customWidth="1"/>
    <col min="1533" max="1533" width="16.85546875" bestFit="1" customWidth="1"/>
    <col min="1534" max="1534" width="25.85546875" bestFit="1" customWidth="1"/>
    <col min="1778" max="1778" width="27.28515625" bestFit="1" customWidth="1"/>
    <col min="1779" max="1779" width="6.5703125" bestFit="1" customWidth="1"/>
    <col min="1780" max="1781" width="28.140625" bestFit="1" customWidth="1"/>
    <col min="1782" max="1782" width="6.5703125" bestFit="1" customWidth="1"/>
    <col min="1783" max="1784" width="28.140625" bestFit="1" customWidth="1"/>
    <col min="1785" max="1785" width="38.42578125" bestFit="1" customWidth="1"/>
    <col min="1786" max="1786" width="33.7109375" bestFit="1" customWidth="1"/>
    <col min="1787" max="1787" width="32" bestFit="1" customWidth="1"/>
    <col min="1789" max="1789" width="16.85546875" bestFit="1" customWidth="1"/>
    <col min="1790" max="1790" width="25.85546875" bestFit="1" customWidth="1"/>
    <col min="2034" max="2034" width="27.28515625" bestFit="1" customWidth="1"/>
    <col min="2035" max="2035" width="6.5703125" bestFit="1" customWidth="1"/>
    <col min="2036" max="2037" width="28.140625" bestFit="1" customWidth="1"/>
    <col min="2038" max="2038" width="6.5703125" bestFit="1" customWidth="1"/>
    <col min="2039" max="2040" width="28.140625" bestFit="1" customWidth="1"/>
    <col min="2041" max="2041" width="38.42578125" bestFit="1" customWidth="1"/>
    <col min="2042" max="2042" width="33.7109375" bestFit="1" customWidth="1"/>
    <col min="2043" max="2043" width="32" bestFit="1" customWidth="1"/>
    <col min="2045" max="2045" width="16.85546875" bestFit="1" customWidth="1"/>
    <col min="2046" max="2046" width="25.85546875" bestFit="1" customWidth="1"/>
    <col min="2290" max="2290" width="27.28515625" bestFit="1" customWidth="1"/>
    <col min="2291" max="2291" width="6.5703125" bestFit="1" customWidth="1"/>
    <col min="2292" max="2293" width="28.140625" bestFit="1" customWidth="1"/>
    <col min="2294" max="2294" width="6.5703125" bestFit="1" customWidth="1"/>
    <col min="2295" max="2296" width="28.140625" bestFit="1" customWidth="1"/>
    <col min="2297" max="2297" width="38.42578125" bestFit="1" customWidth="1"/>
    <col min="2298" max="2298" width="33.7109375" bestFit="1" customWidth="1"/>
    <col min="2299" max="2299" width="32" bestFit="1" customWidth="1"/>
    <col min="2301" max="2301" width="16.85546875" bestFit="1" customWidth="1"/>
    <col min="2302" max="2302" width="25.85546875" bestFit="1" customWidth="1"/>
    <col min="2546" max="2546" width="27.28515625" bestFit="1" customWidth="1"/>
    <col min="2547" max="2547" width="6.5703125" bestFit="1" customWidth="1"/>
    <col min="2548" max="2549" width="28.140625" bestFit="1" customWidth="1"/>
    <col min="2550" max="2550" width="6.5703125" bestFit="1" customWidth="1"/>
    <col min="2551" max="2552" width="28.140625" bestFit="1" customWidth="1"/>
    <col min="2553" max="2553" width="38.42578125" bestFit="1" customWidth="1"/>
    <col min="2554" max="2554" width="33.7109375" bestFit="1" customWidth="1"/>
    <col min="2555" max="2555" width="32" bestFit="1" customWidth="1"/>
    <col min="2557" max="2557" width="16.85546875" bestFit="1" customWidth="1"/>
    <col min="2558" max="2558" width="25.85546875" bestFit="1" customWidth="1"/>
    <col min="2802" max="2802" width="27.28515625" bestFit="1" customWidth="1"/>
    <col min="2803" max="2803" width="6.5703125" bestFit="1" customWidth="1"/>
    <col min="2804" max="2805" width="28.140625" bestFit="1" customWidth="1"/>
    <col min="2806" max="2806" width="6.5703125" bestFit="1" customWidth="1"/>
    <col min="2807" max="2808" width="28.140625" bestFit="1" customWidth="1"/>
    <col min="2809" max="2809" width="38.42578125" bestFit="1" customWidth="1"/>
    <col min="2810" max="2810" width="33.7109375" bestFit="1" customWidth="1"/>
    <col min="2811" max="2811" width="32" bestFit="1" customWidth="1"/>
    <col min="2813" max="2813" width="16.85546875" bestFit="1" customWidth="1"/>
    <col min="2814" max="2814" width="25.85546875" bestFit="1" customWidth="1"/>
    <col min="3058" max="3058" width="27.28515625" bestFit="1" customWidth="1"/>
    <col min="3059" max="3059" width="6.5703125" bestFit="1" customWidth="1"/>
    <col min="3060" max="3061" width="28.140625" bestFit="1" customWidth="1"/>
    <col min="3062" max="3062" width="6.5703125" bestFit="1" customWidth="1"/>
    <col min="3063" max="3064" width="28.140625" bestFit="1" customWidth="1"/>
    <col min="3065" max="3065" width="38.42578125" bestFit="1" customWidth="1"/>
    <col min="3066" max="3066" width="33.7109375" bestFit="1" customWidth="1"/>
    <col min="3067" max="3067" width="32" bestFit="1" customWidth="1"/>
    <col min="3069" max="3069" width="16.85546875" bestFit="1" customWidth="1"/>
    <col min="3070" max="3070" width="25.85546875" bestFit="1" customWidth="1"/>
    <col min="3314" max="3314" width="27.28515625" bestFit="1" customWidth="1"/>
    <col min="3315" max="3315" width="6.5703125" bestFit="1" customWidth="1"/>
    <col min="3316" max="3317" width="28.140625" bestFit="1" customWidth="1"/>
    <col min="3318" max="3318" width="6.5703125" bestFit="1" customWidth="1"/>
    <col min="3319" max="3320" width="28.140625" bestFit="1" customWidth="1"/>
    <col min="3321" max="3321" width="38.42578125" bestFit="1" customWidth="1"/>
    <col min="3322" max="3322" width="33.7109375" bestFit="1" customWidth="1"/>
    <col min="3323" max="3323" width="32" bestFit="1" customWidth="1"/>
    <col min="3325" max="3325" width="16.85546875" bestFit="1" customWidth="1"/>
    <col min="3326" max="3326" width="25.85546875" bestFit="1" customWidth="1"/>
    <col min="3570" max="3570" width="27.28515625" bestFit="1" customWidth="1"/>
    <col min="3571" max="3571" width="6.5703125" bestFit="1" customWidth="1"/>
    <col min="3572" max="3573" width="28.140625" bestFit="1" customWidth="1"/>
    <col min="3574" max="3574" width="6.5703125" bestFit="1" customWidth="1"/>
    <col min="3575" max="3576" width="28.140625" bestFit="1" customWidth="1"/>
    <col min="3577" max="3577" width="38.42578125" bestFit="1" customWidth="1"/>
    <col min="3578" max="3578" width="33.7109375" bestFit="1" customWidth="1"/>
    <col min="3579" max="3579" width="32" bestFit="1" customWidth="1"/>
    <col min="3581" max="3581" width="16.85546875" bestFit="1" customWidth="1"/>
    <col min="3582" max="3582" width="25.85546875" bestFit="1" customWidth="1"/>
    <col min="3826" max="3826" width="27.28515625" bestFit="1" customWidth="1"/>
    <col min="3827" max="3827" width="6.5703125" bestFit="1" customWidth="1"/>
    <col min="3828" max="3829" width="28.140625" bestFit="1" customWidth="1"/>
    <col min="3830" max="3830" width="6.5703125" bestFit="1" customWidth="1"/>
    <col min="3831" max="3832" width="28.140625" bestFit="1" customWidth="1"/>
    <col min="3833" max="3833" width="38.42578125" bestFit="1" customWidth="1"/>
    <col min="3834" max="3834" width="33.7109375" bestFit="1" customWidth="1"/>
    <col min="3835" max="3835" width="32" bestFit="1" customWidth="1"/>
    <col min="3837" max="3837" width="16.85546875" bestFit="1" customWidth="1"/>
    <col min="3838" max="3838" width="25.85546875" bestFit="1" customWidth="1"/>
    <col min="4082" max="4082" width="27.28515625" bestFit="1" customWidth="1"/>
    <col min="4083" max="4083" width="6.5703125" bestFit="1" customWidth="1"/>
    <col min="4084" max="4085" width="28.140625" bestFit="1" customWidth="1"/>
    <col min="4086" max="4086" width="6.5703125" bestFit="1" customWidth="1"/>
    <col min="4087" max="4088" width="28.140625" bestFit="1" customWidth="1"/>
    <col min="4089" max="4089" width="38.42578125" bestFit="1" customWidth="1"/>
    <col min="4090" max="4090" width="33.7109375" bestFit="1" customWidth="1"/>
    <col min="4091" max="4091" width="32" bestFit="1" customWidth="1"/>
    <col min="4093" max="4093" width="16.85546875" bestFit="1" customWidth="1"/>
    <col min="4094" max="4094" width="25.85546875" bestFit="1" customWidth="1"/>
    <col min="4338" max="4338" width="27.28515625" bestFit="1" customWidth="1"/>
    <col min="4339" max="4339" width="6.5703125" bestFit="1" customWidth="1"/>
    <col min="4340" max="4341" width="28.140625" bestFit="1" customWidth="1"/>
    <col min="4342" max="4342" width="6.5703125" bestFit="1" customWidth="1"/>
    <col min="4343" max="4344" width="28.140625" bestFit="1" customWidth="1"/>
    <col min="4345" max="4345" width="38.42578125" bestFit="1" customWidth="1"/>
    <col min="4346" max="4346" width="33.7109375" bestFit="1" customWidth="1"/>
    <col min="4347" max="4347" width="32" bestFit="1" customWidth="1"/>
    <col min="4349" max="4349" width="16.85546875" bestFit="1" customWidth="1"/>
    <col min="4350" max="4350" width="25.85546875" bestFit="1" customWidth="1"/>
    <col min="4594" max="4594" width="27.28515625" bestFit="1" customWidth="1"/>
    <col min="4595" max="4595" width="6.5703125" bestFit="1" customWidth="1"/>
    <col min="4596" max="4597" width="28.140625" bestFit="1" customWidth="1"/>
    <col min="4598" max="4598" width="6.5703125" bestFit="1" customWidth="1"/>
    <col min="4599" max="4600" width="28.140625" bestFit="1" customWidth="1"/>
    <col min="4601" max="4601" width="38.42578125" bestFit="1" customWidth="1"/>
    <col min="4602" max="4602" width="33.7109375" bestFit="1" customWidth="1"/>
    <col min="4603" max="4603" width="32" bestFit="1" customWidth="1"/>
    <col min="4605" max="4605" width="16.85546875" bestFit="1" customWidth="1"/>
    <col min="4606" max="4606" width="25.85546875" bestFit="1" customWidth="1"/>
    <col min="4850" max="4850" width="27.28515625" bestFit="1" customWidth="1"/>
    <col min="4851" max="4851" width="6.5703125" bestFit="1" customWidth="1"/>
    <col min="4852" max="4853" width="28.140625" bestFit="1" customWidth="1"/>
    <col min="4854" max="4854" width="6.5703125" bestFit="1" customWidth="1"/>
    <col min="4855" max="4856" width="28.140625" bestFit="1" customWidth="1"/>
    <col min="4857" max="4857" width="38.42578125" bestFit="1" customWidth="1"/>
    <col min="4858" max="4858" width="33.7109375" bestFit="1" customWidth="1"/>
    <col min="4859" max="4859" width="32" bestFit="1" customWidth="1"/>
    <col min="4861" max="4861" width="16.85546875" bestFit="1" customWidth="1"/>
    <col min="4862" max="4862" width="25.85546875" bestFit="1" customWidth="1"/>
    <col min="5106" max="5106" width="27.28515625" bestFit="1" customWidth="1"/>
    <col min="5107" max="5107" width="6.5703125" bestFit="1" customWidth="1"/>
    <col min="5108" max="5109" width="28.140625" bestFit="1" customWidth="1"/>
    <col min="5110" max="5110" width="6.5703125" bestFit="1" customWidth="1"/>
    <col min="5111" max="5112" width="28.140625" bestFit="1" customWidth="1"/>
    <col min="5113" max="5113" width="38.42578125" bestFit="1" customWidth="1"/>
    <col min="5114" max="5114" width="33.7109375" bestFit="1" customWidth="1"/>
    <col min="5115" max="5115" width="32" bestFit="1" customWidth="1"/>
    <col min="5117" max="5117" width="16.85546875" bestFit="1" customWidth="1"/>
    <col min="5118" max="5118" width="25.85546875" bestFit="1" customWidth="1"/>
    <col min="5362" max="5362" width="27.28515625" bestFit="1" customWidth="1"/>
    <col min="5363" max="5363" width="6.5703125" bestFit="1" customWidth="1"/>
    <col min="5364" max="5365" width="28.140625" bestFit="1" customWidth="1"/>
    <col min="5366" max="5366" width="6.5703125" bestFit="1" customWidth="1"/>
    <col min="5367" max="5368" width="28.140625" bestFit="1" customWidth="1"/>
    <col min="5369" max="5369" width="38.42578125" bestFit="1" customWidth="1"/>
    <col min="5370" max="5370" width="33.7109375" bestFit="1" customWidth="1"/>
    <col min="5371" max="5371" width="32" bestFit="1" customWidth="1"/>
    <col min="5373" max="5373" width="16.85546875" bestFit="1" customWidth="1"/>
    <col min="5374" max="5374" width="25.85546875" bestFit="1" customWidth="1"/>
    <col min="5618" max="5618" width="27.28515625" bestFit="1" customWidth="1"/>
    <col min="5619" max="5619" width="6.5703125" bestFit="1" customWidth="1"/>
    <col min="5620" max="5621" width="28.140625" bestFit="1" customWidth="1"/>
    <col min="5622" max="5622" width="6.5703125" bestFit="1" customWidth="1"/>
    <col min="5623" max="5624" width="28.140625" bestFit="1" customWidth="1"/>
    <col min="5625" max="5625" width="38.42578125" bestFit="1" customWidth="1"/>
    <col min="5626" max="5626" width="33.7109375" bestFit="1" customWidth="1"/>
    <col min="5627" max="5627" width="32" bestFit="1" customWidth="1"/>
    <col min="5629" max="5629" width="16.85546875" bestFit="1" customWidth="1"/>
    <col min="5630" max="5630" width="25.85546875" bestFit="1" customWidth="1"/>
    <col min="5874" max="5874" width="27.28515625" bestFit="1" customWidth="1"/>
    <col min="5875" max="5875" width="6.5703125" bestFit="1" customWidth="1"/>
    <col min="5876" max="5877" width="28.140625" bestFit="1" customWidth="1"/>
    <col min="5878" max="5878" width="6.5703125" bestFit="1" customWidth="1"/>
    <col min="5879" max="5880" width="28.140625" bestFit="1" customWidth="1"/>
    <col min="5881" max="5881" width="38.42578125" bestFit="1" customWidth="1"/>
    <col min="5882" max="5882" width="33.7109375" bestFit="1" customWidth="1"/>
    <col min="5883" max="5883" width="32" bestFit="1" customWidth="1"/>
    <col min="5885" max="5885" width="16.85546875" bestFit="1" customWidth="1"/>
    <col min="5886" max="5886" width="25.85546875" bestFit="1" customWidth="1"/>
    <col min="6130" max="6130" width="27.28515625" bestFit="1" customWidth="1"/>
    <col min="6131" max="6131" width="6.5703125" bestFit="1" customWidth="1"/>
    <col min="6132" max="6133" width="28.140625" bestFit="1" customWidth="1"/>
    <col min="6134" max="6134" width="6.5703125" bestFit="1" customWidth="1"/>
    <col min="6135" max="6136" width="28.140625" bestFit="1" customWidth="1"/>
    <col min="6137" max="6137" width="38.42578125" bestFit="1" customWidth="1"/>
    <col min="6138" max="6138" width="33.7109375" bestFit="1" customWidth="1"/>
    <col min="6139" max="6139" width="32" bestFit="1" customWidth="1"/>
    <col min="6141" max="6141" width="16.85546875" bestFit="1" customWidth="1"/>
    <col min="6142" max="6142" width="25.85546875" bestFit="1" customWidth="1"/>
    <col min="6386" max="6386" width="27.28515625" bestFit="1" customWidth="1"/>
    <col min="6387" max="6387" width="6.5703125" bestFit="1" customWidth="1"/>
    <col min="6388" max="6389" width="28.140625" bestFit="1" customWidth="1"/>
    <col min="6390" max="6390" width="6.5703125" bestFit="1" customWidth="1"/>
    <col min="6391" max="6392" width="28.140625" bestFit="1" customWidth="1"/>
    <col min="6393" max="6393" width="38.42578125" bestFit="1" customWidth="1"/>
    <col min="6394" max="6394" width="33.7109375" bestFit="1" customWidth="1"/>
    <col min="6395" max="6395" width="32" bestFit="1" customWidth="1"/>
    <col min="6397" max="6397" width="16.85546875" bestFit="1" customWidth="1"/>
    <col min="6398" max="6398" width="25.85546875" bestFit="1" customWidth="1"/>
    <col min="6642" max="6642" width="27.28515625" bestFit="1" customWidth="1"/>
    <col min="6643" max="6643" width="6.5703125" bestFit="1" customWidth="1"/>
    <col min="6644" max="6645" width="28.140625" bestFit="1" customWidth="1"/>
    <col min="6646" max="6646" width="6.5703125" bestFit="1" customWidth="1"/>
    <col min="6647" max="6648" width="28.140625" bestFit="1" customWidth="1"/>
    <col min="6649" max="6649" width="38.42578125" bestFit="1" customWidth="1"/>
    <col min="6650" max="6650" width="33.7109375" bestFit="1" customWidth="1"/>
    <col min="6651" max="6651" width="32" bestFit="1" customWidth="1"/>
    <col min="6653" max="6653" width="16.85546875" bestFit="1" customWidth="1"/>
    <col min="6654" max="6654" width="25.85546875" bestFit="1" customWidth="1"/>
    <col min="6898" max="6898" width="27.28515625" bestFit="1" customWidth="1"/>
    <col min="6899" max="6899" width="6.5703125" bestFit="1" customWidth="1"/>
    <col min="6900" max="6901" width="28.140625" bestFit="1" customWidth="1"/>
    <col min="6902" max="6902" width="6.5703125" bestFit="1" customWidth="1"/>
    <col min="6903" max="6904" width="28.140625" bestFit="1" customWidth="1"/>
    <col min="6905" max="6905" width="38.42578125" bestFit="1" customWidth="1"/>
    <col min="6906" max="6906" width="33.7109375" bestFit="1" customWidth="1"/>
    <col min="6907" max="6907" width="32" bestFit="1" customWidth="1"/>
    <col min="6909" max="6909" width="16.85546875" bestFit="1" customWidth="1"/>
    <col min="6910" max="6910" width="25.85546875" bestFit="1" customWidth="1"/>
    <col min="7154" max="7154" width="27.28515625" bestFit="1" customWidth="1"/>
    <col min="7155" max="7155" width="6.5703125" bestFit="1" customWidth="1"/>
    <col min="7156" max="7157" width="28.140625" bestFit="1" customWidth="1"/>
    <col min="7158" max="7158" width="6.5703125" bestFit="1" customWidth="1"/>
    <col min="7159" max="7160" width="28.140625" bestFit="1" customWidth="1"/>
    <col min="7161" max="7161" width="38.42578125" bestFit="1" customWidth="1"/>
    <col min="7162" max="7162" width="33.7109375" bestFit="1" customWidth="1"/>
    <col min="7163" max="7163" width="32" bestFit="1" customWidth="1"/>
    <col min="7165" max="7165" width="16.85546875" bestFit="1" customWidth="1"/>
    <col min="7166" max="7166" width="25.85546875" bestFit="1" customWidth="1"/>
    <col min="7410" max="7410" width="27.28515625" bestFit="1" customWidth="1"/>
    <col min="7411" max="7411" width="6.5703125" bestFit="1" customWidth="1"/>
    <col min="7412" max="7413" width="28.140625" bestFit="1" customWidth="1"/>
    <col min="7414" max="7414" width="6.5703125" bestFit="1" customWidth="1"/>
    <col min="7415" max="7416" width="28.140625" bestFit="1" customWidth="1"/>
    <col min="7417" max="7417" width="38.42578125" bestFit="1" customWidth="1"/>
    <col min="7418" max="7418" width="33.7109375" bestFit="1" customWidth="1"/>
    <col min="7419" max="7419" width="32" bestFit="1" customWidth="1"/>
    <col min="7421" max="7421" width="16.85546875" bestFit="1" customWidth="1"/>
    <col min="7422" max="7422" width="25.85546875" bestFit="1" customWidth="1"/>
    <col min="7666" max="7666" width="27.28515625" bestFit="1" customWidth="1"/>
    <col min="7667" max="7667" width="6.5703125" bestFit="1" customWidth="1"/>
    <col min="7668" max="7669" width="28.140625" bestFit="1" customWidth="1"/>
    <col min="7670" max="7670" width="6.5703125" bestFit="1" customWidth="1"/>
    <col min="7671" max="7672" width="28.140625" bestFit="1" customWidth="1"/>
    <col min="7673" max="7673" width="38.42578125" bestFit="1" customWidth="1"/>
    <col min="7674" max="7674" width="33.7109375" bestFit="1" customWidth="1"/>
    <col min="7675" max="7675" width="32" bestFit="1" customWidth="1"/>
    <col min="7677" max="7677" width="16.85546875" bestFit="1" customWidth="1"/>
    <col min="7678" max="7678" width="25.85546875" bestFit="1" customWidth="1"/>
    <col min="7922" max="7922" width="27.28515625" bestFit="1" customWidth="1"/>
    <col min="7923" max="7923" width="6.5703125" bestFit="1" customWidth="1"/>
    <col min="7924" max="7925" width="28.140625" bestFit="1" customWidth="1"/>
    <col min="7926" max="7926" width="6.5703125" bestFit="1" customWidth="1"/>
    <col min="7927" max="7928" width="28.140625" bestFit="1" customWidth="1"/>
    <col min="7929" max="7929" width="38.42578125" bestFit="1" customWidth="1"/>
    <col min="7930" max="7930" width="33.7109375" bestFit="1" customWidth="1"/>
    <col min="7931" max="7931" width="32" bestFit="1" customWidth="1"/>
    <col min="7933" max="7933" width="16.85546875" bestFit="1" customWidth="1"/>
    <col min="7934" max="7934" width="25.85546875" bestFit="1" customWidth="1"/>
    <col min="8178" max="8178" width="27.28515625" bestFit="1" customWidth="1"/>
    <col min="8179" max="8179" width="6.5703125" bestFit="1" customWidth="1"/>
    <col min="8180" max="8181" width="28.140625" bestFit="1" customWidth="1"/>
    <col min="8182" max="8182" width="6.5703125" bestFit="1" customWidth="1"/>
    <col min="8183" max="8184" width="28.140625" bestFit="1" customWidth="1"/>
    <col min="8185" max="8185" width="38.42578125" bestFit="1" customWidth="1"/>
    <col min="8186" max="8186" width="33.7109375" bestFit="1" customWidth="1"/>
    <col min="8187" max="8187" width="32" bestFit="1" customWidth="1"/>
    <col min="8189" max="8189" width="16.85546875" bestFit="1" customWidth="1"/>
    <col min="8190" max="8190" width="25.85546875" bestFit="1" customWidth="1"/>
    <col min="8434" max="8434" width="27.28515625" bestFit="1" customWidth="1"/>
    <col min="8435" max="8435" width="6.5703125" bestFit="1" customWidth="1"/>
    <col min="8436" max="8437" width="28.140625" bestFit="1" customWidth="1"/>
    <col min="8438" max="8438" width="6.5703125" bestFit="1" customWidth="1"/>
    <col min="8439" max="8440" width="28.140625" bestFit="1" customWidth="1"/>
    <col min="8441" max="8441" width="38.42578125" bestFit="1" customWidth="1"/>
    <col min="8442" max="8442" width="33.7109375" bestFit="1" customWidth="1"/>
    <col min="8443" max="8443" width="32" bestFit="1" customWidth="1"/>
    <col min="8445" max="8445" width="16.85546875" bestFit="1" customWidth="1"/>
    <col min="8446" max="8446" width="25.85546875" bestFit="1" customWidth="1"/>
    <col min="8690" max="8690" width="27.28515625" bestFit="1" customWidth="1"/>
    <col min="8691" max="8691" width="6.5703125" bestFit="1" customWidth="1"/>
    <col min="8692" max="8693" width="28.140625" bestFit="1" customWidth="1"/>
    <col min="8694" max="8694" width="6.5703125" bestFit="1" customWidth="1"/>
    <col min="8695" max="8696" width="28.140625" bestFit="1" customWidth="1"/>
    <col min="8697" max="8697" width="38.42578125" bestFit="1" customWidth="1"/>
    <col min="8698" max="8698" width="33.7109375" bestFit="1" customWidth="1"/>
    <col min="8699" max="8699" width="32" bestFit="1" customWidth="1"/>
    <col min="8701" max="8701" width="16.85546875" bestFit="1" customWidth="1"/>
    <col min="8702" max="8702" width="25.85546875" bestFit="1" customWidth="1"/>
    <col min="8946" max="8946" width="27.28515625" bestFit="1" customWidth="1"/>
    <col min="8947" max="8947" width="6.5703125" bestFit="1" customWidth="1"/>
    <col min="8948" max="8949" width="28.140625" bestFit="1" customWidth="1"/>
    <col min="8950" max="8950" width="6.5703125" bestFit="1" customWidth="1"/>
    <col min="8951" max="8952" width="28.140625" bestFit="1" customWidth="1"/>
    <col min="8953" max="8953" width="38.42578125" bestFit="1" customWidth="1"/>
    <col min="8954" max="8954" width="33.7109375" bestFit="1" customWidth="1"/>
    <col min="8955" max="8955" width="32" bestFit="1" customWidth="1"/>
    <col min="8957" max="8957" width="16.85546875" bestFit="1" customWidth="1"/>
    <col min="8958" max="8958" width="25.85546875" bestFit="1" customWidth="1"/>
    <col min="9202" max="9202" width="27.28515625" bestFit="1" customWidth="1"/>
    <col min="9203" max="9203" width="6.5703125" bestFit="1" customWidth="1"/>
    <col min="9204" max="9205" width="28.140625" bestFit="1" customWidth="1"/>
    <col min="9206" max="9206" width="6.5703125" bestFit="1" customWidth="1"/>
    <col min="9207" max="9208" width="28.140625" bestFit="1" customWidth="1"/>
    <col min="9209" max="9209" width="38.42578125" bestFit="1" customWidth="1"/>
    <col min="9210" max="9210" width="33.7109375" bestFit="1" customWidth="1"/>
    <col min="9211" max="9211" width="32" bestFit="1" customWidth="1"/>
    <col min="9213" max="9213" width="16.85546875" bestFit="1" customWidth="1"/>
    <col min="9214" max="9214" width="25.85546875" bestFit="1" customWidth="1"/>
    <col min="9458" max="9458" width="27.28515625" bestFit="1" customWidth="1"/>
    <col min="9459" max="9459" width="6.5703125" bestFit="1" customWidth="1"/>
    <col min="9460" max="9461" width="28.140625" bestFit="1" customWidth="1"/>
    <col min="9462" max="9462" width="6.5703125" bestFit="1" customWidth="1"/>
    <col min="9463" max="9464" width="28.140625" bestFit="1" customWidth="1"/>
    <col min="9465" max="9465" width="38.42578125" bestFit="1" customWidth="1"/>
    <col min="9466" max="9466" width="33.7109375" bestFit="1" customWidth="1"/>
    <col min="9467" max="9467" width="32" bestFit="1" customWidth="1"/>
    <col min="9469" max="9469" width="16.85546875" bestFit="1" customWidth="1"/>
    <col min="9470" max="9470" width="25.85546875" bestFit="1" customWidth="1"/>
    <col min="9714" max="9714" width="27.28515625" bestFit="1" customWidth="1"/>
    <col min="9715" max="9715" width="6.5703125" bestFit="1" customWidth="1"/>
    <col min="9716" max="9717" width="28.140625" bestFit="1" customWidth="1"/>
    <col min="9718" max="9718" width="6.5703125" bestFit="1" customWidth="1"/>
    <col min="9719" max="9720" width="28.140625" bestFit="1" customWidth="1"/>
    <col min="9721" max="9721" width="38.42578125" bestFit="1" customWidth="1"/>
    <col min="9722" max="9722" width="33.7109375" bestFit="1" customWidth="1"/>
    <col min="9723" max="9723" width="32" bestFit="1" customWidth="1"/>
    <col min="9725" max="9725" width="16.85546875" bestFit="1" customWidth="1"/>
    <col min="9726" max="9726" width="25.85546875" bestFit="1" customWidth="1"/>
    <col min="9970" max="9970" width="27.28515625" bestFit="1" customWidth="1"/>
    <col min="9971" max="9971" width="6.5703125" bestFit="1" customWidth="1"/>
    <col min="9972" max="9973" width="28.140625" bestFit="1" customWidth="1"/>
    <col min="9974" max="9974" width="6.5703125" bestFit="1" customWidth="1"/>
    <col min="9975" max="9976" width="28.140625" bestFit="1" customWidth="1"/>
    <col min="9977" max="9977" width="38.42578125" bestFit="1" customWidth="1"/>
    <col min="9978" max="9978" width="33.7109375" bestFit="1" customWidth="1"/>
    <col min="9979" max="9979" width="32" bestFit="1" customWidth="1"/>
    <col min="9981" max="9981" width="16.85546875" bestFit="1" customWidth="1"/>
    <col min="9982" max="9982" width="25.85546875" bestFit="1" customWidth="1"/>
    <col min="10226" max="10226" width="27.28515625" bestFit="1" customWidth="1"/>
    <col min="10227" max="10227" width="6.5703125" bestFit="1" customWidth="1"/>
    <col min="10228" max="10229" width="28.140625" bestFit="1" customWidth="1"/>
    <col min="10230" max="10230" width="6.5703125" bestFit="1" customWidth="1"/>
    <col min="10231" max="10232" width="28.140625" bestFit="1" customWidth="1"/>
    <col min="10233" max="10233" width="38.42578125" bestFit="1" customWidth="1"/>
    <col min="10234" max="10234" width="33.7109375" bestFit="1" customWidth="1"/>
    <col min="10235" max="10235" width="32" bestFit="1" customWidth="1"/>
    <col min="10237" max="10237" width="16.85546875" bestFit="1" customWidth="1"/>
    <col min="10238" max="10238" width="25.85546875" bestFit="1" customWidth="1"/>
    <col min="10482" max="10482" width="27.28515625" bestFit="1" customWidth="1"/>
    <col min="10483" max="10483" width="6.5703125" bestFit="1" customWidth="1"/>
    <col min="10484" max="10485" width="28.140625" bestFit="1" customWidth="1"/>
    <col min="10486" max="10486" width="6.5703125" bestFit="1" customWidth="1"/>
    <col min="10487" max="10488" width="28.140625" bestFit="1" customWidth="1"/>
    <col min="10489" max="10489" width="38.42578125" bestFit="1" customWidth="1"/>
    <col min="10490" max="10490" width="33.7109375" bestFit="1" customWidth="1"/>
    <col min="10491" max="10491" width="32" bestFit="1" customWidth="1"/>
    <col min="10493" max="10493" width="16.85546875" bestFit="1" customWidth="1"/>
    <col min="10494" max="10494" width="25.85546875" bestFit="1" customWidth="1"/>
    <col min="10738" max="10738" width="27.28515625" bestFit="1" customWidth="1"/>
    <col min="10739" max="10739" width="6.5703125" bestFit="1" customWidth="1"/>
    <col min="10740" max="10741" width="28.140625" bestFit="1" customWidth="1"/>
    <col min="10742" max="10742" width="6.5703125" bestFit="1" customWidth="1"/>
    <col min="10743" max="10744" width="28.140625" bestFit="1" customWidth="1"/>
    <col min="10745" max="10745" width="38.42578125" bestFit="1" customWidth="1"/>
    <col min="10746" max="10746" width="33.7109375" bestFit="1" customWidth="1"/>
    <col min="10747" max="10747" width="32" bestFit="1" customWidth="1"/>
    <col min="10749" max="10749" width="16.85546875" bestFit="1" customWidth="1"/>
    <col min="10750" max="10750" width="25.85546875" bestFit="1" customWidth="1"/>
    <col min="10994" max="10994" width="27.28515625" bestFit="1" customWidth="1"/>
    <col min="10995" max="10995" width="6.5703125" bestFit="1" customWidth="1"/>
    <col min="10996" max="10997" width="28.140625" bestFit="1" customWidth="1"/>
    <col min="10998" max="10998" width="6.5703125" bestFit="1" customWidth="1"/>
    <col min="10999" max="11000" width="28.140625" bestFit="1" customWidth="1"/>
    <col min="11001" max="11001" width="38.42578125" bestFit="1" customWidth="1"/>
    <col min="11002" max="11002" width="33.7109375" bestFit="1" customWidth="1"/>
    <col min="11003" max="11003" width="32" bestFit="1" customWidth="1"/>
    <col min="11005" max="11005" width="16.85546875" bestFit="1" customWidth="1"/>
    <col min="11006" max="11006" width="25.85546875" bestFit="1" customWidth="1"/>
    <col min="11250" max="11250" width="27.28515625" bestFit="1" customWidth="1"/>
    <col min="11251" max="11251" width="6.5703125" bestFit="1" customWidth="1"/>
    <col min="11252" max="11253" width="28.140625" bestFit="1" customWidth="1"/>
    <col min="11254" max="11254" width="6.5703125" bestFit="1" customWidth="1"/>
    <col min="11255" max="11256" width="28.140625" bestFit="1" customWidth="1"/>
    <col min="11257" max="11257" width="38.42578125" bestFit="1" customWidth="1"/>
    <col min="11258" max="11258" width="33.7109375" bestFit="1" customWidth="1"/>
    <col min="11259" max="11259" width="32" bestFit="1" customWidth="1"/>
    <col min="11261" max="11261" width="16.85546875" bestFit="1" customWidth="1"/>
    <col min="11262" max="11262" width="25.85546875" bestFit="1" customWidth="1"/>
    <col min="11506" max="11506" width="27.28515625" bestFit="1" customWidth="1"/>
    <col min="11507" max="11507" width="6.5703125" bestFit="1" customWidth="1"/>
    <col min="11508" max="11509" width="28.140625" bestFit="1" customWidth="1"/>
    <col min="11510" max="11510" width="6.5703125" bestFit="1" customWidth="1"/>
    <col min="11511" max="11512" width="28.140625" bestFit="1" customWidth="1"/>
    <col min="11513" max="11513" width="38.42578125" bestFit="1" customWidth="1"/>
    <col min="11514" max="11514" width="33.7109375" bestFit="1" customWidth="1"/>
    <col min="11515" max="11515" width="32" bestFit="1" customWidth="1"/>
    <col min="11517" max="11517" width="16.85546875" bestFit="1" customWidth="1"/>
    <col min="11518" max="11518" width="25.85546875" bestFit="1" customWidth="1"/>
    <col min="11762" max="11762" width="27.28515625" bestFit="1" customWidth="1"/>
    <col min="11763" max="11763" width="6.5703125" bestFit="1" customWidth="1"/>
    <col min="11764" max="11765" width="28.140625" bestFit="1" customWidth="1"/>
    <col min="11766" max="11766" width="6.5703125" bestFit="1" customWidth="1"/>
    <col min="11767" max="11768" width="28.140625" bestFit="1" customWidth="1"/>
    <col min="11769" max="11769" width="38.42578125" bestFit="1" customWidth="1"/>
    <col min="11770" max="11770" width="33.7109375" bestFit="1" customWidth="1"/>
    <col min="11771" max="11771" width="32" bestFit="1" customWidth="1"/>
    <col min="11773" max="11773" width="16.85546875" bestFit="1" customWidth="1"/>
    <col min="11774" max="11774" width="25.85546875" bestFit="1" customWidth="1"/>
    <col min="12018" max="12018" width="27.28515625" bestFit="1" customWidth="1"/>
    <col min="12019" max="12019" width="6.5703125" bestFit="1" customWidth="1"/>
    <col min="12020" max="12021" width="28.140625" bestFit="1" customWidth="1"/>
    <col min="12022" max="12022" width="6.5703125" bestFit="1" customWidth="1"/>
    <col min="12023" max="12024" width="28.140625" bestFit="1" customWidth="1"/>
    <col min="12025" max="12025" width="38.42578125" bestFit="1" customWidth="1"/>
    <col min="12026" max="12026" width="33.7109375" bestFit="1" customWidth="1"/>
    <col min="12027" max="12027" width="32" bestFit="1" customWidth="1"/>
    <col min="12029" max="12029" width="16.85546875" bestFit="1" customWidth="1"/>
    <col min="12030" max="12030" width="25.85546875" bestFit="1" customWidth="1"/>
    <col min="12274" max="12274" width="27.28515625" bestFit="1" customWidth="1"/>
    <col min="12275" max="12275" width="6.5703125" bestFit="1" customWidth="1"/>
    <col min="12276" max="12277" width="28.140625" bestFit="1" customWidth="1"/>
    <col min="12278" max="12278" width="6.5703125" bestFit="1" customWidth="1"/>
    <col min="12279" max="12280" width="28.140625" bestFit="1" customWidth="1"/>
    <col min="12281" max="12281" width="38.42578125" bestFit="1" customWidth="1"/>
    <col min="12282" max="12282" width="33.7109375" bestFit="1" customWidth="1"/>
    <col min="12283" max="12283" width="32" bestFit="1" customWidth="1"/>
    <col min="12285" max="12285" width="16.85546875" bestFit="1" customWidth="1"/>
    <col min="12286" max="12286" width="25.85546875" bestFit="1" customWidth="1"/>
    <col min="12530" max="12530" width="27.28515625" bestFit="1" customWidth="1"/>
    <col min="12531" max="12531" width="6.5703125" bestFit="1" customWidth="1"/>
    <col min="12532" max="12533" width="28.140625" bestFit="1" customWidth="1"/>
    <col min="12534" max="12534" width="6.5703125" bestFit="1" customWidth="1"/>
    <col min="12535" max="12536" width="28.140625" bestFit="1" customWidth="1"/>
    <col min="12537" max="12537" width="38.42578125" bestFit="1" customWidth="1"/>
    <col min="12538" max="12538" width="33.7109375" bestFit="1" customWidth="1"/>
    <col min="12539" max="12539" width="32" bestFit="1" customWidth="1"/>
    <col min="12541" max="12541" width="16.85546875" bestFit="1" customWidth="1"/>
    <col min="12542" max="12542" width="25.85546875" bestFit="1" customWidth="1"/>
    <col min="12786" max="12786" width="27.28515625" bestFit="1" customWidth="1"/>
    <col min="12787" max="12787" width="6.5703125" bestFit="1" customWidth="1"/>
    <col min="12788" max="12789" width="28.140625" bestFit="1" customWidth="1"/>
    <col min="12790" max="12790" width="6.5703125" bestFit="1" customWidth="1"/>
    <col min="12791" max="12792" width="28.140625" bestFit="1" customWidth="1"/>
    <col min="12793" max="12793" width="38.42578125" bestFit="1" customWidth="1"/>
    <col min="12794" max="12794" width="33.7109375" bestFit="1" customWidth="1"/>
    <col min="12795" max="12795" width="32" bestFit="1" customWidth="1"/>
    <col min="12797" max="12797" width="16.85546875" bestFit="1" customWidth="1"/>
    <col min="12798" max="12798" width="25.85546875" bestFit="1" customWidth="1"/>
    <col min="13042" max="13042" width="27.28515625" bestFit="1" customWidth="1"/>
    <col min="13043" max="13043" width="6.5703125" bestFit="1" customWidth="1"/>
    <col min="13044" max="13045" width="28.140625" bestFit="1" customWidth="1"/>
    <col min="13046" max="13046" width="6.5703125" bestFit="1" customWidth="1"/>
    <col min="13047" max="13048" width="28.140625" bestFit="1" customWidth="1"/>
    <col min="13049" max="13049" width="38.42578125" bestFit="1" customWidth="1"/>
    <col min="13050" max="13050" width="33.7109375" bestFit="1" customWidth="1"/>
    <col min="13051" max="13051" width="32" bestFit="1" customWidth="1"/>
    <col min="13053" max="13053" width="16.85546875" bestFit="1" customWidth="1"/>
    <col min="13054" max="13054" width="25.85546875" bestFit="1" customWidth="1"/>
    <col min="13298" max="13298" width="27.28515625" bestFit="1" customWidth="1"/>
    <col min="13299" max="13299" width="6.5703125" bestFit="1" customWidth="1"/>
    <col min="13300" max="13301" width="28.140625" bestFit="1" customWidth="1"/>
    <col min="13302" max="13302" width="6.5703125" bestFit="1" customWidth="1"/>
    <col min="13303" max="13304" width="28.140625" bestFit="1" customWidth="1"/>
    <col min="13305" max="13305" width="38.42578125" bestFit="1" customWidth="1"/>
    <col min="13306" max="13306" width="33.7109375" bestFit="1" customWidth="1"/>
    <col min="13307" max="13307" width="32" bestFit="1" customWidth="1"/>
    <col min="13309" max="13309" width="16.85546875" bestFit="1" customWidth="1"/>
    <col min="13310" max="13310" width="25.85546875" bestFit="1" customWidth="1"/>
    <col min="13554" max="13554" width="27.28515625" bestFit="1" customWidth="1"/>
    <col min="13555" max="13555" width="6.5703125" bestFit="1" customWidth="1"/>
    <col min="13556" max="13557" width="28.140625" bestFit="1" customWidth="1"/>
    <col min="13558" max="13558" width="6.5703125" bestFit="1" customWidth="1"/>
    <col min="13559" max="13560" width="28.140625" bestFit="1" customWidth="1"/>
    <col min="13561" max="13561" width="38.42578125" bestFit="1" customWidth="1"/>
    <col min="13562" max="13562" width="33.7109375" bestFit="1" customWidth="1"/>
    <col min="13563" max="13563" width="32" bestFit="1" customWidth="1"/>
    <col min="13565" max="13565" width="16.85546875" bestFit="1" customWidth="1"/>
    <col min="13566" max="13566" width="25.85546875" bestFit="1" customWidth="1"/>
    <col min="13810" max="13810" width="27.28515625" bestFit="1" customWidth="1"/>
    <col min="13811" max="13811" width="6.5703125" bestFit="1" customWidth="1"/>
    <col min="13812" max="13813" width="28.140625" bestFit="1" customWidth="1"/>
    <col min="13814" max="13814" width="6.5703125" bestFit="1" customWidth="1"/>
    <col min="13815" max="13816" width="28.140625" bestFit="1" customWidth="1"/>
    <col min="13817" max="13817" width="38.42578125" bestFit="1" customWidth="1"/>
    <col min="13818" max="13818" width="33.7109375" bestFit="1" customWidth="1"/>
    <col min="13819" max="13819" width="32" bestFit="1" customWidth="1"/>
    <col min="13821" max="13821" width="16.85546875" bestFit="1" customWidth="1"/>
    <col min="13822" max="13822" width="25.85546875" bestFit="1" customWidth="1"/>
    <col min="14066" max="14066" width="27.28515625" bestFit="1" customWidth="1"/>
    <col min="14067" max="14067" width="6.5703125" bestFit="1" customWidth="1"/>
    <col min="14068" max="14069" width="28.140625" bestFit="1" customWidth="1"/>
    <col min="14070" max="14070" width="6.5703125" bestFit="1" customWidth="1"/>
    <col min="14071" max="14072" width="28.140625" bestFit="1" customWidth="1"/>
    <col min="14073" max="14073" width="38.42578125" bestFit="1" customWidth="1"/>
    <col min="14074" max="14074" width="33.7109375" bestFit="1" customWidth="1"/>
    <col min="14075" max="14075" width="32" bestFit="1" customWidth="1"/>
    <col min="14077" max="14077" width="16.85546875" bestFit="1" customWidth="1"/>
    <col min="14078" max="14078" width="25.85546875" bestFit="1" customWidth="1"/>
    <col min="14322" max="14322" width="27.28515625" bestFit="1" customWidth="1"/>
    <col min="14323" max="14323" width="6.5703125" bestFit="1" customWidth="1"/>
    <col min="14324" max="14325" width="28.140625" bestFit="1" customWidth="1"/>
    <col min="14326" max="14326" width="6.5703125" bestFit="1" customWidth="1"/>
    <col min="14327" max="14328" width="28.140625" bestFit="1" customWidth="1"/>
    <col min="14329" max="14329" width="38.42578125" bestFit="1" customWidth="1"/>
    <col min="14330" max="14330" width="33.7109375" bestFit="1" customWidth="1"/>
    <col min="14331" max="14331" width="32" bestFit="1" customWidth="1"/>
    <col min="14333" max="14333" width="16.85546875" bestFit="1" customWidth="1"/>
    <col min="14334" max="14334" width="25.85546875" bestFit="1" customWidth="1"/>
    <col min="14578" max="14578" width="27.28515625" bestFit="1" customWidth="1"/>
    <col min="14579" max="14579" width="6.5703125" bestFit="1" customWidth="1"/>
    <col min="14580" max="14581" width="28.140625" bestFit="1" customWidth="1"/>
    <col min="14582" max="14582" width="6.5703125" bestFit="1" customWidth="1"/>
    <col min="14583" max="14584" width="28.140625" bestFit="1" customWidth="1"/>
    <col min="14585" max="14585" width="38.42578125" bestFit="1" customWidth="1"/>
    <col min="14586" max="14586" width="33.7109375" bestFit="1" customWidth="1"/>
    <col min="14587" max="14587" width="32" bestFit="1" customWidth="1"/>
    <col min="14589" max="14589" width="16.85546875" bestFit="1" customWidth="1"/>
    <col min="14590" max="14590" width="25.85546875" bestFit="1" customWidth="1"/>
    <col min="14834" max="14834" width="27.28515625" bestFit="1" customWidth="1"/>
    <col min="14835" max="14835" width="6.5703125" bestFit="1" customWidth="1"/>
    <col min="14836" max="14837" width="28.140625" bestFit="1" customWidth="1"/>
    <col min="14838" max="14838" width="6.5703125" bestFit="1" customWidth="1"/>
    <col min="14839" max="14840" width="28.140625" bestFit="1" customWidth="1"/>
    <col min="14841" max="14841" width="38.42578125" bestFit="1" customWidth="1"/>
    <col min="14842" max="14842" width="33.7109375" bestFit="1" customWidth="1"/>
    <col min="14843" max="14843" width="32" bestFit="1" customWidth="1"/>
    <col min="14845" max="14845" width="16.85546875" bestFit="1" customWidth="1"/>
    <col min="14846" max="14846" width="25.85546875" bestFit="1" customWidth="1"/>
    <col min="15090" max="15090" width="27.28515625" bestFit="1" customWidth="1"/>
    <col min="15091" max="15091" width="6.5703125" bestFit="1" customWidth="1"/>
    <col min="15092" max="15093" width="28.140625" bestFit="1" customWidth="1"/>
    <col min="15094" max="15094" width="6.5703125" bestFit="1" customWidth="1"/>
    <col min="15095" max="15096" width="28.140625" bestFit="1" customWidth="1"/>
    <col min="15097" max="15097" width="38.42578125" bestFit="1" customWidth="1"/>
    <col min="15098" max="15098" width="33.7109375" bestFit="1" customWidth="1"/>
    <col min="15099" max="15099" width="32" bestFit="1" customWidth="1"/>
    <col min="15101" max="15101" width="16.85546875" bestFit="1" customWidth="1"/>
    <col min="15102" max="15102" width="25.85546875" bestFit="1" customWidth="1"/>
    <col min="15346" max="15346" width="27.28515625" bestFit="1" customWidth="1"/>
    <col min="15347" max="15347" width="6.5703125" bestFit="1" customWidth="1"/>
    <col min="15348" max="15349" width="28.140625" bestFit="1" customWidth="1"/>
    <col min="15350" max="15350" width="6.5703125" bestFit="1" customWidth="1"/>
    <col min="15351" max="15352" width="28.140625" bestFit="1" customWidth="1"/>
    <col min="15353" max="15353" width="38.42578125" bestFit="1" customWidth="1"/>
    <col min="15354" max="15354" width="33.7109375" bestFit="1" customWidth="1"/>
    <col min="15355" max="15355" width="32" bestFit="1" customWidth="1"/>
    <col min="15357" max="15357" width="16.85546875" bestFit="1" customWidth="1"/>
    <col min="15358" max="15358" width="25.85546875" bestFit="1" customWidth="1"/>
    <col min="15602" max="15602" width="27.28515625" bestFit="1" customWidth="1"/>
    <col min="15603" max="15603" width="6.5703125" bestFit="1" customWidth="1"/>
    <col min="15604" max="15605" width="28.140625" bestFit="1" customWidth="1"/>
    <col min="15606" max="15606" width="6.5703125" bestFit="1" customWidth="1"/>
    <col min="15607" max="15608" width="28.140625" bestFit="1" customWidth="1"/>
    <col min="15609" max="15609" width="38.42578125" bestFit="1" customWidth="1"/>
    <col min="15610" max="15610" width="33.7109375" bestFit="1" customWidth="1"/>
    <col min="15611" max="15611" width="32" bestFit="1" customWidth="1"/>
    <col min="15613" max="15613" width="16.85546875" bestFit="1" customWidth="1"/>
    <col min="15614" max="15614" width="25.85546875" bestFit="1" customWidth="1"/>
    <col min="15858" max="15858" width="27.28515625" bestFit="1" customWidth="1"/>
    <col min="15859" max="15859" width="6.5703125" bestFit="1" customWidth="1"/>
    <col min="15860" max="15861" width="28.140625" bestFit="1" customWidth="1"/>
    <col min="15862" max="15862" width="6.5703125" bestFit="1" customWidth="1"/>
    <col min="15863" max="15864" width="28.140625" bestFit="1" customWidth="1"/>
    <col min="15865" max="15865" width="38.42578125" bestFit="1" customWidth="1"/>
    <col min="15866" max="15866" width="33.7109375" bestFit="1" customWidth="1"/>
    <col min="15867" max="15867" width="32" bestFit="1" customWidth="1"/>
    <col min="15869" max="15869" width="16.85546875" bestFit="1" customWidth="1"/>
    <col min="15870" max="15870" width="25.85546875" bestFit="1" customWidth="1"/>
    <col min="16114" max="16114" width="27.28515625" bestFit="1" customWidth="1"/>
    <col min="16115" max="16115" width="6.5703125" bestFit="1" customWidth="1"/>
    <col min="16116" max="16117" width="28.140625" bestFit="1" customWidth="1"/>
    <col min="16118" max="16118" width="6.5703125" bestFit="1" customWidth="1"/>
    <col min="16119" max="16120" width="28.140625" bestFit="1" customWidth="1"/>
    <col min="16121" max="16121" width="38.42578125" bestFit="1" customWidth="1"/>
    <col min="16122" max="16122" width="33.7109375" bestFit="1" customWidth="1"/>
    <col min="16123" max="16123" width="32" bestFit="1" customWidth="1"/>
    <col min="16125" max="16125" width="16.85546875" bestFit="1" customWidth="1"/>
    <col min="16126" max="16126" width="25.85546875" bestFit="1" customWidth="1"/>
  </cols>
  <sheetData>
    <row r="1" spans="1:7" x14ac:dyDescent="0.25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83" t="s">
        <v>1187</v>
      </c>
      <c r="G1" s="83" t="s">
        <v>1186</v>
      </c>
    </row>
    <row r="2" spans="1:7" x14ac:dyDescent="0.25">
      <c r="A2" s="5" t="s">
        <v>1512</v>
      </c>
      <c r="B2" s="78">
        <f>F2/1000</f>
        <v>6.659000000000001E-2</v>
      </c>
      <c r="C2" s="78" t="s">
        <v>1220</v>
      </c>
      <c r="D2" s="7" t="s">
        <v>15</v>
      </c>
      <c r="E2" s="80"/>
      <c r="F2" s="78">
        <v>66.59</v>
      </c>
    </row>
    <row r="3" spans="1:7" x14ac:dyDescent="0.25">
      <c r="A3" s="5" t="s">
        <v>1512</v>
      </c>
      <c r="B3" s="78">
        <f t="shared" ref="B3:B66" si="0">F3/1000</f>
        <v>0.16296000000000002</v>
      </c>
      <c r="C3" s="78" t="s">
        <v>903</v>
      </c>
      <c r="D3" s="7" t="s">
        <v>20</v>
      </c>
      <c r="E3" s="80" t="s">
        <v>1203</v>
      </c>
      <c r="F3" s="78">
        <v>162.96</v>
      </c>
      <c r="G3" s="78" t="s">
        <v>1513</v>
      </c>
    </row>
    <row r="4" spans="1:7" x14ac:dyDescent="0.25">
      <c r="A4" s="5" t="s">
        <v>1512</v>
      </c>
      <c r="B4" s="78">
        <f t="shared" si="0"/>
        <v>0.58399999999999996</v>
      </c>
      <c r="C4" s="78" t="s">
        <v>904</v>
      </c>
      <c r="D4" s="7" t="s">
        <v>23</v>
      </c>
      <c r="E4" s="80" t="s">
        <v>1203</v>
      </c>
      <c r="F4" s="78">
        <v>584</v>
      </c>
      <c r="G4" s="78" t="s">
        <v>1514</v>
      </c>
    </row>
    <row r="5" spans="1:7" x14ac:dyDescent="0.25">
      <c r="A5" s="5" t="s">
        <v>1512</v>
      </c>
      <c r="B5" s="78">
        <f t="shared" si="0"/>
        <v>1.079</v>
      </c>
      <c r="C5" s="78" t="s">
        <v>905</v>
      </c>
      <c r="D5" s="7" t="s">
        <v>25</v>
      </c>
      <c r="E5" s="80" t="s">
        <v>1203</v>
      </c>
      <c r="F5" s="78">
        <v>1079</v>
      </c>
      <c r="G5" s="78" t="s">
        <v>1514</v>
      </c>
    </row>
    <row r="6" spans="1:7" x14ac:dyDescent="0.25">
      <c r="A6" s="5" t="s">
        <v>1512</v>
      </c>
      <c r="B6" s="78">
        <f t="shared" si="0"/>
        <v>1.573</v>
      </c>
      <c r="C6" s="78" t="s">
        <v>906</v>
      </c>
      <c r="D6" s="7" t="s">
        <v>27</v>
      </c>
      <c r="E6" s="80" t="s">
        <v>1203</v>
      </c>
      <c r="F6" s="78">
        <v>1573</v>
      </c>
      <c r="G6" s="78" t="s">
        <v>1514</v>
      </c>
    </row>
    <row r="7" spans="1:7" x14ac:dyDescent="0.25">
      <c r="A7" s="5" t="s">
        <v>1512</v>
      </c>
      <c r="B7" s="78">
        <f t="shared" si="0"/>
        <v>2.0735000000000001</v>
      </c>
      <c r="C7" s="78" t="s">
        <v>907</v>
      </c>
      <c r="D7" s="7" t="s">
        <v>29</v>
      </c>
      <c r="E7" s="80" t="s">
        <v>1203</v>
      </c>
      <c r="F7" s="78">
        <v>2073.5</v>
      </c>
      <c r="G7" s="78" t="s">
        <v>1514</v>
      </c>
    </row>
    <row r="8" spans="1:7" x14ac:dyDescent="0.25">
      <c r="A8" s="5" t="s">
        <v>1512</v>
      </c>
      <c r="B8" s="78">
        <f t="shared" si="0"/>
        <v>2.5630000000000002</v>
      </c>
      <c r="C8" s="78" t="s">
        <v>908</v>
      </c>
      <c r="D8" s="7" t="s">
        <v>31</v>
      </c>
      <c r="E8" s="80" t="s">
        <v>1203</v>
      </c>
      <c r="F8" s="78">
        <v>2563</v>
      </c>
      <c r="G8" s="78" t="s">
        <v>1514</v>
      </c>
    </row>
    <row r="9" spans="1:7" x14ac:dyDescent="0.25">
      <c r="A9" s="5" t="s">
        <v>1512</v>
      </c>
      <c r="B9" s="78">
        <f t="shared" si="0"/>
        <v>3.0649999999999999</v>
      </c>
      <c r="C9" s="78" t="s">
        <v>909</v>
      </c>
      <c r="D9" s="7" t="s">
        <v>33</v>
      </c>
      <c r="E9" s="80" t="s">
        <v>1203</v>
      </c>
      <c r="F9" s="78">
        <v>3065</v>
      </c>
      <c r="G9" s="78" t="s">
        <v>1514</v>
      </c>
    </row>
    <row r="10" spans="1:7" x14ac:dyDescent="0.25">
      <c r="A10" s="5" t="s">
        <v>1512</v>
      </c>
      <c r="B10" s="78">
        <f t="shared" si="0"/>
        <v>3.55</v>
      </c>
      <c r="C10" s="78" t="s">
        <v>910</v>
      </c>
      <c r="D10" s="7" t="s">
        <v>35</v>
      </c>
      <c r="E10" s="80" t="s">
        <v>1203</v>
      </c>
      <c r="F10" s="78">
        <v>3550</v>
      </c>
      <c r="G10" s="78" t="s">
        <v>1514</v>
      </c>
    </row>
    <row r="11" spans="1:7" x14ac:dyDescent="0.25">
      <c r="A11" s="5" t="s">
        <v>1512</v>
      </c>
      <c r="B11" s="78">
        <f t="shared" si="0"/>
        <v>4.0449999999999999</v>
      </c>
      <c r="C11" s="78" t="s">
        <v>911</v>
      </c>
      <c r="D11" s="7" t="s">
        <v>37</v>
      </c>
      <c r="E11" s="80" t="s">
        <v>1203</v>
      </c>
      <c r="F11" s="78">
        <v>4045</v>
      </c>
      <c r="G11" s="78" t="s">
        <v>1514</v>
      </c>
    </row>
    <row r="12" spans="1:7" x14ac:dyDescent="0.25">
      <c r="A12" s="5" t="s">
        <v>1512</v>
      </c>
      <c r="B12" s="78">
        <f t="shared" si="0"/>
        <v>4.5439999999999996</v>
      </c>
      <c r="C12" s="78" t="s">
        <v>912</v>
      </c>
      <c r="D12" s="7" t="s">
        <v>39</v>
      </c>
      <c r="E12" s="80" t="s">
        <v>1203</v>
      </c>
      <c r="F12" s="78">
        <v>4544</v>
      </c>
      <c r="G12" s="78" t="s">
        <v>1514</v>
      </c>
    </row>
    <row r="13" spans="1:7" x14ac:dyDescent="0.25">
      <c r="A13" s="5" t="s">
        <v>1512</v>
      </c>
      <c r="B13" s="78">
        <f t="shared" si="0"/>
        <v>5.0389999999999997</v>
      </c>
      <c r="C13" s="78" t="s">
        <v>913</v>
      </c>
      <c r="D13" s="7" t="s">
        <v>41</v>
      </c>
      <c r="E13" s="80" t="s">
        <v>1203</v>
      </c>
      <c r="F13" s="78">
        <v>5039</v>
      </c>
      <c r="G13" s="78" t="s">
        <v>1514</v>
      </c>
    </row>
    <row r="14" spans="1:7" x14ac:dyDescent="0.25">
      <c r="A14" s="5" t="s">
        <v>1512</v>
      </c>
      <c r="B14" s="78">
        <f t="shared" si="0"/>
        <v>5.4235200000000008</v>
      </c>
      <c r="C14" s="78" t="s">
        <v>914</v>
      </c>
      <c r="D14" s="7" t="s">
        <v>43</v>
      </c>
      <c r="E14" s="80" t="s">
        <v>1203</v>
      </c>
      <c r="F14" s="78">
        <v>5423.52</v>
      </c>
      <c r="G14" s="78" t="s">
        <v>1515</v>
      </c>
    </row>
    <row r="15" spans="1:7" x14ac:dyDescent="0.25">
      <c r="A15" s="5" t="s">
        <v>1512</v>
      </c>
      <c r="B15" s="78">
        <f t="shared" si="0"/>
        <v>5.7640000000000002</v>
      </c>
      <c r="C15" s="78" t="s">
        <v>915</v>
      </c>
      <c r="D15" s="7" t="s">
        <v>45</v>
      </c>
      <c r="E15" s="80" t="s">
        <v>1203</v>
      </c>
      <c r="F15" s="78">
        <v>5764</v>
      </c>
      <c r="G15" s="78" t="s">
        <v>1514</v>
      </c>
    </row>
    <row r="16" spans="1:7" x14ac:dyDescent="0.25">
      <c r="A16" s="5" t="s">
        <v>1512</v>
      </c>
      <c r="B16" s="78">
        <f t="shared" si="0"/>
        <v>6.2039999999999997</v>
      </c>
      <c r="C16" s="78" t="s">
        <v>916</v>
      </c>
      <c r="D16" s="7" t="s">
        <v>47</v>
      </c>
      <c r="E16" s="80" t="s">
        <v>1203</v>
      </c>
      <c r="F16" s="78">
        <v>6204</v>
      </c>
      <c r="G16" s="78" t="s">
        <v>1514</v>
      </c>
    </row>
    <row r="17" spans="1:7" x14ac:dyDescent="0.25">
      <c r="A17" s="5" t="s">
        <v>1512</v>
      </c>
      <c r="B17" s="78">
        <f t="shared" si="0"/>
        <v>6.6536</v>
      </c>
      <c r="C17" s="78" t="s">
        <v>917</v>
      </c>
      <c r="D17" s="7" t="s">
        <v>49</v>
      </c>
      <c r="E17" s="80" t="s">
        <v>1203</v>
      </c>
      <c r="F17" s="78">
        <v>6653.6</v>
      </c>
      <c r="G17" s="78" t="s">
        <v>1514</v>
      </c>
    </row>
    <row r="18" spans="1:7" x14ac:dyDescent="0.25">
      <c r="A18" s="5" t="s">
        <v>1512</v>
      </c>
      <c r="B18" s="78">
        <f t="shared" si="0"/>
        <v>7.1390000000000002</v>
      </c>
      <c r="C18" s="78" t="s">
        <v>918</v>
      </c>
      <c r="D18" s="7" t="s">
        <v>51</v>
      </c>
      <c r="E18" s="80" t="s">
        <v>1203</v>
      </c>
      <c r="F18" s="78">
        <v>7139</v>
      </c>
      <c r="G18" s="78" t="s">
        <v>1514</v>
      </c>
    </row>
    <row r="19" spans="1:7" x14ac:dyDescent="0.25">
      <c r="A19" s="5" t="s">
        <v>1512</v>
      </c>
      <c r="B19" s="78">
        <f t="shared" si="0"/>
        <v>7.649</v>
      </c>
      <c r="C19" s="78" t="s">
        <v>919</v>
      </c>
      <c r="D19" s="7" t="s">
        <v>53</v>
      </c>
      <c r="E19" s="80" t="s">
        <v>1203</v>
      </c>
      <c r="F19" s="78">
        <v>7649</v>
      </c>
      <c r="G19" s="78" t="s">
        <v>1514</v>
      </c>
    </row>
    <row r="20" spans="1:7" x14ac:dyDescent="0.25">
      <c r="A20" s="5" t="s">
        <v>1512</v>
      </c>
      <c r="B20" s="78">
        <f t="shared" si="0"/>
        <v>8.1340000000000003</v>
      </c>
      <c r="C20" s="78" t="s">
        <v>920</v>
      </c>
      <c r="D20" s="7" t="s">
        <v>55</v>
      </c>
      <c r="E20" s="80" t="s">
        <v>1203</v>
      </c>
      <c r="F20" s="78">
        <v>8134</v>
      </c>
      <c r="G20" s="78" t="s">
        <v>1514</v>
      </c>
    </row>
    <row r="21" spans="1:7" x14ac:dyDescent="0.25">
      <c r="A21" s="5" t="s">
        <v>1512</v>
      </c>
      <c r="B21" s="78">
        <f t="shared" si="0"/>
        <v>8.6440000000000001</v>
      </c>
      <c r="C21" s="78" t="s">
        <v>921</v>
      </c>
      <c r="D21" s="7" t="s">
        <v>57</v>
      </c>
      <c r="E21" s="80" t="s">
        <v>1203</v>
      </c>
      <c r="F21" s="78">
        <v>8644</v>
      </c>
      <c r="G21" s="78" t="s">
        <v>1514</v>
      </c>
    </row>
    <row r="22" spans="1:7" x14ac:dyDescent="0.25">
      <c r="A22" s="5" t="s">
        <v>1512</v>
      </c>
      <c r="B22" s="78">
        <f t="shared" si="0"/>
        <v>9.1289999999999996</v>
      </c>
      <c r="C22" s="78" t="s">
        <v>922</v>
      </c>
      <c r="D22" s="7" t="s">
        <v>59</v>
      </c>
      <c r="E22" s="80" t="s">
        <v>1203</v>
      </c>
      <c r="F22" s="78">
        <v>9129</v>
      </c>
      <c r="G22" s="78" t="s">
        <v>1514</v>
      </c>
    </row>
    <row r="23" spans="1:7" x14ac:dyDescent="0.25">
      <c r="A23" s="5" t="s">
        <v>1512</v>
      </c>
      <c r="B23" s="78">
        <f t="shared" si="0"/>
        <v>9.6189999999999998</v>
      </c>
      <c r="C23" s="78" t="s">
        <v>923</v>
      </c>
      <c r="D23" s="7" t="s">
        <v>61</v>
      </c>
      <c r="E23" s="80" t="s">
        <v>1203</v>
      </c>
      <c r="F23" s="78">
        <v>9619</v>
      </c>
      <c r="G23" s="78" t="s">
        <v>1514</v>
      </c>
    </row>
    <row r="24" spans="1:7" x14ac:dyDescent="0.25">
      <c r="A24" s="5" t="s">
        <v>1512</v>
      </c>
      <c r="B24" s="78">
        <f t="shared" si="0"/>
        <v>10.119</v>
      </c>
      <c r="C24" s="78" t="s">
        <v>924</v>
      </c>
      <c r="D24" s="7" t="s">
        <v>63</v>
      </c>
      <c r="E24" s="80" t="s">
        <v>1203</v>
      </c>
      <c r="F24" s="78">
        <v>10119</v>
      </c>
      <c r="G24" s="78" t="s">
        <v>1514</v>
      </c>
    </row>
    <row r="25" spans="1:7" x14ac:dyDescent="0.25">
      <c r="A25" s="5" t="s">
        <v>1512</v>
      </c>
      <c r="B25" s="78">
        <f t="shared" si="0"/>
        <v>10.614000000000001</v>
      </c>
      <c r="C25" s="78" t="s">
        <v>925</v>
      </c>
      <c r="D25" s="7" t="s">
        <v>65</v>
      </c>
      <c r="E25" s="80" t="s">
        <v>1203</v>
      </c>
      <c r="F25" s="78">
        <v>10614</v>
      </c>
      <c r="G25" s="78" t="s">
        <v>1514</v>
      </c>
    </row>
    <row r="26" spans="1:7" x14ac:dyDescent="0.25">
      <c r="A26" s="5" t="s">
        <v>1512</v>
      </c>
      <c r="B26" s="78">
        <f t="shared" si="0"/>
        <v>11.114000000000001</v>
      </c>
      <c r="C26" s="78" t="s">
        <v>926</v>
      </c>
      <c r="D26" s="7" t="s">
        <v>67</v>
      </c>
      <c r="E26" s="80" t="s">
        <v>1203</v>
      </c>
      <c r="F26" s="78">
        <v>11114</v>
      </c>
      <c r="G26" s="78" t="s">
        <v>1516</v>
      </c>
    </row>
    <row r="27" spans="1:7" x14ac:dyDescent="0.25">
      <c r="A27" s="5" t="s">
        <v>1512</v>
      </c>
      <c r="B27" s="78">
        <f t="shared" si="0"/>
        <v>11.613</v>
      </c>
      <c r="C27" s="78" t="s">
        <v>927</v>
      </c>
      <c r="D27" s="7" t="s">
        <v>69</v>
      </c>
      <c r="E27" s="80" t="s">
        <v>1203</v>
      </c>
      <c r="F27" s="78">
        <v>11613</v>
      </c>
      <c r="G27" s="78" t="s">
        <v>1514</v>
      </c>
    </row>
    <row r="28" spans="1:7" x14ac:dyDescent="0.25">
      <c r="A28" s="5" t="s">
        <v>1512</v>
      </c>
      <c r="B28" s="78">
        <f t="shared" si="0"/>
        <v>12.109</v>
      </c>
      <c r="C28" s="78" t="s">
        <v>928</v>
      </c>
      <c r="D28" s="7" t="s">
        <v>71</v>
      </c>
      <c r="E28" s="80" t="s">
        <v>1203</v>
      </c>
      <c r="F28" s="78">
        <v>12109</v>
      </c>
      <c r="G28" s="78" t="s">
        <v>1514</v>
      </c>
    </row>
    <row r="29" spans="1:7" x14ac:dyDescent="0.25">
      <c r="A29" s="5" t="s">
        <v>1512</v>
      </c>
      <c r="B29" s="78">
        <f t="shared" si="0"/>
        <v>12.608000000000001</v>
      </c>
      <c r="C29" s="78" t="s">
        <v>929</v>
      </c>
      <c r="D29" s="7" t="s">
        <v>73</v>
      </c>
      <c r="E29" s="80" t="s">
        <v>1203</v>
      </c>
      <c r="F29" s="78">
        <v>12608</v>
      </c>
      <c r="G29" s="78" t="s">
        <v>1514</v>
      </c>
    </row>
    <row r="30" spans="1:7" x14ac:dyDescent="0.25">
      <c r="A30" s="5" t="s">
        <v>1512</v>
      </c>
      <c r="B30" s="78">
        <f t="shared" si="0"/>
        <v>13.095000000000001</v>
      </c>
      <c r="C30" s="78" t="s">
        <v>930</v>
      </c>
      <c r="D30" s="7" t="s">
        <v>75</v>
      </c>
      <c r="E30" s="80" t="s">
        <v>1203</v>
      </c>
      <c r="F30" s="78">
        <v>13095</v>
      </c>
      <c r="G30" s="78" t="s">
        <v>1514</v>
      </c>
    </row>
    <row r="31" spans="1:7" x14ac:dyDescent="0.25">
      <c r="A31" s="5" t="s">
        <v>1512</v>
      </c>
      <c r="B31" s="78">
        <f t="shared" si="0"/>
        <v>13.57</v>
      </c>
      <c r="C31" s="78" t="s">
        <v>931</v>
      </c>
      <c r="D31" s="7" t="s">
        <v>77</v>
      </c>
      <c r="E31" s="80" t="s">
        <v>1203</v>
      </c>
      <c r="F31" s="78">
        <v>13570</v>
      </c>
      <c r="G31" s="78" t="s">
        <v>1514</v>
      </c>
    </row>
    <row r="32" spans="1:7" x14ac:dyDescent="0.25">
      <c r="A32" s="5" t="s">
        <v>1512</v>
      </c>
      <c r="B32" s="78">
        <f t="shared" si="0"/>
        <v>14.065</v>
      </c>
      <c r="C32" s="78" t="s">
        <v>932</v>
      </c>
      <c r="D32" s="7" t="s">
        <v>79</v>
      </c>
      <c r="E32" s="80" t="s">
        <v>1203</v>
      </c>
      <c r="F32" s="78">
        <v>14065</v>
      </c>
      <c r="G32" s="78" t="s">
        <v>1514</v>
      </c>
    </row>
    <row r="33" spans="1:7" x14ac:dyDescent="0.25">
      <c r="A33" s="5" t="s">
        <v>1512</v>
      </c>
      <c r="B33" s="78">
        <f t="shared" si="0"/>
        <v>14.557</v>
      </c>
      <c r="C33" s="78" t="s">
        <v>933</v>
      </c>
      <c r="D33" s="7" t="s">
        <v>81</v>
      </c>
      <c r="E33" s="80" t="s">
        <v>1203</v>
      </c>
      <c r="F33" s="78">
        <v>14557</v>
      </c>
      <c r="G33" s="78" t="s">
        <v>1514</v>
      </c>
    </row>
    <row r="34" spans="1:7" x14ac:dyDescent="0.25">
      <c r="A34" s="5" t="s">
        <v>1512</v>
      </c>
      <c r="B34" s="78">
        <f t="shared" si="0"/>
        <v>15.044</v>
      </c>
      <c r="C34" s="78" t="s">
        <v>934</v>
      </c>
      <c r="D34" s="7" t="s">
        <v>83</v>
      </c>
      <c r="E34" s="80" t="s">
        <v>1203</v>
      </c>
      <c r="F34" s="78">
        <v>15044</v>
      </c>
      <c r="G34" s="78" t="s">
        <v>1514</v>
      </c>
    </row>
    <row r="35" spans="1:7" x14ac:dyDescent="0.25">
      <c r="A35" s="5" t="s">
        <v>1512</v>
      </c>
      <c r="B35" s="78">
        <f t="shared" si="0"/>
        <v>15.41403</v>
      </c>
      <c r="C35" s="78" t="s">
        <v>935</v>
      </c>
      <c r="D35" s="7" t="s">
        <v>85</v>
      </c>
      <c r="E35" s="80" t="s">
        <v>1203</v>
      </c>
      <c r="F35" s="78">
        <v>15414.03</v>
      </c>
      <c r="G35" s="78" t="s">
        <v>1513</v>
      </c>
    </row>
    <row r="36" spans="1:7" x14ac:dyDescent="0.25">
      <c r="A36" s="5" t="s">
        <v>1512</v>
      </c>
      <c r="B36" s="78">
        <f t="shared" si="0"/>
        <v>15.657999999999999</v>
      </c>
      <c r="C36" s="78" t="s">
        <v>936</v>
      </c>
      <c r="D36" s="7" t="s">
        <v>87</v>
      </c>
      <c r="E36" s="80" t="s">
        <v>1203</v>
      </c>
      <c r="F36" s="78">
        <v>15658</v>
      </c>
      <c r="G36" s="78" t="s">
        <v>1514</v>
      </c>
    </row>
    <row r="37" spans="1:7" x14ac:dyDescent="0.25">
      <c r="A37" s="5" t="s">
        <v>1512</v>
      </c>
      <c r="B37" s="78">
        <f t="shared" si="0"/>
        <v>16.13</v>
      </c>
      <c r="C37" s="78" t="s">
        <v>937</v>
      </c>
      <c r="D37" s="7" t="s">
        <v>89</v>
      </c>
      <c r="E37" s="80" t="s">
        <v>1203</v>
      </c>
      <c r="F37" s="78">
        <v>16130</v>
      </c>
      <c r="G37" s="78" t="s">
        <v>1514</v>
      </c>
    </row>
    <row r="38" spans="1:7" x14ac:dyDescent="0.25">
      <c r="A38" s="5" t="s">
        <v>1512</v>
      </c>
      <c r="B38" s="78">
        <f t="shared" si="0"/>
        <v>16.538</v>
      </c>
      <c r="C38" s="78" t="s">
        <v>938</v>
      </c>
      <c r="D38" s="7" t="s">
        <v>91</v>
      </c>
      <c r="E38" s="80" t="s">
        <v>1203</v>
      </c>
      <c r="F38" s="78">
        <v>16538</v>
      </c>
      <c r="G38" s="78" t="s">
        <v>1514</v>
      </c>
    </row>
    <row r="39" spans="1:7" x14ac:dyDescent="0.25">
      <c r="A39" s="5" t="s">
        <v>1512</v>
      </c>
      <c r="B39" s="78">
        <f t="shared" si="0"/>
        <v>17.050999999999998</v>
      </c>
      <c r="C39" s="78" t="s">
        <v>939</v>
      </c>
      <c r="D39" s="7" t="s">
        <v>93</v>
      </c>
      <c r="E39" s="80" t="s">
        <v>1203</v>
      </c>
      <c r="F39" s="78">
        <v>17051</v>
      </c>
      <c r="G39" s="78" t="s">
        <v>1514</v>
      </c>
    </row>
    <row r="40" spans="1:7" x14ac:dyDescent="0.25">
      <c r="A40" s="5" t="s">
        <v>1512</v>
      </c>
      <c r="B40" s="78">
        <f t="shared" si="0"/>
        <v>17.536000000000001</v>
      </c>
      <c r="C40" s="78" t="s">
        <v>940</v>
      </c>
      <c r="D40" s="7" t="s">
        <v>95</v>
      </c>
      <c r="E40" s="80" t="s">
        <v>1203</v>
      </c>
      <c r="F40" s="78">
        <v>17536</v>
      </c>
      <c r="G40" s="78" t="s">
        <v>1514</v>
      </c>
    </row>
    <row r="41" spans="1:7" x14ac:dyDescent="0.25">
      <c r="A41" s="5" t="s">
        <v>1512</v>
      </c>
      <c r="B41" s="78">
        <f t="shared" si="0"/>
        <v>18.041</v>
      </c>
      <c r="C41" s="78" t="s">
        <v>941</v>
      </c>
      <c r="D41" s="7" t="s">
        <v>97</v>
      </c>
      <c r="E41" s="80" t="s">
        <v>1203</v>
      </c>
      <c r="F41" s="78">
        <v>18041</v>
      </c>
      <c r="G41" s="78" t="s">
        <v>1514</v>
      </c>
    </row>
    <row r="42" spans="1:7" x14ac:dyDescent="0.25">
      <c r="A42" s="5" t="s">
        <v>1512</v>
      </c>
      <c r="B42" s="78">
        <f t="shared" si="0"/>
        <v>18.530999999999999</v>
      </c>
      <c r="C42" s="78" t="s">
        <v>942</v>
      </c>
      <c r="D42" s="7" t="s">
        <v>99</v>
      </c>
      <c r="E42" s="80" t="s">
        <v>1203</v>
      </c>
      <c r="F42" s="78">
        <v>18531</v>
      </c>
      <c r="G42" s="78" t="s">
        <v>1514</v>
      </c>
    </row>
    <row r="43" spans="1:7" x14ac:dyDescent="0.25">
      <c r="A43" s="5" t="s">
        <v>1512</v>
      </c>
      <c r="B43" s="78">
        <f t="shared" si="0"/>
        <v>19.036000000000001</v>
      </c>
      <c r="C43" s="78" t="s">
        <v>943</v>
      </c>
      <c r="D43" s="7" t="s">
        <v>101</v>
      </c>
      <c r="E43" s="80" t="s">
        <v>1203</v>
      </c>
      <c r="F43" s="78">
        <v>19036</v>
      </c>
      <c r="G43" s="78" t="s">
        <v>1514</v>
      </c>
    </row>
    <row r="44" spans="1:7" x14ac:dyDescent="0.25">
      <c r="A44" s="5" t="s">
        <v>1512</v>
      </c>
      <c r="B44" s="78">
        <f t="shared" si="0"/>
        <v>19.527000000000001</v>
      </c>
      <c r="C44" s="78" t="s">
        <v>944</v>
      </c>
      <c r="D44" s="7" t="s">
        <v>103</v>
      </c>
      <c r="E44" s="80" t="s">
        <v>1203</v>
      </c>
      <c r="F44" s="78">
        <v>19527</v>
      </c>
      <c r="G44" s="78" t="s">
        <v>1514</v>
      </c>
    </row>
    <row r="45" spans="1:7" x14ac:dyDescent="0.25">
      <c r="A45" s="5" t="s">
        <v>1512</v>
      </c>
      <c r="B45" s="78">
        <f t="shared" si="0"/>
        <v>20.030999999999999</v>
      </c>
      <c r="C45" s="78" t="s">
        <v>945</v>
      </c>
      <c r="D45" s="7" t="s">
        <v>105</v>
      </c>
      <c r="E45" s="80" t="s">
        <v>1203</v>
      </c>
      <c r="F45" s="78">
        <v>20031</v>
      </c>
      <c r="G45" s="78" t="s">
        <v>1514</v>
      </c>
    </row>
    <row r="46" spans="1:7" x14ac:dyDescent="0.25">
      <c r="A46" s="5" t="s">
        <v>1512</v>
      </c>
      <c r="B46" s="78">
        <f t="shared" si="0"/>
        <v>20.523</v>
      </c>
      <c r="C46" s="78" t="s">
        <v>946</v>
      </c>
      <c r="D46" s="7" t="s">
        <v>107</v>
      </c>
      <c r="E46" s="80" t="s">
        <v>1203</v>
      </c>
      <c r="F46" s="78">
        <v>20523</v>
      </c>
      <c r="G46" s="78" t="s">
        <v>1514</v>
      </c>
    </row>
    <row r="47" spans="1:7" x14ac:dyDescent="0.25">
      <c r="A47" s="5" t="s">
        <v>1512</v>
      </c>
      <c r="B47" s="78">
        <f t="shared" si="0"/>
        <v>21.016999999999999</v>
      </c>
      <c r="C47" s="78" t="s">
        <v>947</v>
      </c>
      <c r="D47" s="7" t="s">
        <v>109</v>
      </c>
      <c r="E47" s="80" t="s">
        <v>1203</v>
      </c>
      <c r="F47" s="78">
        <v>21017</v>
      </c>
      <c r="G47" s="78" t="s">
        <v>1514</v>
      </c>
    </row>
    <row r="48" spans="1:7" x14ac:dyDescent="0.25">
      <c r="A48" s="5" t="s">
        <v>1512</v>
      </c>
      <c r="B48" s="78">
        <f t="shared" si="0"/>
        <v>21.510999999999999</v>
      </c>
      <c r="C48" s="78" t="s">
        <v>948</v>
      </c>
      <c r="D48" s="7" t="s">
        <v>111</v>
      </c>
      <c r="E48" s="80" t="s">
        <v>1203</v>
      </c>
      <c r="F48" s="78">
        <v>21511</v>
      </c>
      <c r="G48" s="78" t="s">
        <v>1514</v>
      </c>
    </row>
    <row r="49" spans="1:7" x14ac:dyDescent="0.25">
      <c r="A49" s="5" t="s">
        <v>1512</v>
      </c>
      <c r="B49" s="78">
        <f t="shared" si="0"/>
        <v>21.981000000000002</v>
      </c>
      <c r="C49" s="78" t="s">
        <v>949</v>
      </c>
      <c r="D49" s="7" t="s">
        <v>113</v>
      </c>
      <c r="E49" s="80" t="s">
        <v>1203</v>
      </c>
      <c r="F49" s="78">
        <v>21981</v>
      </c>
      <c r="G49" s="78" t="s">
        <v>1514</v>
      </c>
    </row>
    <row r="50" spans="1:7" x14ac:dyDescent="0.25">
      <c r="A50" s="5" t="s">
        <v>1512</v>
      </c>
      <c r="B50" s="78">
        <f t="shared" si="0"/>
        <v>22.452000000000002</v>
      </c>
      <c r="C50" s="78" t="s">
        <v>950</v>
      </c>
      <c r="D50" s="7" t="s">
        <v>115</v>
      </c>
      <c r="E50" s="80" t="s">
        <v>1203</v>
      </c>
      <c r="F50" s="78">
        <v>22452</v>
      </c>
      <c r="G50" s="78" t="s">
        <v>1514</v>
      </c>
    </row>
    <row r="51" spans="1:7" x14ac:dyDescent="0.25">
      <c r="A51" s="5" t="s">
        <v>1512</v>
      </c>
      <c r="B51" s="78">
        <f t="shared" si="0"/>
        <v>22.922000000000001</v>
      </c>
      <c r="C51" s="78" t="s">
        <v>951</v>
      </c>
      <c r="D51" s="7" t="s">
        <v>18</v>
      </c>
      <c r="E51" s="80" t="s">
        <v>1203</v>
      </c>
      <c r="F51" s="78">
        <v>22922</v>
      </c>
      <c r="G51" s="78" t="s">
        <v>1514</v>
      </c>
    </row>
    <row r="52" spans="1:7" x14ac:dyDescent="0.25">
      <c r="A52" s="5" t="s">
        <v>1512</v>
      </c>
      <c r="B52" s="78">
        <f t="shared" si="0"/>
        <v>23.372</v>
      </c>
      <c r="C52" s="78" t="s">
        <v>952</v>
      </c>
      <c r="D52" s="7" t="s">
        <v>19</v>
      </c>
      <c r="E52" s="80" t="s">
        <v>1203</v>
      </c>
      <c r="F52" s="78">
        <v>23372</v>
      </c>
      <c r="G52" s="78" t="s">
        <v>1514</v>
      </c>
    </row>
    <row r="53" spans="1:7" x14ac:dyDescent="0.25">
      <c r="A53" s="5" t="s">
        <v>1512</v>
      </c>
      <c r="B53" s="78">
        <f t="shared" si="0"/>
        <v>23.914000000000001</v>
      </c>
      <c r="C53" s="78" t="s">
        <v>953</v>
      </c>
      <c r="D53" s="7" t="s">
        <v>119</v>
      </c>
      <c r="E53" s="80" t="s">
        <v>1203</v>
      </c>
      <c r="F53" s="78">
        <v>23914</v>
      </c>
      <c r="G53" s="78" t="s">
        <v>1514</v>
      </c>
    </row>
    <row r="54" spans="1:7" x14ac:dyDescent="0.25">
      <c r="A54" s="5" t="s">
        <v>1512</v>
      </c>
      <c r="B54" s="78">
        <f t="shared" si="0"/>
        <v>24.364000000000001</v>
      </c>
      <c r="C54" s="78" t="s">
        <v>954</v>
      </c>
      <c r="D54" s="7" t="s">
        <v>121</v>
      </c>
      <c r="E54" s="80" t="s">
        <v>1203</v>
      </c>
      <c r="F54" s="78">
        <v>24364</v>
      </c>
      <c r="G54" s="78" t="s">
        <v>1514</v>
      </c>
    </row>
    <row r="55" spans="1:7" x14ac:dyDescent="0.25">
      <c r="A55" s="5" t="s">
        <v>1512</v>
      </c>
      <c r="B55" s="78">
        <f t="shared" si="0"/>
        <v>24.866</v>
      </c>
      <c r="C55" s="78" t="s">
        <v>955</v>
      </c>
      <c r="D55" s="7" t="s">
        <v>123</v>
      </c>
      <c r="E55" s="80" t="s">
        <v>1203</v>
      </c>
      <c r="F55" s="78">
        <v>24866</v>
      </c>
      <c r="G55" s="78" t="s">
        <v>1514</v>
      </c>
    </row>
    <row r="56" spans="1:7" x14ac:dyDescent="0.25">
      <c r="A56" s="5" t="s">
        <v>1512</v>
      </c>
      <c r="B56" s="78">
        <f t="shared" si="0"/>
        <v>25.361000000000001</v>
      </c>
      <c r="C56" s="78" t="s">
        <v>956</v>
      </c>
      <c r="D56" s="7" t="s">
        <v>125</v>
      </c>
      <c r="E56" s="80" t="s">
        <v>1203</v>
      </c>
      <c r="F56" s="78">
        <v>25361</v>
      </c>
      <c r="G56" s="78" t="s">
        <v>1514</v>
      </c>
    </row>
    <row r="57" spans="1:7" x14ac:dyDescent="0.25">
      <c r="A57" s="5" t="s">
        <v>1512</v>
      </c>
      <c r="B57" s="78">
        <f t="shared" si="0"/>
        <v>25.859000000000002</v>
      </c>
      <c r="C57" s="78" t="s">
        <v>957</v>
      </c>
      <c r="D57" s="7" t="s">
        <v>127</v>
      </c>
      <c r="E57" s="80" t="s">
        <v>1203</v>
      </c>
      <c r="F57" s="78">
        <v>25859</v>
      </c>
      <c r="G57" s="78" t="s">
        <v>1514</v>
      </c>
    </row>
    <row r="58" spans="1:7" x14ac:dyDescent="0.25">
      <c r="A58" s="5" t="s">
        <v>1512</v>
      </c>
      <c r="B58" s="78">
        <f t="shared" si="0"/>
        <v>26.359770000000001</v>
      </c>
      <c r="C58" s="78" t="s">
        <v>958</v>
      </c>
      <c r="D58" s="7" t="s">
        <v>129</v>
      </c>
      <c r="E58" s="80" t="s">
        <v>1203</v>
      </c>
      <c r="F58" s="78">
        <v>26359.77</v>
      </c>
      <c r="G58" s="78" t="s">
        <v>1514</v>
      </c>
    </row>
    <row r="59" spans="1:7" x14ac:dyDescent="0.25">
      <c r="A59" s="5" t="s">
        <v>1512</v>
      </c>
      <c r="B59" s="78">
        <f t="shared" si="0"/>
        <v>26.840630000000001</v>
      </c>
      <c r="C59" s="78" t="s">
        <v>959</v>
      </c>
      <c r="D59" s="7" t="s">
        <v>131</v>
      </c>
      <c r="E59" s="80" t="s">
        <v>1203</v>
      </c>
      <c r="F59" s="78">
        <v>26840.63</v>
      </c>
      <c r="G59" s="78" t="s">
        <v>1514</v>
      </c>
    </row>
    <row r="60" spans="1:7" x14ac:dyDescent="0.25">
      <c r="A60" s="5" t="s">
        <v>1512</v>
      </c>
      <c r="B60" s="78">
        <f t="shared" si="0"/>
        <v>27.344999999999999</v>
      </c>
      <c r="C60" s="78" t="s">
        <v>960</v>
      </c>
      <c r="D60" s="7" t="s">
        <v>133</v>
      </c>
      <c r="E60" s="80" t="s">
        <v>1203</v>
      </c>
      <c r="F60" s="78">
        <v>27345</v>
      </c>
      <c r="G60" s="78" t="s">
        <v>1514</v>
      </c>
    </row>
    <row r="61" spans="1:7" x14ac:dyDescent="0.25">
      <c r="A61" s="5" t="s">
        <v>1512</v>
      </c>
      <c r="B61" s="78">
        <f t="shared" si="0"/>
        <v>27.837</v>
      </c>
      <c r="C61" s="78" t="s">
        <v>961</v>
      </c>
      <c r="D61" s="7" t="s">
        <v>135</v>
      </c>
      <c r="E61" s="80" t="s">
        <v>1203</v>
      </c>
      <c r="F61" s="78">
        <v>27837</v>
      </c>
      <c r="G61" s="78" t="s">
        <v>1517</v>
      </c>
    </row>
    <row r="62" spans="1:7" x14ac:dyDescent="0.25">
      <c r="A62" s="5" t="s">
        <v>1512</v>
      </c>
      <c r="B62" s="78">
        <f t="shared" si="0"/>
        <v>28.332999999999998</v>
      </c>
      <c r="C62" s="78" t="s">
        <v>962</v>
      </c>
      <c r="D62" s="7" t="s">
        <v>137</v>
      </c>
      <c r="E62" s="80" t="s">
        <v>1203</v>
      </c>
      <c r="F62" s="78">
        <v>28333</v>
      </c>
      <c r="G62" s="78" t="s">
        <v>1514</v>
      </c>
    </row>
    <row r="63" spans="1:7" x14ac:dyDescent="0.25">
      <c r="A63" s="5" t="s">
        <v>1512</v>
      </c>
      <c r="B63" s="78">
        <f t="shared" si="0"/>
        <v>28.835000000000001</v>
      </c>
      <c r="C63" s="78" t="s">
        <v>963</v>
      </c>
      <c r="D63" s="7" t="s">
        <v>139</v>
      </c>
      <c r="E63" s="80" t="s">
        <v>1203</v>
      </c>
      <c r="F63" s="78">
        <v>28835</v>
      </c>
      <c r="G63" s="78" t="s">
        <v>1514</v>
      </c>
    </row>
    <row r="64" spans="1:7" x14ac:dyDescent="0.25">
      <c r="A64" s="5" t="s">
        <v>1512</v>
      </c>
      <c r="B64" s="78">
        <f t="shared" si="0"/>
        <v>29.324999999999999</v>
      </c>
      <c r="C64" s="78" t="s">
        <v>964</v>
      </c>
      <c r="D64" s="7" t="s">
        <v>141</v>
      </c>
      <c r="E64" s="80" t="s">
        <v>1203</v>
      </c>
      <c r="F64" s="78">
        <v>29325</v>
      </c>
      <c r="G64" s="78" t="s">
        <v>1514</v>
      </c>
    </row>
    <row r="65" spans="1:7" x14ac:dyDescent="0.25">
      <c r="A65" s="5" t="s">
        <v>1512</v>
      </c>
      <c r="B65" s="78">
        <f t="shared" si="0"/>
        <v>29.824000000000002</v>
      </c>
      <c r="C65" s="78" t="s">
        <v>965</v>
      </c>
      <c r="D65" s="7" t="s">
        <v>143</v>
      </c>
      <c r="E65" s="80" t="s">
        <v>1203</v>
      </c>
      <c r="F65" s="78">
        <v>29824</v>
      </c>
      <c r="G65" s="78" t="s">
        <v>1514</v>
      </c>
    </row>
    <row r="66" spans="1:7" x14ac:dyDescent="0.25">
      <c r="A66" s="5" t="s">
        <v>1512</v>
      </c>
      <c r="B66" s="78">
        <f t="shared" si="0"/>
        <v>30.315000000000001</v>
      </c>
      <c r="C66" s="78" t="s">
        <v>966</v>
      </c>
      <c r="D66" s="7" t="s">
        <v>145</v>
      </c>
      <c r="E66" s="80" t="s">
        <v>1203</v>
      </c>
      <c r="F66" s="78">
        <v>30315</v>
      </c>
      <c r="G66" s="78" t="s">
        <v>1514</v>
      </c>
    </row>
    <row r="67" spans="1:7" x14ac:dyDescent="0.25">
      <c r="A67" s="5" t="s">
        <v>1512</v>
      </c>
      <c r="B67" s="78">
        <f t="shared" ref="B67:B130" si="1">F67/1000</f>
        <v>30.815000000000001</v>
      </c>
      <c r="C67" s="78" t="s">
        <v>967</v>
      </c>
      <c r="D67" s="7" t="s">
        <v>147</v>
      </c>
      <c r="E67" s="80" t="s">
        <v>1203</v>
      </c>
      <c r="F67" s="78">
        <v>30815</v>
      </c>
      <c r="G67" s="78" t="s">
        <v>1514</v>
      </c>
    </row>
    <row r="68" spans="1:7" x14ac:dyDescent="0.25">
      <c r="A68" s="5" t="s">
        <v>1512</v>
      </c>
      <c r="B68" s="78">
        <f t="shared" si="1"/>
        <v>31.302</v>
      </c>
      <c r="C68" s="78" t="s">
        <v>968</v>
      </c>
      <c r="D68" s="7" t="s">
        <v>149</v>
      </c>
      <c r="E68" s="80" t="s">
        <v>1203</v>
      </c>
      <c r="F68" s="78">
        <v>31302</v>
      </c>
      <c r="G68" s="78" t="s">
        <v>1514</v>
      </c>
    </row>
    <row r="69" spans="1:7" x14ac:dyDescent="0.25">
      <c r="A69" s="5" t="s">
        <v>1512</v>
      </c>
      <c r="B69" s="78">
        <f t="shared" si="1"/>
        <v>31.800999999999998</v>
      </c>
      <c r="C69" s="78" t="s">
        <v>969</v>
      </c>
      <c r="D69" s="7" t="s">
        <v>151</v>
      </c>
      <c r="E69" s="80" t="s">
        <v>1203</v>
      </c>
      <c r="F69" s="78">
        <v>31801</v>
      </c>
      <c r="G69" s="78" t="s">
        <v>1514</v>
      </c>
    </row>
    <row r="70" spans="1:7" x14ac:dyDescent="0.25">
      <c r="A70" s="5" t="s">
        <v>1512</v>
      </c>
      <c r="B70" s="78">
        <f t="shared" si="1"/>
        <v>32.301000000000002</v>
      </c>
      <c r="C70" s="78" t="s">
        <v>970</v>
      </c>
      <c r="D70" s="7" t="s">
        <v>153</v>
      </c>
      <c r="E70" s="80" t="s">
        <v>1203</v>
      </c>
      <c r="F70" s="78">
        <v>32301</v>
      </c>
      <c r="G70" s="78" t="s">
        <v>1514</v>
      </c>
    </row>
    <row r="71" spans="1:7" x14ac:dyDescent="0.25">
      <c r="A71" s="5" t="s">
        <v>1512</v>
      </c>
      <c r="B71" s="78">
        <f t="shared" si="1"/>
        <v>32.795999999999999</v>
      </c>
      <c r="C71" s="78" t="s">
        <v>971</v>
      </c>
      <c r="D71" s="7" t="s">
        <v>155</v>
      </c>
      <c r="E71" s="80" t="s">
        <v>1203</v>
      </c>
      <c r="F71" s="78">
        <v>32796</v>
      </c>
      <c r="G71" s="78" t="s">
        <v>1514</v>
      </c>
    </row>
    <row r="72" spans="1:7" x14ac:dyDescent="0.25">
      <c r="A72" s="5" t="s">
        <v>1512</v>
      </c>
      <c r="B72" s="78">
        <f t="shared" si="1"/>
        <v>33.299999999999997</v>
      </c>
      <c r="C72" s="78" t="s">
        <v>972</v>
      </c>
      <c r="D72" s="7" t="s">
        <v>157</v>
      </c>
      <c r="E72" s="80" t="s">
        <v>1203</v>
      </c>
      <c r="F72" s="78">
        <v>33300</v>
      </c>
      <c r="G72" s="78" t="s">
        <v>1514</v>
      </c>
    </row>
    <row r="73" spans="1:7" x14ac:dyDescent="0.25">
      <c r="A73" s="5" t="s">
        <v>1512</v>
      </c>
      <c r="B73" s="78">
        <f t="shared" si="1"/>
        <v>33.795000000000002</v>
      </c>
      <c r="C73" s="78" t="s">
        <v>973</v>
      </c>
      <c r="D73" s="7" t="s">
        <v>159</v>
      </c>
      <c r="E73" s="80" t="s">
        <v>1203</v>
      </c>
      <c r="F73" s="78">
        <v>33795</v>
      </c>
      <c r="G73" s="78" t="s">
        <v>1514</v>
      </c>
    </row>
    <row r="74" spans="1:7" x14ac:dyDescent="0.25">
      <c r="A74" s="5" t="s">
        <v>1512</v>
      </c>
      <c r="B74" s="78">
        <f t="shared" si="1"/>
        <v>34.293999999999997</v>
      </c>
      <c r="C74" s="78" t="s">
        <v>974</v>
      </c>
      <c r="D74" s="7" t="s">
        <v>161</v>
      </c>
      <c r="E74" s="80" t="s">
        <v>1203</v>
      </c>
      <c r="F74" s="78">
        <v>34294</v>
      </c>
      <c r="G74" s="78" t="s">
        <v>1514</v>
      </c>
    </row>
    <row r="75" spans="1:7" x14ac:dyDescent="0.25">
      <c r="A75" s="5" t="s">
        <v>1512</v>
      </c>
      <c r="B75" s="78">
        <f t="shared" si="1"/>
        <v>34.738870000000006</v>
      </c>
      <c r="C75" s="78" t="s">
        <v>975</v>
      </c>
      <c r="D75" s="7" t="s">
        <v>163</v>
      </c>
      <c r="E75" s="80" t="s">
        <v>1203</v>
      </c>
      <c r="F75" s="78">
        <v>34738.870000000003</v>
      </c>
      <c r="G75" s="78" t="s">
        <v>1516</v>
      </c>
    </row>
    <row r="76" spans="1:7" x14ac:dyDescent="0.25">
      <c r="A76" s="5" t="s">
        <v>1512</v>
      </c>
      <c r="B76" s="78">
        <f t="shared" si="1"/>
        <v>35.292000000000002</v>
      </c>
      <c r="C76" s="78" t="s">
        <v>976</v>
      </c>
      <c r="D76" s="7" t="s">
        <v>165</v>
      </c>
      <c r="E76" s="80" t="s">
        <v>1203</v>
      </c>
      <c r="F76" s="78">
        <v>35292</v>
      </c>
      <c r="G76" s="78" t="s">
        <v>1514</v>
      </c>
    </row>
    <row r="77" spans="1:7" x14ac:dyDescent="0.25">
      <c r="A77" s="5" t="s">
        <v>1512</v>
      </c>
      <c r="B77" s="78">
        <f t="shared" si="1"/>
        <v>35.737000000000002</v>
      </c>
      <c r="C77" s="78" t="s">
        <v>977</v>
      </c>
      <c r="D77" s="7" t="s">
        <v>167</v>
      </c>
      <c r="E77" s="80" t="s">
        <v>1203</v>
      </c>
      <c r="F77" s="78">
        <v>35737</v>
      </c>
      <c r="G77" s="78" t="s">
        <v>1514</v>
      </c>
    </row>
    <row r="78" spans="1:7" x14ac:dyDescent="0.25">
      <c r="A78" s="5" t="s">
        <v>1512</v>
      </c>
      <c r="B78" s="78">
        <f t="shared" si="1"/>
        <v>36.226999999999997</v>
      </c>
      <c r="C78" s="78" t="s">
        <v>978</v>
      </c>
      <c r="D78" s="7" t="s">
        <v>169</v>
      </c>
      <c r="E78" s="80" t="s">
        <v>1203</v>
      </c>
      <c r="F78" s="78">
        <v>36227</v>
      </c>
      <c r="G78" s="78" t="s">
        <v>1514</v>
      </c>
    </row>
    <row r="79" spans="1:7" x14ac:dyDescent="0.25">
      <c r="A79" s="5" t="s">
        <v>1512</v>
      </c>
      <c r="B79" s="78">
        <f t="shared" si="1"/>
        <v>36.734999999999999</v>
      </c>
      <c r="C79" s="78" t="s">
        <v>979</v>
      </c>
      <c r="D79" s="7" t="s">
        <v>171</v>
      </c>
      <c r="E79" s="80" t="s">
        <v>1203</v>
      </c>
      <c r="F79" s="78">
        <v>36735</v>
      </c>
      <c r="G79" s="78" t="s">
        <v>1514</v>
      </c>
    </row>
    <row r="80" spans="1:7" x14ac:dyDescent="0.25">
      <c r="A80" s="5" t="s">
        <v>1512</v>
      </c>
      <c r="B80" s="78">
        <f t="shared" si="1"/>
        <v>37.222000000000001</v>
      </c>
      <c r="C80" s="78" t="s">
        <v>980</v>
      </c>
      <c r="D80" s="7" t="s">
        <v>173</v>
      </c>
      <c r="E80" s="80" t="s">
        <v>1203</v>
      </c>
      <c r="F80" s="78">
        <v>37222</v>
      </c>
      <c r="G80" s="78" t="s">
        <v>1514</v>
      </c>
    </row>
    <row r="81" spans="1:7" x14ac:dyDescent="0.25">
      <c r="A81" s="5" t="s">
        <v>1512</v>
      </c>
      <c r="B81" s="78">
        <f t="shared" si="1"/>
        <v>37.734000000000002</v>
      </c>
      <c r="C81" s="78" t="s">
        <v>981</v>
      </c>
      <c r="D81" s="7" t="s">
        <v>175</v>
      </c>
      <c r="E81" s="80" t="s">
        <v>1203</v>
      </c>
      <c r="F81" s="78">
        <v>37734</v>
      </c>
      <c r="G81" s="78" t="s">
        <v>1514</v>
      </c>
    </row>
    <row r="82" spans="1:7" x14ac:dyDescent="0.25">
      <c r="A82" s="5" t="s">
        <v>1512</v>
      </c>
      <c r="B82" s="78">
        <f t="shared" si="1"/>
        <v>38.22</v>
      </c>
      <c r="C82" s="78" t="s">
        <v>982</v>
      </c>
      <c r="D82" s="7" t="s">
        <v>177</v>
      </c>
      <c r="E82" s="80" t="s">
        <v>1203</v>
      </c>
      <c r="F82" s="78">
        <v>38220</v>
      </c>
      <c r="G82" s="78" t="s">
        <v>1514</v>
      </c>
    </row>
    <row r="83" spans="1:7" x14ac:dyDescent="0.25">
      <c r="A83" s="5" t="s">
        <v>1512</v>
      </c>
      <c r="B83" s="78">
        <f t="shared" si="1"/>
        <v>38.72</v>
      </c>
      <c r="C83" s="78" t="s">
        <v>983</v>
      </c>
      <c r="D83" s="7" t="s">
        <v>179</v>
      </c>
      <c r="E83" s="80" t="s">
        <v>1203</v>
      </c>
      <c r="F83" s="78">
        <v>38720</v>
      </c>
      <c r="G83" s="78" t="s">
        <v>1514</v>
      </c>
    </row>
    <row r="84" spans="1:7" x14ac:dyDescent="0.25">
      <c r="A84" s="5" t="s">
        <v>1512</v>
      </c>
      <c r="B84" s="78">
        <f t="shared" si="1"/>
        <v>39.215000000000003</v>
      </c>
      <c r="C84" s="78" t="s">
        <v>984</v>
      </c>
      <c r="D84" s="7" t="s">
        <v>181</v>
      </c>
      <c r="E84" s="80" t="s">
        <v>1203</v>
      </c>
      <c r="F84" s="78">
        <v>39215</v>
      </c>
      <c r="G84" s="78" t="s">
        <v>1514</v>
      </c>
    </row>
    <row r="85" spans="1:7" x14ac:dyDescent="0.25">
      <c r="A85" s="5" t="s">
        <v>1512</v>
      </c>
      <c r="B85" s="78">
        <f t="shared" si="1"/>
        <v>39.719000000000001</v>
      </c>
      <c r="C85" s="78" t="s">
        <v>985</v>
      </c>
      <c r="D85" s="7" t="s">
        <v>183</v>
      </c>
      <c r="E85" s="80" t="s">
        <v>1203</v>
      </c>
      <c r="F85" s="78">
        <v>39719</v>
      </c>
      <c r="G85" s="78" t="s">
        <v>1514</v>
      </c>
    </row>
    <row r="86" spans="1:7" x14ac:dyDescent="0.25">
      <c r="A86" s="5" t="s">
        <v>1512</v>
      </c>
      <c r="B86" s="78">
        <f t="shared" si="1"/>
        <v>40.21</v>
      </c>
      <c r="C86" s="78" t="s">
        <v>986</v>
      </c>
      <c r="D86" s="7" t="s">
        <v>272</v>
      </c>
      <c r="E86" s="80" t="s">
        <v>1203</v>
      </c>
      <c r="F86" s="78">
        <v>40210</v>
      </c>
      <c r="G86" s="78" t="s">
        <v>1514</v>
      </c>
    </row>
    <row r="87" spans="1:7" x14ac:dyDescent="0.25">
      <c r="A87" s="5" t="s">
        <v>1512</v>
      </c>
      <c r="B87" s="78">
        <f t="shared" si="1"/>
        <v>40.700000000000003</v>
      </c>
      <c r="C87" s="78" t="s">
        <v>987</v>
      </c>
      <c r="D87" s="7" t="s">
        <v>274</v>
      </c>
      <c r="E87" s="80" t="s">
        <v>1203</v>
      </c>
      <c r="F87" s="78">
        <v>40700</v>
      </c>
      <c r="G87" s="78" t="s">
        <v>1514</v>
      </c>
    </row>
    <row r="88" spans="1:7" x14ac:dyDescent="0.25">
      <c r="A88" s="5" t="s">
        <v>1512</v>
      </c>
      <c r="B88" s="78">
        <f t="shared" si="1"/>
        <v>41.195999999999998</v>
      </c>
      <c r="C88" s="78" t="s">
        <v>988</v>
      </c>
      <c r="D88" s="7" t="s">
        <v>276</v>
      </c>
      <c r="E88" s="80" t="s">
        <v>1203</v>
      </c>
      <c r="F88" s="78">
        <v>41196</v>
      </c>
      <c r="G88" s="78" t="s">
        <v>1514</v>
      </c>
    </row>
    <row r="89" spans="1:7" x14ac:dyDescent="0.25">
      <c r="A89" s="5" t="s">
        <v>1512</v>
      </c>
      <c r="B89" s="78">
        <f t="shared" si="1"/>
        <v>41.690100000000001</v>
      </c>
      <c r="C89" s="78" t="s">
        <v>989</v>
      </c>
      <c r="D89" s="7" t="s">
        <v>278</v>
      </c>
      <c r="E89" s="80" t="s">
        <v>1203</v>
      </c>
      <c r="F89" s="78">
        <v>41690.1</v>
      </c>
      <c r="G89" s="78" t="s">
        <v>1514</v>
      </c>
    </row>
    <row r="90" spans="1:7" x14ac:dyDescent="0.25">
      <c r="A90" s="5" t="s">
        <v>1512</v>
      </c>
      <c r="B90" s="78">
        <f t="shared" si="1"/>
        <v>42.195</v>
      </c>
      <c r="C90" s="78" t="s">
        <v>990</v>
      </c>
      <c r="D90" s="7" t="s">
        <v>280</v>
      </c>
      <c r="E90" s="80" t="s">
        <v>1203</v>
      </c>
      <c r="F90" s="78">
        <v>42195</v>
      </c>
      <c r="G90" s="78" t="s">
        <v>1514</v>
      </c>
    </row>
    <row r="91" spans="1:7" x14ac:dyDescent="0.25">
      <c r="A91" s="5" t="s">
        <v>1512</v>
      </c>
      <c r="B91" s="78">
        <f t="shared" si="1"/>
        <v>42.680999999999997</v>
      </c>
      <c r="C91" s="78" t="s">
        <v>991</v>
      </c>
      <c r="D91" s="7" t="s">
        <v>282</v>
      </c>
      <c r="E91" s="80" t="s">
        <v>1203</v>
      </c>
      <c r="F91" s="78">
        <v>42681</v>
      </c>
      <c r="G91" s="78" t="s">
        <v>1514</v>
      </c>
    </row>
    <row r="92" spans="1:7" x14ac:dyDescent="0.25">
      <c r="A92" s="5" t="s">
        <v>1512</v>
      </c>
      <c r="B92" s="78">
        <f t="shared" si="1"/>
        <v>43.16</v>
      </c>
      <c r="C92" s="78" t="s">
        <v>992</v>
      </c>
      <c r="D92" s="7" t="s">
        <v>284</v>
      </c>
      <c r="E92" s="80" t="s">
        <v>1203</v>
      </c>
      <c r="F92" s="78">
        <v>43160</v>
      </c>
      <c r="G92" s="78" t="s">
        <v>1514</v>
      </c>
    </row>
    <row r="93" spans="1:7" x14ac:dyDescent="0.25">
      <c r="A93" s="5" t="s">
        <v>1512</v>
      </c>
      <c r="B93" s="78">
        <f t="shared" si="1"/>
        <v>43.655999999999999</v>
      </c>
      <c r="C93" s="78" t="s">
        <v>993</v>
      </c>
      <c r="D93" s="7" t="s">
        <v>286</v>
      </c>
      <c r="E93" s="80" t="s">
        <v>1203</v>
      </c>
      <c r="F93" s="78">
        <v>43656</v>
      </c>
      <c r="G93" s="78" t="s">
        <v>1514</v>
      </c>
    </row>
    <row r="94" spans="1:7" x14ac:dyDescent="0.25">
      <c r="A94" s="5" t="s">
        <v>1512</v>
      </c>
      <c r="B94" s="78">
        <f t="shared" si="1"/>
        <v>44.155999999999999</v>
      </c>
      <c r="C94" s="78" t="s">
        <v>994</v>
      </c>
      <c r="D94" s="7" t="s">
        <v>288</v>
      </c>
      <c r="E94" s="80" t="s">
        <v>1203</v>
      </c>
      <c r="F94" s="78">
        <v>44156</v>
      </c>
      <c r="G94" s="78" t="s">
        <v>1514</v>
      </c>
    </row>
    <row r="95" spans="1:7" x14ac:dyDescent="0.25">
      <c r="A95" s="5" t="s">
        <v>1512</v>
      </c>
      <c r="B95" s="78">
        <f t="shared" si="1"/>
        <v>44.65</v>
      </c>
      <c r="C95" s="78" t="s">
        <v>995</v>
      </c>
      <c r="D95" s="7" t="s">
        <v>290</v>
      </c>
      <c r="E95" s="80" t="s">
        <v>1203</v>
      </c>
      <c r="F95" s="78">
        <v>44650</v>
      </c>
      <c r="G95" s="78" t="s">
        <v>1514</v>
      </c>
    </row>
    <row r="96" spans="1:7" x14ac:dyDescent="0.25">
      <c r="A96" s="5" t="s">
        <v>1512</v>
      </c>
      <c r="B96" s="78">
        <f t="shared" si="1"/>
        <v>45.151000000000003</v>
      </c>
      <c r="C96" s="78" t="s">
        <v>996</v>
      </c>
      <c r="D96" s="7" t="s">
        <v>292</v>
      </c>
      <c r="E96" s="80" t="s">
        <v>1203</v>
      </c>
      <c r="F96" s="78">
        <v>45151</v>
      </c>
      <c r="G96" s="78" t="s">
        <v>1514</v>
      </c>
    </row>
    <row r="97" spans="1:7" x14ac:dyDescent="0.25">
      <c r="A97" s="5" t="s">
        <v>1512</v>
      </c>
      <c r="B97" s="78">
        <f t="shared" si="1"/>
        <v>45.643999999999998</v>
      </c>
      <c r="C97" s="78" t="s">
        <v>997</v>
      </c>
      <c r="D97" s="7" t="s">
        <v>294</v>
      </c>
      <c r="E97" s="80" t="s">
        <v>1203</v>
      </c>
      <c r="F97" s="78">
        <v>45644</v>
      </c>
      <c r="G97" s="78" t="s">
        <v>1514</v>
      </c>
    </row>
    <row r="98" spans="1:7" x14ac:dyDescent="0.25">
      <c r="A98" s="5" t="s">
        <v>1512</v>
      </c>
      <c r="B98" s="78">
        <f t="shared" si="1"/>
        <v>46.149000000000001</v>
      </c>
      <c r="C98" s="78" t="s">
        <v>998</v>
      </c>
      <c r="D98" s="7" t="s">
        <v>296</v>
      </c>
      <c r="E98" s="80" t="s">
        <v>1203</v>
      </c>
      <c r="F98" s="78">
        <v>46149</v>
      </c>
      <c r="G98" s="78" t="s">
        <v>1514</v>
      </c>
    </row>
    <row r="99" spans="1:7" x14ac:dyDescent="0.25">
      <c r="A99" s="5" t="s">
        <v>1512</v>
      </c>
      <c r="B99" s="78">
        <f t="shared" si="1"/>
        <v>46.628999999999998</v>
      </c>
      <c r="C99" s="78" t="s">
        <v>999</v>
      </c>
      <c r="D99" s="7" t="s">
        <v>298</v>
      </c>
      <c r="E99" s="80" t="s">
        <v>1203</v>
      </c>
      <c r="F99" s="78">
        <v>46629</v>
      </c>
      <c r="G99" s="78" t="s">
        <v>1514</v>
      </c>
    </row>
    <row r="100" spans="1:7" x14ac:dyDescent="0.25">
      <c r="A100" s="5" t="s">
        <v>1512</v>
      </c>
      <c r="B100" s="78">
        <f t="shared" si="1"/>
        <v>47.13</v>
      </c>
      <c r="C100" s="78" t="s">
        <v>1000</v>
      </c>
      <c r="D100" s="7" t="s">
        <v>300</v>
      </c>
      <c r="E100" s="80" t="s">
        <v>1203</v>
      </c>
      <c r="F100" s="78">
        <v>47130</v>
      </c>
      <c r="G100" s="78" t="s">
        <v>1514</v>
      </c>
    </row>
    <row r="101" spans="1:7" x14ac:dyDescent="0.25">
      <c r="A101" s="5" t="s">
        <v>1512</v>
      </c>
      <c r="B101" s="78">
        <f t="shared" si="1"/>
        <v>47.613999999999997</v>
      </c>
      <c r="C101" s="78" t="s">
        <v>1001</v>
      </c>
      <c r="D101" s="7" t="s">
        <v>302</v>
      </c>
      <c r="E101" s="80" t="s">
        <v>1203</v>
      </c>
      <c r="F101" s="78">
        <v>47614</v>
      </c>
      <c r="G101" s="78" t="s">
        <v>1514</v>
      </c>
    </row>
    <row r="102" spans="1:7" x14ac:dyDescent="0.25">
      <c r="A102" s="5" t="s">
        <v>1512</v>
      </c>
      <c r="B102" s="78">
        <f t="shared" si="1"/>
        <v>48.121000000000002</v>
      </c>
      <c r="C102" s="78" t="s">
        <v>1002</v>
      </c>
      <c r="D102" s="7" t="s">
        <v>304</v>
      </c>
      <c r="E102" s="80" t="s">
        <v>1203</v>
      </c>
      <c r="F102" s="78">
        <v>48121</v>
      </c>
      <c r="G102" s="78" t="s">
        <v>1514</v>
      </c>
    </row>
    <row r="103" spans="1:7" x14ac:dyDescent="0.25">
      <c r="A103" s="5" t="s">
        <v>1512</v>
      </c>
      <c r="B103" s="78">
        <f t="shared" si="1"/>
        <v>48.610999999999997</v>
      </c>
      <c r="C103" s="78" t="s">
        <v>1003</v>
      </c>
      <c r="D103" s="7" t="s">
        <v>306</v>
      </c>
      <c r="E103" s="80" t="s">
        <v>1204</v>
      </c>
      <c r="F103" s="78">
        <v>48611</v>
      </c>
      <c r="G103" s="78" t="s">
        <v>1518</v>
      </c>
    </row>
    <row r="104" spans="1:7" x14ac:dyDescent="0.25">
      <c r="A104" s="5" t="s">
        <v>1512</v>
      </c>
      <c r="B104" s="78">
        <f t="shared" si="1"/>
        <v>49.106000000000002</v>
      </c>
      <c r="C104" s="78" t="s">
        <v>1004</v>
      </c>
      <c r="D104" s="7" t="s">
        <v>308</v>
      </c>
      <c r="E104" s="80" t="s">
        <v>1205</v>
      </c>
      <c r="F104" s="78">
        <v>49106</v>
      </c>
      <c r="G104" s="78" t="s">
        <v>1514</v>
      </c>
    </row>
    <row r="105" spans="1:7" x14ac:dyDescent="0.25">
      <c r="A105" s="5" t="s">
        <v>1512</v>
      </c>
      <c r="B105" s="78">
        <f t="shared" si="1"/>
        <v>49.604999999999997</v>
      </c>
      <c r="C105" s="78" t="s">
        <v>1005</v>
      </c>
      <c r="D105" s="7" t="s">
        <v>310</v>
      </c>
      <c r="E105" s="80" t="s">
        <v>1205</v>
      </c>
      <c r="F105" s="78">
        <v>49605</v>
      </c>
      <c r="G105" s="78" t="s">
        <v>1514</v>
      </c>
    </row>
    <row r="106" spans="1:7" x14ac:dyDescent="0.25">
      <c r="A106" s="5" t="s">
        <v>1512</v>
      </c>
      <c r="B106" s="78">
        <f t="shared" si="1"/>
        <v>50.1</v>
      </c>
      <c r="C106" s="78" t="s">
        <v>1006</v>
      </c>
      <c r="D106" s="7" t="s">
        <v>312</v>
      </c>
      <c r="E106" s="80" t="s">
        <v>1205</v>
      </c>
      <c r="F106" s="78">
        <v>50100</v>
      </c>
      <c r="G106" s="78" t="s">
        <v>1514</v>
      </c>
    </row>
    <row r="107" spans="1:7" x14ac:dyDescent="0.25">
      <c r="A107" s="5" t="s">
        <v>1512</v>
      </c>
      <c r="B107" s="78">
        <f t="shared" si="1"/>
        <v>50.601999999999997</v>
      </c>
      <c r="C107" s="78" t="s">
        <v>1007</v>
      </c>
      <c r="D107" s="7" t="s">
        <v>314</v>
      </c>
      <c r="E107" s="80" t="s">
        <v>1205</v>
      </c>
      <c r="F107" s="78">
        <v>50602</v>
      </c>
      <c r="G107" s="78" t="s">
        <v>1514</v>
      </c>
    </row>
    <row r="108" spans="1:7" x14ac:dyDescent="0.25">
      <c r="A108" s="5" t="s">
        <v>1512</v>
      </c>
      <c r="B108" s="78">
        <f t="shared" si="1"/>
        <v>51.094999999999999</v>
      </c>
      <c r="C108" s="78" t="s">
        <v>1008</v>
      </c>
      <c r="D108" s="7" t="s">
        <v>316</v>
      </c>
      <c r="E108" s="80" t="s">
        <v>1205</v>
      </c>
      <c r="F108" s="78">
        <v>51095</v>
      </c>
      <c r="G108" s="78" t="s">
        <v>1514</v>
      </c>
    </row>
    <row r="109" spans="1:7" x14ac:dyDescent="0.25">
      <c r="A109" s="5" t="s">
        <v>1512</v>
      </c>
      <c r="B109" s="78">
        <f t="shared" si="1"/>
        <v>51.594999999999999</v>
      </c>
      <c r="C109" s="78" t="s">
        <v>1009</v>
      </c>
      <c r="D109" s="7" t="s">
        <v>318</v>
      </c>
      <c r="E109" s="80" t="s">
        <v>1205</v>
      </c>
      <c r="F109" s="78">
        <v>51595</v>
      </c>
      <c r="G109" s="78" t="s">
        <v>1514</v>
      </c>
    </row>
    <row r="110" spans="1:7" x14ac:dyDescent="0.25">
      <c r="A110" s="5" t="s">
        <v>1512</v>
      </c>
      <c r="B110" s="78">
        <f t="shared" si="1"/>
        <v>52.09</v>
      </c>
      <c r="C110" s="78" t="s">
        <v>1010</v>
      </c>
      <c r="D110" s="7" t="s">
        <v>320</v>
      </c>
      <c r="E110" s="80" t="s">
        <v>1205</v>
      </c>
      <c r="F110" s="78">
        <v>52090</v>
      </c>
      <c r="G110" s="78" t="s">
        <v>1514</v>
      </c>
    </row>
    <row r="111" spans="1:7" x14ac:dyDescent="0.25">
      <c r="A111" s="5" t="s">
        <v>1512</v>
      </c>
      <c r="B111" s="78">
        <f t="shared" si="1"/>
        <v>52.594000000000001</v>
      </c>
      <c r="C111" s="78" t="s">
        <v>1011</v>
      </c>
      <c r="D111" s="7" t="s">
        <v>322</v>
      </c>
      <c r="E111" s="80" t="s">
        <v>1205</v>
      </c>
      <c r="F111" s="78">
        <v>52594</v>
      </c>
      <c r="G111" s="78" t="s">
        <v>1514</v>
      </c>
    </row>
    <row r="112" spans="1:7" x14ac:dyDescent="0.25">
      <c r="A112" s="5" t="s">
        <v>1512</v>
      </c>
      <c r="B112" s="78">
        <f t="shared" si="1"/>
        <v>53.088999999999999</v>
      </c>
      <c r="C112" s="78" t="s">
        <v>1012</v>
      </c>
      <c r="D112" s="7" t="s">
        <v>324</v>
      </c>
      <c r="E112" s="80" t="s">
        <v>1205</v>
      </c>
      <c r="F112" s="78">
        <v>53089</v>
      </c>
      <c r="G112" s="78" t="s">
        <v>1514</v>
      </c>
    </row>
    <row r="113" spans="1:7" x14ac:dyDescent="0.25">
      <c r="A113" s="5" t="s">
        <v>1512</v>
      </c>
      <c r="B113" s="78">
        <f t="shared" si="1"/>
        <v>53.591000000000001</v>
      </c>
      <c r="C113" s="78" t="s">
        <v>1013</v>
      </c>
      <c r="D113" s="7" t="s">
        <v>326</v>
      </c>
      <c r="E113" s="80" t="s">
        <v>1205</v>
      </c>
      <c r="F113" s="78">
        <v>53591</v>
      </c>
      <c r="G113" s="78" t="s">
        <v>1514</v>
      </c>
    </row>
    <row r="114" spans="1:7" x14ac:dyDescent="0.25">
      <c r="A114" s="5" t="s">
        <v>1512</v>
      </c>
      <c r="B114" s="78">
        <f t="shared" si="1"/>
        <v>54.085999999999999</v>
      </c>
      <c r="C114" s="78" t="s">
        <v>1014</v>
      </c>
      <c r="D114" s="7" t="s">
        <v>328</v>
      </c>
      <c r="E114" s="80" t="s">
        <v>1205</v>
      </c>
      <c r="F114" s="78">
        <v>54086</v>
      </c>
      <c r="G114" s="78" t="s">
        <v>1514</v>
      </c>
    </row>
    <row r="115" spans="1:7" x14ac:dyDescent="0.25">
      <c r="A115" s="5" t="s">
        <v>1512</v>
      </c>
      <c r="B115" s="78">
        <f t="shared" si="1"/>
        <v>54.585999999999999</v>
      </c>
      <c r="C115" s="78" t="s">
        <v>1015</v>
      </c>
      <c r="D115" s="7" t="s">
        <v>330</v>
      </c>
      <c r="E115" s="80" t="s">
        <v>1205</v>
      </c>
      <c r="F115" s="78">
        <v>54586</v>
      </c>
      <c r="G115" s="78" t="s">
        <v>1514</v>
      </c>
    </row>
    <row r="116" spans="1:7" x14ac:dyDescent="0.25">
      <c r="A116" s="5" t="s">
        <v>1512</v>
      </c>
      <c r="B116" s="78">
        <f t="shared" si="1"/>
        <v>55.081000000000003</v>
      </c>
      <c r="C116" s="78" t="s">
        <v>1016</v>
      </c>
      <c r="D116" s="7" t="s">
        <v>332</v>
      </c>
      <c r="E116" s="80" t="s">
        <v>1205</v>
      </c>
      <c r="F116" s="78">
        <v>55081</v>
      </c>
      <c r="G116" s="78" t="s">
        <v>1514</v>
      </c>
    </row>
    <row r="117" spans="1:7" x14ac:dyDescent="0.25">
      <c r="A117" s="5" t="s">
        <v>1512</v>
      </c>
      <c r="B117" s="78">
        <f t="shared" si="1"/>
        <v>55.581000000000003</v>
      </c>
      <c r="C117" s="78" t="s">
        <v>1017</v>
      </c>
      <c r="D117" s="7" t="s">
        <v>334</v>
      </c>
      <c r="E117" s="80" t="s">
        <v>1205</v>
      </c>
      <c r="F117" s="78">
        <v>55581</v>
      </c>
      <c r="G117" s="78" t="s">
        <v>1514</v>
      </c>
    </row>
    <row r="118" spans="1:7" x14ac:dyDescent="0.25">
      <c r="A118" s="5" t="s">
        <v>1512</v>
      </c>
      <c r="B118" s="78">
        <f t="shared" si="1"/>
        <v>56.08</v>
      </c>
      <c r="C118" s="78" t="s">
        <v>1018</v>
      </c>
      <c r="D118" s="7" t="s">
        <v>336</v>
      </c>
      <c r="E118" s="80" t="s">
        <v>1205</v>
      </c>
      <c r="F118" s="78">
        <v>56080</v>
      </c>
      <c r="G118" s="78" t="s">
        <v>1514</v>
      </c>
    </row>
    <row r="119" spans="1:7" x14ac:dyDescent="0.25">
      <c r="A119" s="5" t="s">
        <v>1512</v>
      </c>
      <c r="B119" s="78">
        <f t="shared" si="1"/>
        <v>56.576000000000001</v>
      </c>
      <c r="C119" s="78" t="s">
        <v>1019</v>
      </c>
      <c r="D119" s="7" t="s">
        <v>338</v>
      </c>
      <c r="E119" s="80" t="s">
        <v>1205</v>
      </c>
      <c r="F119" s="78">
        <v>56576</v>
      </c>
      <c r="G119" s="78" t="s">
        <v>1514</v>
      </c>
    </row>
    <row r="120" spans="1:7" x14ac:dyDescent="0.25">
      <c r="A120" s="5" t="s">
        <v>1512</v>
      </c>
      <c r="B120" s="78">
        <f t="shared" si="1"/>
        <v>57.076000000000001</v>
      </c>
      <c r="C120" s="78" t="s">
        <v>1020</v>
      </c>
      <c r="D120" s="7" t="s">
        <v>340</v>
      </c>
      <c r="E120" s="80" t="s">
        <v>1205</v>
      </c>
      <c r="F120" s="78">
        <v>57076</v>
      </c>
      <c r="G120" s="78" t="s">
        <v>1514</v>
      </c>
    </row>
    <row r="121" spans="1:7" x14ac:dyDescent="0.25">
      <c r="A121" s="5" t="s">
        <v>1512</v>
      </c>
      <c r="B121" s="78">
        <f t="shared" si="1"/>
        <v>57.561</v>
      </c>
      <c r="C121" s="78" t="s">
        <v>1021</v>
      </c>
      <c r="D121" s="7" t="s">
        <v>342</v>
      </c>
      <c r="E121" s="80" t="s">
        <v>1205</v>
      </c>
      <c r="F121" s="78">
        <v>57561</v>
      </c>
      <c r="G121" s="78" t="s">
        <v>1514</v>
      </c>
    </row>
    <row r="122" spans="1:7" x14ac:dyDescent="0.25">
      <c r="A122" s="5" t="s">
        <v>1512</v>
      </c>
      <c r="B122" s="78">
        <f t="shared" si="1"/>
        <v>58.070999999999998</v>
      </c>
      <c r="C122" s="78" t="s">
        <v>1022</v>
      </c>
      <c r="D122" s="7" t="s">
        <v>344</v>
      </c>
      <c r="E122" s="80" t="s">
        <v>1205</v>
      </c>
      <c r="F122" s="78">
        <v>58071</v>
      </c>
      <c r="G122" s="78" t="s">
        <v>1514</v>
      </c>
    </row>
    <row r="123" spans="1:7" x14ac:dyDescent="0.25">
      <c r="A123" s="5" t="s">
        <v>1512</v>
      </c>
      <c r="B123" s="78">
        <f t="shared" si="1"/>
        <v>58.510849999999998</v>
      </c>
      <c r="C123" s="78" t="s">
        <v>1023</v>
      </c>
      <c r="D123" s="7" t="s">
        <v>346</v>
      </c>
      <c r="E123" s="80" t="s">
        <v>1205</v>
      </c>
      <c r="F123" s="90">
        <v>58510.85</v>
      </c>
      <c r="G123" s="78" t="s">
        <v>1513</v>
      </c>
    </row>
    <row r="124" spans="1:7" x14ac:dyDescent="0.25">
      <c r="A124" s="5" t="s">
        <v>1512</v>
      </c>
      <c r="B124" s="78">
        <f t="shared" si="1"/>
        <v>59.69</v>
      </c>
      <c r="C124" s="78" t="s">
        <v>1024</v>
      </c>
      <c r="D124" s="7" t="s">
        <v>348</v>
      </c>
      <c r="E124" s="80" t="s">
        <v>1205</v>
      </c>
      <c r="F124" s="78">
        <v>59690</v>
      </c>
      <c r="G124" s="78" t="s">
        <v>1514</v>
      </c>
    </row>
    <row r="125" spans="1:7" x14ac:dyDescent="0.25">
      <c r="A125" s="5" t="s">
        <v>1512</v>
      </c>
      <c r="B125" s="78">
        <f t="shared" si="1"/>
        <v>60.189</v>
      </c>
      <c r="C125" s="78" t="s">
        <v>1025</v>
      </c>
      <c r="D125" s="7" t="s">
        <v>350</v>
      </c>
      <c r="E125" s="80" t="s">
        <v>1205</v>
      </c>
      <c r="F125" s="78">
        <v>60189</v>
      </c>
      <c r="G125" s="78" t="s">
        <v>1514</v>
      </c>
    </row>
    <row r="126" spans="1:7" x14ac:dyDescent="0.25">
      <c r="A126" s="5" t="s">
        <v>1512</v>
      </c>
      <c r="B126" s="78">
        <f t="shared" si="1"/>
        <v>60.686</v>
      </c>
      <c r="C126" s="78" t="s">
        <v>1026</v>
      </c>
      <c r="D126" s="7" t="s">
        <v>352</v>
      </c>
      <c r="E126" s="80" t="s">
        <v>1205</v>
      </c>
      <c r="F126" s="78">
        <v>60686</v>
      </c>
      <c r="G126" s="78" t="s">
        <v>1514</v>
      </c>
    </row>
    <row r="127" spans="1:7" x14ac:dyDescent="0.25">
      <c r="A127" s="5" t="s">
        <v>1512</v>
      </c>
      <c r="B127" s="78">
        <f t="shared" si="1"/>
        <v>61.183999999999997</v>
      </c>
      <c r="C127" s="78" t="s">
        <v>1027</v>
      </c>
      <c r="D127" s="7" t="s">
        <v>354</v>
      </c>
      <c r="E127" s="80" t="s">
        <v>1205</v>
      </c>
      <c r="F127" s="78">
        <v>61184</v>
      </c>
      <c r="G127" s="78" t="s">
        <v>1514</v>
      </c>
    </row>
    <row r="128" spans="1:7" x14ac:dyDescent="0.25">
      <c r="A128" s="5" t="s">
        <v>1512</v>
      </c>
      <c r="B128" s="78">
        <f t="shared" si="1"/>
        <v>61.679000000000002</v>
      </c>
      <c r="C128" s="78" t="s">
        <v>1028</v>
      </c>
      <c r="D128" s="7" t="s">
        <v>356</v>
      </c>
      <c r="E128" s="80" t="s">
        <v>1205</v>
      </c>
      <c r="F128" s="78">
        <v>61679</v>
      </c>
      <c r="G128" s="78" t="s">
        <v>1514</v>
      </c>
    </row>
    <row r="129" spans="1:7" x14ac:dyDescent="0.25">
      <c r="A129" s="5" t="s">
        <v>1512</v>
      </c>
      <c r="B129" s="78">
        <f t="shared" si="1"/>
        <v>62.179000000000002</v>
      </c>
      <c r="C129" s="78" t="s">
        <v>1029</v>
      </c>
      <c r="D129" s="7" t="s">
        <v>358</v>
      </c>
      <c r="E129" s="80" t="s">
        <v>1205</v>
      </c>
      <c r="F129" s="78">
        <v>62179</v>
      </c>
      <c r="G129" s="78" t="s">
        <v>1514</v>
      </c>
    </row>
    <row r="130" spans="1:7" x14ac:dyDescent="0.25">
      <c r="A130" s="5" t="s">
        <v>1512</v>
      </c>
      <c r="B130" s="78">
        <f t="shared" si="1"/>
        <v>62.677999999999997</v>
      </c>
      <c r="C130" s="78" t="s">
        <v>1030</v>
      </c>
      <c r="D130" s="7" t="s">
        <v>360</v>
      </c>
      <c r="E130" s="80" t="s">
        <v>1205</v>
      </c>
      <c r="F130" s="78">
        <v>62678</v>
      </c>
      <c r="G130" s="78" t="s">
        <v>1514</v>
      </c>
    </row>
    <row r="131" spans="1:7" x14ac:dyDescent="0.25">
      <c r="A131" s="5" t="s">
        <v>1512</v>
      </c>
      <c r="B131" s="78">
        <f t="shared" ref="B131:B194" si="2">F131/1000</f>
        <v>63.177999999999997</v>
      </c>
      <c r="C131" s="78" t="s">
        <v>1031</v>
      </c>
      <c r="D131" s="7" t="s">
        <v>362</v>
      </c>
      <c r="E131" s="80" t="s">
        <v>1205</v>
      </c>
      <c r="F131" s="78">
        <v>63178</v>
      </c>
      <c r="G131" s="78" t="s">
        <v>1514</v>
      </c>
    </row>
    <row r="132" spans="1:7" x14ac:dyDescent="0.25">
      <c r="A132" s="5" t="s">
        <v>1512</v>
      </c>
      <c r="B132" s="78">
        <f t="shared" si="2"/>
        <v>63.673000000000002</v>
      </c>
      <c r="C132" s="78" t="s">
        <v>1032</v>
      </c>
      <c r="D132" s="7" t="s">
        <v>364</v>
      </c>
      <c r="E132" s="80" t="s">
        <v>1205</v>
      </c>
      <c r="F132" s="78">
        <v>63673</v>
      </c>
      <c r="G132" s="78" t="s">
        <v>1181</v>
      </c>
    </row>
    <row r="133" spans="1:7" x14ac:dyDescent="0.25">
      <c r="A133" s="5" t="s">
        <v>1512</v>
      </c>
      <c r="B133" s="78">
        <f t="shared" si="2"/>
        <v>64.147800000000004</v>
      </c>
      <c r="C133" s="78" t="s">
        <v>1033</v>
      </c>
      <c r="D133" s="7" t="s">
        <v>366</v>
      </c>
      <c r="E133" s="80" t="s">
        <v>1205</v>
      </c>
      <c r="F133" s="78">
        <v>64147.8</v>
      </c>
      <c r="G133" s="78" t="s">
        <v>1515</v>
      </c>
    </row>
    <row r="134" spans="1:7" x14ac:dyDescent="0.25">
      <c r="A134" s="5" t="s">
        <v>1512</v>
      </c>
      <c r="B134" s="78">
        <f t="shared" si="2"/>
        <v>64.606999999999999</v>
      </c>
      <c r="C134" s="78" t="s">
        <v>1034</v>
      </c>
      <c r="D134" s="7" t="s">
        <v>368</v>
      </c>
      <c r="E134" s="80" t="s">
        <v>1205</v>
      </c>
      <c r="F134" s="78">
        <v>64607</v>
      </c>
      <c r="G134" s="78" t="s">
        <v>1514</v>
      </c>
    </row>
    <row r="135" spans="1:7" x14ac:dyDescent="0.25">
      <c r="A135" s="5" t="s">
        <v>1512</v>
      </c>
      <c r="B135" s="78">
        <f t="shared" si="2"/>
        <v>65.091999999999999</v>
      </c>
      <c r="C135" s="78" t="s">
        <v>1035</v>
      </c>
      <c r="D135" s="7" t="s">
        <v>370</v>
      </c>
      <c r="E135" s="80" t="s">
        <v>1205</v>
      </c>
      <c r="F135" s="78">
        <v>65092</v>
      </c>
      <c r="G135" s="78" t="s">
        <v>1514</v>
      </c>
    </row>
    <row r="136" spans="1:7" x14ac:dyDescent="0.25">
      <c r="A136" s="5" t="s">
        <v>1512</v>
      </c>
      <c r="B136" s="78">
        <f t="shared" si="2"/>
        <v>65.600999999999999</v>
      </c>
      <c r="C136" s="78" t="s">
        <v>1036</v>
      </c>
      <c r="D136" s="7" t="s">
        <v>372</v>
      </c>
      <c r="E136" s="80" t="s">
        <v>1205</v>
      </c>
      <c r="F136" s="78">
        <v>65601</v>
      </c>
      <c r="G136" s="78" t="s">
        <v>1514</v>
      </c>
    </row>
    <row r="137" spans="1:7" x14ac:dyDescent="0.25">
      <c r="A137" s="5" t="s">
        <v>1512</v>
      </c>
      <c r="B137" s="78">
        <f t="shared" si="2"/>
        <v>66.090999999999994</v>
      </c>
      <c r="C137" s="78" t="s">
        <v>1037</v>
      </c>
      <c r="D137" s="7" t="s">
        <v>374</v>
      </c>
      <c r="E137" s="80" t="s">
        <v>1205</v>
      </c>
      <c r="F137" s="78">
        <v>66091</v>
      </c>
      <c r="G137" s="78" t="s">
        <v>1514</v>
      </c>
    </row>
    <row r="138" spans="1:7" x14ac:dyDescent="0.25">
      <c r="A138" s="5" t="s">
        <v>1512</v>
      </c>
      <c r="B138" s="78">
        <f t="shared" si="2"/>
        <v>66.596999999999994</v>
      </c>
      <c r="C138" s="78" t="s">
        <v>1038</v>
      </c>
      <c r="D138" s="7" t="s">
        <v>376</v>
      </c>
      <c r="E138" s="80" t="s">
        <v>1205</v>
      </c>
      <c r="F138" s="78">
        <v>66597</v>
      </c>
      <c r="G138" s="78" t="s">
        <v>1514</v>
      </c>
    </row>
    <row r="139" spans="1:7" x14ac:dyDescent="0.25">
      <c r="A139" s="5" t="s">
        <v>1512</v>
      </c>
      <c r="B139" s="78">
        <f t="shared" si="2"/>
        <v>67.078999999999994</v>
      </c>
      <c r="C139" s="78" t="s">
        <v>1039</v>
      </c>
      <c r="D139" s="7" t="s">
        <v>378</v>
      </c>
      <c r="E139" s="80" t="s">
        <v>1205</v>
      </c>
      <c r="F139" s="78">
        <v>67079</v>
      </c>
      <c r="G139" s="78" t="s">
        <v>1514</v>
      </c>
    </row>
    <row r="140" spans="1:7" x14ac:dyDescent="0.25">
      <c r="A140" s="5" t="s">
        <v>1512</v>
      </c>
      <c r="B140" s="78">
        <f t="shared" si="2"/>
        <v>67.593999999999994</v>
      </c>
      <c r="C140" s="78" t="s">
        <v>1040</v>
      </c>
      <c r="D140" s="7" t="s">
        <v>380</v>
      </c>
      <c r="E140" s="80" t="s">
        <v>1205</v>
      </c>
      <c r="F140" s="78">
        <v>67594</v>
      </c>
      <c r="G140" s="78" t="s">
        <v>1514</v>
      </c>
    </row>
    <row r="141" spans="1:7" x14ac:dyDescent="0.25">
      <c r="A141" s="5" t="s">
        <v>1512</v>
      </c>
      <c r="B141" s="78">
        <f t="shared" si="2"/>
        <v>68.073999999999998</v>
      </c>
      <c r="C141" s="78" t="s">
        <v>1041</v>
      </c>
      <c r="D141" s="7" t="s">
        <v>382</v>
      </c>
      <c r="E141" s="80" t="s">
        <v>1205</v>
      </c>
      <c r="F141" s="78">
        <v>68074</v>
      </c>
      <c r="G141" s="78" t="s">
        <v>1514</v>
      </c>
    </row>
    <row r="142" spans="1:7" x14ac:dyDescent="0.25">
      <c r="A142" s="5" t="s">
        <v>1512</v>
      </c>
      <c r="B142" s="78">
        <f t="shared" si="2"/>
        <v>68.581000000000003</v>
      </c>
      <c r="C142" s="78" t="s">
        <v>1042</v>
      </c>
      <c r="D142" s="7" t="s">
        <v>384</v>
      </c>
      <c r="E142" s="80" t="s">
        <v>1205</v>
      </c>
      <c r="F142" s="78">
        <v>68581</v>
      </c>
      <c r="G142" s="78" t="s">
        <v>1514</v>
      </c>
    </row>
    <row r="143" spans="1:7" x14ac:dyDescent="0.25">
      <c r="A143" s="5" t="s">
        <v>1512</v>
      </c>
      <c r="B143" s="78">
        <f t="shared" si="2"/>
        <v>68.971999999999994</v>
      </c>
      <c r="C143" s="78" t="s">
        <v>1043</v>
      </c>
      <c r="D143" s="7" t="s">
        <v>386</v>
      </c>
      <c r="E143" s="80" t="s">
        <v>1205</v>
      </c>
      <c r="F143" s="78">
        <v>68972</v>
      </c>
      <c r="G143" s="78" t="s">
        <v>1514</v>
      </c>
    </row>
    <row r="144" spans="1:7" x14ac:dyDescent="0.25">
      <c r="A144" s="5" t="s">
        <v>1512</v>
      </c>
      <c r="B144" s="78">
        <f t="shared" si="2"/>
        <v>69.460009999999997</v>
      </c>
      <c r="C144" s="78" t="s">
        <v>1044</v>
      </c>
      <c r="D144" s="7" t="s">
        <v>388</v>
      </c>
      <c r="E144" s="80" t="s">
        <v>1205</v>
      </c>
      <c r="F144" s="78">
        <v>69460.009999999995</v>
      </c>
      <c r="G144" s="78" t="s">
        <v>1514</v>
      </c>
    </row>
    <row r="145" spans="1:7" x14ac:dyDescent="0.25">
      <c r="A145" s="5" t="s">
        <v>1512</v>
      </c>
      <c r="B145" s="78">
        <f t="shared" si="2"/>
        <v>69.903009999999995</v>
      </c>
      <c r="C145" s="78" t="s">
        <v>1045</v>
      </c>
      <c r="D145" s="7" t="s">
        <v>390</v>
      </c>
      <c r="E145" s="80" t="s">
        <v>1205</v>
      </c>
      <c r="F145" s="78">
        <v>69903.009999999995</v>
      </c>
      <c r="G145" s="78" t="s">
        <v>1514</v>
      </c>
    </row>
    <row r="146" spans="1:7" x14ac:dyDescent="0.25">
      <c r="A146" s="5" t="s">
        <v>1512</v>
      </c>
      <c r="B146" s="78">
        <f t="shared" si="2"/>
        <v>70.456009999999992</v>
      </c>
      <c r="C146" s="78" t="s">
        <v>1046</v>
      </c>
      <c r="D146" s="7" t="s">
        <v>392</v>
      </c>
      <c r="E146" s="80" t="s">
        <v>1205</v>
      </c>
      <c r="F146" s="78">
        <v>70456.009999999995</v>
      </c>
      <c r="G146" s="78" t="s">
        <v>1514</v>
      </c>
    </row>
    <row r="147" spans="1:7" x14ac:dyDescent="0.25">
      <c r="A147" s="5" t="s">
        <v>1512</v>
      </c>
      <c r="B147" s="78">
        <f t="shared" si="2"/>
        <v>70.822999999999993</v>
      </c>
      <c r="C147" s="78" t="s">
        <v>1047</v>
      </c>
      <c r="D147" s="7" t="s">
        <v>394</v>
      </c>
      <c r="E147" s="80" t="s">
        <v>1205</v>
      </c>
      <c r="F147" s="78">
        <v>70823</v>
      </c>
      <c r="G147" s="78" t="s">
        <v>1514</v>
      </c>
    </row>
    <row r="148" spans="1:7" x14ac:dyDescent="0.25">
      <c r="A148" s="5" t="s">
        <v>1512</v>
      </c>
      <c r="B148" s="78">
        <f t="shared" si="2"/>
        <v>71.328000000000003</v>
      </c>
      <c r="C148" s="78" t="s">
        <v>1048</v>
      </c>
      <c r="D148" s="7" t="s">
        <v>396</v>
      </c>
      <c r="E148" s="80" t="s">
        <v>1205</v>
      </c>
      <c r="F148" s="78">
        <v>71328</v>
      </c>
      <c r="G148" s="78" t="s">
        <v>1514</v>
      </c>
    </row>
    <row r="149" spans="1:7" x14ac:dyDescent="0.25">
      <c r="A149" s="5" t="s">
        <v>1512</v>
      </c>
      <c r="B149" s="78">
        <f t="shared" si="2"/>
        <v>71.813000000000002</v>
      </c>
      <c r="C149" s="78" t="s">
        <v>1049</v>
      </c>
      <c r="D149" s="7" t="s">
        <v>398</v>
      </c>
      <c r="E149" s="80" t="s">
        <v>1205</v>
      </c>
      <c r="F149" s="78">
        <v>71813</v>
      </c>
      <c r="G149" s="78" t="s">
        <v>1514</v>
      </c>
    </row>
    <row r="150" spans="1:7" x14ac:dyDescent="0.25">
      <c r="A150" s="5" t="s">
        <v>1512</v>
      </c>
      <c r="B150" s="78">
        <f t="shared" si="2"/>
        <v>72.302999999999997</v>
      </c>
      <c r="C150" s="78" t="s">
        <v>1050</v>
      </c>
      <c r="D150" s="7" t="s">
        <v>400</v>
      </c>
      <c r="E150" s="80" t="s">
        <v>1205</v>
      </c>
      <c r="F150" s="78">
        <v>72303</v>
      </c>
      <c r="G150" s="78" t="s">
        <v>1514</v>
      </c>
    </row>
    <row r="151" spans="1:7" x14ac:dyDescent="0.25">
      <c r="A151" s="5" t="s">
        <v>1512</v>
      </c>
      <c r="B151" s="78">
        <f t="shared" si="2"/>
        <v>72.790199999999999</v>
      </c>
      <c r="C151" s="78" t="s">
        <v>1051</v>
      </c>
      <c r="D151" s="7" t="s">
        <v>402</v>
      </c>
      <c r="E151" s="80" t="s">
        <v>1205</v>
      </c>
      <c r="F151" s="78">
        <v>72790.2</v>
      </c>
      <c r="G151" s="78" t="s">
        <v>1181</v>
      </c>
    </row>
    <row r="152" spans="1:7" x14ac:dyDescent="0.25">
      <c r="A152" s="5" t="s">
        <v>1512</v>
      </c>
      <c r="B152" s="78">
        <f t="shared" si="2"/>
        <v>73.293000000000006</v>
      </c>
      <c r="C152" s="78" t="s">
        <v>1052</v>
      </c>
      <c r="D152" s="7" t="s">
        <v>404</v>
      </c>
      <c r="E152" s="80" t="s">
        <v>1205</v>
      </c>
      <c r="F152" s="78">
        <v>73293</v>
      </c>
      <c r="G152" s="78" t="s">
        <v>1514</v>
      </c>
    </row>
    <row r="153" spans="1:7" x14ac:dyDescent="0.25">
      <c r="A153" s="5" t="s">
        <v>1512</v>
      </c>
      <c r="B153" s="78">
        <f t="shared" si="2"/>
        <v>73.783000000000001</v>
      </c>
      <c r="C153" s="78" t="s">
        <v>1053</v>
      </c>
      <c r="D153" s="7" t="s">
        <v>406</v>
      </c>
      <c r="E153" s="80" t="s">
        <v>1205</v>
      </c>
      <c r="F153" s="78">
        <v>73783</v>
      </c>
      <c r="G153" s="78" t="s">
        <v>1514</v>
      </c>
    </row>
    <row r="154" spans="1:7" x14ac:dyDescent="0.25">
      <c r="A154" s="5" t="s">
        <v>1512</v>
      </c>
      <c r="B154" s="78">
        <f t="shared" si="2"/>
        <v>74.288119999999992</v>
      </c>
      <c r="C154" s="78" t="s">
        <v>1054</v>
      </c>
      <c r="D154" s="7" t="s">
        <v>408</v>
      </c>
      <c r="E154" s="80" t="s">
        <v>1205</v>
      </c>
      <c r="F154" s="78">
        <v>74288.12</v>
      </c>
      <c r="G154" s="78" t="s">
        <v>1514</v>
      </c>
    </row>
    <row r="155" spans="1:7" x14ac:dyDescent="0.25">
      <c r="A155" s="5" t="s">
        <v>1512</v>
      </c>
      <c r="B155" s="78">
        <f t="shared" si="2"/>
        <v>74.763000000000005</v>
      </c>
      <c r="C155" s="78" t="s">
        <v>1055</v>
      </c>
      <c r="D155" s="7" t="s">
        <v>410</v>
      </c>
      <c r="E155" s="80" t="s">
        <v>1205</v>
      </c>
      <c r="F155" s="78">
        <v>74763</v>
      </c>
      <c r="G155" s="78" t="s">
        <v>1514</v>
      </c>
    </row>
    <row r="156" spans="1:7" x14ac:dyDescent="0.25">
      <c r="A156" s="5" t="s">
        <v>1512</v>
      </c>
      <c r="B156" s="78">
        <f t="shared" si="2"/>
        <v>75.268000000000001</v>
      </c>
      <c r="C156" s="78" t="s">
        <v>1056</v>
      </c>
      <c r="D156" s="7" t="s">
        <v>412</v>
      </c>
      <c r="E156" s="80" t="s">
        <v>1205</v>
      </c>
      <c r="F156" s="78">
        <v>75268</v>
      </c>
      <c r="G156" s="78" t="s">
        <v>1514</v>
      </c>
    </row>
    <row r="157" spans="1:7" x14ac:dyDescent="0.25">
      <c r="A157" s="5" t="s">
        <v>1512</v>
      </c>
      <c r="B157" s="78">
        <f t="shared" si="2"/>
        <v>75.753</v>
      </c>
      <c r="C157" s="78" t="s">
        <v>1057</v>
      </c>
      <c r="D157" s="7" t="s">
        <v>414</v>
      </c>
      <c r="E157" s="80" t="s">
        <v>1205</v>
      </c>
      <c r="F157" s="78">
        <v>75753</v>
      </c>
      <c r="G157" s="78" t="s">
        <v>1514</v>
      </c>
    </row>
    <row r="158" spans="1:7" x14ac:dyDescent="0.25">
      <c r="A158" s="5" t="s">
        <v>1512</v>
      </c>
      <c r="B158" s="78">
        <f t="shared" si="2"/>
        <v>76.244</v>
      </c>
      <c r="C158" s="78" t="s">
        <v>1058</v>
      </c>
      <c r="D158" s="7" t="s">
        <v>416</v>
      </c>
      <c r="E158" s="80" t="s">
        <v>1205</v>
      </c>
      <c r="F158" s="78">
        <v>76244</v>
      </c>
      <c r="G158" s="78" t="s">
        <v>1514</v>
      </c>
    </row>
    <row r="159" spans="1:7" x14ac:dyDescent="0.25">
      <c r="A159" s="5" t="s">
        <v>1512</v>
      </c>
      <c r="B159" s="78">
        <f t="shared" si="2"/>
        <v>76.748999999999995</v>
      </c>
      <c r="C159" s="78" t="s">
        <v>1059</v>
      </c>
      <c r="D159" s="7" t="s">
        <v>418</v>
      </c>
      <c r="E159" s="80" t="s">
        <v>1205</v>
      </c>
      <c r="F159" s="78">
        <v>76749</v>
      </c>
      <c r="G159" s="78" t="s">
        <v>1514</v>
      </c>
    </row>
    <row r="160" spans="1:7" x14ac:dyDescent="0.25">
      <c r="A160" s="5" t="s">
        <v>1512</v>
      </c>
      <c r="B160" s="78">
        <f t="shared" si="2"/>
        <v>77.233999999999995</v>
      </c>
      <c r="C160" s="78" t="s">
        <v>1060</v>
      </c>
      <c r="D160" s="7" t="s">
        <v>420</v>
      </c>
      <c r="E160" s="80" t="s">
        <v>1205</v>
      </c>
      <c r="F160" s="78">
        <v>77234</v>
      </c>
      <c r="G160" s="78" t="s">
        <v>1514</v>
      </c>
    </row>
    <row r="161" spans="1:7" x14ac:dyDescent="0.25">
      <c r="A161" s="5" t="s">
        <v>1512</v>
      </c>
      <c r="B161" s="78">
        <f t="shared" si="2"/>
        <v>77.748000000000005</v>
      </c>
      <c r="C161" s="78" t="s">
        <v>1061</v>
      </c>
      <c r="D161" s="7" t="s">
        <v>422</v>
      </c>
      <c r="E161" s="80" t="s">
        <v>1205</v>
      </c>
      <c r="F161" s="78">
        <v>77748</v>
      </c>
      <c r="G161" s="78" t="s">
        <v>1514</v>
      </c>
    </row>
    <row r="162" spans="1:7" x14ac:dyDescent="0.25">
      <c r="A162" s="5" t="s">
        <v>1512</v>
      </c>
      <c r="B162" s="78">
        <f t="shared" si="2"/>
        <v>78.23</v>
      </c>
      <c r="C162" s="78" t="s">
        <v>1062</v>
      </c>
      <c r="D162" s="7" t="s">
        <v>424</v>
      </c>
      <c r="E162" s="80" t="s">
        <v>1205</v>
      </c>
      <c r="F162" s="78">
        <v>78230</v>
      </c>
      <c r="G162" s="78" t="s">
        <v>1514</v>
      </c>
    </row>
    <row r="163" spans="1:7" x14ac:dyDescent="0.25">
      <c r="A163" s="5" t="s">
        <v>1512</v>
      </c>
      <c r="B163" s="78">
        <f t="shared" si="2"/>
        <v>78.710999999999999</v>
      </c>
      <c r="C163" s="78" t="s">
        <v>1063</v>
      </c>
      <c r="D163" s="7" t="s">
        <v>426</v>
      </c>
      <c r="E163" s="80" t="s">
        <v>1205</v>
      </c>
      <c r="F163" s="78">
        <v>78711</v>
      </c>
      <c r="G163" s="78" t="s">
        <v>1514</v>
      </c>
    </row>
    <row r="164" spans="1:7" x14ac:dyDescent="0.25">
      <c r="A164" s="5" t="s">
        <v>1512</v>
      </c>
      <c r="B164" s="78">
        <f t="shared" si="2"/>
        <v>79.127009999999999</v>
      </c>
      <c r="C164" s="78" t="s">
        <v>1064</v>
      </c>
      <c r="D164" s="7" t="s">
        <v>428</v>
      </c>
      <c r="E164" s="80" t="s">
        <v>1205</v>
      </c>
      <c r="F164" s="78">
        <v>79127.009999999995</v>
      </c>
      <c r="G164" s="78" t="s">
        <v>1515</v>
      </c>
    </row>
    <row r="165" spans="1:7" x14ac:dyDescent="0.25">
      <c r="A165" s="5" t="s">
        <v>1512</v>
      </c>
      <c r="B165" s="78">
        <f t="shared" si="2"/>
        <v>79.512</v>
      </c>
      <c r="C165" s="78" t="s">
        <v>1065</v>
      </c>
      <c r="D165" s="7" t="s">
        <v>430</v>
      </c>
      <c r="E165" s="80" t="s">
        <v>1205</v>
      </c>
      <c r="F165" s="78">
        <v>79512</v>
      </c>
      <c r="G165" s="78" t="s">
        <v>1514</v>
      </c>
    </row>
    <row r="166" spans="1:7" x14ac:dyDescent="0.25">
      <c r="A166" s="5" t="s">
        <v>1512</v>
      </c>
      <c r="B166" s="78">
        <f t="shared" si="2"/>
        <v>80.001999999999995</v>
      </c>
      <c r="C166" s="78" t="s">
        <v>1066</v>
      </c>
      <c r="D166" s="7" t="s">
        <v>432</v>
      </c>
      <c r="E166" s="80" t="s">
        <v>1205</v>
      </c>
      <c r="F166" s="78">
        <v>80002</v>
      </c>
      <c r="G166" s="78" t="s">
        <v>1514</v>
      </c>
    </row>
    <row r="167" spans="1:7" x14ac:dyDescent="0.25">
      <c r="A167" s="5" t="s">
        <v>1512</v>
      </c>
      <c r="B167" s="78">
        <f t="shared" si="2"/>
        <v>80.460999999999999</v>
      </c>
      <c r="C167" s="78" t="s">
        <v>1067</v>
      </c>
      <c r="D167" s="7" t="s">
        <v>434</v>
      </c>
      <c r="E167" s="80" t="s">
        <v>1205</v>
      </c>
      <c r="F167" s="78">
        <v>80461</v>
      </c>
      <c r="G167" s="78" t="s">
        <v>1514</v>
      </c>
    </row>
    <row r="168" spans="1:7" x14ac:dyDescent="0.25">
      <c r="A168" s="5" t="s">
        <v>1512</v>
      </c>
      <c r="B168" s="78">
        <f t="shared" si="2"/>
        <v>80.896000000000001</v>
      </c>
      <c r="C168" s="78" t="s">
        <v>1068</v>
      </c>
      <c r="D168" s="7" t="s">
        <v>436</v>
      </c>
      <c r="E168" s="80" t="s">
        <v>1205</v>
      </c>
      <c r="F168" s="78">
        <v>80896</v>
      </c>
      <c r="G168" s="78" t="s">
        <v>1514</v>
      </c>
    </row>
    <row r="169" spans="1:7" x14ac:dyDescent="0.25">
      <c r="A169" s="5" t="s">
        <v>1512</v>
      </c>
      <c r="B169" s="78">
        <f t="shared" si="2"/>
        <v>81.394000000000005</v>
      </c>
      <c r="C169" s="78" t="s">
        <v>1069</v>
      </c>
      <c r="D169" s="7" t="s">
        <v>438</v>
      </c>
      <c r="E169" s="80" t="s">
        <v>1205</v>
      </c>
      <c r="F169" s="78">
        <v>81394</v>
      </c>
      <c r="G169" s="78" t="s">
        <v>1514</v>
      </c>
    </row>
    <row r="170" spans="1:7" x14ac:dyDescent="0.25">
      <c r="A170" s="5" t="s">
        <v>1512</v>
      </c>
      <c r="B170" s="78">
        <f t="shared" si="2"/>
        <v>81.869</v>
      </c>
      <c r="C170" s="78" t="s">
        <v>1070</v>
      </c>
      <c r="D170" s="7" t="s">
        <v>440</v>
      </c>
      <c r="E170" s="80" t="s">
        <v>1205</v>
      </c>
      <c r="F170" s="78">
        <v>81869</v>
      </c>
      <c r="G170" s="78" t="s">
        <v>1514</v>
      </c>
    </row>
    <row r="171" spans="1:7" x14ac:dyDescent="0.25">
      <c r="A171" s="5" t="s">
        <v>1512</v>
      </c>
      <c r="B171" s="78">
        <f t="shared" si="2"/>
        <v>82.353999999999999</v>
      </c>
      <c r="C171" s="78" t="s">
        <v>1071</v>
      </c>
      <c r="D171" s="7" t="s">
        <v>442</v>
      </c>
      <c r="E171" s="80" t="s">
        <v>1205</v>
      </c>
      <c r="F171" s="78">
        <v>82354</v>
      </c>
      <c r="G171" s="78" t="s">
        <v>1514</v>
      </c>
    </row>
    <row r="172" spans="1:7" x14ac:dyDescent="0.25">
      <c r="A172" s="5" t="s">
        <v>1512</v>
      </c>
      <c r="B172" s="78">
        <f t="shared" si="2"/>
        <v>82.864999999999995</v>
      </c>
      <c r="C172" s="78" t="s">
        <v>1072</v>
      </c>
      <c r="D172" s="7" t="s">
        <v>444</v>
      </c>
      <c r="E172" s="80" t="s">
        <v>1205</v>
      </c>
      <c r="F172" s="78">
        <v>82865</v>
      </c>
      <c r="G172" s="78" t="s">
        <v>1514</v>
      </c>
    </row>
    <row r="173" spans="1:7" x14ac:dyDescent="0.25">
      <c r="A173" s="5" t="s">
        <v>1512</v>
      </c>
      <c r="B173" s="78">
        <f t="shared" si="2"/>
        <v>83.34</v>
      </c>
      <c r="C173" s="78" t="s">
        <v>1073</v>
      </c>
      <c r="D173" s="7" t="s">
        <v>446</v>
      </c>
      <c r="E173" s="80" t="s">
        <v>1205</v>
      </c>
      <c r="F173" s="78">
        <v>83340</v>
      </c>
      <c r="G173" s="78" t="s">
        <v>1514</v>
      </c>
    </row>
    <row r="174" spans="1:7" x14ac:dyDescent="0.25">
      <c r="A174" s="5" t="s">
        <v>1512</v>
      </c>
      <c r="B174" s="78">
        <f t="shared" si="2"/>
        <v>83.844999999999999</v>
      </c>
      <c r="C174" s="78" t="s">
        <v>1074</v>
      </c>
      <c r="D174" s="7" t="s">
        <v>448</v>
      </c>
      <c r="E174" s="80" t="s">
        <v>1205</v>
      </c>
      <c r="F174" s="78">
        <v>83845</v>
      </c>
      <c r="G174" s="78" t="s">
        <v>1514</v>
      </c>
    </row>
    <row r="175" spans="1:7" x14ac:dyDescent="0.25">
      <c r="A175" s="5" t="s">
        <v>1512</v>
      </c>
      <c r="B175" s="78">
        <f t="shared" si="2"/>
        <v>84.295000000000002</v>
      </c>
      <c r="C175" s="78" t="s">
        <v>1075</v>
      </c>
      <c r="D175" s="7" t="s">
        <v>450</v>
      </c>
      <c r="E175" s="80" t="s">
        <v>1205</v>
      </c>
      <c r="F175" s="78">
        <v>84295</v>
      </c>
      <c r="G175" s="78" t="s">
        <v>1514</v>
      </c>
    </row>
    <row r="176" spans="1:7" x14ac:dyDescent="0.25">
      <c r="A176" s="5" t="s">
        <v>1512</v>
      </c>
      <c r="B176" s="78">
        <f t="shared" si="2"/>
        <v>84.840999999999994</v>
      </c>
      <c r="C176" s="78" t="s">
        <v>1076</v>
      </c>
      <c r="D176" s="7" t="s">
        <v>452</v>
      </c>
      <c r="E176" s="80" t="s">
        <v>1205</v>
      </c>
      <c r="F176" s="78">
        <v>84841</v>
      </c>
      <c r="G176" s="78" t="s">
        <v>1514</v>
      </c>
    </row>
    <row r="177" spans="1:7" x14ac:dyDescent="0.25">
      <c r="A177" s="5" t="s">
        <v>1512</v>
      </c>
      <c r="B177" s="78">
        <f t="shared" si="2"/>
        <v>85.29128</v>
      </c>
      <c r="C177" s="78" t="s">
        <v>1077</v>
      </c>
      <c r="D177" s="7" t="s">
        <v>454</v>
      </c>
      <c r="E177" s="80" t="s">
        <v>1205</v>
      </c>
      <c r="F177" s="78">
        <v>85291.28</v>
      </c>
      <c r="G177" s="78" t="s">
        <v>1514</v>
      </c>
    </row>
    <row r="178" spans="1:7" x14ac:dyDescent="0.25">
      <c r="A178" s="5" t="s">
        <v>1512</v>
      </c>
      <c r="B178" s="78">
        <f t="shared" si="2"/>
        <v>85.771000000000001</v>
      </c>
      <c r="C178" s="78" t="s">
        <v>1078</v>
      </c>
      <c r="D178" s="7" t="s">
        <v>456</v>
      </c>
      <c r="E178" s="80" t="s">
        <v>1205</v>
      </c>
      <c r="F178" s="78">
        <v>85771</v>
      </c>
      <c r="G178" s="78" t="s">
        <v>1514</v>
      </c>
    </row>
    <row r="179" spans="1:7" x14ac:dyDescent="0.25">
      <c r="A179" s="5" t="s">
        <v>1512</v>
      </c>
      <c r="B179" s="78">
        <f t="shared" si="2"/>
        <v>86.271000000000001</v>
      </c>
      <c r="C179" s="78" t="s">
        <v>1079</v>
      </c>
      <c r="D179" s="7" t="s">
        <v>458</v>
      </c>
      <c r="E179" s="80" t="s">
        <v>1205</v>
      </c>
      <c r="F179" s="78">
        <v>86271</v>
      </c>
      <c r="G179" s="78" t="s">
        <v>1514</v>
      </c>
    </row>
    <row r="180" spans="1:7" x14ac:dyDescent="0.25">
      <c r="A180" s="5" t="s">
        <v>1512</v>
      </c>
      <c r="B180" s="78">
        <f t="shared" si="2"/>
        <v>86.751000000000005</v>
      </c>
      <c r="C180" s="78" t="s">
        <v>1080</v>
      </c>
      <c r="D180" s="7" t="s">
        <v>460</v>
      </c>
      <c r="E180" s="80" t="s">
        <v>1205</v>
      </c>
      <c r="F180" s="78">
        <v>86751</v>
      </c>
      <c r="G180" s="78" t="s">
        <v>1514</v>
      </c>
    </row>
    <row r="181" spans="1:7" x14ac:dyDescent="0.25">
      <c r="A181" s="5" t="s">
        <v>1512</v>
      </c>
      <c r="B181" s="78">
        <f t="shared" si="2"/>
        <v>87.263999999999996</v>
      </c>
      <c r="C181" s="78" t="s">
        <v>1081</v>
      </c>
      <c r="D181" s="7" t="s">
        <v>462</v>
      </c>
      <c r="E181" s="80" t="s">
        <v>1205</v>
      </c>
      <c r="F181" s="78">
        <v>87264</v>
      </c>
      <c r="G181" s="78" t="s">
        <v>1514</v>
      </c>
    </row>
    <row r="182" spans="1:7" x14ac:dyDescent="0.25">
      <c r="A182" s="5" t="s">
        <v>1512</v>
      </c>
      <c r="B182" s="78">
        <f t="shared" si="2"/>
        <v>87.748999999999995</v>
      </c>
      <c r="C182" s="78" t="s">
        <v>1082</v>
      </c>
      <c r="D182" s="7" t="s">
        <v>464</v>
      </c>
      <c r="E182" s="80" t="s">
        <v>1205</v>
      </c>
      <c r="F182" s="78">
        <v>87749</v>
      </c>
      <c r="G182" s="78" t="s">
        <v>1514</v>
      </c>
    </row>
    <row r="183" spans="1:7" x14ac:dyDescent="0.25">
      <c r="A183" s="5" t="s">
        <v>1512</v>
      </c>
      <c r="B183" s="78">
        <f t="shared" si="2"/>
        <v>88.228999999999999</v>
      </c>
      <c r="C183" s="78" t="s">
        <v>1083</v>
      </c>
      <c r="D183" s="7" t="s">
        <v>466</v>
      </c>
      <c r="E183" s="80" t="s">
        <v>1205</v>
      </c>
      <c r="F183" s="78">
        <v>88229</v>
      </c>
      <c r="G183" s="78" t="s">
        <v>1514</v>
      </c>
    </row>
    <row r="184" spans="1:7" x14ac:dyDescent="0.25">
      <c r="A184" s="5" t="s">
        <v>1512</v>
      </c>
      <c r="B184" s="78">
        <f t="shared" si="2"/>
        <v>88.713999999999999</v>
      </c>
      <c r="C184" s="78" t="s">
        <v>1084</v>
      </c>
      <c r="D184" s="7" t="s">
        <v>468</v>
      </c>
      <c r="E184" s="80" t="s">
        <v>1205</v>
      </c>
      <c r="F184" s="78">
        <v>88714</v>
      </c>
      <c r="G184" s="78" t="s">
        <v>1514</v>
      </c>
    </row>
    <row r="185" spans="1:7" x14ac:dyDescent="0.25">
      <c r="A185" s="5" t="s">
        <v>1512</v>
      </c>
      <c r="B185" s="78">
        <f t="shared" si="2"/>
        <v>89.206999999999994</v>
      </c>
      <c r="C185" s="78" t="s">
        <v>1085</v>
      </c>
      <c r="D185" s="7" t="s">
        <v>470</v>
      </c>
      <c r="E185" s="80" t="s">
        <v>1205</v>
      </c>
      <c r="F185" s="78">
        <v>89207</v>
      </c>
      <c r="G185" s="78" t="s">
        <v>1514</v>
      </c>
    </row>
    <row r="186" spans="1:7" x14ac:dyDescent="0.25">
      <c r="A186" s="5" t="s">
        <v>1512</v>
      </c>
      <c r="B186" s="78">
        <f t="shared" si="2"/>
        <v>89.667000000000002</v>
      </c>
      <c r="C186" s="78" t="s">
        <v>1086</v>
      </c>
      <c r="D186" s="7" t="s">
        <v>472</v>
      </c>
      <c r="E186" s="80" t="s">
        <v>1205</v>
      </c>
      <c r="F186" s="78">
        <v>89667</v>
      </c>
      <c r="G186" s="78" t="s">
        <v>1514</v>
      </c>
    </row>
    <row r="187" spans="1:7" x14ac:dyDescent="0.25">
      <c r="A187" s="5" t="s">
        <v>1512</v>
      </c>
      <c r="B187" s="78">
        <f t="shared" si="2"/>
        <v>90.125</v>
      </c>
      <c r="C187" s="78" t="s">
        <v>1087</v>
      </c>
      <c r="D187" s="7" t="s">
        <v>474</v>
      </c>
      <c r="E187" s="80" t="s">
        <v>1205</v>
      </c>
      <c r="F187" s="78">
        <v>90125</v>
      </c>
      <c r="G187" s="78" t="s">
        <v>1514</v>
      </c>
    </row>
    <row r="188" spans="1:7" x14ac:dyDescent="0.25">
      <c r="A188" s="5" t="s">
        <v>1512</v>
      </c>
      <c r="B188" s="78">
        <f t="shared" si="2"/>
        <v>90.584999999999994</v>
      </c>
      <c r="C188" s="78" t="s">
        <v>1088</v>
      </c>
      <c r="D188" s="7" t="s">
        <v>476</v>
      </c>
      <c r="E188" s="80" t="s">
        <v>1205</v>
      </c>
      <c r="F188" s="78">
        <v>90585</v>
      </c>
      <c r="G188" s="78" t="s">
        <v>1514</v>
      </c>
    </row>
    <row r="189" spans="1:7" x14ac:dyDescent="0.25">
      <c r="A189" s="5" t="s">
        <v>1512</v>
      </c>
      <c r="B189" s="78">
        <f t="shared" si="2"/>
        <v>91.08</v>
      </c>
      <c r="C189" s="78" t="s">
        <v>1089</v>
      </c>
      <c r="D189" s="7" t="s">
        <v>478</v>
      </c>
      <c r="E189" s="80" t="s">
        <v>1205</v>
      </c>
      <c r="F189" s="78">
        <v>91080</v>
      </c>
      <c r="G189" s="78" t="s">
        <v>1514</v>
      </c>
    </row>
    <row r="190" spans="1:7" x14ac:dyDescent="0.25">
      <c r="A190" s="5" t="s">
        <v>1512</v>
      </c>
      <c r="B190" s="78">
        <f t="shared" si="2"/>
        <v>91.546999999999997</v>
      </c>
      <c r="C190" s="78" t="s">
        <v>1090</v>
      </c>
      <c r="D190" s="7" t="s">
        <v>480</v>
      </c>
      <c r="E190" s="80" t="s">
        <v>1205</v>
      </c>
      <c r="F190" s="78">
        <v>91547</v>
      </c>
      <c r="G190" s="78" t="s">
        <v>1514</v>
      </c>
    </row>
    <row r="191" spans="1:7" x14ac:dyDescent="0.25">
      <c r="A191" s="5" t="s">
        <v>1512</v>
      </c>
      <c r="B191" s="78">
        <f t="shared" si="2"/>
        <v>92.058000000000007</v>
      </c>
      <c r="C191" s="78" t="s">
        <v>1091</v>
      </c>
      <c r="D191" s="7" t="s">
        <v>482</v>
      </c>
      <c r="E191" s="80" t="s">
        <v>1205</v>
      </c>
      <c r="F191" s="78">
        <v>92058</v>
      </c>
      <c r="G191" s="78" t="s">
        <v>1514</v>
      </c>
    </row>
    <row r="192" spans="1:7" x14ac:dyDescent="0.25">
      <c r="A192" s="5" t="s">
        <v>1512</v>
      </c>
      <c r="B192" s="78">
        <f t="shared" si="2"/>
        <v>92.537999999999997</v>
      </c>
      <c r="C192" s="78" t="s">
        <v>1092</v>
      </c>
      <c r="D192" s="7" t="s">
        <v>484</v>
      </c>
      <c r="E192" s="80" t="s">
        <v>1205</v>
      </c>
      <c r="F192" s="78">
        <v>92538</v>
      </c>
      <c r="G192" s="78" t="s">
        <v>1514</v>
      </c>
    </row>
    <row r="193" spans="1:7" x14ac:dyDescent="0.25">
      <c r="A193" s="5" t="s">
        <v>1512</v>
      </c>
      <c r="B193" s="78">
        <f t="shared" si="2"/>
        <v>93.033000000000001</v>
      </c>
      <c r="C193" s="78" t="s">
        <v>1093</v>
      </c>
      <c r="D193" s="7" t="s">
        <v>486</v>
      </c>
      <c r="E193" s="80" t="s">
        <v>1205</v>
      </c>
      <c r="F193" s="78">
        <v>93033</v>
      </c>
      <c r="G193" s="78" t="s">
        <v>1514</v>
      </c>
    </row>
    <row r="194" spans="1:7" x14ac:dyDescent="0.25">
      <c r="A194" s="5" t="s">
        <v>1512</v>
      </c>
      <c r="B194" s="78">
        <f t="shared" si="2"/>
        <v>93.537000000000006</v>
      </c>
      <c r="C194" s="78" t="s">
        <v>1094</v>
      </c>
      <c r="D194" s="7" t="s">
        <v>488</v>
      </c>
      <c r="E194" s="80" t="s">
        <v>1205</v>
      </c>
      <c r="F194" s="78">
        <v>93537</v>
      </c>
      <c r="G194" s="78" t="s">
        <v>1514</v>
      </c>
    </row>
    <row r="195" spans="1:7" x14ac:dyDescent="0.25">
      <c r="A195" s="5" t="s">
        <v>1512</v>
      </c>
      <c r="B195" s="78">
        <f t="shared" ref="B195:B258" si="3">F195/1000</f>
        <v>94.031999999999996</v>
      </c>
      <c r="C195" s="78" t="s">
        <v>1095</v>
      </c>
      <c r="D195" s="7" t="s">
        <v>490</v>
      </c>
      <c r="E195" s="80" t="s">
        <v>1205</v>
      </c>
      <c r="F195" s="78">
        <v>94032</v>
      </c>
      <c r="G195" s="78" t="s">
        <v>1514</v>
      </c>
    </row>
    <row r="196" spans="1:7" x14ac:dyDescent="0.25">
      <c r="A196" s="5" t="s">
        <v>1512</v>
      </c>
      <c r="B196" s="78">
        <f t="shared" si="3"/>
        <v>94.531999999999996</v>
      </c>
      <c r="C196" s="78" t="s">
        <v>1096</v>
      </c>
      <c r="D196" s="7" t="s">
        <v>492</v>
      </c>
      <c r="E196" s="80" t="s">
        <v>1205</v>
      </c>
      <c r="F196" s="78">
        <v>94532</v>
      </c>
      <c r="G196" s="78" t="s">
        <v>1514</v>
      </c>
    </row>
    <row r="197" spans="1:7" x14ac:dyDescent="0.25">
      <c r="A197" s="5" t="s">
        <v>1512</v>
      </c>
      <c r="B197" s="78">
        <f t="shared" si="3"/>
        <v>95.031000000000006</v>
      </c>
      <c r="C197" s="78" t="s">
        <v>1097</v>
      </c>
      <c r="D197" s="7" t="s">
        <v>494</v>
      </c>
      <c r="E197" s="80" t="s">
        <v>1205</v>
      </c>
      <c r="F197" s="78">
        <v>95031</v>
      </c>
      <c r="G197" s="78" t="s">
        <v>1514</v>
      </c>
    </row>
    <row r="198" spans="1:7" x14ac:dyDescent="0.25">
      <c r="A198" s="5" t="s">
        <v>1512</v>
      </c>
      <c r="B198" s="78">
        <f t="shared" si="3"/>
        <v>95.531000000000006</v>
      </c>
      <c r="C198" s="78" t="s">
        <v>1098</v>
      </c>
      <c r="D198" s="7" t="s">
        <v>496</v>
      </c>
      <c r="E198" s="80" t="s">
        <v>1205</v>
      </c>
      <c r="F198" s="78">
        <v>95531</v>
      </c>
      <c r="G198" s="78" t="s">
        <v>1514</v>
      </c>
    </row>
    <row r="199" spans="1:7" x14ac:dyDescent="0.25">
      <c r="A199" s="5" t="s">
        <v>1512</v>
      </c>
      <c r="B199" s="78">
        <f t="shared" si="3"/>
        <v>96.027000000000001</v>
      </c>
      <c r="C199" s="78" t="s">
        <v>1099</v>
      </c>
      <c r="D199" s="7" t="s">
        <v>498</v>
      </c>
      <c r="E199" s="80" t="s">
        <v>1205</v>
      </c>
      <c r="F199" s="78">
        <v>96027</v>
      </c>
      <c r="G199" s="78" t="s">
        <v>1184</v>
      </c>
    </row>
    <row r="200" spans="1:7" x14ac:dyDescent="0.25">
      <c r="A200" s="5" t="s">
        <v>1512</v>
      </c>
      <c r="B200" s="78">
        <f t="shared" si="3"/>
        <v>96.466089999999994</v>
      </c>
      <c r="C200" s="78" t="s">
        <v>1100</v>
      </c>
      <c r="D200" s="7" t="s">
        <v>500</v>
      </c>
      <c r="E200" s="80" t="s">
        <v>1205</v>
      </c>
      <c r="F200" s="78">
        <v>96466.09</v>
      </c>
      <c r="G200" s="78" t="s">
        <v>1513</v>
      </c>
    </row>
    <row r="201" spans="1:7" x14ac:dyDescent="0.25">
      <c r="A201" s="5" t="s">
        <v>1512</v>
      </c>
      <c r="B201" s="78">
        <f t="shared" si="3"/>
        <v>96.901350000000008</v>
      </c>
      <c r="C201" s="78" t="s">
        <v>1101</v>
      </c>
      <c r="D201" s="7" t="s">
        <v>502</v>
      </c>
      <c r="E201" s="80" t="s">
        <v>1205</v>
      </c>
      <c r="F201" s="78">
        <v>96901.35</v>
      </c>
      <c r="G201" s="78" t="s">
        <v>1514</v>
      </c>
    </row>
    <row r="202" spans="1:7" x14ac:dyDescent="0.25">
      <c r="A202" s="5" t="s">
        <v>1512</v>
      </c>
      <c r="B202" s="78">
        <f t="shared" si="3"/>
        <v>97.396350000000012</v>
      </c>
      <c r="C202" s="78" t="s">
        <v>1102</v>
      </c>
      <c r="D202" s="7" t="s">
        <v>503</v>
      </c>
      <c r="E202" s="80" t="s">
        <v>1205</v>
      </c>
      <c r="F202" s="78">
        <v>97396.35</v>
      </c>
      <c r="G202" s="78" t="s">
        <v>1514</v>
      </c>
    </row>
    <row r="203" spans="1:7" x14ac:dyDescent="0.25">
      <c r="A203" s="5" t="s">
        <v>1512</v>
      </c>
      <c r="B203" s="78">
        <f t="shared" si="3"/>
        <v>97.900660000000002</v>
      </c>
      <c r="C203" s="78" t="s">
        <v>1103</v>
      </c>
      <c r="D203" s="7" t="s">
        <v>501</v>
      </c>
      <c r="E203" s="80" t="s">
        <v>1205</v>
      </c>
      <c r="F203" s="78">
        <v>97900.66</v>
      </c>
      <c r="G203" s="78" t="s">
        <v>1514</v>
      </c>
    </row>
    <row r="204" spans="1:7" x14ac:dyDescent="0.25">
      <c r="A204" s="5" t="s">
        <v>1512</v>
      </c>
      <c r="B204" s="78">
        <f t="shared" si="3"/>
        <v>98.395350000000008</v>
      </c>
      <c r="C204" s="78" t="s">
        <v>1104</v>
      </c>
      <c r="D204" s="7" t="s">
        <v>499</v>
      </c>
      <c r="E204" s="80" t="s">
        <v>1205</v>
      </c>
      <c r="F204" s="78">
        <v>98395.35</v>
      </c>
      <c r="G204" s="78" t="s">
        <v>1514</v>
      </c>
    </row>
    <row r="205" spans="1:7" x14ac:dyDescent="0.25">
      <c r="A205" s="5" t="s">
        <v>1512</v>
      </c>
      <c r="B205" s="78">
        <f t="shared" si="3"/>
        <v>98.880350000000007</v>
      </c>
      <c r="C205" s="78" t="s">
        <v>1105</v>
      </c>
      <c r="D205" s="7" t="s">
        <v>497</v>
      </c>
      <c r="E205" s="80" t="s">
        <v>1205</v>
      </c>
      <c r="F205" s="78">
        <v>98880.35</v>
      </c>
      <c r="G205" s="78" t="s">
        <v>1514</v>
      </c>
    </row>
    <row r="206" spans="1:7" x14ac:dyDescent="0.25">
      <c r="A206" s="5" t="s">
        <v>1512</v>
      </c>
      <c r="B206" s="78">
        <f t="shared" si="3"/>
        <v>99.374350000000007</v>
      </c>
      <c r="C206" s="78" t="s">
        <v>1106</v>
      </c>
      <c r="D206" s="7" t="s">
        <v>495</v>
      </c>
      <c r="E206" s="80" t="s">
        <v>1205</v>
      </c>
      <c r="F206" s="78">
        <v>99374.35</v>
      </c>
      <c r="G206" s="78" t="s">
        <v>1514</v>
      </c>
    </row>
    <row r="207" spans="1:7" x14ac:dyDescent="0.25">
      <c r="A207" s="5" t="s">
        <v>1512</v>
      </c>
      <c r="B207" s="78">
        <f t="shared" si="3"/>
        <v>99.859350000000006</v>
      </c>
      <c r="C207" s="78" t="s">
        <v>1107</v>
      </c>
      <c r="D207" s="7" t="s">
        <v>493</v>
      </c>
      <c r="E207" s="80" t="s">
        <v>1205</v>
      </c>
      <c r="F207" s="78">
        <v>99859.35</v>
      </c>
      <c r="G207" s="78" t="s">
        <v>1514</v>
      </c>
    </row>
    <row r="208" spans="1:7" x14ac:dyDescent="0.25">
      <c r="A208" s="5" t="s">
        <v>1512</v>
      </c>
      <c r="B208" s="78">
        <f t="shared" si="3"/>
        <v>100.32935000000001</v>
      </c>
      <c r="C208" s="78" t="s">
        <v>1108</v>
      </c>
      <c r="D208" s="7" t="s">
        <v>491</v>
      </c>
      <c r="E208" s="80" t="s">
        <v>1205</v>
      </c>
      <c r="F208" s="78">
        <v>100329.35</v>
      </c>
      <c r="G208" s="78" t="s">
        <v>1514</v>
      </c>
    </row>
    <row r="209" spans="1:7" x14ac:dyDescent="0.25">
      <c r="A209" s="5" t="s">
        <v>1512</v>
      </c>
      <c r="B209" s="78">
        <f t="shared" si="3"/>
        <v>100.80435</v>
      </c>
      <c r="C209" s="78" t="s">
        <v>1109</v>
      </c>
      <c r="D209" s="7" t="s">
        <v>489</v>
      </c>
      <c r="E209" s="80" t="s">
        <v>1205</v>
      </c>
      <c r="F209" s="78">
        <v>100804.35</v>
      </c>
      <c r="G209" s="78" t="s">
        <v>1514</v>
      </c>
    </row>
    <row r="210" spans="1:7" x14ac:dyDescent="0.25">
      <c r="A210" s="5" t="s">
        <v>1512</v>
      </c>
      <c r="B210" s="78">
        <f t="shared" si="3"/>
        <v>101.30435</v>
      </c>
      <c r="C210" s="78" t="s">
        <v>1110</v>
      </c>
      <c r="D210" s="7" t="s">
        <v>487</v>
      </c>
      <c r="E210" s="80" t="s">
        <v>1205</v>
      </c>
      <c r="F210" s="78">
        <v>101304.35</v>
      </c>
      <c r="G210" s="78" t="s">
        <v>1514</v>
      </c>
    </row>
    <row r="211" spans="1:7" x14ac:dyDescent="0.25">
      <c r="A211" s="5" t="s">
        <v>1512</v>
      </c>
      <c r="B211" s="78">
        <f t="shared" si="3"/>
        <v>101.79935</v>
      </c>
      <c r="C211" s="78" t="s">
        <v>1111</v>
      </c>
      <c r="D211" s="7" t="s">
        <v>485</v>
      </c>
      <c r="E211" s="80" t="s">
        <v>1205</v>
      </c>
      <c r="F211" s="78">
        <v>101799.35</v>
      </c>
      <c r="G211" s="78" t="s">
        <v>1514</v>
      </c>
    </row>
    <row r="212" spans="1:7" x14ac:dyDescent="0.25">
      <c r="A212" s="5" t="s">
        <v>1512</v>
      </c>
      <c r="B212" s="78">
        <f t="shared" si="3"/>
        <v>102.29935</v>
      </c>
      <c r="C212" s="78" t="s">
        <v>1112</v>
      </c>
      <c r="D212" s="7" t="s">
        <v>483</v>
      </c>
      <c r="E212" s="80" t="s">
        <v>1205</v>
      </c>
      <c r="F212" s="78">
        <v>102299.35</v>
      </c>
      <c r="G212" s="78" t="s">
        <v>1514</v>
      </c>
    </row>
    <row r="213" spans="1:7" x14ac:dyDescent="0.25">
      <c r="A213" s="5" t="s">
        <v>1512</v>
      </c>
      <c r="B213" s="78">
        <f t="shared" si="3"/>
        <v>102.79435000000001</v>
      </c>
      <c r="C213" s="78" t="s">
        <v>1113</v>
      </c>
      <c r="D213" s="7" t="s">
        <v>481</v>
      </c>
      <c r="E213" s="80" t="s">
        <v>1205</v>
      </c>
      <c r="F213" s="78">
        <v>102794.35</v>
      </c>
      <c r="G213" s="78" t="s">
        <v>1514</v>
      </c>
    </row>
    <row r="214" spans="1:7" x14ac:dyDescent="0.25">
      <c r="A214" s="5" t="s">
        <v>1512</v>
      </c>
      <c r="B214" s="78">
        <f t="shared" si="3"/>
        <v>103.28935</v>
      </c>
      <c r="C214" s="78" t="s">
        <v>1114</v>
      </c>
      <c r="D214" s="7" t="s">
        <v>479</v>
      </c>
      <c r="E214" s="80" t="s">
        <v>1205</v>
      </c>
      <c r="F214" s="78">
        <v>103289.35</v>
      </c>
      <c r="G214" s="78" t="s">
        <v>1514</v>
      </c>
    </row>
    <row r="215" spans="1:7" x14ac:dyDescent="0.25">
      <c r="A215" s="5" t="s">
        <v>1512</v>
      </c>
      <c r="B215" s="78">
        <f t="shared" si="3"/>
        <v>103.78435</v>
      </c>
      <c r="C215" s="78" t="s">
        <v>1115</v>
      </c>
      <c r="D215" s="7" t="s">
        <v>477</v>
      </c>
      <c r="E215" s="80" t="s">
        <v>1205</v>
      </c>
      <c r="F215" s="78">
        <v>103784.35</v>
      </c>
      <c r="G215" s="78" t="s">
        <v>1514</v>
      </c>
    </row>
    <row r="216" spans="1:7" x14ac:dyDescent="0.25">
      <c r="A216" s="5" t="s">
        <v>1512</v>
      </c>
      <c r="B216" s="78">
        <f t="shared" si="3"/>
        <v>104.27935000000001</v>
      </c>
      <c r="C216" s="78" t="s">
        <v>1116</v>
      </c>
      <c r="D216" s="7" t="s">
        <v>475</v>
      </c>
      <c r="E216" s="80" t="s">
        <v>1205</v>
      </c>
      <c r="F216" s="78">
        <v>104279.35</v>
      </c>
      <c r="G216" s="78" t="s">
        <v>1514</v>
      </c>
    </row>
    <row r="217" spans="1:7" x14ac:dyDescent="0.25">
      <c r="A217" s="5" t="s">
        <v>1512</v>
      </c>
      <c r="B217" s="78">
        <f t="shared" si="3"/>
        <v>104.77935000000001</v>
      </c>
      <c r="C217" s="78" t="s">
        <v>1117</v>
      </c>
      <c r="D217" s="7" t="s">
        <v>473</v>
      </c>
      <c r="E217" s="80" t="s">
        <v>1205</v>
      </c>
      <c r="F217" s="78">
        <v>104779.35</v>
      </c>
      <c r="G217" s="78" t="s">
        <v>1514</v>
      </c>
    </row>
    <row r="218" spans="1:7" x14ac:dyDescent="0.25">
      <c r="A218" s="5" t="s">
        <v>1512</v>
      </c>
      <c r="B218" s="78">
        <f t="shared" si="3"/>
        <v>105.17935</v>
      </c>
      <c r="C218" s="78" t="s">
        <v>1118</v>
      </c>
      <c r="D218" s="7" t="s">
        <v>471</v>
      </c>
      <c r="E218" s="80" t="s">
        <v>1205</v>
      </c>
      <c r="F218" s="78">
        <v>105179.35</v>
      </c>
      <c r="G218" s="78" t="s">
        <v>1514</v>
      </c>
    </row>
    <row r="219" spans="1:7" x14ac:dyDescent="0.25">
      <c r="A219" s="5" t="s">
        <v>1512</v>
      </c>
      <c r="B219" s="78">
        <f t="shared" si="3"/>
        <v>105.62435000000001</v>
      </c>
      <c r="C219" s="78" t="s">
        <v>1119</v>
      </c>
      <c r="D219" s="7" t="s">
        <v>469</v>
      </c>
      <c r="E219" s="80" t="s">
        <v>1205</v>
      </c>
      <c r="F219" s="78">
        <v>105624.35</v>
      </c>
      <c r="G219" s="78" t="s">
        <v>1517</v>
      </c>
    </row>
    <row r="220" spans="1:7" x14ac:dyDescent="0.25">
      <c r="A220" s="5" t="s">
        <v>1512</v>
      </c>
      <c r="B220" s="78">
        <f t="shared" si="3"/>
        <v>106.00966</v>
      </c>
      <c r="C220" s="78" t="s">
        <v>1120</v>
      </c>
      <c r="D220" s="7" t="s">
        <v>467</v>
      </c>
      <c r="E220" s="80" t="s">
        <v>1205</v>
      </c>
      <c r="F220" s="78">
        <v>106009.66</v>
      </c>
      <c r="G220" s="78" t="s">
        <v>1516</v>
      </c>
    </row>
    <row r="221" spans="1:7" x14ac:dyDescent="0.25">
      <c r="A221" s="5" t="s">
        <v>1512</v>
      </c>
      <c r="B221" s="78">
        <f t="shared" si="3"/>
        <v>106.42935</v>
      </c>
      <c r="C221" s="78" t="s">
        <v>1121</v>
      </c>
      <c r="D221" s="7" t="s">
        <v>465</v>
      </c>
      <c r="E221" s="80" t="s">
        <v>1205</v>
      </c>
      <c r="F221" s="78">
        <v>106429.35</v>
      </c>
      <c r="G221" s="78" t="s">
        <v>1514</v>
      </c>
    </row>
    <row r="222" spans="1:7" x14ac:dyDescent="0.25">
      <c r="A222" s="5" t="s">
        <v>1512</v>
      </c>
      <c r="B222" s="78">
        <f t="shared" si="3"/>
        <v>106.85235</v>
      </c>
      <c r="C222" s="78" t="s">
        <v>1122</v>
      </c>
      <c r="D222" s="7" t="s">
        <v>463</v>
      </c>
      <c r="E222" s="80" t="s">
        <v>1205</v>
      </c>
      <c r="F222" s="78">
        <v>106852.35</v>
      </c>
      <c r="G222" s="78" t="s">
        <v>1514</v>
      </c>
    </row>
    <row r="223" spans="1:7" x14ac:dyDescent="0.25">
      <c r="A223" s="5" t="s">
        <v>1512</v>
      </c>
      <c r="B223" s="78">
        <f t="shared" si="3"/>
        <v>107.23588000000001</v>
      </c>
      <c r="C223" s="78" t="s">
        <v>1123</v>
      </c>
      <c r="D223" s="7" t="s">
        <v>461</v>
      </c>
      <c r="E223" s="80" t="s">
        <v>1205</v>
      </c>
      <c r="F223" s="78">
        <v>107235.88</v>
      </c>
      <c r="G223" s="78" t="s">
        <v>1514</v>
      </c>
    </row>
    <row r="224" spans="1:7" x14ac:dyDescent="0.25">
      <c r="A224" s="5" t="s">
        <v>1512</v>
      </c>
      <c r="B224" s="78">
        <f t="shared" si="3"/>
        <v>107.65935</v>
      </c>
      <c r="C224" s="78" t="s">
        <v>1124</v>
      </c>
      <c r="D224" s="7" t="s">
        <v>459</v>
      </c>
      <c r="E224" s="80" t="s">
        <v>1205</v>
      </c>
      <c r="F224" s="78">
        <v>107659.35</v>
      </c>
      <c r="G224" s="78" t="s">
        <v>1514</v>
      </c>
    </row>
    <row r="225" spans="1:7" x14ac:dyDescent="0.25">
      <c r="A225" s="5" t="s">
        <v>1512</v>
      </c>
      <c r="B225" s="78">
        <f t="shared" si="3"/>
        <v>107.88936</v>
      </c>
      <c r="C225" s="78" t="s">
        <v>1125</v>
      </c>
      <c r="D225" s="7" t="s">
        <v>457</v>
      </c>
      <c r="E225" s="80" t="s">
        <v>1205</v>
      </c>
      <c r="F225" s="78">
        <v>107889.36</v>
      </c>
      <c r="G225" s="78" t="s">
        <v>1514</v>
      </c>
    </row>
    <row r="226" spans="1:7" x14ac:dyDescent="0.25">
      <c r="A226" s="5" t="s">
        <v>1512</v>
      </c>
      <c r="B226" s="78">
        <f t="shared" si="3"/>
        <v>108.30635000000001</v>
      </c>
      <c r="C226" s="78" t="s">
        <v>1126</v>
      </c>
      <c r="D226" s="7" t="s">
        <v>455</v>
      </c>
      <c r="E226" s="80" t="s">
        <v>1205</v>
      </c>
      <c r="F226" s="78">
        <v>108306.35</v>
      </c>
      <c r="G226" s="78" t="s">
        <v>1514</v>
      </c>
    </row>
    <row r="227" spans="1:7" x14ac:dyDescent="0.25">
      <c r="A227" s="5" t="s">
        <v>1512</v>
      </c>
      <c r="B227" s="78">
        <f t="shared" si="3"/>
        <v>108.79135000000001</v>
      </c>
      <c r="C227" s="78" t="s">
        <v>1127</v>
      </c>
      <c r="D227" s="7" t="s">
        <v>453</v>
      </c>
      <c r="E227" s="80" t="s">
        <v>1205</v>
      </c>
      <c r="F227" s="78">
        <v>108791.35</v>
      </c>
      <c r="G227" s="78" t="s">
        <v>1514</v>
      </c>
    </row>
    <row r="228" spans="1:7" x14ac:dyDescent="0.25">
      <c r="A228" s="5" t="s">
        <v>1512</v>
      </c>
      <c r="B228" s="78">
        <f t="shared" si="3"/>
        <v>109.30135</v>
      </c>
      <c r="C228" s="78" t="s">
        <v>1128</v>
      </c>
      <c r="D228" s="7" t="s">
        <v>451</v>
      </c>
      <c r="E228" s="80" t="s">
        <v>1205</v>
      </c>
      <c r="F228" s="78">
        <v>109301.35</v>
      </c>
      <c r="G228" s="78" t="s">
        <v>1514</v>
      </c>
    </row>
    <row r="229" spans="1:7" x14ac:dyDescent="0.25">
      <c r="A229" s="5" t="s">
        <v>1512</v>
      </c>
      <c r="B229" s="78">
        <f t="shared" si="3"/>
        <v>109.75076</v>
      </c>
      <c r="C229" s="78" t="s">
        <v>1129</v>
      </c>
      <c r="D229" s="7" t="s">
        <v>449</v>
      </c>
      <c r="E229" s="80" t="s">
        <v>1205</v>
      </c>
      <c r="F229" s="78">
        <v>109750.76</v>
      </c>
      <c r="G229" s="78" t="s">
        <v>1515</v>
      </c>
    </row>
    <row r="230" spans="1:7" x14ac:dyDescent="0.25">
      <c r="A230" s="5" t="s">
        <v>1512</v>
      </c>
      <c r="B230" s="78">
        <f t="shared" si="3"/>
        <v>110.15600000000001</v>
      </c>
      <c r="C230" s="78" t="s">
        <v>1130</v>
      </c>
      <c r="D230" s="7" t="s">
        <v>447</v>
      </c>
      <c r="E230" s="80" t="s">
        <v>1205</v>
      </c>
      <c r="F230" s="78">
        <v>110156</v>
      </c>
      <c r="G230" s="78" t="s">
        <v>1514</v>
      </c>
    </row>
    <row r="231" spans="1:7" x14ac:dyDescent="0.25">
      <c r="A231" s="5" t="s">
        <v>1512</v>
      </c>
      <c r="B231" s="78">
        <f t="shared" si="3"/>
        <v>110.616</v>
      </c>
      <c r="C231" s="78" t="s">
        <v>1131</v>
      </c>
      <c r="D231" s="7" t="s">
        <v>445</v>
      </c>
      <c r="E231" s="80" t="s">
        <v>1205</v>
      </c>
      <c r="F231" s="78">
        <v>110616</v>
      </c>
      <c r="G231" s="78" t="s">
        <v>1514</v>
      </c>
    </row>
    <row r="232" spans="1:7" x14ac:dyDescent="0.25">
      <c r="A232" s="5" t="s">
        <v>1512</v>
      </c>
      <c r="B232" s="78">
        <f t="shared" si="3"/>
        <v>111.096</v>
      </c>
      <c r="C232" s="78" t="s">
        <v>1132</v>
      </c>
      <c r="D232" s="7" t="s">
        <v>443</v>
      </c>
      <c r="E232" s="80" t="s">
        <v>1205</v>
      </c>
      <c r="F232" s="78">
        <v>111096</v>
      </c>
      <c r="G232" s="78" t="s">
        <v>1514</v>
      </c>
    </row>
    <row r="233" spans="1:7" x14ac:dyDescent="0.25">
      <c r="A233" s="5" t="s">
        <v>1512</v>
      </c>
      <c r="B233" s="78">
        <f t="shared" si="3"/>
        <v>111.586</v>
      </c>
      <c r="C233" s="78" t="s">
        <v>1133</v>
      </c>
      <c r="D233" s="7" t="s">
        <v>441</v>
      </c>
      <c r="E233" s="80" t="s">
        <v>1205</v>
      </c>
      <c r="F233" s="78">
        <v>111586</v>
      </c>
      <c r="G233" s="78" t="s">
        <v>1514</v>
      </c>
    </row>
    <row r="234" spans="1:7" x14ac:dyDescent="0.25">
      <c r="A234" s="5" t="s">
        <v>1512</v>
      </c>
      <c r="B234" s="78">
        <f t="shared" si="3"/>
        <v>112.056</v>
      </c>
      <c r="C234" s="78" t="s">
        <v>1134</v>
      </c>
      <c r="D234" s="7" t="s">
        <v>439</v>
      </c>
      <c r="E234" s="80" t="s">
        <v>1205</v>
      </c>
      <c r="F234" s="78">
        <v>112056</v>
      </c>
      <c r="G234" s="78" t="s">
        <v>1514</v>
      </c>
    </row>
    <row r="235" spans="1:7" x14ac:dyDescent="0.25">
      <c r="A235" s="5" t="s">
        <v>1512</v>
      </c>
      <c r="B235" s="78">
        <f t="shared" si="3"/>
        <v>112.556</v>
      </c>
      <c r="C235" s="78" t="s">
        <v>1135</v>
      </c>
      <c r="D235" s="7" t="s">
        <v>437</v>
      </c>
      <c r="E235" s="80" t="s">
        <v>1205</v>
      </c>
      <c r="F235" s="78">
        <v>112556</v>
      </c>
      <c r="G235" s="78" t="s">
        <v>1514</v>
      </c>
    </row>
    <row r="236" spans="1:7" x14ac:dyDescent="0.25">
      <c r="A236" s="5" t="s">
        <v>1512</v>
      </c>
      <c r="B236" s="78">
        <f t="shared" si="3"/>
        <v>113.036</v>
      </c>
      <c r="C236" s="78" t="s">
        <v>1136</v>
      </c>
      <c r="D236" s="7" t="s">
        <v>435</v>
      </c>
      <c r="E236" s="80" t="s">
        <v>1205</v>
      </c>
      <c r="F236" s="78">
        <v>113036</v>
      </c>
      <c r="G236" s="78" t="s">
        <v>1514</v>
      </c>
    </row>
    <row r="237" spans="1:7" x14ac:dyDescent="0.25">
      <c r="A237" s="5" t="s">
        <v>1512</v>
      </c>
      <c r="B237" s="78">
        <f t="shared" si="3"/>
        <v>113.541</v>
      </c>
      <c r="C237" s="78" t="s">
        <v>1137</v>
      </c>
      <c r="D237" s="7" t="s">
        <v>433</v>
      </c>
      <c r="E237" s="80" t="s">
        <v>1205</v>
      </c>
      <c r="F237" s="78">
        <v>113541</v>
      </c>
      <c r="G237" s="78" t="s">
        <v>1514</v>
      </c>
    </row>
    <row r="238" spans="1:7" x14ac:dyDescent="0.25">
      <c r="A238" s="5" t="s">
        <v>1512</v>
      </c>
      <c r="B238" s="78">
        <f t="shared" si="3"/>
        <v>114.03100000000001</v>
      </c>
      <c r="C238" s="78" t="s">
        <v>1138</v>
      </c>
      <c r="D238" s="7" t="s">
        <v>431</v>
      </c>
      <c r="E238" s="80" t="s">
        <v>1205</v>
      </c>
      <c r="F238" s="78">
        <v>114031</v>
      </c>
      <c r="G238" s="78" t="s">
        <v>1514</v>
      </c>
    </row>
    <row r="239" spans="1:7" x14ac:dyDescent="0.25">
      <c r="A239" s="5" t="s">
        <v>1512</v>
      </c>
      <c r="B239" s="78">
        <f t="shared" si="3"/>
        <v>114.51600000000001</v>
      </c>
      <c r="C239" s="78" t="s">
        <v>1139</v>
      </c>
      <c r="D239" s="7" t="s">
        <v>429</v>
      </c>
      <c r="E239" s="80" t="s">
        <v>1205</v>
      </c>
      <c r="F239" s="78">
        <v>114516</v>
      </c>
      <c r="G239" s="78" t="s">
        <v>1514</v>
      </c>
    </row>
    <row r="240" spans="1:7" x14ac:dyDescent="0.25">
      <c r="A240" s="5" t="s">
        <v>1512</v>
      </c>
      <c r="B240" s="78">
        <f t="shared" si="3"/>
        <v>115.011</v>
      </c>
      <c r="C240" s="78" t="s">
        <v>1140</v>
      </c>
      <c r="D240" s="7" t="s">
        <v>427</v>
      </c>
      <c r="E240" s="80" t="s">
        <v>1205</v>
      </c>
      <c r="F240" s="78">
        <v>115011</v>
      </c>
      <c r="G240" s="78" t="s">
        <v>1514</v>
      </c>
    </row>
    <row r="241" spans="1:7" x14ac:dyDescent="0.25">
      <c r="A241" s="5" t="s">
        <v>1512</v>
      </c>
      <c r="B241" s="78">
        <f t="shared" si="3"/>
        <v>115.506</v>
      </c>
      <c r="C241" s="78" t="s">
        <v>1141</v>
      </c>
      <c r="D241" s="7" t="s">
        <v>425</v>
      </c>
      <c r="E241" s="80" t="s">
        <v>1205</v>
      </c>
      <c r="F241" s="78">
        <v>115506</v>
      </c>
      <c r="G241" s="78" t="s">
        <v>1514</v>
      </c>
    </row>
    <row r="242" spans="1:7" x14ac:dyDescent="0.25">
      <c r="A242" s="5" t="s">
        <v>1512</v>
      </c>
      <c r="B242" s="78">
        <f t="shared" si="3"/>
        <v>116.006</v>
      </c>
      <c r="C242" s="78" t="s">
        <v>1142</v>
      </c>
      <c r="D242" s="7" t="s">
        <v>423</v>
      </c>
      <c r="E242" s="80" t="s">
        <v>1205</v>
      </c>
      <c r="F242" s="78">
        <v>116006</v>
      </c>
      <c r="G242" s="78" t="s">
        <v>1514</v>
      </c>
    </row>
    <row r="243" spans="1:7" x14ac:dyDescent="0.25">
      <c r="A243" s="5" t="s">
        <v>1512</v>
      </c>
      <c r="B243" s="78">
        <f t="shared" si="3"/>
        <v>116.496</v>
      </c>
      <c r="C243" s="78" t="s">
        <v>1143</v>
      </c>
      <c r="D243" s="7" t="s">
        <v>421</v>
      </c>
      <c r="E243" s="80" t="s">
        <v>1205</v>
      </c>
      <c r="F243" s="78">
        <v>116496</v>
      </c>
      <c r="G243" s="78" t="s">
        <v>1517</v>
      </c>
    </row>
    <row r="244" spans="1:7" x14ac:dyDescent="0.25">
      <c r="A244" s="5" t="s">
        <v>1512</v>
      </c>
      <c r="B244" s="78">
        <f t="shared" si="3"/>
        <v>117.003</v>
      </c>
      <c r="C244" s="78" t="s">
        <v>1144</v>
      </c>
      <c r="D244" s="7" t="s">
        <v>419</v>
      </c>
      <c r="E244" s="80" t="s">
        <v>1205</v>
      </c>
      <c r="F244" s="78">
        <v>117003</v>
      </c>
      <c r="G244" s="78" t="s">
        <v>1514</v>
      </c>
    </row>
    <row r="245" spans="1:7" x14ac:dyDescent="0.25">
      <c r="A245" s="5" t="s">
        <v>1512</v>
      </c>
      <c r="B245" s="78">
        <f t="shared" si="3"/>
        <v>117.49550000000001</v>
      </c>
      <c r="C245" s="78" t="s">
        <v>1145</v>
      </c>
      <c r="D245" s="7" t="s">
        <v>417</v>
      </c>
      <c r="E245" s="80" t="s">
        <v>1205</v>
      </c>
      <c r="F245" s="78">
        <v>117495.5</v>
      </c>
      <c r="G245" s="78" t="s">
        <v>1514</v>
      </c>
    </row>
    <row r="246" spans="1:7" x14ac:dyDescent="0.25">
      <c r="A246" s="5" t="s">
        <v>1512</v>
      </c>
      <c r="B246" s="78">
        <f t="shared" si="3"/>
        <v>118</v>
      </c>
      <c r="C246" s="78" t="s">
        <v>1146</v>
      </c>
      <c r="D246" s="7" t="s">
        <v>415</v>
      </c>
      <c r="E246" s="80" t="s">
        <v>1205</v>
      </c>
      <c r="F246" s="78">
        <v>118000</v>
      </c>
      <c r="G246" s="78" t="s">
        <v>1514</v>
      </c>
    </row>
    <row r="247" spans="1:7" x14ac:dyDescent="0.25">
      <c r="A247" s="5" t="s">
        <v>1512</v>
      </c>
      <c r="B247" s="78">
        <f t="shared" si="3"/>
        <v>118.495</v>
      </c>
      <c r="C247" s="78" t="s">
        <v>1147</v>
      </c>
      <c r="D247" s="7" t="s">
        <v>413</v>
      </c>
      <c r="E247" s="80" t="s">
        <v>1205</v>
      </c>
      <c r="F247" s="78">
        <v>118495</v>
      </c>
      <c r="G247" s="78" t="s">
        <v>1514</v>
      </c>
    </row>
    <row r="248" spans="1:7" x14ac:dyDescent="0.25">
      <c r="A248" s="5" t="s">
        <v>1512</v>
      </c>
      <c r="B248" s="78">
        <f t="shared" si="3"/>
        <v>118.84783</v>
      </c>
      <c r="C248" s="78" t="s">
        <v>1148</v>
      </c>
      <c r="D248" s="7" t="s">
        <v>411</v>
      </c>
      <c r="E248" s="80" t="s">
        <v>1205</v>
      </c>
      <c r="F248" s="78">
        <v>118847.83</v>
      </c>
      <c r="G248" s="78" t="s">
        <v>1516</v>
      </c>
    </row>
    <row r="249" spans="1:7" x14ac:dyDescent="0.25">
      <c r="A249" s="5" t="s">
        <v>1512</v>
      </c>
      <c r="B249" s="78">
        <f t="shared" si="3"/>
        <v>119.43</v>
      </c>
      <c r="C249" s="78" t="s">
        <v>1149</v>
      </c>
      <c r="D249" s="7" t="s">
        <v>409</v>
      </c>
      <c r="E249" s="80" t="s">
        <v>1205</v>
      </c>
      <c r="F249" s="78">
        <v>119430</v>
      </c>
      <c r="G249" s="78" t="s">
        <v>1516</v>
      </c>
    </row>
    <row r="250" spans="1:7" x14ac:dyDescent="0.25">
      <c r="A250" s="5" t="s">
        <v>1512</v>
      </c>
      <c r="B250" s="78">
        <f t="shared" si="3"/>
        <v>119.914</v>
      </c>
      <c r="C250" s="78" t="s">
        <v>1150</v>
      </c>
      <c r="D250" s="7" t="s">
        <v>407</v>
      </c>
      <c r="E250" s="80" t="s">
        <v>1205</v>
      </c>
      <c r="F250" s="78">
        <v>119914</v>
      </c>
      <c r="G250" s="78" t="s">
        <v>1514</v>
      </c>
    </row>
    <row r="251" spans="1:7" x14ac:dyDescent="0.25">
      <c r="A251" s="5" t="s">
        <v>1512</v>
      </c>
      <c r="B251" s="78">
        <f t="shared" si="3"/>
        <v>120.2655</v>
      </c>
      <c r="C251" s="78" t="s">
        <v>1151</v>
      </c>
      <c r="D251" s="7" t="s">
        <v>405</v>
      </c>
      <c r="E251" s="80" t="s">
        <v>1205</v>
      </c>
      <c r="F251" s="78">
        <v>120265.5</v>
      </c>
      <c r="G251" s="78" t="s">
        <v>1514</v>
      </c>
    </row>
    <row r="252" spans="1:7" x14ac:dyDescent="0.25">
      <c r="A252" s="5" t="s">
        <v>1512</v>
      </c>
      <c r="B252" s="78">
        <f t="shared" si="3"/>
        <v>120.617</v>
      </c>
      <c r="C252" s="78" t="s">
        <v>1152</v>
      </c>
      <c r="D252" s="7" t="s">
        <v>403</v>
      </c>
      <c r="E252" s="80" t="s">
        <v>1205</v>
      </c>
      <c r="F252" s="78">
        <v>120617</v>
      </c>
      <c r="G252" s="78" t="s">
        <v>1514</v>
      </c>
    </row>
    <row r="253" spans="1:7" x14ac:dyDescent="0.25">
      <c r="A253" s="5" t="s">
        <v>1512</v>
      </c>
      <c r="B253" s="78">
        <f t="shared" si="3"/>
        <v>121.11199999999999</v>
      </c>
      <c r="C253" s="78" t="s">
        <v>1153</v>
      </c>
      <c r="D253" s="7" t="s">
        <v>401</v>
      </c>
      <c r="E253" s="80" t="s">
        <v>1205</v>
      </c>
      <c r="F253" s="78">
        <v>121112</v>
      </c>
      <c r="G253" s="78" t="s">
        <v>1514</v>
      </c>
    </row>
    <row r="254" spans="1:7" x14ac:dyDescent="0.25">
      <c r="A254" s="5" t="s">
        <v>1512</v>
      </c>
      <c r="B254" s="78">
        <f t="shared" si="3"/>
        <v>121.605</v>
      </c>
      <c r="C254" s="78" t="s">
        <v>1154</v>
      </c>
      <c r="D254" s="7" t="s">
        <v>399</v>
      </c>
      <c r="E254" s="80" t="s">
        <v>1205</v>
      </c>
      <c r="F254" s="78">
        <v>121605</v>
      </c>
      <c r="G254" s="78" t="s">
        <v>1514</v>
      </c>
    </row>
    <row r="255" spans="1:7" x14ac:dyDescent="0.25">
      <c r="A255" s="5" t="s">
        <v>1512</v>
      </c>
      <c r="B255" s="78">
        <f t="shared" si="3"/>
        <v>122.102</v>
      </c>
      <c r="C255" s="78" t="s">
        <v>1155</v>
      </c>
      <c r="D255" s="7" t="s">
        <v>397</v>
      </c>
      <c r="E255" s="80" t="s">
        <v>1205</v>
      </c>
      <c r="F255" s="78">
        <v>122102</v>
      </c>
      <c r="G255" s="78" t="s">
        <v>1514</v>
      </c>
    </row>
    <row r="256" spans="1:7" x14ac:dyDescent="0.25">
      <c r="A256" s="5" t="s">
        <v>1512</v>
      </c>
      <c r="B256" s="78">
        <f t="shared" si="3"/>
        <v>122.602</v>
      </c>
      <c r="C256" s="78" t="s">
        <v>1156</v>
      </c>
      <c r="D256" s="7" t="s">
        <v>395</v>
      </c>
      <c r="E256" s="80" t="s">
        <v>1205</v>
      </c>
      <c r="F256" s="78">
        <v>122602</v>
      </c>
      <c r="G256" s="78" t="s">
        <v>1514</v>
      </c>
    </row>
    <row r="257" spans="1:7" x14ac:dyDescent="0.25">
      <c r="A257" s="5" t="s">
        <v>1512</v>
      </c>
      <c r="B257" s="78">
        <f t="shared" si="3"/>
        <v>123.09699999999999</v>
      </c>
      <c r="C257" s="78" t="s">
        <v>1157</v>
      </c>
      <c r="D257" s="7" t="s">
        <v>393</v>
      </c>
      <c r="E257" s="80" t="s">
        <v>1205</v>
      </c>
      <c r="F257" s="78">
        <v>123097</v>
      </c>
      <c r="G257" s="78" t="s">
        <v>1514</v>
      </c>
    </row>
    <row r="258" spans="1:7" x14ac:dyDescent="0.25">
      <c r="A258" s="5" t="s">
        <v>1512</v>
      </c>
      <c r="B258" s="78">
        <f t="shared" si="3"/>
        <v>123.598</v>
      </c>
      <c r="C258" s="78" t="s">
        <v>1158</v>
      </c>
      <c r="D258" s="7" t="s">
        <v>391</v>
      </c>
      <c r="E258" s="80" t="s">
        <v>1205</v>
      </c>
      <c r="F258" s="78">
        <v>123598</v>
      </c>
      <c r="G258" s="78" t="s">
        <v>1514</v>
      </c>
    </row>
    <row r="259" spans="1:7" x14ac:dyDescent="0.25">
      <c r="A259" s="5" t="s">
        <v>1512</v>
      </c>
      <c r="B259" s="78">
        <f t="shared" ref="B259:B322" si="4">F259/1000</f>
        <v>124.08799999999999</v>
      </c>
      <c r="C259" s="78" t="s">
        <v>1159</v>
      </c>
      <c r="D259" s="7" t="s">
        <v>389</v>
      </c>
      <c r="E259" s="80" t="s">
        <v>1205</v>
      </c>
      <c r="F259" s="78">
        <v>124088</v>
      </c>
      <c r="G259" s="78" t="s">
        <v>1514</v>
      </c>
    </row>
    <row r="260" spans="1:7" x14ac:dyDescent="0.25">
      <c r="A260" s="5" t="s">
        <v>1512</v>
      </c>
      <c r="B260" s="78">
        <f t="shared" si="4"/>
        <v>124.583</v>
      </c>
      <c r="C260" s="78" t="s">
        <v>1160</v>
      </c>
      <c r="D260" s="7" t="s">
        <v>387</v>
      </c>
      <c r="E260" s="80" t="s">
        <v>1205</v>
      </c>
      <c r="F260" s="78">
        <v>124583</v>
      </c>
      <c r="G260" s="78" t="s">
        <v>1514</v>
      </c>
    </row>
    <row r="261" spans="1:7" x14ac:dyDescent="0.25">
      <c r="A261" s="5" t="s">
        <v>1512</v>
      </c>
      <c r="B261" s="78">
        <f t="shared" si="4"/>
        <v>125.068</v>
      </c>
      <c r="C261" s="78" t="s">
        <v>1161</v>
      </c>
      <c r="D261" s="7" t="s">
        <v>385</v>
      </c>
      <c r="E261" s="80" t="s">
        <v>1205</v>
      </c>
      <c r="F261" s="78">
        <v>125068</v>
      </c>
      <c r="G261" s="78" t="s">
        <v>1514</v>
      </c>
    </row>
    <row r="262" spans="1:7" x14ac:dyDescent="0.25">
      <c r="A262" s="5" t="s">
        <v>1512</v>
      </c>
      <c r="B262" s="78">
        <f t="shared" si="4"/>
        <v>125.57299999999999</v>
      </c>
      <c r="C262" s="78" t="s">
        <v>1162</v>
      </c>
      <c r="D262" s="7" t="s">
        <v>383</v>
      </c>
      <c r="E262" s="80" t="s">
        <v>1205</v>
      </c>
      <c r="F262" s="78">
        <v>125573</v>
      </c>
      <c r="G262" s="78" t="s">
        <v>1514</v>
      </c>
    </row>
    <row r="263" spans="1:7" x14ac:dyDescent="0.25">
      <c r="A263" s="5" t="s">
        <v>1512</v>
      </c>
      <c r="B263" s="78">
        <f t="shared" si="4"/>
        <v>126.06399999999999</v>
      </c>
      <c r="C263" s="78" t="s">
        <v>1163</v>
      </c>
      <c r="D263" s="7" t="s">
        <v>381</v>
      </c>
      <c r="E263" s="80" t="s">
        <v>1205</v>
      </c>
      <c r="F263" s="78">
        <v>126064</v>
      </c>
      <c r="G263" s="78" t="s">
        <v>1514</v>
      </c>
    </row>
    <row r="264" spans="1:7" x14ac:dyDescent="0.25">
      <c r="A264" s="5" t="s">
        <v>1512</v>
      </c>
      <c r="B264" s="78">
        <f t="shared" si="4"/>
        <v>126.524</v>
      </c>
      <c r="C264" s="78" t="s">
        <v>1164</v>
      </c>
      <c r="D264" s="7" t="s">
        <v>379</v>
      </c>
      <c r="E264" s="80" t="s">
        <v>1205</v>
      </c>
      <c r="F264" s="78">
        <v>126524</v>
      </c>
      <c r="G264" s="78" t="s">
        <v>1514</v>
      </c>
    </row>
    <row r="265" spans="1:7" x14ac:dyDescent="0.25">
      <c r="A265" s="5" t="s">
        <v>1512</v>
      </c>
      <c r="B265" s="78">
        <f t="shared" si="4"/>
        <v>126.98699999999999</v>
      </c>
      <c r="C265" s="78" t="s">
        <v>1165</v>
      </c>
      <c r="D265" s="7" t="s">
        <v>377</v>
      </c>
      <c r="E265" s="80" t="s">
        <v>1205</v>
      </c>
      <c r="F265" s="78">
        <v>126987</v>
      </c>
      <c r="G265" s="78" t="s">
        <v>1514</v>
      </c>
    </row>
    <row r="266" spans="1:7" x14ac:dyDescent="0.25">
      <c r="A266" s="5" t="s">
        <v>1512</v>
      </c>
      <c r="B266" s="78">
        <f t="shared" si="4"/>
        <v>127.48699999999999</v>
      </c>
      <c r="C266" s="78" t="s">
        <v>1166</v>
      </c>
      <c r="D266" s="7" t="s">
        <v>375</v>
      </c>
      <c r="E266" s="80" t="s">
        <v>1205</v>
      </c>
      <c r="F266" s="78">
        <v>127487</v>
      </c>
      <c r="G266" s="78" t="s">
        <v>1514</v>
      </c>
    </row>
    <row r="267" spans="1:7" x14ac:dyDescent="0.25">
      <c r="A267" s="5" t="s">
        <v>1512</v>
      </c>
      <c r="B267" s="78">
        <f t="shared" si="4"/>
        <v>127.95699999999999</v>
      </c>
      <c r="C267" s="78" t="s">
        <v>1167</v>
      </c>
      <c r="D267" s="7" t="s">
        <v>373</v>
      </c>
      <c r="E267" s="80" t="s">
        <v>1205</v>
      </c>
      <c r="F267" s="78">
        <v>127957</v>
      </c>
      <c r="G267" s="78" t="s">
        <v>1514</v>
      </c>
    </row>
    <row r="268" spans="1:7" x14ac:dyDescent="0.25">
      <c r="A268" s="5" t="s">
        <v>1512</v>
      </c>
      <c r="B268" s="78">
        <f t="shared" si="4"/>
        <v>128.42070000000001</v>
      </c>
      <c r="C268" s="78" t="s">
        <v>1168</v>
      </c>
      <c r="D268" s="7" t="s">
        <v>371</v>
      </c>
      <c r="E268" s="80" t="s">
        <v>1205</v>
      </c>
      <c r="F268" s="78">
        <v>128420.7</v>
      </c>
      <c r="G268" s="78" t="s">
        <v>1514</v>
      </c>
    </row>
    <row r="269" spans="1:7" x14ac:dyDescent="0.25">
      <c r="A269" s="5" t="s">
        <v>1512</v>
      </c>
      <c r="B269" s="78">
        <f t="shared" si="4"/>
        <v>128.84100000000001</v>
      </c>
      <c r="C269" s="78" t="s">
        <v>1169</v>
      </c>
      <c r="D269" s="7" t="s">
        <v>369</v>
      </c>
      <c r="E269" s="80" t="s">
        <v>1205</v>
      </c>
      <c r="F269" s="78">
        <v>128841</v>
      </c>
      <c r="G269" s="78" t="s">
        <v>1514</v>
      </c>
    </row>
    <row r="270" spans="1:7" x14ac:dyDescent="0.25">
      <c r="A270" s="5" t="s">
        <v>1512</v>
      </c>
      <c r="B270" s="78">
        <f t="shared" si="4"/>
        <v>129.21100000000001</v>
      </c>
      <c r="C270" s="78" t="s">
        <v>1170</v>
      </c>
      <c r="D270" s="7" t="s">
        <v>367</v>
      </c>
      <c r="E270" s="80" t="s">
        <v>1205</v>
      </c>
      <c r="F270" s="78">
        <v>129211</v>
      </c>
      <c r="G270" s="78" t="s">
        <v>1514</v>
      </c>
    </row>
    <row r="271" spans="1:7" x14ac:dyDescent="0.25">
      <c r="A271" s="5" t="s">
        <v>1512</v>
      </c>
      <c r="B271" s="78">
        <f t="shared" si="4"/>
        <v>129.63</v>
      </c>
      <c r="C271" s="78" t="s">
        <v>1171</v>
      </c>
      <c r="D271" s="7" t="s">
        <v>365</v>
      </c>
      <c r="E271" s="80" t="s">
        <v>1205</v>
      </c>
      <c r="F271" s="78">
        <v>129630</v>
      </c>
      <c r="G271" s="78" t="s">
        <v>1514</v>
      </c>
    </row>
    <row r="272" spans="1:7" x14ac:dyDescent="0.25">
      <c r="A272" s="5" t="s">
        <v>1512</v>
      </c>
      <c r="B272" s="78">
        <f t="shared" si="4"/>
        <v>130.13</v>
      </c>
      <c r="C272" s="78" t="s">
        <v>1172</v>
      </c>
      <c r="D272" s="7" t="s">
        <v>363</v>
      </c>
      <c r="E272" s="80" t="s">
        <v>1205</v>
      </c>
      <c r="F272" s="78">
        <v>130130</v>
      </c>
      <c r="G272" s="78" t="s">
        <v>1514</v>
      </c>
    </row>
    <row r="273" spans="1:7" x14ac:dyDescent="0.25">
      <c r="A273" s="5" t="s">
        <v>1512</v>
      </c>
      <c r="B273" s="78">
        <f t="shared" si="4"/>
        <v>130.626</v>
      </c>
      <c r="C273" s="78" t="s">
        <v>1221</v>
      </c>
      <c r="D273" s="7" t="s">
        <v>361</v>
      </c>
      <c r="E273" s="80" t="s">
        <v>1205</v>
      </c>
      <c r="F273" s="78">
        <v>130626</v>
      </c>
      <c r="G273" s="78" t="s">
        <v>1514</v>
      </c>
    </row>
    <row r="274" spans="1:7" x14ac:dyDescent="0.25">
      <c r="A274" s="5" t="s">
        <v>1512</v>
      </c>
      <c r="B274" s="78">
        <f t="shared" si="4"/>
        <v>131.101</v>
      </c>
      <c r="C274" s="78" t="s">
        <v>1222</v>
      </c>
      <c r="D274" s="7" t="s">
        <v>359</v>
      </c>
      <c r="E274" s="80" t="s">
        <v>1205</v>
      </c>
      <c r="F274" s="78">
        <v>131101</v>
      </c>
      <c r="G274" s="78" t="s">
        <v>1514</v>
      </c>
    </row>
    <row r="275" spans="1:7" x14ac:dyDescent="0.25">
      <c r="A275" s="5" t="s">
        <v>1512</v>
      </c>
      <c r="B275" s="78">
        <f t="shared" si="4"/>
        <v>131.58099999999999</v>
      </c>
      <c r="C275" s="78" t="s">
        <v>1223</v>
      </c>
      <c r="D275" s="7" t="s">
        <v>357</v>
      </c>
      <c r="E275" s="80" t="s">
        <v>1205</v>
      </c>
      <c r="F275" s="78">
        <v>131581</v>
      </c>
      <c r="G275" s="78" t="s">
        <v>1514</v>
      </c>
    </row>
    <row r="276" spans="1:7" x14ac:dyDescent="0.25">
      <c r="A276" s="5" t="s">
        <v>1512</v>
      </c>
      <c r="B276" s="78">
        <f t="shared" si="4"/>
        <v>132.05699999999999</v>
      </c>
      <c r="C276" s="78" t="s">
        <v>1224</v>
      </c>
      <c r="D276" s="7" t="s">
        <v>355</v>
      </c>
      <c r="E276" s="80" t="s">
        <v>1205</v>
      </c>
      <c r="F276" s="78">
        <v>132057</v>
      </c>
      <c r="G276" s="78" t="s">
        <v>1514</v>
      </c>
    </row>
    <row r="277" spans="1:7" x14ac:dyDescent="0.25">
      <c r="A277" s="5" t="s">
        <v>1512</v>
      </c>
      <c r="B277" s="78">
        <f t="shared" si="4"/>
        <v>132.42099999999999</v>
      </c>
      <c r="C277" s="78" t="s">
        <v>1225</v>
      </c>
      <c r="D277" s="7" t="s">
        <v>353</v>
      </c>
      <c r="E277" s="80" t="s">
        <v>1205</v>
      </c>
      <c r="F277" s="78">
        <v>132421</v>
      </c>
      <c r="G277" s="78" t="s">
        <v>1514</v>
      </c>
    </row>
    <row r="278" spans="1:7" x14ac:dyDescent="0.25">
      <c r="A278" s="5" t="s">
        <v>1512</v>
      </c>
      <c r="B278" s="78">
        <f t="shared" si="4"/>
        <v>132.91800000000001</v>
      </c>
      <c r="C278" s="78" t="s">
        <v>1226</v>
      </c>
      <c r="D278" s="7" t="s">
        <v>351</v>
      </c>
      <c r="E278" s="80" t="s">
        <v>1205</v>
      </c>
      <c r="F278" s="78">
        <v>132918</v>
      </c>
      <c r="G278" s="78" t="s">
        <v>1514</v>
      </c>
    </row>
    <row r="279" spans="1:7" x14ac:dyDescent="0.25">
      <c r="A279" s="5" t="s">
        <v>1512</v>
      </c>
      <c r="B279" s="78">
        <f t="shared" si="4"/>
        <v>133.35300000000001</v>
      </c>
      <c r="C279" s="78" t="s">
        <v>1227</v>
      </c>
      <c r="D279" s="7" t="s">
        <v>349</v>
      </c>
      <c r="E279" s="80" t="s">
        <v>1205</v>
      </c>
      <c r="F279" s="78">
        <v>133353</v>
      </c>
      <c r="G279" s="78" t="s">
        <v>1514</v>
      </c>
    </row>
    <row r="280" spans="1:7" x14ac:dyDescent="0.25">
      <c r="A280" s="5" t="s">
        <v>1512</v>
      </c>
      <c r="B280" s="78">
        <f t="shared" si="4"/>
        <v>133.82499999999999</v>
      </c>
      <c r="C280" s="78" t="s">
        <v>1228</v>
      </c>
      <c r="D280" s="7" t="s">
        <v>347</v>
      </c>
      <c r="E280" s="80" t="s">
        <v>1205</v>
      </c>
      <c r="F280" s="78">
        <v>133825</v>
      </c>
      <c r="G280" s="78" t="s">
        <v>1514</v>
      </c>
    </row>
    <row r="281" spans="1:7" x14ac:dyDescent="0.25">
      <c r="A281" s="5" t="s">
        <v>1512</v>
      </c>
      <c r="B281" s="78">
        <f t="shared" si="4"/>
        <v>134.33500000000001</v>
      </c>
      <c r="C281" s="78" t="s">
        <v>1229</v>
      </c>
      <c r="D281" s="7" t="s">
        <v>345</v>
      </c>
      <c r="E281" s="80" t="s">
        <v>1205</v>
      </c>
      <c r="F281" s="78">
        <v>134335</v>
      </c>
      <c r="G281" s="78" t="s">
        <v>1514</v>
      </c>
    </row>
    <row r="282" spans="1:7" x14ac:dyDescent="0.25">
      <c r="A282" s="5" t="s">
        <v>1512</v>
      </c>
      <c r="B282" s="78">
        <f t="shared" si="4"/>
        <v>134.822</v>
      </c>
      <c r="C282" s="78" t="s">
        <v>1230</v>
      </c>
      <c r="D282" s="7" t="s">
        <v>343</v>
      </c>
      <c r="E282" s="80" t="s">
        <v>1205</v>
      </c>
      <c r="F282" s="78">
        <v>134822</v>
      </c>
      <c r="G282" s="78" t="s">
        <v>1514</v>
      </c>
    </row>
    <row r="283" spans="1:7" x14ac:dyDescent="0.25">
      <c r="A283" s="5" t="s">
        <v>1512</v>
      </c>
      <c r="B283" s="78">
        <f t="shared" si="4"/>
        <v>135.27699999999999</v>
      </c>
      <c r="C283" s="78" t="s">
        <v>1231</v>
      </c>
      <c r="D283" s="7" t="s">
        <v>341</v>
      </c>
      <c r="E283" s="80" t="s">
        <v>1205</v>
      </c>
      <c r="F283" s="78">
        <v>135277</v>
      </c>
      <c r="G283" s="78" t="s">
        <v>1514</v>
      </c>
    </row>
    <row r="284" spans="1:7" x14ac:dyDescent="0.25">
      <c r="A284" s="5" t="s">
        <v>1512</v>
      </c>
      <c r="B284" s="78">
        <f t="shared" si="4"/>
        <v>135.72550000000001</v>
      </c>
      <c r="C284" s="78" t="s">
        <v>1232</v>
      </c>
      <c r="D284" s="7" t="s">
        <v>339</v>
      </c>
      <c r="E284" s="80" t="s">
        <v>1206</v>
      </c>
      <c r="F284" s="78">
        <v>135725.5</v>
      </c>
      <c r="G284" s="78" t="s">
        <v>1518</v>
      </c>
    </row>
    <row r="285" spans="1:7" x14ac:dyDescent="0.25">
      <c r="A285" s="5" t="s">
        <v>1512</v>
      </c>
      <c r="B285" s="78">
        <f t="shared" si="4"/>
        <v>136.22399999999999</v>
      </c>
      <c r="C285" s="78" t="s">
        <v>1233</v>
      </c>
      <c r="D285" s="7" t="s">
        <v>337</v>
      </c>
      <c r="E285" s="80" t="s">
        <v>1207</v>
      </c>
      <c r="F285" s="78">
        <v>136224</v>
      </c>
      <c r="G285" s="78" t="s">
        <v>1514</v>
      </c>
    </row>
    <row r="286" spans="1:7" x14ac:dyDescent="0.25">
      <c r="A286" s="5" t="s">
        <v>1512</v>
      </c>
      <c r="B286" s="78">
        <f t="shared" si="4"/>
        <v>136.714</v>
      </c>
      <c r="C286" s="78" t="s">
        <v>1234</v>
      </c>
      <c r="D286" s="7" t="s">
        <v>335</v>
      </c>
      <c r="E286" s="80" t="s">
        <v>1207</v>
      </c>
      <c r="F286" s="78">
        <v>136714</v>
      </c>
      <c r="G286" s="78" t="s">
        <v>1514</v>
      </c>
    </row>
    <row r="287" spans="1:7" x14ac:dyDescent="0.25">
      <c r="A287" s="5" t="s">
        <v>1512</v>
      </c>
      <c r="B287" s="78">
        <f t="shared" si="4"/>
        <v>137.179</v>
      </c>
      <c r="C287" s="78" t="s">
        <v>1235</v>
      </c>
      <c r="D287" s="7" t="s">
        <v>333</v>
      </c>
      <c r="E287" s="80" t="s">
        <v>1207</v>
      </c>
      <c r="F287" s="78">
        <v>137179</v>
      </c>
      <c r="G287" s="78" t="s">
        <v>1514</v>
      </c>
    </row>
    <row r="288" spans="1:7" x14ac:dyDescent="0.25">
      <c r="A288" s="5" t="s">
        <v>1512</v>
      </c>
      <c r="B288" s="78">
        <f t="shared" si="4"/>
        <v>137.63900000000001</v>
      </c>
      <c r="C288" s="78" t="s">
        <v>1236</v>
      </c>
      <c r="D288" s="7" t="s">
        <v>331</v>
      </c>
      <c r="E288" s="80" t="s">
        <v>1207</v>
      </c>
      <c r="F288" s="78">
        <v>137639</v>
      </c>
      <c r="G288" s="78" t="s">
        <v>1514</v>
      </c>
    </row>
    <row r="289" spans="1:7" x14ac:dyDescent="0.25">
      <c r="A289" s="5" t="s">
        <v>1512</v>
      </c>
      <c r="B289" s="78">
        <f t="shared" si="4"/>
        <v>138.10400000000001</v>
      </c>
      <c r="C289" s="78" t="s">
        <v>1237</v>
      </c>
      <c r="D289" s="7" t="s">
        <v>329</v>
      </c>
      <c r="E289" s="80" t="s">
        <v>1207</v>
      </c>
      <c r="F289" s="78">
        <v>138104</v>
      </c>
      <c r="G289" s="78" t="s">
        <v>1514</v>
      </c>
    </row>
    <row r="290" spans="1:7" x14ac:dyDescent="0.25">
      <c r="A290" s="5" t="s">
        <v>1512</v>
      </c>
      <c r="B290" s="78">
        <f t="shared" si="4"/>
        <v>138.62700000000001</v>
      </c>
      <c r="C290" s="78" t="s">
        <v>1238</v>
      </c>
      <c r="D290" s="7" t="s">
        <v>327</v>
      </c>
      <c r="E290" s="80" t="s">
        <v>1207</v>
      </c>
      <c r="F290" s="78">
        <v>138627</v>
      </c>
      <c r="G290" s="78" t="s">
        <v>1514</v>
      </c>
    </row>
    <row r="291" spans="1:7" x14ac:dyDescent="0.25">
      <c r="A291" s="5" t="s">
        <v>1512</v>
      </c>
      <c r="B291" s="78">
        <f t="shared" si="4"/>
        <v>139.077</v>
      </c>
      <c r="C291" s="78" t="s">
        <v>1239</v>
      </c>
      <c r="D291" s="7" t="s">
        <v>325</v>
      </c>
      <c r="E291" s="80" t="s">
        <v>1207</v>
      </c>
      <c r="F291" s="78">
        <v>139077</v>
      </c>
      <c r="G291" s="78" t="s">
        <v>1514</v>
      </c>
    </row>
    <row r="292" spans="1:7" x14ac:dyDescent="0.25">
      <c r="A292" s="5" t="s">
        <v>1512</v>
      </c>
      <c r="B292" s="78">
        <f t="shared" si="4"/>
        <v>139.542</v>
      </c>
      <c r="C292" s="78" t="s">
        <v>1240</v>
      </c>
      <c r="D292" s="7" t="s">
        <v>323</v>
      </c>
      <c r="E292" s="80" t="s">
        <v>1207</v>
      </c>
      <c r="F292" s="78">
        <v>139542</v>
      </c>
      <c r="G292" s="78" t="s">
        <v>1514</v>
      </c>
    </row>
    <row r="293" spans="1:7" x14ac:dyDescent="0.25">
      <c r="A293" s="5" t="s">
        <v>1512</v>
      </c>
      <c r="B293" s="78">
        <f t="shared" si="4"/>
        <v>139.952</v>
      </c>
      <c r="C293" s="78" t="s">
        <v>1241</v>
      </c>
      <c r="D293" s="7" t="s">
        <v>321</v>
      </c>
      <c r="E293" s="80" t="s">
        <v>1207</v>
      </c>
      <c r="F293" s="78">
        <v>139952</v>
      </c>
      <c r="G293" s="78" t="s">
        <v>1514</v>
      </c>
    </row>
    <row r="294" spans="1:7" x14ac:dyDescent="0.25">
      <c r="A294" s="5" t="s">
        <v>1512</v>
      </c>
      <c r="B294" s="78">
        <f t="shared" si="4"/>
        <v>140.52000000000001</v>
      </c>
      <c r="C294" s="78" t="s">
        <v>1242</v>
      </c>
      <c r="D294" s="7" t="s">
        <v>319</v>
      </c>
      <c r="E294" s="80" t="s">
        <v>1207</v>
      </c>
      <c r="F294" s="78">
        <v>140520</v>
      </c>
      <c r="G294" s="78" t="s">
        <v>1514</v>
      </c>
    </row>
    <row r="295" spans="1:7" x14ac:dyDescent="0.25">
      <c r="A295" s="5" t="s">
        <v>1512</v>
      </c>
      <c r="B295" s="78">
        <f t="shared" si="4"/>
        <v>140.94999999999999</v>
      </c>
      <c r="C295" s="78" t="s">
        <v>1243</v>
      </c>
      <c r="D295" s="7" t="s">
        <v>317</v>
      </c>
      <c r="E295" s="80" t="s">
        <v>1207</v>
      </c>
      <c r="F295" s="78">
        <v>140950</v>
      </c>
      <c r="G295" s="78" t="s">
        <v>1514</v>
      </c>
    </row>
    <row r="296" spans="1:7" x14ac:dyDescent="0.25">
      <c r="A296" s="5" t="s">
        <v>1512</v>
      </c>
      <c r="B296" s="78">
        <f t="shared" si="4"/>
        <v>141.435</v>
      </c>
      <c r="C296" s="78" t="s">
        <v>1244</v>
      </c>
      <c r="D296" s="7" t="s">
        <v>315</v>
      </c>
      <c r="E296" s="80" t="s">
        <v>1207</v>
      </c>
      <c r="F296" s="78">
        <v>141435</v>
      </c>
      <c r="G296" s="78" t="s">
        <v>1514</v>
      </c>
    </row>
    <row r="297" spans="1:7" x14ac:dyDescent="0.25">
      <c r="A297" s="5" t="s">
        <v>1512</v>
      </c>
      <c r="B297" s="78">
        <f t="shared" si="4"/>
        <v>141.94800000000001</v>
      </c>
      <c r="C297" s="78" t="s">
        <v>1245</v>
      </c>
      <c r="D297" s="7" t="s">
        <v>313</v>
      </c>
      <c r="E297" s="80" t="s">
        <v>1207</v>
      </c>
      <c r="F297" s="78">
        <v>141948</v>
      </c>
      <c r="G297" s="78" t="s">
        <v>1514</v>
      </c>
    </row>
    <row r="298" spans="1:7" x14ac:dyDescent="0.25">
      <c r="A298" s="5" t="s">
        <v>1512</v>
      </c>
      <c r="B298" s="78">
        <f t="shared" si="4"/>
        <v>142.43299999999999</v>
      </c>
      <c r="C298" s="78" t="s">
        <v>1246</v>
      </c>
      <c r="D298" s="7" t="s">
        <v>311</v>
      </c>
      <c r="E298" s="80" t="s">
        <v>1207</v>
      </c>
      <c r="F298" s="78">
        <v>142433</v>
      </c>
      <c r="G298" s="78" t="s">
        <v>1514</v>
      </c>
    </row>
    <row r="299" spans="1:7" x14ac:dyDescent="0.25">
      <c r="A299" s="5" t="s">
        <v>1512</v>
      </c>
      <c r="B299" s="78">
        <f t="shared" si="4"/>
        <v>142.94300000000001</v>
      </c>
      <c r="C299" s="78" t="s">
        <v>1247</v>
      </c>
      <c r="D299" s="7" t="s">
        <v>309</v>
      </c>
      <c r="E299" s="80" t="s">
        <v>1207</v>
      </c>
      <c r="F299" s="78">
        <v>142943</v>
      </c>
      <c r="G299" s="78" t="s">
        <v>1514</v>
      </c>
    </row>
    <row r="300" spans="1:7" x14ac:dyDescent="0.25">
      <c r="A300" s="5" t="s">
        <v>1512</v>
      </c>
      <c r="B300" s="78">
        <f t="shared" si="4"/>
        <v>143.43</v>
      </c>
      <c r="C300" s="78" t="s">
        <v>1248</v>
      </c>
      <c r="D300" s="7" t="s">
        <v>307</v>
      </c>
      <c r="E300" s="80" t="s">
        <v>1207</v>
      </c>
      <c r="F300" s="78">
        <v>143430</v>
      </c>
      <c r="G300" s="78" t="s">
        <v>1517</v>
      </c>
    </row>
    <row r="301" spans="1:7" x14ac:dyDescent="0.25">
      <c r="A301" s="5" t="s">
        <v>1512</v>
      </c>
      <c r="B301" s="78">
        <f t="shared" si="4"/>
        <v>143.88499999999999</v>
      </c>
      <c r="C301" s="78" t="s">
        <v>1249</v>
      </c>
      <c r="D301" s="7" t="s">
        <v>305</v>
      </c>
      <c r="E301" s="80" t="s">
        <v>1207</v>
      </c>
      <c r="F301" s="78">
        <v>143885</v>
      </c>
      <c r="G301" s="78" t="s">
        <v>1514</v>
      </c>
    </row>
    <row r="302" spans="1:7" x14ac:dyDescent="0.25">
      <c r="A302" s="5" t="s">
        <v>1512</v>
      </c>
      <c r="B302" s="78">
        <f t="shared" si="4"/>
        <v>144.345</v>
      </c>
      <c r="C302" s="78" t="s">
        <v>1250</v>
      </c>
      <c r="D302" s="7" t="s">
        <v>303</v>
      </c>
      <c r="E302" s="80" t="s">
        <v>1207</v>
      </c>
      <c r="F302" s="78">
        <v>144345</v>
      </c>
      <c r="G302" s="78" t="s">
        <v>1514</v>
      </c>
    </row>
    <row r="303" spans="1:7" x14ac:dyDescent="0.25">
      <c r="A303" s="5" t="s">
        <v>1512</v>
      </c>
      <c r="B303" s="78">
        <f t="shared" si="4"/>
        <v>144.78899999999999</v>
      </c>
      <c r="C303" s="78" t="s">
        <v>1251</v>
      </c>
      <c r="D303" s="7" t="s">
        <v>301</v>
      </c>
      <c r="E303" s="80" t="s">
        <v>1207</v>
      </c>
      <c r="F303" s="78">
        <v>144789</v>
      </c>
      <c r="G303" s="78" t="s">
        <v>1514</v>
      </c>
    </row>
    <row r="304" spans="1:7" x14ac:dyDescent="0.25">
      <c r="A304" s="5" t="s">
        <v>1512</v>
      </c>
      <c r="B304" s="78">
        <f t="shared" si="4"/>
        <v>145.23400000000001</v>
      </c>
      <c r="C304" s="78" t="s">
        <v>1252</v>
      </c>
      <c r="D304" s="7" t="s">
        <v>299</v>
      </c>
      <c r="E304" s="80" t="s">
        <v>1207</v>
      </c>
      <c r="F304" s="78">
        <v>145234</v>
      </c>
      <c r="G304" s="78" t="s">
        <v>1514</v>
      </c>
    </row>
    <row r="305" spans="1:7" x14ac:dyDescent="0.25">
      <c r="A305" s="5" t="s">
        <v>1512</v>
      </c>
      <c r="B305" s="78">
        <f t="shared" si="4"/>
        <v>145.714</v>
      </c>
      <c r="C305" s="78" t="s">
        <v>1253</v>
      </c>
      <c r="D305" s="7" t="s">
        <v>297</v>
      </c>
      <c r="E305" s="80" t="s">
        <v>1207</v>
      </c>
      <c r="F305" s="78">
        <v>145714</v>
      </c>
      <c r="G305" s="78" t="s">
        <v>1514</v>
      </c>
    </row>
    <row r="306" spans="1:7" x14ac:dyDescent="0.25">
      <c r="A306" s="5" t="s">
        <v>1512</v>
      </c>
      <c r="B306" s="78">
        <f t="shared" si="4"/>
        <v>146.15648000000002</v>
      </c>
      <c r="C306" s="78" t="s">
        <v>1254</v>
      </c>
      <c r="D306" s="7" t="s">
        <v>295</v>
      </c>
      <c r="E306" s="80" t="s">
        <v>1207</v>
      </c>
      <c r="F306" s="78">
        <v>146156.48000000001</v>
      </c>
      <c r="G306" s="78" t="s">
        <v>1515</v>
      </c>
    </row>
    <row r="307" spans="1:7" x14ac:dyDescent="0.25">
      <c r="A307" s="5" t="s">
        <v>1512</v>
      </c>
      <c r="B307" s="78">
        <f t="shared" si="4"/>
        <v>146.58760000000001</v>
      </c>
      <c r="C307" s="78" t="s">
        <v>1255</v>
      </c>
      <c r="D307" s="7" t="s">
        <v>293</v>
      </c>
      <c r="E307" s="80" t="s">
        <v>1207</v>
      </c>
      <c r="F307" s="78">
        <v>146587.6</v>
      </c>
      <c r="G307" s="78" t="s">
        <v>1516</v>
      </c>
    </row>
    <row r="308" spans="1:7" x14ac:dyDescent="0.25">
      <c r="A308" s="5" t="s">
        <v>1512</v>
      </c>
      <c r="B308" s="78">
        <f t="shared" si="4"/>
        <v>146.99700000000001</v>
      </c>
      <c r="C308" s="78" t="s">
        <v>1256</v>
      </c>
      <c r="D308" s="7" t="s">
        <v>291</v>
      </c>
      <c r="E308" s="80" t="s">
        <v>1207</v>
      </c>
      <c r="F308" s="78">
        <v>146997</v>
      </c>
      <c r="G308" s="78" t="s">
        <v>1517</v>
      </c>
    </row>
    <row r="309" spans="1:7" x14ac:dyDescent="0.25">
      <c r="A309" s="5" t="s">
        <v>1512</v>
      </c>
      <c r="B309" s="78">
        <f t="shared" si="4"/>
        <v>147.512</v>
      </c>
      <c r="C309" s="78" t="s">
        <v>1257</v>
      </c>
      <c r="D309" s="7" t="s">
        <v>289</v>
      </c>
      <c r="E309" s="80" t="s">
        <v>1207</v>
      </c>
      <c r="F309" s="78">
        <v>147512</v>
      </c>
      <c r="G309" s="78" t="s">
        <v>1514</v>
      </c>
    </row>
    <row r="310" spans="1:7" x14ac:dyDescent="0.25">
      <c r="A310" s="5" t="s">
        <v>1512</v>
      </c>
      <c r="B310" s="78">
        <f t="shared" si="4"/>
        <v>147.989</v>
      </c>
      <c r="C310" s="78" t="s">
        <v>1258</v>
      </c>
      <c r="D310" s="7" t="s">
        <v>287</v>
      </c>
      <c r="E310" s="80" t="s">
        <v>1207</v>
      </c>
      <c r="F310" s="78">
        <v>147989</v>
      </c>
      <c r="G310" s="78" t="s">
        <v>1514</v>
      </c>
    </row>
    <row r="311" spans="1:7" x14ac:dyDescent="0.25">
      <c r="A311" s="5" t="s">
        <v>1512</v>
      </c>
      <c r="B311" s="78">
        <f t="shared" si="4"/>
        <v>148.49299999999999</v>
      </c>
      <c r="C311" s="78" t="s">
        <v>1259</v>
      </c>
      <c r="D311" s="7" t="s">
        <v>285</v>
      </c>
      <c r="E311" s="80" t="s">
        <v>1207</v>
      </c>
      <c r="F311" s="78">
        <v>148493</v>
      </c>
      <c r="G311" s="78" t="s">
        <v>1514</v>
      </c>
    </row>
    <row r="312" spans="1:7" x14ac:dyDescent="0.25">
      <c r="A312" s="5" t="s">
        <v>1512</v>
      </c>
      <c r="B312" s="78">
        <f t="shared" si="4"/>
        <v>148.988</v>
      </c>
      <c r="C312" s="78" t="s">
        <v>1260</v>
      </c>
      <c r="D312" s="7" t="s">
        <v>283</v>
      </c>
      <c r="E312" s="80" t="s">
        <v>1207</v>
      </c>
      <c r="F312" s="78">
        <v>148988</v>
      </c>
      <c r="G312" s="78" t="s">
        <v>1514</v>
      </c>
    </row>
    <row r="313" spans="1:7" x14ac:dyDescent="0.25">
      <c r="A313" s="5" t="s">
        <v>1512</v>
      </c>
      <c r="B313" s="78">
        <f t="shared" si="4"/>
        <v>149.483</v>
      </c>
      <c r="C313" s="78" t="s">
        <v>1261</v>
      </c>
      <c r="D313" s="7" t="s">
        <v>281</v>
      </c>
      <c r="E313" s="80" t="s">
        <v>1207</v>
      </c>
      <c r="F313" s="78">
        <v>149483</v>
      </c>
      <c r="G313" s="78" t="s">
        <v>1514</v>
      </c>
    </row>
    <row r="314" spans="1:7" x14ac:dyDescent="0.25">
      <c r="A314" s="5" t="s">
        <v>1512</v>
      </c>
      <c r="B314" s="78">
        <f t="shared" si="4"/>
        <v>149.983</v>
      </c>
      <c r="C314" s="78" t="s">
        <v>1262</v>
      </c>
      <c r="D314" s="7" t="s">
        <v>279</v>
      </c>
      <c r="E314" s="80" t="s">
        <v>1207</v>
      </c>
      <c r="F314" s="78">
        <v>149983</v>
      </c>
      <c r="G314" s="78" t="s">
        <v>1514</v>
      </c>
    </row>
    <row r="315" spans="1:7" x14ac:dyDescent="0.25">
      <c r="A315" s="5" t="s">
        <v>1512</v>
      </c>
      <c r="B315" s="78">
        <f t="shared" si="4"/>
        <v>150.482</v>
      </c>
      <c r="C315" s="78" t="s">
        <v>1263</v>
      </c>
      <c r="D315" s="7" t="s">
        <v>277</v>
      </c>
      <c r="E315" s="80" t="s">
        <v>1207</v>
      </c>
      <c r="F315" s="78">
        <v>150482</v>
      </c>
      <c r="G315" s="78" t="s">
        <v>1514</v>
      </c>
    </row>
    <row r="316" spans="1:7" x14ac:dyDescent="0.25">
      <c r="A316" s="5" t="s">
        <v>1512</v>
      </c>
      <c r="B316" s="78">
        <f t="shared" si="4"/>
        <v>150.97900000000001</v>
      </c>
      <c r="C316" s="78" t="s">
        <v>1264</v>
      </c>
      <c r="D316" s="7" t="s">
        <v>275</v>
      </c>
      <c r="E316" s="80" t="s">
        <v>1207</v>
      </c>
      <c r="F316" s="78">
        <v>150979</v>
      </c>
      <c r="G316" s="78" t="s">
        <v>1514</v>
      </c>
    </row>
    <row r="317" spans="1:7" x14ac:dyDescent="0.25">
      <c r="A317" s="5" t="s">
        <v>1512</v>
      </c>
      <c r="B317" s="78">
        <f t="shared" si="4"/>
        <v>151.47800000000001</v>
      </c>
      <c r="C317" s="78" t="s">
        <v>1265</v>
      </c>
      <c r="D317" s="7" t="s">
        <v>273</v>
      </c>
      <c r="E317" s="80" t="s">
        <v>1207</v>
      </c>
      <c r="F317" s="78">
        <v>151478</v>
      </c>
      <c r="G317" s="78" t="s">
        <v>1514</v>
      </c>
    </row>
    <row r="318" spans="1:7" x14ac:dyDescent="0.25">
      <c r="A318" s="5" t="s">
        <v>1512</v>
      </c>
      <c r="B318" s="78">
        <f t="shared" si="4"/>
        <v>151.91699</v>
      </c>
      <c r="C318" s="78" t="s">
        <v>1266</v>
      </c>
      <c r="D318" s="7" t="s">
        <v>271</v>
      </c>
      <c r="E318" s="80" t="s">
        <v>1207</v>
      </c>
      <c r="F318" s="78">
        <v>151916.99</v>
      </c>
      <c r="G318" s="78" t="s">
        <v>1513</v>
      </c>
    </row>
    <row r="319" spans="1:7" x14ac:dyDescent="0.25">
      <c r="A319" s="5" t="s">
        <v>1512</v>
      </c>
      <c r="B319" s="78">
        <f t="shared" si="4"/>
        <v>152.392</v>
      </c>
      <c r="C319" s="78" t="s">
        <v>1267</v>
      </c>
      <c r="D319" s="7" t="s">
        <v>270</v>
      </c>
      <c r="E319" s="80" t="s">
        <v>1207</v>
      </c>
      <c r="F319" s="78">
        <v>152392</v>
      </c>
      <c r="G319" s="78" t="s">
        <v>1514</v>
      </c>
    </row>
    <row r="320" spans="1:7" x14ac:dyDescent="0.25">
      <c r="A320" s="5" t="s">
        <v>1512</v>
      </c>
      <c r="B320" s="78">
        <f t="shared" si="4"/>
        <v>152.88499999999999</v>
      </c>
      <c r="C320" s="78" t="s">
        <v>1268</v>
      </c>
      <c r="D320" s="7" t="s">
        <v>269</v>
      </c>
      <c r="E320" s="80" t="s">
        <v>1207</v>
      </c>
      <c r="F320" s="78">
        <v>152885</v>
      </c>
      <c r="G320" s="78" t="s">
        <v>1514</v>
      </c>
    </row>
    <row r="321" spans="1:7" x14ac:dyDescent="0.25">
      <c r="A321" s="5" t="s">
        <v>1512</v>
      </c>
      <c r="B321" s="78">
        <f t="shared" si="4"/>
        <v>153.38999999999999</v>
      </c>
      <c r="C321" s="78" t="s">
        <v>1269</v>
      </c>
      <c r="D321" s="7" t="s">
        <v>268</v>
      </c>
      <c r="E321" s="80" t="s">
        <v>1207</v>
      </c>
      <c r="F321" s="78">
        <v>153390</v>
      </c>
      <c r="G321" s="78" t="s">
        <v>1514</v>
      </c>
    </row>
    <row r="322" spans="1:7" x14ac:dyDescent="0.25">
      <c r="A322" s="5" t="s">
        <v>1512</v>
      </c>
      <c r="B322" s="78">
        <f t="shared" si="4"/>
        <v>153.83000000000001</v>
      </c>
      <c r="C322" s="78" t="s">
        <v>1270</v>
      </c>
      <c r="D322" s="7" t="s">
        <v>267</v>
      </c>
      <c r="E322" s="80" t="s">
        <v>1207</v>
      </c>
      <c r="F322" s="78">
        <v>153830</v>
      </c>
      <c r="G322" s="78" t="s">
        <v>1514</v>
      </c>
    </row>
    <row r="323" spans="1:7" x14ac:dyDescent="0.25">
      <c r="A323" s="5" t="s">
        <v>1512</v>
      </c>
      <c r="B323" s="78">
        <f t="shared" ref="B323:B386" si="5">F323/1000</f>
        <v>154.268</v>
      </c>
      <c r="C323" s="78" t="s">
        <v>1271</v>
      </c>
      <c r="D323" s="7" t="s">
        <v>266</v>
      </c>
      <c r="E323" s="80" t="s">
        <v>1207</v>
      </c>
      <c r="F323" s="78">
        <v>154268</v>
      </c>
      <c r="G323" s="78" t="s">
        <v>1514</v>
      </c>
    </row>
    <row r="324" spans="1:7" x14ac:dyDescent="0.25">
      <c r="A324" s="5" t="s">
        <v>1512</v>
      </c>
      <c r="B324" s="78">
        <f t="shared" si="5"/>
        <v>154.756</v>
      </c>
      <c r="C324" s="78" t="s">
        <v>1272</v>
      </c>
      <c r="D324" s="7" t="s">
        <v>265</v>
      </c>
      <c r="E324" s="80" t="s">
        <v>1207</v>
      </c>
      <c r="F324" s="78">
        <v>154756</v>
      </c>
      <c r="G324" s="78" t="s">
        <v>1514</v>
      </c>
    </row>
    <row r="325" spans="1:7" x14ac:dyDescent="0.25">
      <c r="A325" s="5" t="s">
        <v>1512</v>
      </c>
      <c r="B325" s="78">
        <f t="shared" si="5"/>
        <v>155.07065</v>
      </c>
      <c r="C325" s="78" t="s">
        <v>1273</v>
      </c>
      <c r="D325" s="7" t="s">
        <v>264</v>
      </c>
      <c r="E325" s="80" t="s">
        <v>1207</v>
      </c>
      <c r="F325" s="78">
        <v>155070.65</v>
      </c>
      <c r="G325" s="78" t="s">
        <v>1515</v>
      </c>
    </row>
    <row r="326" spans="1:7" x14ac:dyDescent="0.25">
      <c r="A326" s="5" t="s">
        <v>1512</v>
      </c>
      <c r="B326" s="78">
        <f t="shared" si="5"/>
        <v>155.42099999999999</v>
      </c>
      <c r="C326" s="78" t="s">
        <v>1274</v>
      </c>
      <c r="D326" s="7" t="s">
        <v>263</v>
      </c>
      <c r="E326" s="80" t="s">
        <v>1207</v>
      </c>
      <c r="F326" s="78">
        <v>155421</v>
      </c>
      <c r="G326" s="78" t="s">
        <v>1517</v>
      </c>
    </row>
    <row r="327" spans="1:7" x14ac:dyDescent="0.25">
      <c r="A327" s="5" t="s">
        <v>1512</v>
      </c>
      <c r="B327" s="78">
        <f t="shared" si="5"/>
        <v>155.76373000000001</v>
      </c>
      <c r="C327" s="78" t="s">
        <v>1275</v>
      </c>
      <c r="D327" s="7" t="s">
        <v>262</v>
      </c>
      <c r="E327" s="80" t="s">
        <v>1207</v>
      </c>
      <c r="F327" s="78">
        <v>155763.73000000001</v>
      </c>
      <c r="G327" s="78" t="s">
        <v>1514</v>
      </c>
    </row>
    <row r="328" spans="1:7" x14ac:dyDescent="0.25">
      <c r="A328" s="5" t="s">
        <v>1512</v>
      </c>
      <c r="B328" s="78">
        <f t="shared" si="5"/>
        <v>156.28100000000001</v>
      </c>
      <c r="C328" s="78" t="s">
        <v>1276</v>
      </c>
      <c r="D328" s="7" t="s">
        <v>261</v>
      </c>
      <c r="E328" s="80" t="s">
        <v>1207</v>
      </c>
      <c r="F328" s="78">
        <v>156281</v>
      </c>
      <c r="G328" s="78" t="s">
        <v>1514</v>
      </c>
    </row>
    <row r="329" spans="1:7" x14ac:dyDescent="0.25">
      <c r="A329" s="5" t="s">
        <v>1512</v>
      </c>
      <c r="B329" s="78">
        <f t="shared" si="5"/>
        <v>156.744</v>
      </c>
      <c r="C329" s="78" t="s">
        <v>1277</v>
      </c>
      <c r="D329" s="7" t="s">
        <v>260</v>
      </c>
      <c r="E329" s="80" t="s">
        <v>1207</v>
      </c>
      <c r="F329" s="78">
        <v>156744</v>
      </c>
      <c r="G329" s="78" t="s">
        <v>1514</v>
      </c>
    </row>
    <row r="330" spans="1:7" x14ac:dyDescent="0.25">
      <c r="A330" s="5" t="s">
        <v>1512</v>
      </c>
      <c r="B330" s="78">
        <f t="shared" si="5"/>
        <v>157.23254999999997</v>
      </c>
      <c r="C330" s="78" t="s">
        <v>1278</v>
      </c>
      <c r="D330" s="7" t="s">
        <v>259</v>
      </c>
      <c r="E330" s="80" t="s">
        <v>1207</v>
      </c>
      <c r="F330" s="78">
        <v>157232.54999999999</v>
      </c>
      <c r="G330" s="78" t="s">
        <v>1514</v>
      </c>
    </row>
    <row r="331" spans="1:7" x14ac:dyDescent="0.25">
      <c r="A331" s="5" t="s">
        <v>1512</v>
      </c>
      <c r="B331" s="78">
        <f t="shared" si="5"/>
        <v>157.71366</v>
      </c>
      <c r="C331" s="78" t="s">
        <v>1279</v>
      </c>
      <c r="D331" s="7" t="s">
        <v>258</v>
      </c>
      <c r="E331" s="80" t="s">
        <v>1207</v>
      </c>
      <c r="F331" s="78">
        <v>157713.66</v>
      </c>
      <c r="G331" s="78" t="s">
        <v>1516</v>
      </c>
    </row>
    <row r="332" spans="1:7" x14ac:dyDescent="0.25">
      <c r="A332" s="5" t="s">
        <v>1512</v>
      </c>
      <c r="B332" s="78">
        <f t="shared" si="5"/>
        <v>158.19201999999999</v>
      </c>
      <c r="C332" s="78" t="s">
        <v>1280</v>
      </c>
      <c r="D332" s="7" t="s">
        <v>257</v>
      </c>
      <c r="E332" s="80" t="s">
        <v>1207</v>
      </c>
      <c r="F332" s="78">
        <v>158192.01999999999</v>
      </c>
      <c r="G332" s="78" t="s">
        <v>1514</v>
      </c>
    </row>
    <row r="333" spans="1:7" x14ac:dyDescent="0.25">
      <c r="A333" s="5" t="s">
        <v>1512</v>
      </c>
      <c r="B333" s="78">
        <f t="shared" si="5"/>
        <v>158.672</v>
      </c>
      <c r="C333" s="78" t="s">
        <v>1281</v>
      </c>
      <c r="D333" s="7" t="s">
        <v>256</v>
      </c>
      <c r="E333" s="80" t="s">
        <v>1207</v>
      </c>
      <c r="F333" s="78">
        <v>158672</v>
      </c>
      <c r="G333" s="78" t="s">
        <v>1516</v>
      </c>
    </row>
    <row r="334" spans="1:7" x14ac:dyDescent="0.25">
      <c r="A334" s="5" t="s">
        <v>1512</v>
      </c>
      <c r="B334" s="78">
        <f t="shared" si="5"/>
        <v>159.18704</v>
      </c>
      <c r="C334" s="78" t="s">
        <v>1282</v>
      </c>
      <c r="D334" s="7" t="s">
        <v>255</v>
      </c>
      <c r="E334" s="80" t="s">
        <v>1207</v>
      </c>
      <c r="F334" s="78">
        <v>159187.04</v>
      </c>
      <c r="G334" s="78" t="s">
        <v>1516</v>
      </c>
    </row>
    <row r="335" spans="1:7" x14ac:dyDescent="0.25">
      <c r="A335" s="5" t="s">
        <v>1512</v>
      </c>
      <c r="B335" s="78">
        <f t="shared" si="5"/>
        <v>159.66707</v>
      </c>
      <c r="C335" s="78" t="s">
        <v>1283</v>
      </c>
      <c r="D335" s="7" t="s">
        <v>254</v>
      </c>
      <c r="E335" s="80" t="s">
        <v>1207</v>
      </c>
      <c r="F335" s="90">
        <v>159667.07</v>
      </c>
      <c r="G335" s="78" t="s">
        <v>1514</v>
      </c>
    </row>
    <row r="336" spans="1:7" x14ac:dyDescent="0.25">
      <c r="A336" s="5" t="s">
        <v>1512</v>
      </c>
      <c r="B336" s="78">
        <f t="shared" si="5"/>
        <v>160.12899999999999</v>
      </c>
      <c r="C336" s="78" t="s">
        <v>1284</v>
      </c>
      <c r="D336" s="7" t="s">
        <v>253</v>
      </c>
      <c r="E336" s="80" t="s">
        <v>1207</v>
      </c>
      <c r="F336" s="78">
        <v>160129</v>
      </c>
      <c r="G336" s="78" t="s">
        <v>1514</v>
      </c>
    </row>
    <row r="337" spans="1:7" x14ac:dyDescent="0.25">
      <c r="A337" s="5" t="s">
        <v>1512</v>
      </c>
      <c r="B337" s="78">
        <f t="shared" si="5"/>
        <v>160.61000000000001</v>
      </c>
      <c r="C337" s="78" t="s">
        <v>1285</v>
      </c>
      <c r="D337" s="7" t="s">
        <v>252</v>
      </c>
      <c r="E337" s="80" t="s">
        <v>1207</v>
      </c>
      <c r="F337" s="78">
        <v>160610</v>
      </c>
      <c r="G337" s="78" t="s">
        <v>1514</v>
      </c>
    </row>
    <row r="338" spans="1:7" x14ac:dyDescent="0.25">
      <c r="A338" s="5" t="s">
        <v>1512</v>
      </c>
      <c r="B338" s="78">
        <f t="shared" si="5"/>
        <v>161.114</v>
      </c>
      <c r="C338" s="78" t="s">
        <v>1286</v>
      </c>
      <c r="D338" s="7" t="s">
        <v>251</v>
      </c>
      <c r="E338" s="80" t="s">
        <v>1207</v>
      </c>
      <c r="F338" s="78">
        <v>161114</v>
      </c>
      <c r="G338" s="78" t="s">
        <v>1514</v>
      </c>
    </row>
    <row r="339" spans="1:7" x14ac:dyDescent="0.25">
      <c r="A339" s="5" t="s">
        <v>1512</v>
      </c>
      <c r="B339" s="78">
        <f t="shared" si="5"/>
        <v>161.56800000000001</v>
      </c>
      <c r="C339" s="78" t="s">
        <v>1287</v>
      </c>
      <c r="D339" s="7" t="s">
        <v>250</v>
      </c>
      <c r="E339" s="80" t="s">
        <v>1207</v>
      </c>
      <c r="F339" s="78">
        <v>161568</v>
      </c>
      <c r="G339" s="78" t="s">
        <v>1514</v>
      </c>
    </row>
    <row r="340" spans="1:7" x14ac:dyDescent="0.25">
      <c r="A340" s="5" t="s">
        <v>1512</v>
      </c>
      <c r="B340" s="78">
        <f t="shared" si="5"/>
        <v>162.035</v>
      </c>
      <c r="C340" s="78" t="s">
        <v>1288</v>
      </c>
      <c r="D340" s="7" t="s">
        <v>249</v>
      </c>
      <c r="E340" s="80" t="s">
        <v>1207</v>
      </c>
      <c r="F340" s="78">
        <v>162035</v>
      </c>
      <c r="G340" s="78" t="s">
        <v>1514</v>
      </c>
    </row>
    <row r="341" spans="1:7" x14ac:dyDescent="0.25">
      <c r="A341" s="5" t="s">
        <v>1512</v>
      </c>
      <c r="B341" s="78">
        <f t="shared" si="5"/>
        <v>162.49100000000001</v>
      </c>
      <c r="C341" s="78" t="s">
        <v>1289</v>
      </c>
      <c r="D341" s="7" t="s">
        <v>248</v>
      </c>
      <c r="E341" s="80" t="s">
        <v>1207</v>
      </c>
      <c r="F341" s="78">
        <v>162491</v>
      </c>
      <c r="G341" s="78" t="s">
        <v>1517</v>
      </c>
    </row>
    <row r="342" spans="1:7" x14ac:dyDescent="0.25">
      <c r="A342" s="5" t="s">
        <v>1512</v>
      </c>
      <c r="B342" s="78">
        <f t="shared" si="5"/>
        <v>162.64865</v>
      </c>
      <c r="C342" s="78" t="s">
        <v>1290</v>
      </c>
      <c r="D342" s="7" t="s">
        <v>247</v>
      </c>
      <c r="E342" s="80" t="s">
        <v>1207</v>
      </c>
      <c r="F342" s="78">
        <v>162648.65</v>
      </c>
      <c r="G342" s="78" t="s">
        <v>1517</v>
      </c>
    </row>
    <row r="343" spans="1:7" x14ac:dyDescent="0.25">
      <c r="A343" s="5" t="s">
        <v>1512</v>
      </c>
      <c r="B343" s="78">
        <f t="shared" si="5"/>
        <v>162.94900000000001</v>
      </c>
      <c r="C343" s="78" t="s">
        <v>1291</v>
      </c>
      <c r="D343" s="7" t="s">
        <v>246</v>
      </c>
      <c r="E343" s="80" t="s">
        <v>1207</v>
      </c>
      <c r="F343" s="78">
        <v>162949</v>
      </c>
      <c r="G343" s="78" t="s">
        <v>1517</v>
      </c>
    </row>
    <row r="344" spans="1:7" x14ac:dyDescent="0.25">
      <c r="A344" s="5" t="s">
        <v>1512</v>
      </c>
      <c r="B344" s="78">
        <f t="shared" si="5"/>
        <v>163.26</v>
      </c>
      <c r="C344" s="78" t="s">
        <v>1292</v>
      </c>
      <c r="D344" s="7" t="s">
        <v>245</v>
      </c>
      <c r="E344" s="80" t="s">
        <v>1207</v>
      </c>
      <c r="F344" s="78">
        <v>163260</v>
      </c>
      <c r="G344" s="78" t="s">
        <v>1514</v>
      </c>
    </row>
    <row r="345" spans="1:7" x14ac:dyDescent="0.25">
      <c r="A345" s="5" t="s">
        <v>1512</v>
      </c>
      <c r="B345" s="78">
        <f t="shared" si="5"/>
        <v>163.75469000000001</v>
      </c>
      <c r="C345" s="78" t="s">
        <v>1293</v>
      </c>
      <c r="D345" s="7" t="s">
        <v>244</v>
      </c>
      <c r="E345" s="80" t="s">
        <v>1207</v>
      </c>
      <c r="F345" s="78">
        <v>163754.69</v>
      </c>
      <c r="G345" s="78" t="s">
        <v>1516</v>
      </c>
    </row>
    <row r="346" spans="1:7" x14ac:dyDescent="0.25">
      <c r="A346" s="5" t="s">
        <v>1512</v>
      </c>
      <c r="B346" s="78">
        <f t="shared" si="5"/>
        <v>164.14986999999999</v>
      </c>
      <c r="C346" s="78" t="s">
        <v>1294</v>
      </c>
      <c r="D346" s="7" t="s">
        <v>243</v>
      </c>
      <c r="E346" s="80" t="s">
        <v>1207</v>
      </c>
      <c r="F346" s="78">
        <v>164149.87</v>
      </c>
      <c r="G346" s="78" t="s">
        <v>1515</v>
      </c>
    </row>
    <row r="347" spans="1:7" x14ac:dyDescent="0.25">
      <c r="A347" s="5" t="s">
        <v>1512</v>
      </c>
      <c r="B347" s="78">
        <f t="shared" si="5"/>
        <v>164.57499999999999</v>
      </c>
      <c r="C347" s="78" t="s">
        <v>1295</v>
      </c>
      <c r="D347" s="7" t="s">
        <v>242</v>
      </c>
      <c r="E347" s="80" t="s">
        <v>1207</v>
      </c>
      <c r="F347" s="78">
        <v>164575</v>
      </c>
      <c r="G347" s="78" t="s">
        <v>1514</v>
      </c>
    </row>
    <row r="348" spans="1:7" x14ac:dyDescent="0.25">
      <c r="A348" s="5" t="s">
        <v>1512</v>
      </c>
      <c r="B348" s="78">
        <f t="shared" si="5"/>
        <v>165.04</v>
      </c>
      <c r="C348" s="78" t="s">
        <v>1296</v>
      </c>
      <c r="D348" s="7" t="s">
        <v>241</v>
      </c>
      <c r="E348" s="80" t="s">
        <v>1207</v>
      </c>
      <c r="F348" s="78">
        <v>165040</v>
      </c>
      <c r="G348" s="78" t="s">
        <v>1514</v>
      </c>
    </row>
    <row r="349" spans="1:7" x14ac:dyDescent="0.25">
      <c r="A349" s="5" t="s">
        <v>1512</v>
      </c>
      <c r="B349" s="78">
        <f t="shared" si="5"/>
        <v>165.48699999999999</v>
      </c>
      <c r="C349" s="78" t="s">
        <v>1297</v>
      </c>
      <c r="D349" s="7" t="s">
        <v>240</v>
      </c>
      <c r="E349" s="80" t="s">
        <v>1207</v>
      </c>
      <c r="F349" s="78">
        <v>165487</v>
      </c>
      <c r="G349" s="78" t="s">
        <v>1514</v>
      </c>
    </row>
    <row r="350" spans="1:7" x14ac:dyDescent="0.25">
      <c r="A350" s="5" t="s">
        <v>1512</v>
      </c>
      <c r="B350" s="78">
        <f t="shared" si="5"/>
        <v>166.02199999999999</v>
      </c>
      <c r="C350" s="78" t="s">
        <v>1298</v>
      </c>
      <c r="D350" s="7" t="s">
        <v>239</v>
      </c>
      <c r="E350" s="80" t="s">
        <v>1207</v>
      </c>
      <c r="F350" s="78">
        <v>166022</v>
      </c>
      <c r="G350" s="78" t="s">
        <v>1514</v>
      </c>
    </row>
    <row r="351" spans="1:7" x14ac:dyDescent="0.25">
      <c r="A351" s="5" t="s">
        <v>1512</v>
      </c>
      <c r="B351" s="78">
        <f t="shared" si="5"/>
        <v>166.43248</v>
      </c>
      <c r="C351" s="78" t="s">
        <v>1299</v>
      </c>
      <c r="D351" s="7" t="s">
        <v>238</v>
      </c>
      <c r="E351" s="80" t="s">
        <v>1207</v>
      </c>
      <c r="F351" s="78">
        <v>166432.48000000001</v>
      </c>
      <c r="G351" s="78" t="s">
        <v>1514</v>
      </c>
    </row>
    <row r="352" spans="1:7" x14ac:dyDescent="0.25">
      <c r="A352" s="5" t="s">
        <v>1512</v>
      </c>
      <c r="B352" s="78">
        <f t="shared" si="5"/>
        <v>166.84399999999999</v>
      </c>
      <c r="C352" s="78" t="s">
        <v>1300</v>
      </c>
      <c r="D352" s="7" t="s">
        <v>237</v>
      </c>
      <c r="E352" s="80" t="s">
        <v>1207</v>
      </c>
      <c r="F352" s="78">
        <v>166844</v>
      </c>
      <c r="G352" s="78" t="s">
        <v>1514</v>
      </c>
    </row>
    <row r="353" spans="1:7" x14ac:dyDescent="0.25">
      <c r="A353" s="5" t="s">
        <v>1512</v>
      </c>
      <c r="B353" s="78">
        <f t="shared" si="5"/>
        <v>167.37899999999999</v>
      </c>
      <c r="C353" s="78" t="s">
        <v>1301</v>
      </c>
      <c r="D353" s="7" t="s">
        <v>236</v>
      </c>
      <c r="E353" s="80" t="s">
        <v>1207</v>
      </c>
      <c r="F353" s="78">
        <v>167379</v>
      </c>
      <c r="G353" s="78" t="s">
        <v>1514</v>
      </c>
    </row>
    <row r="354" spans="1:7" x14ac:dyDescent="0.25">
      <c r="A354" s="5" t="s">
        <v>1512</v>
      </c>
      <c r="B354" s="78">
        <f t="shared" si="5"/>
        <v>167.739</v>
      </c>
      <c r="C354" s="78" t="s">
        <v>1302</v>
      </c>
      <c r="D354" s="7" t="s">
        <v>235</v>
      </c>
      <c r="E354" s="80" t="s">
        <v>1207</v>
      </c>
      <c r="F354" s="78">
        <v>167739</v>
      </c>
      <c r="G354" s="78" t="s">
        <v>1514</v>
      </c>
    </row>
    <row r="355" spans="1:7" x14ac:dyDescent="0.25">
      <c r="A355" s="5" t="s">
        <v>1512</v>
      </c>
      <c r="B355" s="78">
        <f t="shared" si="5"/>
        <v>168.25299999999999</v>
      </c>
      <c r="C355" s="78" t="s">
        <v>1303</v>
      </c>
      <c r="D355" s="7" t="s">
        <v>234</v>
      </c>
      <c r="E355" s="80" t="s">
        <v>1207</v>
      </c>
      <c r="F355" s="78">
        <v>168253</v>
      </c>
      <c r="G355" s="78" t="s">
        <v>1514</v>
      </c>
    </row>
    <row r="356" spans="1:7" x14ac:dyDescent="0.25">
      <c r="A356" s="5" t="s">
        <v>1512</v>
      </c>
      <c r="B356" s="78">
        <f t="shared" si="5"/>
        <v>168.73699999999999</v>
      </c>
      <c r="C356" s="78" t="s">
        <v>1304</v>
      </c>
      <c r="D356" s="7" t="s">
        <v>233</v>
      </c>
      <c r="E356" s="80" t="s">
        <v>1207</v>
      </c>
      <c r="F356" s="78">
        <v>168737</v>
      </c>
      <c r="G356" s="78" t="s">
        <v>1514</v>
      </c>
    </row>
    <row r="357" spans="1:7" x14ac:dyDescent="0.25">
      <c r="A357" s="5" t="s">
        <v>1512</v>
      </c>
      <c r="B357" s="78">
        <f t="shared" si="5"/>
        <v>169.19200000000001</v>
      </c>
      <c r="C357" s="78" t="s">
        <v>1305</v>
      </c>
      <c r="D357" s="7" t="s">
        <v>232</v>
      </c>
      <c r="E357" s="80" t="s">
        <v>1207</v>
      </c>
      <c r="F357" s="78">
        <v>169192</v>
      </c>
      <c r="G357" s="78" t="s">
        <v>1514</v>
      </c>
    </row>
    <row r="358" spans="1:7" x14ac:dyDescent="0.25">
      <c r="A358" s="5" t="s">
        <v>1512</v>
      </c>
      <c r="B358" s="78">
        <f t="shared" si="5"/>
        <v>169.732</v>
      </c>
      <c r="C358" s="78" t="s">
        <v>1306</v>
      </c>
      <c r="D358" s="7" t="s">
        <v>231</v>
      </c>
      <c r="E358" s="80" t="s">
        <v>1207</v>
      </c>
      <c r="F358" s="78">
        <v>169732</v>
      </c>
      <c r="G358" s="78" t="s">
        <v>1514</v>
      </c>
    </row>
    <row r="359" spans="1:7" x14ac:dyDescent="0.25">
      <c r="A359" s="5" t="s">
        <v>1512</v>
      </c>
      <c r="B359" s="78">
        <f t="shared" si="5"/>
        <v>170.17022</v>
      </c>
      <c r="C359" s="78" t="s">
        <v>1307</v>
      </c>
      <c r="D359" s="7" t="s">
        <v>230</v>
      </c>
      <c r="E359" s="80" t="s">
        <v>1207</v>
      </c>
      <c r="F359" s="78">
        <v>170170.22</v>
      </c>
      <c r="G359" s="78" t="s">
        <v>1515</v>
      </c>
    </row>
    <row r="360" spans="1:7" x14ac:dyDescent="0.25">
      <c r="A360" s="5" t="s">
        <v>1512</v>
      </c>
      <c r="B360" s="78">
        <f t="shared" si="5"/>
        <v>170.57400000000001</v>
      </c>
      <c r="C360" s="78" t="s">
        <v>1308</v>
      </c>
      <c r="D360" s="7" t="s">
        <v>229</v>
      </c>
      <c r="E360" s="80" t="s">
        <v>1207</v>
      </c>
      <c r="F360" s="78">
        <v>170574</v>
      </c>
      <c r="G360" s="78" t="s">
        <v>1514</v>
      </c>
    </row>
    <row r="361" spans="1:7" x14ac:dyDescent="0.25">
      <c r="A361" s="5" t="s">
        <v>1512</v>
      </c>
      <c r="B361" s="78">
        <f t="shared" si="5"/>
        <v>171.01900000000001</v>
      </c>
      <c r="C361" s="78" t="s">
        <v>1309</v>
      </c>
      <c r="D361" s="7" t="s">
        <v>228</v>
      </c>
      <c r="E361" s="80" t="s">
        <v>1207</v>
      </c>
      <c r="F361" s="78">
        <v>171019</v>
      </c>
      <c r="G361" s="78" t="s">
        <v>1514</v>
      </c>
    </row>
    <row r="362" spans="1:7" x14ac:dyDescent="0.25">
      <c r="A362" s="5" t="s">
        <v>1512</v>
      </c>
      <c r="B362" s="78">
        <f t="shared" si="5"/>
        <v>171.459</v>
      </c>
      <c r="C362" s="78" t="s">
        <v>1310</v>
      </c>
      <c r="D362" s="7" t="s">
        <v>227</v>
      </c>
      <c r="E362" s="80" t="s">
        <v>1207</v>
      </c>
      <c r="F362" s="78">
        <v>171459</v>
      </c>
      <c r="G362" s="78" t="s">
        <v>1514</v>
      </c>
    </row>
    <row r="363" spans="1:7" x14ac:dyDescent="0.25">
      <c r="A363" s="5" t="s">
        <v>1512</v>
      </c>
      <c r="B363" s="78">
        <f t="shared" si="5"/>
        <v>172.01400000000001</v>
      </c>
      <c r="C363" s="78" t="s">
        <v>1311</v>
      </c>
      <c r="D363" s="7" t="s">
        <v>226</v>
      </c>
      <c r="E363" s="80" t="s">
        <v>1207</v>
      </c>
      <c r="F363" s="78">
        <v>172014</v>
      </c>
      <c r="G363" s="78" t="s">
        <v>1514</v>
      </c>
    </row>
    <row r="364" spans="1:7" x14ac:dyDescent="0.25">
      <c r="A364" s="5" t="s">
        <v>1512</v>
      </c>
      <c r="B364" s="78">
        <f t="shared" si="5"/>
        <v>172.45400000000001</v>
      </c>
      <c r="C364" s="78" t="s">
        <v>1312</v>
      </c>
      <c r="D364" s="7" t="s">
        <v>225</v>
      </c>
      <c r="E364" s="80" t="s">
        <v>1207</v>
      </c>
      <c r="F364" s="78">
        <v>172454</v>
      </c>
      <c r="G364" s="78" t="s">
        <v>1514</v>
      </c>
    </row>
    <row r="365" spans="1:7" x14ac:dyDescent="0.25">
      <c r="A365" s="5" t="s">
        <v>1512</v>
      </c>
      <c r="B365" s="78">
        <f t="shared" si="5"/>
        <v>172.91900000000001</v>
      </c>
      <c r="C365" s="78" t="s">
        <v>1313</v>
      </c>
      <c r="D365" s="7" t="s">
        <v>224</v>
      </c>
      <c r="E365" s="80" t="s">
        <v>1207</v>
      </c>
      <c r="F365" s="78">
        <v>172919</v>
      </c>
      <c r="G365" s="78" t="s">
        <v>1514</v>
      </c>
    </row>
    <row r="366" spans="1:7" x14ac:dyDescent="0.25">
      <c r="A366" s="5" t="s">
        <v>1512</v>
      </c>
      <c r="B366" s="78">
        <f t="shared" si="5"/>
        <v>173.38399999999999</v>
      </c>
      <c r="C366" s="78" t="s">
        <v>1314</v>
      </c>
      <c r="D366" s="7" t="s">
        <v>223</v>
      </c>
      <c r="E366" s="80" t="s">
        <v>1207</v>
      </c>
      <c r="F366" s="78">
        <v>173384</v>
      </c>
      <c r="G366" s="78" t="s">
        <v>1514</v>
      </c>
    </row>
    <row r="367" spans="1:7" x14ac:dyDescent="0.25">
      <c r="A367" s="5" t="s">
        <v>1512</v>
      </c>
      <c r="B367" s="78">
        <f t="shared" si="5"/>
        <v>173.84899999999999</v>
      </c>
      <c r="C367" s="78" t="s">
        <v>1315</v>
      </c>
      <c r="D367" s="7" t="s">
        <v>222</v>
      </c>
      <c r="E367" s="80" t="s">
        <v>1207</v>
      </c>
      <c r="F367" s="78">
        <v>173849</v>
      </c>
      <c r="G367" s="78" t="s">
        <v>1514</v>
      </c>
    </row>
    <row r="368" spans="1:7" x14ac:dyDescent="0.25">
      <c r="A368" s="5" t="s">
        <v>1512</v>
      </c>
      <c r="B368" s="78">
        <f t="shared" si="5"/>
        <v>174.31100000000001</v>
      </c>
      <c r="C368" s="78" t="s">
        <v>1316</v>
      </c>
      <c r="D368" s="7" t="s">
        <v>221</v>
      </c>
      <c r="E368" s="80" t="s">
        <v>1207</v>
      </c>
      <c r="F368" s="78">
        <v>174311</v>
      </c>
      <c r="G368" s="78" t="s">
        <v>1514</v>
      </c>
    </row>
    <row r="369" spans="1:7" x14ac:dyDescent="0.25">
      <c r="A369" s="5" t="s">
        <v>1512</v>
      </c>
      <c r="B369" s="78">
        <f t="shared" si="5"/>
        <v>174.81299999999999</v>
      </c>
      <c r="C369" s="78" t="s">
        <v>1317</v>
      </c>
      <c r="D369" s="7" t="s">
        <v>220</v>
      </c>
      <c r="E369" s="80" t="s">
        <v>1207</v>
      </c>
      <c r="F369" s="78">
        <v>174813</v>
      </c>
      <c r="G369" s="78" t="s">
        <v>1514</v>
      </c>
    </row>
    <row r="370" spans="1:7" x14ac:dyDescent="0.25">
      <c r="A370" s="5" t="s">
        <v>1512</v>
      </c>
      <c r="B370" s="78">
        <f t="shared" si="5"/>
        <v>175.30799999999999</v>
      </c>
      <c r="C370" s="78" t="s">
        <v>1318</v>
      </c>
      <c r="D370" s="7" t="s">
        <v>219</v>
      </c>
      <c r="E370" s="80" t="s">
        <v>1207</v>
      </c>
      <c r="F370" s="78">
        <v>175308</v>
      </c>
      <c r="G370" s="78" t="s">
        <v>1514</v>
      </c>
    </row>
    <row r="371" spans="1:7" x14ac:dyDescent="0.25">
      <c r="A371" s="5" t="s">
        <v>1512</v>
      </c>
      <c r="B371" s="78">
        <f t="shared" si="5"/>
        <v>175.80799999999999</v>
      </c>
      <c r="C371" s="78" t="s">
        <v>1319</v>
      </c>
      <c r="D371" s="7" t="s">
        <v>218</v>
      </c>
      <c r="E371" s="80" t="s">
        <v>1207</v>
      </c>
      <c r="F371" s="78">
        <v>175808</v>
      </c>
      <c r="G371" s="78" t="s">
        <v>1514</v>
      </c>
    </row>
    <row r="372" spans="1:7" x14ac:dyDescent="0.25">
      <c r="A372" s="5" t="s">
        <v>1512</v>
      </c>
      <c r="B372" s="78">
        <f t="shared" si="5"/>
        <v>176.30699999999999</v>
      </c>
      <c r="C372" s="78" t="s">
        <v>1320</v>
      </c>
      <c r="D372" s="7" t="s">
        <v>217</v>
      </c>
      <c r="E372" s="80" t="s">
        <v>1207</v>
      </c>
      <c r="F372" s="78">
        <v>176307</v>
      </c>
      <c r="G372" s="78" t="s">
        <v>1514</v>
      </c>
    </row>
    <row r="373" spans="1:7" x14ac:dyDescent="0.25">
      <c r="A373" s="5" t="s">
        <v>1512</v>
      </c>
      <c r="B373" s="78">
        <f t="shared" si="5"/>
        <v>176.80099999999999</v>
      </c>
      <c r="C373" s="78" t="s">
        <v>1321</v>
      </c>
      <c r="D373" s="7" t="s">
        <v>216</v>
      </c>
      <c r="E373" s="80" t="s">
        <v>1207</v>
      </c>
      <c r="F373" s="78">
        <v>176801</v>
      </c>
      <c r="G373" s="78" t="s">
        <v>1514</v>
      </c>
    </row>
    <row r="374" spans="1:7" x14ac:dyDescent="0.25">
      <c r="A374" s="5" t="s">
        <v>1512</v>
      </c>
      <c r="B374" s="78">
        <f t="shared" si="5"/>
        <v>177.27600000000001</v>
      </c>
      <c r="C374" s="78" t="s">
        <v>1322</v>
      </c>
      <c r="D374" s="7" t="s">
        <v>215</v>
      </c>
      <c r="E374" s="80" t="s">
        <v>1207</v>
      </c>
      <c r="F374" s="78">
        <v>177276</v>
      </c>
      <c r="G374" s="78" t="s">
        <v>1514</v>
      </c>
    </row>
    <row r="375" spans="1:7" x14ac:dyDescent="0.25">
      <c r="A375" s="5" t="s">
        <v>1512</v>
      </c>
      <c r="B375" s="78">
        <f t="shared" si="5"/>
        <v>177.77500000000001</v>
      </c>
      <c r="C375" s="78" t="s">
        <v>1323</v>
      </c>
      <c r="D375" s="7" t="s">
        <v>214</v>
      </c>
      <c r="E375" s="80" t="s">
        <v>1207</v>
      </c>
      <c r="F375" s="78">
        <v>177775</v>
      </c>
      <c r="G375" s="78" t="s">
        <v>1514</v>
      </c>
    </row>
    <row r="376" spans="1:7" x14ac:dyDescent="0.25">
      <c r="A376" s="5" t="s">
        <v>1512</v>
      </c>
      <c r="B376" s="78">
        <f t="shared" si="5"/>
        <v>178.27099999999999</v>
      </c>
      <c r="C376" s="78" t="s">
        <v>1324</v>
      </c>
      <c r="D376" s="7" t="s">
        <v>213</v>
      </c>
      <c r="E376" s="80" t="s">
        <v>1207</v>
      </c>
      <c r="F376" s="78">
        <v>178271</v>
      </c>
      <c r="G376" s="78" t="s">
        <v>1514</v>
      </c>
    </row>
    <row r="377" spans="1:7" x14ac:dyDescent="0.25">
      <c r="A377" s="5" t="s">
        <v>1512</v>
      </c>
      <c r="B377" s="78">
        <f t="shared" si="5"/>
        <v>178.77199999999999</v>
      </c>
      <c r="C377" s="78" t="s">
        <v>1325</v>
      </c>
      <c r="D377" s="7" t="s">
        <v>212</v>
      </c>
      <c r="E377" s="80" t="s">
        <v>1207</v>
      </c>
      <c r="F377" s="78">
        <v>178772</v>
      </c>
      <c r="G377" s="78" t="s">
        <v>1514</v>
      </c>
    </row>
    <row r="378" spans="1:7" x14ac:dyDescent="0.25">
      <c r="A378" s="5" t="s">
        <v>1512</v>
      </c>
      <c r="B378" s="78">
        <f t="shared" si="5"/>
        <v>179.25200000000001</v>
      </c>
      <c r="C378" s="78" t="s">
        <v>1326</v>
      </c>
      <c r="D378" s="7" t="s">
        <v>211</v>
      </c>
      <c r="E378" s="80" t="s">
        <v>1207</v>
      </c>
      <c r="F378" s="78">
        <v>179252</v>
      </c>
      <c r="G378" s="78" t="s">
        <v>1514</v>
      </c>
    </row>
    <row r="379" spans="1:7" x14ac:dyDescent="0.25">
      <c r="A379" s="5" t="s">
        <v>1512</v>
      </c>
      <c r="B379" s="78">
        <f t="shared" si="5"/>
        <v>179.762</v>
      </c>
      <c r="C379" s="78" t="s">
        <v>1327</v>
      </c>
      <c r="D379" s="7" t="s">
        <v>210</v>
      </c>
      <c r="E379" s="80" t="s">
        <v>1207</v>
      </c>
      <c r="F379" s="78">
        <v>179762</v>
      </c>
      <c r="G379" s="78" t="s">
        <v>1514</v>
      </c>
    </row>
    <row r="380" spans="1:7" x14ac:dyDescent="0.25">
      <c r="A380" s="5" t="s">
        <v>1512</v>
      </c>
      <c r="B380" s="78">
        <f t="shared" si="5"/>
        <v>180.24700000000001</v>
      </c>
      <c r="C380" s="78" t="s">
        <v>1328</v>
      </c>
      <c r="D380" s="7" t="s">
        <v>209</v>
      </c>
      <c r="E380" s="80" t="s">
        <v>1207</v>
      </c>
      <c r="F380" s="78">
        <v>180247</v>
      </c>
      <c r="G380" s="78" t="s">
        <v>1514</v>
      </c>
    </row>
    <row r="381" spans="1:7" x14ac:dyDescent="0.25">
      <c r="A381" s="5" t="s">
        <v>1512</v>
      </c>
      <c r="B381" s="78">
        <f t="shared" si="5"/>
        <v>180.75200000000001</v>
      </c>
      <c r="C381" s="78" t="s">
        <v>1329</v>
      </c>
      <c r="D381" s="7" t="s">
        <v>208</v>
      </c>
      <c r="E381" s="80" t="s">
        <v>1207</v>
      </c>
      <c r="F381" s="78">
        <v>180752</v>
      </c>
      <c r="G381" s="78" t="s">
        <v>1514</v>
      </c>
    </row>
    <row r="382" spans="1:7" x14ac:dyDescent="0.25">
      <c r="A382" s="5" t="s">
        <v>1512</v>
      </c>
      <c r="B382" s="78">
        <f t="shared" si="5"/>
        <v>181.239</v>
      </c>
      <c r="C382" s="78" t="s">
        <v>1330</v>
      </c>
      <c r="D382" s="7" t="s">
        <v>207</v>
      </c>
      <c r="E382" s="80" t="s">
        <v>1207</v>
      </c>
      <c r="F382" s="78">
        <v>181239</v>
      </c>
      <c r="G382" s="78" t="s">
        <v>1514</v>
      </c>
    </row>
    <row r="383" spans="1:7" x14ac:dyDescent="0.25">
      <c r="A383" s="5" t="s">
        <v>1512</v>
      </c>
      <c r="B383" s="78">
        <f t="shared" si="5"/>
        <v>181.74799999999999</v>
      </c>
      <c r="C383" s="78" t="s">
        <v>1331</v>
      </c>
      <c r="D383" s="7" t="s">
        <v>206</v>
      </c>
      <c r="E383" s="80" t="s">
        <v>1207</v>
      </c>
      <c r="F383" s="78">
        <v>181748</v>
      </c>
      <c r="G383" s="78" t="s">
        <v>1514</v>
      </c>
    </row>
    <row r="384" spans="1:7" x14ac:dyDescent="0.25">
      <c r="A384" s="5" t="s">
        <v>1512</v>
      </c>
      <c r="B384" s="78">
        <f t="shared" si="5"/>
        <v>182.23723000000001</v>
      </c>
      <c r="C384" s="78" t="s">
        <v>1332</v>
      </c>
      <c r="D384" s="7" t="s">
        <v>205</v>
      </c>
      <c r="E384" s="80" t="s">
        <v>1207</v>
      </c>
      <c r="F384" s="78">
        <v>182237.23</v>
      </c>
      <c r="G384" s="78" t="s">
        <v>1514</v>
      </c>
    </row>
    <row r="385" spans="1:7" x14ac:dyDescent="0.25">
      <c r="A385" s="5" t="s">
        <v>1512</v>
      </c>
      <c r="B385" s="78">
        <f t="shared" si="5"/>
        <v>182.73500000000001</v>
      </c>
      <c r="C385" s="78" t="s">
        <v>1333</v>
      </c>
      <c r="D385" s="7" t="s">
        <v>204</v>
      </c>
      <c r="E385" s="80" t="s">
        <v>1207</v>
      </c>
      <c r="F385" s="78">
        <v>182735</v>
      </c>
      <c r="G385" s="78" t="s">
        <v>1514</v>
      </c>
    </row>
    <row r="386" spans="1:7" x14ac:dyDescent="0.25">
      <c r="A386" s="5" t="s">
        <v>1512</v>
      </c>
      <c r="B386" s="78">
        <f t="shared" si="5"/>
        <v>183.23500000000001</v>
      </c>
      <c r="C386" s="78" t="s">
        <v>1334</v>
      </c>
      <c r="D386" s="7" t="s">
        <v>203</v>
      </c>
      <c r="E386" s="80" t="s">
        <v>1207</v>
      </c>
      <c r="F386" s="78">
        <v>183235</v>
      </c>
      <c r="G386" s="78" t="s">
        <v>1514</v>
      </c>
    </row>
    <row r="387" spans="1:7" x14ac:dyDescent="0.25">
      <c r="A387" s="5" t="s">
        <v>1512</v>
      </c>
      <c r="B387" s="78">
        <f t="shared" ref="B387:B450" si="6">F387/1000</f>
        <v>183.72499999999999</v>
      </c>
      <c r="C387" s="78" t="s">
        <v>1335</v>
      </c>
      <c r="D387" s="7" t="s">
        <v>202</v>
      </c>
      <c r="E387" s="80" t="s">
        <v>1207</v>
      </c>
      <c r="F387" s="78">
        <v>183725</v>
      </c>
      <c r="G387" s="78" t="s">
        <v>1516</v>
      </c>
    </row>
    <row r="388" spans="1:7" x14ac:dyDescent="0.25">
      <c r="A388" s="5" t="s">
        <v>1512</v>
      </c>
      <c r="B388" s="78">
        <f t="shared" si="6"/>
        <v>184.18</v>
      </c>
      <c r="C388" s="78" t="s">
        <v>1336</v>
      </c>
      <c r="D388" s="7" t="s">
        <v>201</v>
      </c>
      <c r="E388" s="80" t="s">
        <v>1207</v>
      </c>
      <c r="F388" s="78">
        <v>184180</v>
      </c>
      <c r="G388" s="78" t="s">
        <v>1514</v>
      </c>
    </row>
    <row r="389" spans="1:7" x14ac:dyDescent="0.25">
      <c r="A389" s="5" t="s">
        <v>1512</v>
      </c>
      <c r="B389" s="78">
        <f t="shared" si="6"/>
        <v>184.62711999999999</v>
      </c>
      <c r="C389" s="78" t="s">
        <v>1337</v>
      </c>
      <c r="D389" s="7" t="s">
        <v>200</v>
      </c>
      <c r="E389" s="80" t="s">
        <v>1207</v>
      </c>
      <c r="F389" s="78">
        <v>184627.12</v>
      </c>
      <c r="G389" s="78" t="s">
        <v>1514</v>
      </c>
    </row>
    <row r="390" spans="1:7" x14ac:dyDescent="0.25">
      <c r="A390" s="5" t="s">
        <v>1512</v>
      </c>
      <c r="B390" s="78">
        <f t="shared" si="6"/>
        <v>185.09628000000001</v>
      </c>
      <c r="C390" s="78" t="s">
        <v>1338</v>
      </c>
      <c r="D390" s="7" t="s">
        <v>199</v>
      </c>
      <c r="E390" s="80" t="s">
        <v>1207</v>
      </c>
      <c r="F390" s="78">
        <v>185096.28</v>
      </c>
      <c r="G390" s="78" t="s">
        <v>1514</v>
      </c>
    </row>
    <row r="391" spans="1:7" x14ac:dyDescent="0.25">
      <c r="A391" s="5" t="s">
        <v>1512</v>
      </c>
      <c r="B391" s="78">
        <f t="shared" si="6"/>
        <v>185.44072</v>
      </c>
      <c r="C391" s="78" t="s">
        <v>1339</v>
      </c>
      <c r="D391" s="7" t="s">
        <v>198</v>
      </c>
      <c r="E391" s="80" t="s">
        <v>1207</v>
      </c>
      <c r="F391" s="78">
        <v>185440.72</v>
      </c>
      <c r="G391" s="78" t="s">
        <v>1517</v>
      </c>
    </row>
    <row r="392" spans="1:7" x14ac:dyDescent="0.25">
      <c r="A392" s="5" t="s">
        <v>1512</v>
      </c>
      <c r="B392" s="78">
        <f t="shared" si="6"/>
        <v>186.035</v>
      </c>
      <c r="C392" s="78" t="s">
        <v>1340</v>
      </c>
      <c r="D392" s="7" t="s">
        <v>197</v>
      </c>
      <c r="E392" s="80" t="s">
        <v>1207</v>
      </c>
      <c r="F392" s="78">
        <v>186035</v>
      </c>
      <c r="G392" s="78" t="s">
        <v>1514</v>
      </c>
    </row>
    <row r="393" spans="1:7" x14ac:dyDescent="0.25">
      <c r="A393" s="5" t="s">
        <v>1512</v>
      </c>
      <c r="B393" s="78">
        <f t="shared" si="6"/>
        <v>186.42076</v>
      </c>
      <c r="C393" s="78" t="s">
        <v>1341</v>
      </c>
      <c r="D393" s="7" t="s">
        <v>196</v>
      </c>
      <c r="E393" s="80" t="s">
        <v>1207</v>
      </c>
      <c r="F393" s="78">
        <v>186420.76</v>
      </c>
      <c r="G393" s="78" t="s">
        <v>1517</v>
      </c>
    </row>
    <row r="394" spans="1:7" x14ac:dyDescent="0.25">
      <c r="A394" s="5" t="s">
        <v>1512</v>
      </c>
      <c r="B394" s="78">
        <f t="shared" si="6"/>
        <v>186.971</v>
      </c>
      <c r="C394" s="78" t="s">
        <v>1342</v>
      </c>
      <c r="D394" s="7" t="s">
        <v>195</v>
      </c>
      <c r="E394" s="80" t="s">
        <v>1207</v>
      </c>
      <c r="F394" s="78">
        <v>186971</v>
      </c>
      <c r="G394" s="78" t="s">
        <v>1514</v>
      </c>
    </row>
    <row r="395" spans="1:7" x14ac:dyDescent="0.25">
      <c r="A395" s="5" t="s">
        <v>1512</v>
      </c>
      <c r="B395" s="78">
        <f t="shared" si="6"/>
        <v>187.37700000000001</v>
      </c>
      <c r="C395" s="78" t="s">
        <v>1343</v>
      </c>
      <c r="D395" s="7" t="s">
        <v>194</v>
      </c>
      <c r="E395" s="80" t="s">
        <v>1207</v>
      </c>
      <c r="F395" s="78">
        <v>187377</v>
      </c>
      <c r="G395" s="78" t="s">
        <v>1514</v>
      </c>
    </row>
    <row r="396" spans="1:7" x14ac:dyDescent="0.25">
      <c r="A396" s="5" t="s">
        <v>1512</v>
      </c>
      <c r="B396" s="78">
        <f t="shared" si="6"/>
        <v>187.792</v>
      </c>
      <c r="C396" s="78" t="s">
        <v>1344</v>
      </c>
      <c r="D396" s="7" t="s">
        <v>193</v>
      </c>
      <c r="E396" s="80" t="s">
        <v>1207</v>
      </c>
      <c r="F396" s="78">
        <v>187792</v>
      </c>
      <c r="G396" s="78" t="s">
        <v>1514</v>
      </c>
    </row>
    <row r="397" spans="1:7" x14ac:dyDescent="0.25">
      <c r="A397" s="5" t="s">
        <v>1512</v>
      </c>
      <c r="B397" s="78">
        <f t="shared" si="6"/>
        <v>188.27418</v>
      </c>
      <c r="C397" s="78" t="s">
        <v>1345</v>
      </c>
      <c r="D397" s="7" t="s">
        <v>192</v>
      </c>
      <c r="E397" s="80" t="s">
        <v>1207</v>
      </c>
      <c r="F397" s="78">
        <v>188274.18</v>
      </c>
      <c r="G397" s="78" t="s">
        <v>1514</v>
      </c>
    </row>
    <row r="398" spans="1:7" x14ac:dyDescent="0.25">
      <c r="A398" s="5" t="s">
        <v>1512</v>
      </c>
      <c r="B398" s="78">
        <f t="shared" si="6"/>
        <v>188.72749999999999</v>
      </c>
      <c r="C398" s="78" t="s">
        <v>1346</v>
      </c>
      <c r="D398" s="7" t="s">
        <v>191</v>
      </c>
      <c r="E398" s="80" t="s">
        <v>1207</v>
      </c>
      <c r="F398" s="78">
        <v>188727.5</v>
      </c>
      <c r="G398" s="78" t="s">
        <v>1514</v>
      </c>
    </row>
    <row r="399" spans="1:7" x14ac:dyDescent="0.25">
      <c r="A399" s="5" t="s">
        <v>1512</v>
      </c>
      <c r="B399" s="78">
        <f t="shared" si="6"/>
        <v>189.23612</v>
      </c>
      <c r="C399" s="78" t="s">
        <v>1347</v>
      </c>
      <c r="D399" s="7" t="s">
        <v>190</v>
      </c>
      <c r="E399" s="80" t="s">
        <v>1207</v>
      </c>
      <c r="F399" s="78">
        <v>189236.12</v>
      </c>
      <c r="G399" s="78" t="s">
        <v>1517</v>
      </c>
    </row>
    <row r="400" spans="1:7" x14ac:dyDescent="0.25">
      <c r="A400" s="5" t="s">
        <v>1512</v>
      </c>
      <c r="B400" s="78">
        <f t="shared" si="6"/>
        <v>189.72586999999999</v>
      </c>
      <c r="C400" s="78" t="s">
        <v>1348</v>
      </c>
      <c r="D400" s="7" t="s">
        <v>189</v>
      </c>
      <c r="E400" s="80" t="s">
        <v>1207</v>
      </c>
      <c r="F400" s="78">
        <v>189725.87</v>
      </c>
      <c r="G400" s="78" t="s">
        <v>1517</v>
      </c>
    </row>
    <row r="401" spans="1:7" x14ac:dyDescent="0.25">
      <c r="A401" s="5" t="s">
        <v>1512</v>
      </c>
      <c r="B401" s="78">
        <f t="shared" si="6"/>
        <v>190.22806</v>
      </c>
      <c r="C401" s="78" t="s">
        <v>1349</v>
      </c>
      <c r="D401" s="7" t="s">
        <v>188</v>
      </c>
      <c r="E401" s="80" t="s">
        <v>1207</v>
      </c>
      <c r="F401" s="78">
        <v>190228.06</v>
      </c>
      <c r="G401" s="78" t="s">
        <v>1514</v>
      </c>
    </row>
    <row r="402" spans="1:7" x14ac:dyDescent="0.25">
      <c r="A402" s="5" t="s">
        <v>1512</v>
      </c>
      <c r="B402" s="78">
        <f t="shared" si="6"/>
        <v>190.68100000000001</v>
      </c>
      <c r="C402" s="78" t="s">
        <v>1350</v>
      </c>
      <c r="D402" s="7" t="s">
        <v>696</v>
      </c>
      <c r="E402" s="80" t="s">
        <v>1207</v>
      </c>
      <c r="F402" s="78">
        <v>190681</v>
      </c>
      <c r="G402" s="78" t="s">
        <v>1514</v>
      </c>
    </row>
    <row r="403" spans="1:7" x14ac:dyDescent="0.25">
      <c r="A403" s="5" t="s">
        <v>1512</v>
      </c>
      <c r="B403" s="78">
        <f t="shared" si="6"/>
        <v>191.18</v>
      </c>
      <c r="C403" s="78" t="s">
        <v>1351</v>
      </c>
      <c r="D403" s="7" t="s">
        <v>695</v>
      </c>
      <c r="E403" s="80" t="s">
        <v>1207</v>
      </c>
      <c r="F403" s="78">
        <v>191180</v>
      </c>
      <c r="G403" s="78" t="s">
        <v>1514</v>
      </c>
    </row>
    <row r="404" spans="1:7" x14ac:dyDescent="0.25">
      <c r="A404" s="5" t="s">
        <v>1512</v>
      </c>
      <c r="B404" s="78">
        <f t="shared" si="6"/>
        <v>191.65899999999999</v>
      </c>
      <c r="C404" s="78" t="s">
        <v>1352</v>
      </c>
      <c r="D404" s="7" t="s">
        <v>694</v>
      </c>
      <c r="E404" s="80" t="s">
        <v>1207</v>
      </c>
      <c r="F404" s="78">
        <v>191659</v>
      </c>
      <c r="G404" s="78" t="s">
        <v>1514</v>
      </c>
    </row>
    <row r="405" spans="1:7" x14ac:dyDescent="0.25">
      <c r="A405" s="5" t="s">
        <v>1512</v>
      </c>
      <c r="B405" s="78">
        <f t="shared" si="6"/>
        <v>192.114</v>
      </c>
      <c r="C405" s="78" t="s">
        <v>1353</v>
      </c>
      <c r="D405" s="7" t="s">
        <v>693</v>
      </c>
      <c r="E405" s="80" t="s">
        <v>1207</v>
      </c>
      <c r="F405" s="78">
        <v>192114</v>
      </c>
      <c r="G405" s="78" t="s">
        <v>1514</v>
      </c>
    </row>
    <row r="406" spans="1:7" x14ac:dyDescent="0.25">
      <c r="A406" s="5" t="s">
        <v>1512</v>
      </c>
      <c r="B406" s="78">
        <f t="shared" si="6"/>
        <v>192.559</v>
      </c>
      <c r="C406" s="78" t="s">
        <v>1354</v>
      </c>
      <c r="D406" s="7" t="s">
        <v>692</v>
      </c>
      <c r="E406" s="80" t="s">
        <v>1207</v>
      </c>
      <c r="F406" s="78">
        <v>192559</v>
      </c>
      <c r="G406" s="78" t="s">
        <v>1514</v>
      </c>
    </row>
    <row r="407" spans="1:7" x14ac:dyDescent="0.25">
      <c r="A407" s="5" t="s">
        <v>1512</v>
      </c>
      <c r="B407" s="78">
        <f t="shared" si="6"/>
        <v>193.04900000000001</v>
      </c>
      <c r="C407" s="78" t="s">
        <v>1355</v>
      </c>
      <c r="D407" s="7" t="s">
        <v>691</v>
      </c>
      <c r="E407" s="80" t="s">
        <v>1207</v>
      </c>
      <c r="F407" s="78">
        <v>193049</v>
      </c>
      <c r="G407" s="78" t="s">
        <v>1514</v>
      </c>
    </row>
    <row r="408" spans="1:7" x14ac:dyDescent="0.25">
      <c r="A408" s="5" t="s">
        <v>1512</v>
      </c>
      <c r="B408" s="78">
        <f t="shared" si="6"/>
        <v>193.499</v>
      </c>
      <c r="C408" s="78" t="s">
        <v>1356</v>
      </c>
      <c r="D408" s="7" t="s">
        <v>690</v>
      </c>
      <c r="E408" s="80" t="s">
        <v>1207</v>
      </c>
      <c r="F408" s="78">
        <v>193499</v>
      </c>
      <c r="G408" s="78" t="s">
        <v>1514</v>
      </c>
    </row>
    <row r="409" spans="1:7" x14ac:dyDescent="0.25">
      <c r="A409" s="5" t="s">
        <v>1512</v>
      </c>
      <c r="B409" s="78">
        <f t="shared" si="6"/>
        <v>193.93610000000001</v>
      </c>
      <c r="C409" s="78" t="s">
        <v>1357</v>
      </c>
      <c r="D409" s="7" t="s">
        <v>689</v>
      </c>
      <c r="E409" s="80" t="s">
        <v>1207</v>
      </c>
      <c r="F409" s="78">
        <v>193936.1</v>
      </c>
      <c r="G409" s="78" t="s">
        <v>1514</v>
      </c>
    </row>
    <row r="410" spans="1:7" x14ac:dyDescent="0.25">
      <c r="A410" s="5" t="s">
        <v>1512</v>
      </c>
      <c r="B410" s="78">
        <f t="shared" si="6"/>
        <v>194.38263000000001</v>
      </c>
      <c r="C410" s="78" t="s">
        <v>1358</v>
      </c>
      <c r="D410" s="7" t="s">
        <v>688</v>
      </c>
      <c r="E410" s="80" t="s">
        <v>1207</v>
      </c>
      <c r="F410" s="78">
        <v>194382.63</v>
      </c>
      <c r="G410" s="78" t="s">
        <v>1514</v>
      </c>
    </row>
    <row r="411" spans="1:7" x14ac:dyDescent="0.25">
      <c r="A411" s="5" t="s">
        <v>1512</v>
      </c>
      <c r="B411" s="78">
        <f t="shared" si="6"/>
        <v>194.88300000000001</v>
      </c>
      <c r="C411" s="78" t="s">
        <v>1359</v>
      </c>
      <c r="D411" s="7" t="s">
        <v>687</v>
      </c>
      <c r="E411" s="80" t="s">
        <v>1207</v>
      </c>
      <c r="F411" s="78">
        <v>194883</v>
      </c>
      <c r="G411" s="78" t="s">
        <v>1514</v>
      </c>
    </row>
    <row r="412" spans="1:7" x14ac:dyDescent="0.25">
      <c r="A412" s="5" t="s">
        <v>1512</v>
      </c>
      <c r="B412" s="78">
        <f t="shared" si="6"/>
        <v>195.33</v>
      </c>
      <c r="C412" s="78" t="s">
        <v>1360</v>
      </c>
      <c r="D412" s="7" t="s">
        <v>686</v>
      </c>
      <c r="E412" s="80" t="s">
        <v>1207</v>
      </c>
      <c r="F412" s="78">
        <v>195330</v>
      </c>
      <c r="G412" s="78" t="s">
        <v>1514</v>
      </c>
    </row>
    <row r="413" spans="1:7" x14ac:dyDescent="0.25">
      <c r="A413" s="5" t="s">
        <v>1512</v>
      </c>
      <c r="B413" s="78">
        <f t="shared" si="6"/>
        <v>195.80500000000001</v>
      </c>
      <c r="C413" s="78" t="s">
        <v>1361</v>
      </c>
      <c r="D413" s="7" t="s">
        <v>685</v>
      </c>
      <c r="E413" s="80" t="s">
        <v>1207</v>
      </c>
      <c r="F413" s="78">
        <v>195805</v>
      </c>
      <c r="G413" s="78" t="s">
        <v>1514</v>
      </c>
    </row>
    <row r="414" spans="1:7" x14ac:dyDescent="0.25">
      <c r="A414" s="5" t="s">
        <v>1512</v>
      </c>
      <c r="B414" s="78">
        <f t="shared" si="6"/>
        <v>196.25433999999998</v>
      </c>
      <c r="C414" s="78" t="s">
        <v>1362</v>
      </c>
      <c r="D414" s="7" t="s">
        <v>684</v>
      </c>
      <c r="E414" s="80" t="s">
        <v>1207</v>
      </c>
      <c r="F414" s="78">
        <v>196254.34</v>
      </c>
      <c r="G414" s="78" t="s">
        <v>1514</v>
      </c>
    </row>
    <row r="415" spans="1:7" x14ac:dyDescent="0.25">
      <c r="A415" s="5" t="s">
        <v>1512</v>
      </c>
      <c r="B415" s="78">
        <f t="shared" si="6"/>
        <v>196.60395</v>
      </c>
      <c r="C415" s="78" t="s">
        <v>1363</v>
      </c>
      <c r="D415" s="7" t="s">
        <v>683</v>
      </c>
      <c r="E415" s="80" t="s">
        <v>1207</v>
      </c>
      <c r="F415" s="90">
        <v>196603.95</v>
      </c>
      <c r="G415" s="78" t="s">
        <v>1515</v>
      </c>
    </row>
    <row r="416" spans="1:7" x14ac:dyDescent="0.25">
      <c r="A416" s="5" t="s">
        <v>1512</v>
      </c>
      <c r="B416" s="78">
        <f t="shared" si="6"/>
        <v>196.31200000000001</v>
      </c>
      <c r="C416" s="78" t="s">
        <v>1364</v>
      </c>
      <c r="D416" s="7" t="s">
        <v>682</v>
      </c>
      <c r="E416" s="80" t="s">
        <v>1207</v>
      </c>
      <c r="F416" s="78">
        <v>196312</v>
      </c>
      <c r="G416" s="78" t="s">
        <v>1514</v>
      </c>
    </row>
    <row r="417" spans="1:7" x14ac:dyDescent="0.25">
      <c r="A417" s="5" t="s">
        <v>1512</v>
      </c>
      <c r="B417" s="78">
        <f t="shared" si="6"/>
        <v>196.81299999999999</v>
      </c>
      <c r="C417" s="78" t="s">
        <v>1365</v>
      </c>
      <c r="D417" s="7" t="s">
        <v>681</v>
      </c>
      <c r="E417" s="80" t="s">
        <v>1207</v>
      </c>
      <c r="F417" s="78">
        <v>196813</v>
      </c>
      <c r="G417" s="78" t="s">
        <v>1514</v>
      </c>
    </row>
    <row r="418" spans="1:7" x14ac:dyDescent="0.25">
      <c r="A418" s="5" t="s">
        <v>1512</v>
      </c>
      <c r="B418" s="78">
        <f t="shared" si="6"/>
        <v>197.303</v>
      </c>
      <c r="C418" s="78" t="s">
        <v>1366</v>
      </c>
      <c r="D418" s="7" t="s">
        <v>680</v>
      </c>
      <c r="E418" s="80" t="s">
        <v>1207</v>
      </c>
      <c r="F418" s="78">
        <v>197303</v>
      </c>
      <c r="G418" s="78" t="s">
        <v>1514</v>
      </c>
    </row>
    <row r="419" spans="1:7" x14ac:dyDescent="0.25">
      <c r="A419" s="5" t="s">
        <v>1512</v>
      </c>
      <c r="B419" s="78">
        <f t="shared" si="6"/>
        <v>197.78299999999999</v>
      </c>
      <c r="C419" s="78" t="s">
        <v>1367</v>
      </c>
      <c r="D419" s="7" t="s">
        <v>679</v>
      </c>
      <c r="E419" s="80" t="s">
        <v>1207</v>
      </c>
      <c r="F419" s="78">
        <v>197783</v>
      </c>
      <c r="G419" s="78" t="s">
        <v>1514</v>
      </c>
    </row>
    <row r="420" spans="1:7" x14ac:dyDescent="0.25">
      <c r="A420" s="5" t="s">
        <v>1512</v>
      </c>
      <c r="B420" s="78">
        <f t="shared" si="6"/>
        <v>198.29499999999999</v>
      </c>
      <c r="C420" s="78" t="s">
        <v>1368</v>
      </c>
      <c r="D420" s="7" t="s">
        <v>678</v>
      </c>
      <c r="E420" s="80" t="s">
        <v>1207</v>
      </c>
      <c r="F420" s="78">
        <v>198295</v>
      </c>
      <c r="G420" s="78" t="s">
        <v>1514</v>
      </c>
    </row>
    <row r="421" spans="1:7" x14ac:dyDescent="0.25">
      <c r="A421" s="5" t="s">
        <v>1512</v>
      </c>
      <c r="B421" s="78">
        <f t="shared" si="6"/>
        <v>198.77500000000001</v>
      </c>
      <c r="C421" s="78" t="s">
        <v>1369</v>
      </c>
      <c r="D421" s="7" t="s">
        <v>677</v>
      </c>
      <c r="E421" s="80" t="s">
        <v>1207</v>
      </c>
      <c r="F421" s="78">
        <v>198775</v>
      </c>
      <c r="G421" s="78" t="s">
        <v>1514</v>
      </c>
    </row>
    <row r="422" spans="1:7" x14ac:dyDescent="0.25">
      <c r="A422" s="5" t="s">
        <v>1512</v>
      </c>
      <c r="B422" s="78">
        <f t="shared" si="6"/>
        <v>199.285</v>
      </c>
      <c r="C422" s="78" t="s">
        <v>1370</v>
      </c>
      <c r="D422" s="7" t="s">
        <v>676</v>
      </c>
      <c r="E422" s="80" t="s">
        <v>1207</v>
      </c>
      <c r="F422" s="78">
        <v>199285</v>
      </c>
      <c r="G422" s="78" t="s">
        <v>1514</v>
      </c>
    </row>
    <row r="423" spans="1:7" x14ac:dyDescent="0.25">
      <c r="A423" s="5" t="s">
        <v>1512</v>
      </c>
      <c r="B423" s="78">
        <f t="shared" si="6"/>
        <v>199.77</v>
      </c>
      <c r="C423" s="78" t="s">
        <v>1371</v>
      </c>
      <c r="D423" s="7" t="s">
        <v>675</v>
      </c>
      <c r="E423" s="80" t="s">
        <v>1207</v>
      </c>
      <c r="F423" s="78">
        <v>199770</v>
      </c>
      <c r="G423" s="78" t="s">
        <v>1514</v>
      </c>
    </row>
    <row r="424" spans="1:7" x14ac:dyDescent="0.25">
      <c r="A424" s="5" t="s">
        <v>1512</v>
      </c>
      <c r="B424" s="78">
        <f t="shared" si="6"/>
        <v>200.23590999999999</v>
      </c>
      <c r="C424" s="78" t="s">
        <v>1372</v>
      </c>
      <c r="D424" s="7" t="s">
        <v>674</v>
      </c>
      <c r="E424" s="80" t="s">
        <v>1207</v>
      </c>
      <c r="F424" s="78">
        <v>200235.91</v>
      </c>
      <c r="G424" s="78" t="s">
        <v>1514</v>
      </c>
    </row>
    <row r="425" spans="1:7" x14ac:dyDescent="0.25">
      <c r="A425" s="5" t="s">
        <v>1512</v>
      </c>
      <c r="B425" s="78">
        <f t="shared" si="6"/>
        <v>200.76599999999999</v>
      </c>
      <c r="C425" s="78" t="s">
        <v>1373</v>
      </c>
      <c r="D425" s="7" t="s">
        <v>673</v>
      </c>
      <c r="E425" s="80" t="s">
        <v>1207</v>
      </c>
      <c r="F425" s="78">
        <v>200766</v>
      </c>
      <c r="G425" s="78" t="s">
        <v>1514</v>
      </c>
    </row>
    <row r="426" spans="1:7" x14ac:dyDescent="0.25">
      <c r="A426" s="5" t="s">
        <v>1512</v>
      </c>
      <c r="B426" s="78">
        <f t="shared" si="6"/>
        <v>201.19499999999999</v>
      </c>
      <c r="C426" s="78" t="s">
        <v>1374</v>
      </c>
      <c r="D426" s="7" t="s">
        <v>672</v>
      </c>
      <c r="E426" s="80" t="s">
        <v>1207</v>
      </c>
      <c r="F426" s="78">
        <v>201195</v>
      </c>
      <c r="G426" s="78" t="s">
        <v>1514</v>
      </c>
    </row>
    <row r="427" spans="1:7" x14ac:dyDescent="0.25">
      <c r="A427" s="5" t="s">
        <v>1512</v>
      </c>
      <c r="B427" s="78">
        <f t="shared" si="6"/>
        <v>201.76300000000001</v>
      </c>
      <c r="C427" s="78" t="s">
        <v>1375</v>
      </c>
      <c r="D427" s="7" t="s">
        <v>671</v>
      </c>
      <c r="E427" s="80" t="s">
        <v>1207</v>
      </c>
      <c r="F427" s="78">
        <v>201763</v>
      </c>
      <c r="G427" s="78" t="s">
        <v>1514</v>
      </c>
    </row>
    <row r="428" spans="1:7" x14ac:dyDescent="0.25">
      <c r="A428" s="5" t="s">
        <v>1512</v>
      </c>
      <c r="B428" s="78">
        <f t="shared" si="6"/>
        <v>202.19300000000001</v>
      </c>
      <c r="C428" s="78" t="s">
        <v>1376</v>
      </c>
      <c r="D428" s="7" t="s">
        <v>670</v>
      </c>
      <c r="E428" s="80" t="s">
        <v>1207</v>
      </c>
      <c r="F428" s="78">
        <v>202193</v>
      </c>
      <c r="G428" s="78" t="s">
        <v>1514</v>
      </c>
    </row>
    <row r="429" spans="1:7" x14ac:dyDescent="0.25">
      <c r="A429" s="5" t="s">
        <v>1512</v>
      </c>
      <c r="B429" s="78">
        <f t="shared" si="6"/>
        <v>202.65799999999999</v>
      </c>
      <c r="C429" s="78" t="s">
        <v>1377</v>
      </c>
      <c r="D429" s="7" t="s">
        <v>669</v>
      </c>
      <c r="E429" s="80" t="s">
        <v>1207</v>
      </c>
      <c r="F429" s="78">
        <v>202658</v>
      </c>
      <c r="G429" s="78" t="s">
        <v>1514</v>
      </c>
    </row>
    <row r="430" spans="1:7" x14ac:dyDescent="0.25">
      <c r="A430" s="5" t="s">
        <v>1512</v>
      </c>
      <c r="B430" s="78">
        <f t="shared" si="6"/>
        <v>203.173</v>
      </c>
      <c r="C430" s="78" t="s">
        <v>1378</v>
      </c>
      <c r="D430" s="7" t="s">
        <v>668</v>
      </c>
      <c r="E430" s="80" t="s">
        <v>1207</v>
      </c>
      <c r="F430" s="78">
        <v>203173</v>
      </c>
      <c r="G430" s="78" t="s">
        <v>1514</v>
      </c>
    </row>
    <row r="431" spans="1:7" x14ac:dyDescent="0.25">
      <c r="A431" s="5" t="s">
        <v>1512</v>
      </c>
      <c r="B431" s="78">
        <f t="shared" si="6"/>
        <v>203.65299999999999</v>
      </c>
      <c r="C431" s="78" t="s">
        <v>1379</v>
      </c>
      <c r="D431" s="7" t="s">
        <v>667</v>
      </c>
      <c r="E431" s="80" t="s">
        <v>1207</v>
      </c>
      <c r="F431" s="78">
        <v>203653</v>
      </c>
      <c r="G431" s="78" t="s">
        <v>1514</v>
      </c>
    </row>
    <row r="432" spans="1:7" x14ac:dyDescent="0.25">
      <c r="A432" s="5" t="s">
        <v>1512</v>
      </c>
      <c r="B432" s="78">
        <f t="shared" si="6"/>
        <v>204.15299999999999</v>
      </c>
      <c r="C432" s="78" t="s">
        <v>1380</v>
      </c>
      <c r="D432" s="7" t="s">
        <v>666</v>
      </c>
      <c r="E432" s="80" t="s">
        <v>1207</v>
      </c>
      <c r="F432" s="78">
        <v>204153</v>
      </c>
      <c r="G432" s="78" t="s">
        <v>1514</v>
      </c>
    </row>
    <row r="433" spans="1:7" x14ac:dyDescent="0.25">
      <c r="A433" s="5" t="s">
        <v>1512</v>
      </c>
      <c r="B433" s="78">
        <f t="shared" si="6"/>
        <v>204.5778</v>
      </c>
      <c r="C433" s="78" t="s">
        <v>1381</v>
      </c>
      <c r="D433" s="7" t="s">
        <v>665</v>
      </c>
      <c r="E433" s="80" t="s">
        <v>1207</v>
      </c>
      <c r="F433" s="78">
        <v>204577.8</v>
      </c>
      <c r="G433" s="78" t="s">
        <v>1515</v>
      </c>
    </row>
    <row r="434" spans="1:7" x14ac:dyDescent="0.25">
      <c r="A434" s="5" t="s">
        <v>1512</v>
      </c>
      <c r="B434" s="78">
        <f t="shared" si="6"/>
        <v>204.96600000000001</v>
      </c>
      <c r="C434" s="78" t="s">
        <v>1382</v>
      </c>
      <c r="D434" s="7" t="s">
        <v>664</v>
      </c>
      <c r="E434" s="80" t="s">
        <v>1207</v>
      </c>
      <c r="F434" s="78">
        <v>204966</v>
      </c>
      <c r="G434" s="78" t="s">
        <v>1514</v>
      </c>
    </row>
    <row r="435" spans="1:7" x14ac:dyDescent="0.25">
      <c r="A435" s="5" t="s">
        <v>1512</v>
      </c>
      <c r="B435" s="78">
        <f t="shared" si="6"/>
        <v>205.458</v>
      </c>
      <c r="C435" s="78" t="s">
        <v>1383</v>
      </c>
      <c r="D435" s="7" t="s">
        <v>663</v>
      </c>
      <c r="E435" s="80" t="s">
        <v>1207</v>
      </c>
      <c r="F435" s="78">
        <v>205458</v>
      </c>
      <c r="G435" s="78" t="s">
        <v>1514</v>
      </c>
    </row>
    <row r="436" spans="1:7" x14ac:dyDescent="0.25">
      <c r="A436" s="5" t="s">
        <v>1512</v>
      </c>
      <c r="B436" s="78">
        <f t="shared" si="6"/>
        <v>205.958</v>
      </c>
      <c r="C436" s="78" t="s">
        <v>1384</v>
      </c>
      <c r="D436" s="7" t="s">
        <v>662</v>
      </c>
      <c r="E436" s="80" t="s">
        <v>1207</v>
      </c>
      <c r="F436" s="78">
        <v>205958</v>
      </c>
      <c r="G436" s="78" t="s">
        <v>1514</v>
      </c>
    </row>
    <row r="437" spans="1:7" x14ac:dyDescent="0.25">
      <c r="A437" s="5" t="s">
        <v>1512</v>
      </c>
      <c r="B437" s="78">
        <f t="shared" si="6"/>
        <v>206.44300000000001</v>
      </c>
      <c r="C437" s="78" t="s">
        <v>1385</v>
      </c>
      <c r="D437" s="7" t="s">
        <v>661</v>
      </c>
      <c r="E437" s="80" t="s">
        <v>1207</v>
      </c>
      <c r="F437" s="78">
        <v>206443</v>
      </c>
      <c r="G437" s="78" t="s">
        <v>1514</v>
      </c>
    </row>
    <row r="438" spans="1:7" x14ac:dyDescent="0.25">
      <c r="A438" s="5" t="s">
        <v>1512</v>
      </c>
      <c r="B438" s="78">
        <f t="shared" si="6"/>
        <v>206.86799999999999</v>
      </c>
      <c r="C438" s="78" t="s">
        <v>1386</v>
      </c>
      <c r="D438" s="7" t="s">
        <v>660</v>
      </c>
      <c r="E438" s="80" t="s">
        <v>1207</v>
      </c>
      <c r="F438" s="78">
        <v>206868</v>
      </c>
      <c r="G438" s="78" t="s">
        <v>1514</v>
      </c>
    </row>
    <row r="439" spans="1:7" x14ac:dyDescent="0.25">
      <c r="A439" s="5" t="s">
        <v>1512</v>
      </c>
      <c r="B439" s="78">
        <f t="shared" si="6"/>
        <v>207.44200000000001</v>
      </c>
      <c r="C439" s="78" t="s">
        <v>1387</v>
      </c>
      <c r="D439" s="7" t="s">
        <v>659</v>
      </c>
      <c r="E439" s="80" t="s">
        <v>1207</v>
      </c>
      <c r="F439" s="78">
        <v>207442</v>
      </c>
      <c r="G439" s="78" t="s">
        <v>1517</v>
      </c>
    </row>
    <row r="440" spans="1:7" x14ac:dyDescent="0.25">
      <c r="A440" s="5" t="s">
        <v>1512</v>
      </c>
      <c r="B440" s="78">
        <f t="shared" si="6"/>
        <v>207.86099999999999</v>
      </c>
      <c r="C440" s="78" t="s">
        <v>1388</v>
      </c>
      <c r="D440" s="7" t="s">
        <v>658</v>
      </c>
      <c r="E440" s="80" t="s">
        <v>1207</v>
      </c>
      <c r="F440" s="78">
        <v>207861</v>
      </c>
      <c r="G440" s="78" t="s">
        <v>1514</v>
      </c>
    </row>
    <row r="441" spans="1:7" x14ac:dyDescent="0.25">
      <c r="A441" s="5" t="s">
        <v>1512</v>
      </c>
      <c r="B441" s="78">
        <f t="shared" si="6"/>
        <v>208.37100000000001</v>
      </c>
      <c r="C441" s="78" t="s">
        <v>1389</v>
      </c>
      <c r="D441" s="7" t="s">
        <v>657</v>
      </c>
      <c r="E441" s="80" t="s">
        <v>1207</v>
      </c>
      <c r="F441" s="78">
        <v>208371</v>
      </c>
      <c r="G441" s="78" t="s">
        <v>1514</v>
      </c>
    </row>
    <row r="442" spans="1:7" x14ac:dyDescent="0.25">
      <c r="A442" s="5" t="s">
        <v>1512</v>
      </c>
      <c r="B442" s="78">
        <f t="shared" si="6"/>
        <v>208.85599999999999</v>
      </c>
      <c r="C442" s="78" t="s">
        <v>1390</v>
      </c>
      <c r="D442" s="7" t="s">
        <v>656</v>
      </c>
      <c r="E442" s="80" t="s">
        <v>1207</v>
      </c>
      <c r="F442" s="78">
        <v>208856</v>
      </c>
      <c r="G442" s="78" t="s">
        <v>1514</v>
      </c>
    </row>
    <row r="443" spans="1:7" x14ac:dyDescent="0.25">
      <c r="A443" s="5" t="s">
        <v>1512</v>
      </c>
      <c r="B443" s="78">
        <f t="shared" si="6"/>
        <v>209.36600000000001</v>
      </c>
      <c r="C443" s="78" t="s">
        <v>1391</v>
      </c>
      <c r="D443" s="7" t="s">
        <v>655</v>
      </c>
      <c r="E443" s="80" t="s">
        <v>1207</v>
      </c>
      <c r="F443" s="78">
        <v>209366</v>
      </c>
      <c r="G443" s="78" t="s">
        <v>1514</v>
      </c>
    </row>
    <row r="444" spans="1:7" x14ac:dyDescent="0.25">
      <c r="A444" s="5" t="s">
        <v>1512</v>
      </c>
      <c r="B444" s="78">
        <f t="shared" si="6"/>
        <v>209.82041000000001</v>
      </c>
      <c r="C444" s="78" t="s">
        <v>1392</v>
      </c>
      <c r="D444" s="7" t="s">
        <v>654</v>
      </c>
      <c r="E444" s="80" t="s">
        <v>1207</v>
      </c>
      <c r="F444" s="78">
        <v>209820.41</v>
      </c>
      <c r="G444" s="78" t="s">
        <v>1515</v>
      </c>
    </row>
    <row r="445" spans="1:7" x14ac:dyDescent="0.25">
      <c r="A445" s="5" t="s">
        <v>1512</v>
      </c>
      <c r="B445" s="78">
        <f t="shared" si="6"/>
        <v>210.245</v>
      </c>
      <c r="C445" s="78" t="s">
        <v>1393</v>
      </c>
      <c r="D445" s="7" t="s">
        <v>653</v>
      </c>
      <c r="E445" s="80" t="s">
        <v>1207</v>
      </c>
      <c r="F445" s="78">
        <v>210245</v>
      </c>
      <c r="G445" s="78" t="s">
        <v>1514</v>
      </c>
    </row>
    <row r="446" spans="1:7" x14ac:dyDescent="0.25">
      <c r="A446" s="5" t="s">
        <v>1512</v>
      </c>
      <c r="B446" s="78">
        <f t="shared" si="6"/>
        <v>210.6163</v>
      </c>
      <c r="C446" s="78" t="s">
        <v>1394</v>
      </c>
      <c r="D446" s="7" t="s">
        <v>652</v>
      </c>
      <c r="E446" s="80" t="s">
        <v>1207</v>
      </c>
      <c r="F446" s="78">
        <v>210616.3</v>
      </c>
      <c r="G446" s="78" t="s">
        <v>1514</v>
      </c>
    </row>
    <row r="447" spans="1:7" x14ac:dyDescent="0.25">
      <c r="A447" s="5" t="s">
        <v>1512</v>
      </c>
      <c r="B447" s="78">
        <f t="shared" si="6"/>
        <v>211.04599999999999</v>
      </c>
      <c r="C447" s="78" t="s">
        <v>1395</v>
      </c>
      <c r="D447" s="7" t="s">
        <v>651</v>
      </c>
      <c r="E447" s="80" t="s">
        <v>1207</v>
      </c>
      <c r="F447" s="78">
        <v>211046</v>
      </c>
      <c r="G447" s="78" t="s">
        <v>1514</v>
      </c>
    </row>
    <row r="448" spans="1:7" x14ac:dyDescent="0.25">
      <c r="A448" s="5" t="s">
        <v>1512</v>
      </c>
      <c r="B448" s="78">
        <f t="shared" si="6"/>
        <v>211.53100000000001</v>
      </c>
      <c r="C448" s="78" t="s">
        <v>1396</v>
      </c>
      <c r="D448" s="7" t="s">
        <v>650</v>
      </c>
      <c r="E448" s="80" t="s">
        <v>1207</v>
      </c>
      <c r="F448" s="78">
        <v>211531</v>
      </c>
      <c r="G448" s="78" t="s">
        <v>1514</v>
      </c>
    </row>
    <row r="449" spans="1:7" x14ac:dyDescent="0.25">
      <c r="A449" s="5" t="s">
        <v>1512</v>
      </c>
      <c r="B449" s="78">
        <f t="shared" si="6"/>
        <v>212.02099999999999</v>
      </c>
      <c r="C449" s="78" t="s">
        <v>1397</v>
      </c>
      <c r="D449" s="7" t="s">
        <v>649</v>
      </c>
      <c r="E449" s="80" t="s">
        <v>1207</v>
      </c>
      <c r="F449" s="78">
        <v>212021</v>
      </c>
      <c r="G449" s="78" t="s">
        <v>1514</v>
      </c>
    </row>
    <row r="450" spans="1:7" x14ac:dyDescent="0.25">
      <c r="A450" s="5" t="s">
        <v>1512</v>
      </c>
      <c r="B450" s="78">
        <f t="shared" si="6"/>
        <v>212.52099999999999</v>
      </c>
      <c r="C450" s="78" t="s">
        <v>1398</v>
      </c>
      <c r="D450" s="7" t="s">
        <v>648</v>
      </c>
      <c r="E450" s="80" t="s">
        <v>1207</v>
      </c>
      <c r="F450" s="78">
        <v>212521</v>
      </c>
      <c r="G450" s="78" t="s">
        <v>1514</v>
      </c>
    </row>
    <row r="451" spans="1:7" x14ac:dyDescent="0.25">
      <c r="A451" s="5" t="s">
        <v>1512</v>
      </c>
      <c r="B451" s="78">
        <f t="shared" ref="B451:B514" si="7">F451/1000</f>
        <v>213.011</v>
      </c>
      <c r="C451" s="78" t="s">
        <v>1399</v>
      </c>
      <c r="D451" s="7" t="s">
        <v>647</v>
      </c>
      <c r="E451" s="80" t="s">
        <v>1207</v>
      </c>
      <c r="F451" s="78">
        <v>213011</v>
      </c>
      <c r="G451" s="78" t="s">
        <v>1514</v>
      </c>
    </row>
    <row r="452" spans="1:7" x14ac:dyDescent="0.25">
      <c r="A452" s="5" t="s">
        <v>1512</v>
      </c>
      <c r="B452" s="78">
        <f t="shared" si="7"/>
        <v>213.51599999999999</v>
      </c>
      <c r="C452" s="78" t="s">
        <v>1400</v>
      </c>
      <c r="D452" s="7" t="s">
        <v>646</v>
      </c>
      <c r="E452" s="80" t="s">
        <v>1207</v>
      </c>
      <c r="F452" s="78">
        <v>213516</v>
      </c>
      <c r="G452" s="78" t="s">
        <v>1514</v>
      </c>
    </row>
    <row r="453" spans="1:7" x14ac:dyDescent="0.25">
      <c r="A453" s="5" t="s">
        <v>1512</v>
      </c>
      <c r="B453" s="78">
        <f t="shared" si="7"/>
        <v>214.001</v>
      </c>
      <c r="C453" s="78" t="s">
        <v>1401</v>
      </c>
      <c r="D453" s="7" t="s">
        <v>645</v>
      </c>
      <c r="E453" s="80" t="s">
        <v>1207</v>
      </c>
      <c r="F453" s="78">
        <v>214001</v>
      </c>
      <c r="G453" s="78" t="s">
        <v>1514</v>
      </c>
    </row>
    <row r="454" spans="1:7" x14ac:dyDescent="0.25">
      <c r="A454" s="5" t="s">
        <v>1512</v>
      </c>
      <c r="B454" s="78">
        <f t="shared" si="7"/>
        <v>214.51300000000001</v>
      </c>
      <c r="C454" s="78" t="s">
        <v>1402</v>
      </c>
      <c r="D454" s="7" t="s">
        <v>644</v>
      </c>
      <c r="E454" s="80" t="s">
        <v>1207</v>
      </c>
      <c r="F454" s="78">
        <v>214513</v>
      </c>
      <c r="G454" s="78" t="s">
        <v>1514</v>
      </c>
    </row>
    <row r="455" spans="1:7" x14ac:dyDescent="0.25">
      <c r="A455" s="5" t="s">
        <v>1512</v>
      </c>
      <c r="B455" s="78">
        <f t="shared" si="7"/>
        <v>214.99299999999999</v>
      </c>
      <c r="C455" s="78" t="s">
        <v>1403</v>
      </c>
      <c r="D455" s="7" t="s">
        <v>643</v>
      </c>
      <c r="E455" s="80" t="s">
        <v>1207</v>
      </c>
      <c r="F455" s="78">
        <v>214993</v>
      </c>
      <c r="G455" s="78" t="s">
        <v>1514</v>
      </c>
    </row>
    <row r="456" spans="1:7" x14ac:dyDescent="0.25">
      <c r="A456" s="5" t="s">
        <v>1512</v>
      </c>
      <c r="B456" s="78">
        <f t="shared" si="7"/>
        <v>215.51</v>
      </c>
      <c r="C456" s="78" t="s">
        <v>1404</v>
      </c>
      <c r="D456" s="7" t="s">
        <v>642</v>
      </c>
      <c r="E456" s="80" t="s">
        <v>1207</v>
      </c>
      <c r="F456" s="78">
        <v>215510</v>
      </c>
      <c r="G456" s="78" t="s">
        <v>1514</v>
      </c>
    </row>
    <row r="457" spans="1:7" x14ac:dyDescent="0.25">
      <c r="A457" s="5" t="s">
        <v>1512</v>
      </c>
      <c r="B457" s="78">
        <f t="shared" si="7"/>
        <v>215.99199999999999</v>
      </c>
      <c r="C457" s="78" t="s">
        <v>1405</v>
      </c>
      <c r="D457" s="7" t="s">
        <v>641</v>
      </c>
      <c r="E457" s="80" t="s">
        <v>1207</v>
      </c>
      <c r="F457" s="78">
        <v>215992</v>
      </c>
      <c r="G457" s="78" t="s">
        <v>1514</v>
      </c>
    </row>
    <row r="458" spans="1:7" x14ac:dyDescent="0.25">
      <c r="A458" s="5" t="s">
        <v>1512</v>
      </c>
      <c r="B458" s="78">
        <f t="shared" si="7"/>
        <v>216.49199999999999</v>
      </c>
      <c r="C458" s="78" t="s">
        <v>1406</v>
      </c>
      <c r="D458" s="7" t="s">
        <v>640</v>
      </c>
      <c r="E458" s="80" t="s">
        <v>1207</v>
      </c>
      <c r="F458" s="78">
        <v>216492</v>
      </c>
      <c r="G458" s="78" t="s">
        <v>1514</v>
      </c>
    </row>
    <row r="459" spans="1:7" x14ac:dyDescent="0.25">
      <c r="A459" s="5" t="s">
        <v>1512</v>
      </c>
      <c r="B459" s="78">
        <f t="shared" si="7"/>
        <v>216.97800000000001</v>
      </c>
      <c r="C459" s="78" t="s">
        <v>1407</v>
      </c>
      <c r="D459" s="7" t="s">
        <v>639</v>
      </c>
      <c r="E459" s="80" t="s">
        <v>1207</v>
      </c>
      <c r="F459" s="78">
        <v>216978</v>
      </c>
      <c r="G459" s="78" t="s">
        <v>1514</v>
      </c>
    </row>
    <row r="460" spans="1:7" x14ac:dyDescent="0.25">
      <c r="A460" s="5" t="s">
        <v>1512</v>
      </c>
      <c r="B460" s="78">
        <f t="shared" si="7"/>
        <v>217.477</v>
      </c>
      <c r="C460" s="78" t="s">
        <v>1408</v>
      </c>
      <c r="D460" s="7" t="s">
        <v>638</v>
      </c>
      <c r="E460" s="80" t="s">
        <v>1207</v>
      </c>
      <c r="F460" s="78">
        <v>217477</v>
      </c>
      <c r="G460" s="78" t="s">
        <v>1514</v>
      </c>
    </row>
    <row r="461" spans="1:7" x14ac:dyDescent="0.25">
      <c r="A461" s="5" t="s">
        <v>1512</v>
      </c>
      <c r="B461" s="78">
        <f t="shared" si="7"/>
        <v>217.86419000000001</v>
      </c>
      <c r="C461" s="78" t="s">
        <v>1409</v>
      </c>
      <c r="D461" s="7" t="s">
        <v>637</v>
      </c>
      <c r="E461" s="80" t="s">
        <v>1207</v>
      </c>
      <c r="F461" s="90">
        <v>217864.19</v>
      </c>
      <c r="G461" s="78" t="s">
        <v>1513</v>
      </c>
    </row>
    <row r="462" spans="1:7" x14ac:dyDescent="0.25">
      <c r="A462" s="5" t="s">
        <v>1512</v>
      </c>
      <c r="B462" s="78">
        <f t="shared" si="7"/>
        <v>218.23400000000001</v>
      </c>
      <c r="C462" s="78" t="s">
        <v>1410</v>
      </c>
      <c r="D462" s="7" t="s">
        <v>636</v>
      </c>
      <c r="E462" s="80" t="s">
        <v>1207</v>
      </c>
      <c r="F462" s="78">
        <v>218234</v>
      </c>
      <c r="G462" s="78" t="s">
        <v>1517</v>
      </c>
    </row>
    <row r="463" spans="1:7" x14ac:dyDescent="0.25">
      <c r="A463" s="5" t="s">
        <v>1512</v>
      </c>
      <c r="B463" s="78">
        <f t="shared" si="7"/>
        <v>218.71545</v>
      </c>
      <c r="C463" s="78" t="s">
        <v>1411</v>
      </c>
      <c r="D463" s="7" t="s">
        <v>635</v>
      </c>
      <c r="E463" s="80" t="s">
        <v>1207</v>
      </c>
      <c r="F463" s="78">
        <v>218715.45</v>
      </c>
      <c r="G463" s="78" t="s">
        <v>1517</v>
      </c>
    </row>
    <row r="464" spans="1:7" x14ac:dyDescent="0.25">
      <c r="A464" s="5" t="s">
        <v>1512</v>
      </c>
      <c r="B464" s="78">
        <f t="shared" si="7"/>
        <v>219.029</v>
      </c>
      <c r="C464" s="78" t="s">
        <v>1412</v>
      </c>
      <c r="D464" s="7" t="s">
        <v>634</v>
      </c>
      <c r="E464" s="80" t="s">
        <v>1207</v>
      </c>
      <c r="F464" s="78">
        <v>219029</v>
      </c>
      <c r="G464" s="78" t="s">
        <v>1514</v>
      </c>
    </row>
    <row r="465" spans="1:7" x14ac:dyDescent="0.25">
      <c r="A465" s="5" t="s">
        <v>1512</v>
      </c>
      <c r="B465" s="78">
        <f t="shared" si="7"/>
        <v>219.559</v>
      </c>
      <c r="C465" s="78" t="s">
        <v>1413</v>
      </c>
      <c r="D465" s="7" t="s">
        <v>633</v>
      </c>
      <c r="E465" s="80" t="s">
        <v>1207</v>
      </c>
      <c r="F465" s="78">
        <v>219559</v>
      </c>
      <c r="G465" s="78" t="s">
        <v>1514</v>
      </c>
    </row>
    <row r="466" spans="1:7" x14ac:dyDescent="0.25">
      <c r="A466" s="5" t="s">
        <v>1512</v>
      </c>
      <c r="B466" s="78">
        <f t="shared" si="7"/>
        <v>219.89243999999999</v>
      </c>
      <c r="C466" s="78" t="s">
        <v>1414</v>
      </c>
      <c r="D466" s="7" t="s">
        <v>632</v>
      </c>
      <c r="E466" s="80" t="s">
        <v>1207</v>
      </c>
      <c r="F466" s="78">
        <v>219892.44</v>
      </c>
      <c r="G466" s="78" t="s">
        <v>1513</v>
      </c>
    </row>
    <row r="467" spans="1:7" x14ac:dyDescent="0.25">
      <c r="A467" s="5" t="s">
        <v>1512</v>
      </c>
      <c r="B467" s="78">
        <f t="shared" si="7"/>
        <v>220.423</v>
      </c>
      <c r="C467" s="78" t="s">
        <v>1415</v>
      </c>
      <c r="D467" s="7" t="s">
        <v>631</v>
      </c>
      <c r="E467" s="80" t="s">
        <v>1207</v>
      </c>
      <c r="F467" s="78">
        <v>220423</v>
      </c>
      <c r="G467" s="78" t="s">
        <v>1514</v>
      </c>
    </row>
    <row r="468" spans="1:7" x14ac:dyDescent="0.25">
      <c r="A468" s="5" t="s">
        <v>1512</v>
      </c>
      <c r="B468" s="78">
        <f t="shared" si="7"/>
        <v>220.881</v>
      </c>
      <c r="C468" s="78" t="s">
        <v>1416</v>
      </c>
      <c r="D468" s="7" t="s">
        <v>630</v>
      </c>
      <c r="E468" s="80" t="s">
        <v>1207</v>
      </c>
      <c r="F468" s="78">
        <v>220881</v>
      </c>
      <c r="G468" s="78" t="s">
        <v>1514</v>
      </c>
    </row>
    <row r="469" spans="1:7" x14ac:dyDescent="0.25">
      <c r="A469" s="5" t="s">
        <v>1512</v>
      </c>
      <c r="B469" s="78">
        <f t="shared" si="7"/>
        <v>221.27977999999999</v>
      </c>
      <c r="C469" s="78" t="s">
        <v>1417</v>
      </c>
      <c r="D469" s="7" t="s">
        <v>629</v>
      </c>
      <c r="E469" s="80" t="s">
        <v>1207</v>
      </c>
      <c r="F469" s="78">
        <v>221279.78</v>
      </c>
      <c r="G469" s="78" t="s">
        <v>1515</v>
      </c>
    </row>
    <row r="470" spans="1:7" x14ac:dyDescent="0.25">
      <c r="A470" s="5" t="s">
        <v>1512</v>
      </c>
      <c r="B470" s="78">
        <f t="shared" si="7"/>
        <v>221.69</v>
      </c>
      <c r="C470" s="78" t="s">
        <v>1418</v>
      </c>
      <c r="D470" s="7" t="s">
        <v>628</v>
      </c>
      <c r="E470" s="80" t="s">
        <v>1207</v>
      </c>
      <c r="F470" s="78">
        <v>221690</v>
      </c>
      <c r="G470" s="78" t="s">
        <v>1514</v>
      </c>
    </row>
    <row r="471" spans="1:7" x14ac:dyDescent="0.25">
      <c r="A471" s="5" t="s">
        <v>1512</v>
      </c>
      <c r="B471" s="78">
        <f t="shared" si="7"/>
        <v>222.22499999999999</v>
      </c>
      <c r="C471" s="78" t="s">
        <v>1419</v>
      </c>
      <c r="D471" s="7" t="s">
        <v>627</v>
      </c>
      <c r="E471" s="80" t="s">
        <v>1207</v>
      </c>
      <c r="F471" s="78">
        <v>222225</v>
      </c>
      <c r="G471" s="78" t="s">
        <v>1514</v>
      </c>
    </row>
    <row r="472" spans="1:7" x14ac:dyDescent="0.25">
      <c r="A472" s="5" t="s">
        <v>1512</v>
      </c>
      <c r="B472" s="78">
        <f t="shared" si="7"/>
        <v>222.68298999999999</v>
      </c>
      <c r="C472" s="78" t="s">
        <v>1420</v>
      </c>
      <c r="D472" s="7" t="s">
        <v>626</v>
      </c>
      <c r="E472" s="80" t="s">
        <v>1207</v>
      </c>
      <c r="F472" s="78">
        <v>222682.99</v>
      </c>
      <c r="G472" s="78" t="s">
        <v>1517</v>
      </c>
    </row>
    <row r="473" spans="1:7" x14ac:dyDescent="0.25">
      <c r="A473" s="5" t="s">
        <v>1512</v>
      </c>
      <c r="B473" s="78">
        <f t="shared" si="7"/>
        <v>223.209</v>
      </c>
      <c r="C473" s="78" t="s">
        <v>1421</v>
      </c>
      <c r="D473" s="7" t="s">
        <v>625</v>
      </c>
      <c r="E473" s="80" t="s">
        <v>1208</v>
      </c>
      <c r="F473" s="78">
        <v>223209</v>
      </c>
      <c r="G473" s="78" t="s">
        <v>1518</v>
      </c>
    </row>
    <row r="474" spans="1:7" x14ac:dyDescent="0.25">
      <c r="A474" s="5" t="s">
        <v>1512</v>
      </c>
      <c r="B474" s="78">
        <f t="shared" si="7"/>
        <v>223.67</v>
      </c>
      <c r="C474" s="78" t="s">
        <v>1422</v>
      </c>
      <c r="D474" s="7" t="s">
        <v>624</v>
      </c>
      <c r="E474" s="80" t="s">
        <v>1209</v>
      </c>
      <c r="F474" s="78">
        <v>223670</v>
      </c>
      <c r="G474" s="78" t="s">
        <v>1514</v>
      </c>
    </row>
    <row r="475" spans="1:7" x14ac:dyDescent="0.25">
      <c r="A475" s="5" t="s">
        <v>1512</v>
      </c>
      <c r="B475" s="78">
        <f t="shared" si="7"/>
        <v>224.179</v>
      </c>
      <c r="C475" s="78" t="s">
        <v>1423</v>
      </c>
      <c r="D475" s="7" t="s">
        <v>623</v>
      </c>
      <c r="E475" s="80" t="s">
        <v>1209</v>
      </c>
      <c r="F475" s="78">
        <v>224179</v>
      </c>
      <c r="G475" s="78" t="s">
        <v>1514</v>
      </c>
    </row>
    <row r="476" spans="1:7" x14ac:dyDescent="0.25">
      <c r="A476" s="5" t="s">
        <v>1512</v>
      </c>
      <c r="B476" s="78">
        <f t="shared" si="7"/>
        <v>224.65899999999999</v>
      </c>
      <c r="C476" s="78" t="s">
        <v>1424</v>
      </c>
      <c r="D476" s="7" t="s">
        <v>622</v>
      </c>
      <c r="E476" s="80" t="s">
        <v>1209</v>
      </c>
      <c r="F476" s="78">
        <v>224659</v>
      </c>
      <c r="G476" s="78" t="s">
        <v>1514</v>
      </c>
    </row>
    <row r="477" spans="1:7" x14ac:dyDescent="0.25">
      <c r="A477" s="5" t="s">
        <v>1512</v>
      </c>
      <c r="B477" s="78">
        <f t="shared" si="7"/>
        <v>225.17099999999999</v>
      </c>
      <c r="C477" s="78" t="s">
        <v>1425</v>
      </c>
      <c r="D477" s="7" t="s">
        <v>621</v>
      </c>
      <c r="E477" s="80" t="s">
        <v>1209</v>
      </c>
      <c r="F477" s="78">
        <v>225171</v>
      </c>
      <c r="G477" s="78" t="s">
        <v>1514</v>
      </c>
    </row>
    <row r="478" spans="1:7" x14ac:dyDescent="0.25">
      <c r="A478" s="5" t="s">
        <v>1512</v>
      </c>
      <c r="B478" s="78">
        <f t="shared" si="7"/>
        <v>225.65600000000001</v>
      </c>
      <c r="C478" s="78" t="s">
        <v>1426</v>
      </c>
      <c r="D478" s="7" t="s">
        <v>620</v>
      </c>
      <c r="E478" s="80" t="s">
        <v>1209</v>
      </c>
      <c r="F478" s="78">
        <v>225656</v>
      </c>
      <c r="G478" s="78" t="s">
        <v>1514</v>
      </c>
    </row>
    <row r="479" spans="1:7" x14ac:dyDescent="0.25">
      <c r="A479" s="5" t="s">
        <v>1512</v>
      </c>
      <c r="B479" s="78">
        <f t="shared" si="7"/>
        <v>226.166</v>
      </c>
      <c r="C479" s="78" t="s">
        <v>1427</v>
      </c>
      <c r="D479" s="7" t="s">
        <v>619</v>
      </c>
      <c r="E479" s="80" t="s">
        <v>1209</v>
      </c>
      <c r="F479" s="78">
        <v>226166</v>
      </c>
      <c r="G479" s="78" t="s">
        <v>1514</v>
      </c>
    </row>
    <row r="480" spans="1:7" x14ac:dyDescent="0.25">
      <c r="A480" s="5" t="s">
        <v>1512</v>
      </c>
      <c r="B480" s="78">
        <f t="shared" si="7"/>
        <v>226.64599999999999</v>
      </c>
      <c r="C480" s="78" t="s">
        <v>1428</v>
      </c>
      <c r="D480" s="7" t="s">
        <v>618</v>
      </c>
      <c r="E480" s="80" t="s">
        <v>1209</v>
      </c>
      <c r="F480" s="78">
        <v>226646</v>
      </c>
      <c r="G480" s="78" t="s">
        <v>1514</v>
      </c>
    </row>
    <row r="481" spans="1:7" x14ac:dyDescent="0.25">
      <c r="A481" s="5" t="s">
        <v>1512</v>
      </c>
      <c r="B481" s="78">
        <f t="shared" si="7"/>
        <v>227.161</v>
      </c>
      <c r="C481" s="78" t="s">
        <v>1429</v>
      </c>
      <c r="D481" s="7" t="s">
        <v>617</v>
      </c>
      <c r="E481" s="80" t="s">
        <v>1209</v>
      </c>
      <c r="F481" s="78">
        <v>227161</v>
      </c>
      <c r="G481" s="78" t="s">
        <v>1514</v>
      </c>
    </row>
    <row r="482" spans="1:7" x14ac:dyDescent="0.25">
      <c r="A482" s="5" t="s">
        <v>1512</v>
      </c>
      <c r="B482" s="78">
        <f t="shared" si="7"/>
        <v>227.64099999999999</v>
      </c>
      <c r="C482" s="78" t="s">
        <v>1430</v>
      </c>
      <c r="D482" s="7" t="s">
        <v>616</v>
      </c>
      <c r="E482" s="80" t="s">
        <v>1209</v>
      </c>
      <c r="F482" s="78">
        <v>227641</v>
      </c>
      <c r="G482" s="78" t="s">
        <v>1514</v>
      </c>
    </row>
    <row r="483" spans="1:7" x14ac:dyDescent="0.25">
      <c r="A483" s="5" t="s">
        <v>1512</v>
      </c>
      <c r="B483" s="78">
        <f t="shared" si="7"/>
        <v>228.15600000000001</v>
      </c>
      <c r="C483" s="78" t="s">
        <v>1431</v>
      </c>
      <c r="D483" s="7" t="s">
        <v>615</v>
      </c>
      <c r="E483" s="80" t="s">
        <v>1209</v>
      </c>
      <c r="F483" s="78">
        <v>228156</v>
      </c>
      <c r="G483" s="78" t="s">
        <v>1517</v>
      </c>
    </row>
    <row r="484" spans="1:7" x14ac:dyDescent="0.25">
      <c r="A484" s="5" t="s">
        <v>1512</v>
      </c>
      <c r="B484" s="78">
        <f t="shared" si="7"/>
        <v>228.61799999999999</v>
      </c>
      <c r="C484" s="78" t="s">
        <v>1432</v>
      </c>
      <c r="D484" s="7" t="s">
        <v>614</v>
      </c>
      <c r="E484" s="80" t="s">
        <v>1209</v>
      </c>
      <c r="F484" s="78">
        <v>228618</v>
      </c>
      <c r="G484" s="78" t="s">
        <v>1514</v>
      </c>
    </row>
    <row r="485" spans="1:7" x14ac:dyDescent="0.25">
      <c r="A485" s="5" t="s">
        <v>1512</v>
      </c>
      <c r="B485" s="78">
        <f t="shared" si="7"/>
        <v>229.018</v>
      </c>
      <c r="C485" s="78" t="s">
        <v>1433</v>
      </c>
      <c r="D485" s="7" t="s">
        <v>613</v>
      </c>
      <c r="E485" s="80" t="s">
        <v>1209</v>
      </c>
      <c r="F485" s="78">
        <v>229018</v>
      </c>
      <c r="G485" s="78" t="s">
        <v>1514</v>
      </c>
    </row>
    <row r="486" spans="1:7" x14ac:dyDescent="0.25">
      <c r="A486" s="5" t="s">
        <v>1512</v>
      </c>
      <c r="B486" s="78">
        <f t="shared" si="7"/>
        <v>229.46799999999999</v>
      </c>
      <c r="C486" s="78" t="s">
        <v>1434</v>
      </c>
      <c r="D486" s="7" t="s">
        <v>612</v>
      </c>
      <c r="E486" s="80" t="s">
        <v>1209</v>
      </c>
      <c r="F486" s="78">
        <v>229468</v>
      </c>
      <c r="G486" s="78" t="s">
        <v>1514</v>
      </c>
    </row>
    <row r="487" spans="1:7" x14ac:dyDescent="0.25">
      <c r="A487" s="5" t="s">
        <v>1512</v>
      </c>
      <c r="B487" s="78">
        <f t="shared" si="7"/>
        <v>229.91451999999998</v>
      </c>
      <c r="C487" s="78" t="s">
        <v>1435</v>
      </c>
      <c r="D487" s="7" t="s">
        <v>611</v>
      </c>
      <c r="E487" s="80" t="s">
        <v>1209</v>
      </c>
      <c r="F487" s="78">
        <v>229914.52</v>
      </c>
      <c r="G487" s="78" t="s">
        <v>1514</v>
      </c>
    </row>
    <row r="488" spans="1:7" x14ac:dyDescent="0.25">
      <c r="A488" s="5" t="s">
        <v>1512</v>
      </c>
      <c r="B488" s="78">
        <f t="shared" si="7"/>
        <v>230.23751999999999</v>
      </c>
      <c r="C488" s="78" t="s">
        <v>1436</v>
      </c>
      <c r="D488" s="7" t="s">
        <v>610</v>
      </c>
      <c r="E488" s="80" t="s">
        <v>1209</v>
      </c>
      <c r="F488" s="78">
        <v>230237.52</v>
      </c>
      <c r="G488" s="78" t="s">
        <v>1514</v>
      </c>
    </row>
    <row r="489" spans="1:7" x14ac:dyDescent="0.25">
      <c r="A489" s="5" t="s">
        <v>1512</v>
      </c>
      <c r="B489" s="78">
        <f t="shared" si="7"/>
        <v>230.56052</v>
      </c>
      <c r="C489" s="78" t="s">
        <v>1437</v>
      </c>
      <c r="D489" s="7" t="s">
        <v>609</v>
      </c>
      <c r="E489" s="80" t="s">
        <v>1209</v>
      </c>
      <c r="F489" s="78">
        <v>230560.52</v>
      </c>
      <c r="G489" s="78" t="s">
        <v>1514</v>
      </c>
    </row>
    <row r="490" spans="1:7" x14ac:dyDescent="0.25">
      <c r="A490" s="5" t="s">
        <v>1512</v>
      </c>
      <c r="B490" s="78">
        <f t="shared" si="7"/>
        <v>230.88200000000001</v>
      </c>
      <c r="C490" s="78" t="s">
        <v>1438</v>
      </c>
      <c r="D490" s="7" t="s">
        <v>608</v>
      </c>
      <c r="E490" s="80" t="s">
        <v>1209</v>
      </c>
      <c r="F490" s="78">
        <v>230882</v>
      </c>
      <c r="G490" s="78" t="s">
        <v>1514</v>
      </c>
    </row>
    <row r="491" spans="1:7" x14ac:dyDescent="0.25">
      <c r="A491" s="5" t="s">
        <v>1512</v>
      </c>
      <c r="B491" s="78">
        <f t="shared" si="7"/>
        <v>231.387</v>
      </c>
      <c r="C491" s="78" t="s">
        <v>1439</v>
      </c>
      <c r="D491" s="7" t="s">
        <v>607</v>
      </c>
      <c r="E491" s="80" t="s">
        <v>1209</v>
      </c>
      <c r="F491" s="78">
        <v>231387</v>
      </c>
      <c r="G491" s="78" t="s">
        <v>1514</v>
      </c>
    </row>
    <row r="492" spans="1:7" x14ac:dyDescent="0.25">
      <c r="A492" s="5" t="s">
        <v>1512</v>
      </c>
      <c r="B492" s="78">
        <f t="shared" si="7"/>
        <v>231.87200000000001</v>
      </c>
      <c r="C492" s="78" t="s">
        <v>1440</v>
      </c>
      <c r="D492" s="7" t="s">
        <v>606</v>
      </c>
      <c r="E492" s="80" t="s">
        <v>1209</v>
      </c>
      <c r="F492" s="78">
        <v>231872</v>
      </c>
      <c r="G492" s="78" t="s">
        <v>1514</v>
      </c>
    </row>
    <row r="493" spans="1:7" x14ac:dyDescent="0.25">
      <c r="A493" s="5" t="s">
        <v>1512</v>
      </c>
      <c r="B493" s="78">
        <f t="shared" si="7"/>
        <v>232.36699999999999</v>
      </c>
      <c r="C493" s="78" t="s">
        <v>1441</v>
      </c>
      <c r="D493" s="7" t="s">
        <v>605</v>
      </c>
      <c r="E493" s="80" t="s">
        <v>1209</v>
      </c>
      <c r="F493" s="78">
        <v>232367</v>
      </c>
      <c r="G493" s="78" t="s">
        <v>1514</v>
      </c>
    </row>
    <row r="494" spans="1:7" x14ac:dyDescent="0.25">
      <c r="A494" s="5" t="s">
        <v>1512</v>
      </c>
      <c r="B494" s="78">
        <f t="shared" si="7"/>
        <v>232.86199999999999</v>
      </c>
      <c r="C494" s="78" t="s">
        <v>1442</v>
      </c>
      <c r="D494" s="7" t="s">
        <v>604</v>
      </c>
      <c r="E494" s="80" t="s">
        <v>1209</v>
      </c>
      <c r="F494" s="78">
        <v>232862</v>
      </c>
      <c r="G494" s="78" t="s">
        <v>1514</v>
      </c>
    </row>
    <row r="495" spans="1:7" x14ac:dyDescent="0.25">
      <c r="A495" s="5" t="s">
        <v>1512</v>
      </c>
      <c r="B495" s="78">
        <f t="shared" si="7"/>
        <v>233.36500000000001</v>
      </c>
      <c r="C495" s="78" t="s">
        <v>1443</v>
      </c>
      <c r="D495" s="7" t="s">
        <v>603</v>
      </c>
      <c r="E495" s="80" t="s">
        <v>1209</v>
      </c>
      <c r="F495" s="78">
        <v>233365</v>
      </c>
      <c r="G495" s="78" t="s">
        <v>1514</v>
      </c>
    </row>
    <row r="496" spans="1:7" x14ac:dyDescent="0.25">
      <c r="A496" s="5" t="s">
        <v>1512</v>
      </c>
      <c r="B496" s="78">
        <f t="shared" si="7"/>
        <v>233.84700000000001</v>
      </c>
      <c r="C496" s="78" t="s">
        <v>1444</v>
      </c>
      <c r="D496" s="7" t="s">
        <v>602</v>
      </c>
      <c r="E496" s="80" t="s">
        <v>1209</v>
      </c>
      <c r="F496" s="78">
        <v>233847</v>
      </c>
      <c r="G496" s="78" t="s">
        <v>1514</v>
      </c>
    </row>
    <row r="497" spans="1:7" x14ac:dyDescent="0.25">
      <c r="A497" s="5" t="s">
        <v>1512</v>
      </c>
      <c r="B497" s="78">
        <f t="shared" si="7"/>
        <v>234.292</v>
      </c>
      <c r="C497" s="78" t="s">
        <v>1445</v>
      </c>
      <c r="D497" s="7" t="s">
        <v>601</v>
      </c>
      <c r="E497" s="80" t="s">
        <v>1209</v>
      </c>
      <c r="F497" s="78">
        <v>234292</v>
      </c>
      <c r="G497" s="78" t="s">
        <v>1514</v>
      </c>
    </row>
    <row r="498" spans="1:7" x14ac:dyDescent="0.25">
      <c r="A498" s="5" t="s">
        <v>1512</v>
      </c>
      <c r="B498" s="78">
        <f t="shared" si="7"/>
        <v>234.762</v>
      </c>
      <c r="C498" s="78" t="s">
        <v>1446</v>
      </c>
      <c r="D498" s="7" t="s">
        <v>600</v>
      </c>
      <c r="E498" s="80" t="s">
        <v>1209</v>
      </c>
      <c r="F498" s="78">
        <v>234762</v>
      </c>
      <c r="G498" s="78" t="s">
        <v>1514</v>
      </c>
    </row>
    <row r="499" spans="1:7" x14ac:dyDescent="0.25">
      <c r="A499" s="5" t="s">
        <v>1512</v>
      </c>
      <c r="B499" s="78">
        <f t="shared" si="7"/>
        <v>235.01054000000002</v>
      </c>
      <c r="C499" s="78" t="s">
        <v>1447</v>
      </c>
      <c r="D499" s="7" t="s">
        <v>599</v>
      </c>
      <c r="E499" s="80" t="s">
        <v>1209</v>
      </c>
      <c r="F499" s="78">
        <v>235010.54</v>
      </c>
      <c r="G499" s="78" t="s">
        <v>1514</v>
      </c>
    </row>
    <row r="500" spans="1:7" x14ac:dyDescent="0.25">
      <c r="A500" s="5" t="s">
        <v>1512</v>
      </c>
      <c r="B500" s="78">
        <f t="shared" si="7"/>
        <v>235.38451000000001</v>
      </c>
      <c r="C500" s="78" t="s">
        <v>1448</v>
      </c>
      <c r="D500" s="7" t="s">
        <v>598</v>
      </c>
      <c r="E500" s="80" t="s">
        <v>1209</v>
      </c>
      <c r="F500" s="78">
        <v>235384.51</v>
      </c>
      <c r="G500" s="78" t="s">
        <v>1514</v>
      </c>
    </row>
    <row r="501" spans="1:7" x14ac:dyDescent="0.25">
      <c r="A501" s="5" t="s">
        <v>1512</v>
      </c>
      <c r="B501" s="78">
        <f t="shared" si="7"/>
        <v>235.75700000000001</v>
      </c>
      <c r="C501" s="78" t="s">
        <v>1449</v>
      </c>
      <c r="D501" s="7" t="s">
        <v>597</v>
      </c>
      <c r="E501" s="80" t="s">
        <v>1209</v>
      </c>
      <c r="F501" s="78">
        <v>235757</v>
      </c>
      <c r="G501" s="78" t="s">
        <v>1514</v>
      </c>
    </row>
    <row r="502" spans="1:7" x14ac:dyDescent="0.25">
      <c r="A502" s="5" t="s">
        <v>1512</v>
      </c>
      <c r="B502" s="78">
        <f t="shared" si="7"/>
        <v>236.24199999999999</v>
      </c>
      <c r="C502" s="78" t="s">
        <v>1450</v>
      </c>
      <c r="D502" s="7" t="s">
        <v>596</v>
      </c>
      <c r="E502" s="80" t="s">
        <v>1209</v>
      </c>
      <c r="F502" s="78">
        <v>236242</v>
      </c>
      <c r="G502" s="78" t="s">
        <v>1514</v>
      </c>
    </row>
    <row r="503" spans="1:7" x14ac:dyDescent="0.25">
      <c r="A503" s="5" t="s">
        <v>1512</v>
      </c>
      <c r="B503" s="78">
        <f t="shared" si="7"/>
        <v>236.75200000000001</v>
      </c>
      <c r="C503" s="78" t="s">
        <v>1451</v>
      </c>
      <c r="D503" s="7" t="s">
        <v>595</v>
      </c>
      <c r="E503" s="80" t="s">
        <v>1209</v>
      </c>
      <c r="F503" s="78">
        <v>236752</v>
      </c>
      <c r="G503" s="78" t="s">
        <v>1514</v>
      </c>
    </row>
    <row r="504" spans="1:7" x14ac:dyDescent="0.25">
      <c r="A504" s="5" t="s">
        <v>1512</v>
      </c>
      <c r="B504" s="78">
        <f t="shared" si="7"/>
        <v>237.22200000000001</v>
      </c>
      <c r="C504" s="78" t="s">
        <v>1452</v>
      </c>
      <c r="D504" s="7" t="s">
        <v>594</v>
      </c>
      <c r="E504" s="80" t="s">
        <v>1209</v>
      </c>
      <c r="F504" s="78">
        <v>237222</v>
      </c>
      <c r="G504" s="78" t="s">
        <v>1514</v>
      </c>
    </row>
    <row r="505" spans="1:7" x14ac:dyDescent="0.25">
      <c r="A505" s="5" t="s">
        <v>1512</v>
      </c>
      <c r="B505" s="78">
        <f t="shared" si="7"/>
        <v>237.751</v>
      </c>
      <c r="C505" s="78" t="s">
        <v>1453</v>
      </c>
      <c r="D505" s="7" t="s">
        <v>593</v>
      </c>
      <c r="E505" s="80" t="s">
        <v>1209</v>
      </c>
      <c r="F505" s="78">
        <v>237751</v>
      </c>
      <c r="G505" s="78" t="s">
        <v>1514</v>
      </c>
    </row>
    <row r="506" spans="1:7" x14ac:dyDescent="0.25">
      <c r="A506" s="5" t="s">
        <v>1512</v>
      </c>
      <c r="B506" s="78">
        <f t="shared" si="7"/>
        <v>238.21600000000001</v>
      </c>
      <c r="C506" s="78" t="s">
        <v>1454</v>
      </c>
      <c r="D506" s="7" t="s">
        <v>592</v>
      </c>
      <c r="E506" s="80" t="s">
        <v>1209</v>
      </c>
      <c r="F506" s="78">
        <v>238216</v>
      </c>
      <c r="G506" s="78" t="s">
        <v>1514</v>
      </c>
    </row>
    <row r="507" spans="1:7" x14ac:dyDescent="0.25">
      <c r="A507" s="5" t="s">
        <v>1512</v>
      </c>
      <c r="B507" s="78">
        <f t="shared" si="7"/>
        <v>238.73599999999999</v>
      </c>
      <c r="C507" s="78" t="s">
        <v>1455</v>
      </c>
      <c r="D507" s="7" t="s">
        <v>591</v>
      </c>
      <c r="E507" s="80" t="s">
        <v>1209</v>
      </c>
      <c r="F507" s="78">
        <v>238736</v>
      </c>
      <c r="G507" s="78" t="s">
        <v>1514</v>
      </c>
    </row>
    <row r="508" spans="1:7" x14ac:dyDescent="0.25">
      <c r="A508" s="5" t="s">
        <v>1512</v>
      </c>
      <c r="B508" s="78">
        <f t="shared" si="7"/>
        <v>239.21100000000001</v>
      </c>
      <c r="C508" s="78" t="s">
        <v>1456</v>
      </c>
      <c r="D508" s="7" t="s">
        <v>590</v>
      </c>
      <c r="E508" s="80" t="s">
        <v>1209</v>
      </c>
      <c r="F508" s="78">
        <v>239211</v>
      </c>
      <c r="G508" s="78" t="s">
        <v>1514</v>
      </c>
    </row>
    <row r="509" spans="1:7" x14ac:dyDescent="0.25">
      <c r="A509" s="5" t="s">
        <v>1512</v>
      </c>
      <c r="B509" s="78">
        <f t="shared" si="7"/>
        <v>239.732</v>
      </c>
      <c r="C509" s="78" t="s">
        <v>1457</v>
      </c>
      <c r="D509" s="7" t="s">
        <v>589</v>
      </c>
      <c r="E509" s="80" t="s">
        <v>1209</v>
      </c>
      <c r="F509" s="78">
        <v>239732</v>
      </c>
      <c r="G509" s="78" t="s">
        <v>1514</v>
      </c>
    </row>
    <row r="510" spans="1:7" x14ac:dyDescent="0.25">
      <c r="A510" s="5" t="s">
        <v>1512</v>
      </c>
      <c r="B510" s="78">
        <f t="shared" si="7"/>
        <v>240.06100000000001</v>
      </c>
      <c r="C510" s="78" t="s">
        <v>1458</v>
      </c>
      <c r="D510" s="7" t="s">
        <v>588</v>
      </c>
      <c r="E510" s="80" t="s">
        <v>1209</v>
      </c>
      <c r="F510" s="78">
        <v>240061</v>
      </c>
      <c r="G510" s="78" t="s">
        <v>1514</v>
      </c>
    </row>
    <row r="511" spans="1:7" x14ac:dyDescent="0.25">
      <c r="A511" s="5" t="s">
        <v>1512</v>
      </c>
      <c r="B511" s="78">
        <f t="shared" si="7"/>
        <v>240.48099999999999</v>
      </c>
      <c r="C511" s="78" t="s">
        <v>1459</v>
      </c>
      <c r="D511" s="7" t="s">
        <v>587</v>
      </c>
      <c r="E511" s="80" t="s">
        <v>1209</v>
      </c>
      <c r="F511" s="78">
        <v>240481</v>
      </c>
      <c r="G511" s="78" t="s">
        <v>1514</v>
      </c>
    </row>
    <row r="512" spans="1:7" x14ac:dyDescent="0.25">
      <c r="A512" s="5" t="s">
        <v>1512</v>
      </c>
      <c r="B512" s="78">
        <f t="shared" si="7"/>
        <v>240.95099999999999</v>
      </c>
      <c r="C512" s="78" t="s">
        <v>1460</v>
      </c>
      <c r="D512" s="7" t="s">
        <v>586</v>
      </c>
      <c r="E512" s="80" t="s">
        <v>1209</v>
      </c>
      <c r="F512" s="78">
        <v>240951</v>
      </c>
      <c r="G512" s="78" t="s">
        <v>1514</v>
      </c>
    </row>
    <row r="513" spans="1:7" x14ac:dyDescent="0.25">
      <c r="A513" s="5" t="s">
        <v>1512</v>
      </c>
      <c r="B513" s="78">
        <f t="shared" si="7"/>
        <v>241.45599999999999</v>
      </c>
      <c r="C513" s="78" t="s">
        <v>1461</v>
      </c>
      <c r="D513" s="7" t="s">
        <v>585</v>
      </c>
      <c r="E513" s="80" t="s">
        <v>1209</v>
      </c>
      <c r="F513" s="78">
        <v>241456</v>
      </c>
      <c r="G513" s="78" t="s">
        <v>1514</v>
      </c>
    </row>
    <row r="514" spans="1:7" x14ac:dyDescent="0.25">
      <c r="A514" s="5" t="s">
        <v>1512</v>
      </c>
      <c r="B514" s="78">
        <f t="shared" si="7"/>
        <v>241.84717000000001</v>
      </c>
      <c r="C514" s="78" t="s">
        <v>1462</v>
      </c>
      <c r="D514" s="7" t="s">
        <v>584</v>
      </c>
      <c r="E514" s="80" t="s">
        <v>1209</v>
      </c>
      <c r="F514" s="90">
        <v>241847.17</v>
      </c>
      <c r="G514" s="78" t="s">
        <v>1515</v>
      </c>
    </row>
    <row r="515" spans="1:7" x14ac:dyDescent="0.25">
      <c r="A515" s="5" t="s">
        <v>1512</v>
      </c>
      <c r="B515" s="78">
        <f t="shared" ref="B515:B563" si="8">F515/1000</f>
        <v>241.28899999999999</v>
      </c>
      <c r="C515" s="78" t="s">
        <v>1463</v>
      </c>
      <c r="D515" s="7" t="s">
        <v>583</v>
      </c>
      <c r="E515" s="80" t="s">
        <v>1209</v>
      </c>
      <c r="F515" s="78">
        <v>241289</v>
      </c>
      <c r="G515" s="78" t="s">
        <v>1514</v>
      </c>
    </row>
    <row r="516" spans="1:7" x14ac:dyDescent="0.25">
      <c r="A516" s="5" t="s">
        <v>1512</v>
      </c>
      <c r="B516" s="78">
        <f t="shared" si="8"/>
        <v>241.79400000000001</v>
      </c>
      <c r="C516" s="78" t="s">
        <v>1464</v>
      </c>
      <c r="D516" s="7" t="s">
        <v>582</v>
      </c>
      <c r="E516" s="80" t="s">
        <v>1209</v>
      </c>
      <c r="F516" s="78">
        <v>241794</v>
      </c>
      <c r="G516" s="78" t="s">
        <v>1514</v>
      </c>
    </row>
    <row r="517" spans="1:7" x14ac:dyDescent="0.25">
      <c r="A517" s="5" t="s">
        <v>1512</v>
      </c>
      <c r="B517" s="78">
        <f t="shared" si="8"/>
        <v>242.28800000000001</v>
      </c>
      <c r="C517" s="78" t="s">
        <v>1465</v>
      </c>
      <c r="D517" s="7" t="s">
        <v>581</v>
      </c>
      <c r="E517" s="80" t="s">
        <v>1209</v>
      </c>
      <c r="F517" s="78">
        <v>242288</v>
      </c>
      <c r="G517" s="78" t="s">
        <v>1514</v>
      </c>
    </row>
    <row r="518" spans="1:7" x14ac:dyDescent="0.25">
      <c r="A518" s="5" t="s">
        <v>1512</v>
      </c>
      <c r="B518" s="78">
        <f t="shared" si="8"/>
        <v>242.79300000000001</v>
      </c>
      <c r="C518" s="78" t="s">
        <v>1466</v>
      </c>
      <c r="D518" s="7" t="s">
        <v>580</v>
      </c>
      <c r="E518" s="80" t="s">
        <v>1209</v>
      </c>
      <c r="F518" s="78">
        <v>242793</v>
      </c>
      <c r="G518" s="78" t="s">
        <v>1514</v>
      </c>
    </row>
    <row r="519" spans="1:7" x14ac:dyDescent="0.25">
      <c r="A519" s="5" t="s">
        <v>1512</v>
      </c>
      <c r="B519" s="78">
        <f t="shared" si="8"/>
        <v>243.28</v>
      </c>
      <c r="C519" s="78" t="s">
        <v>1467</v>
      </c>
      <c r="D519" s="7" t="s">
        <v>579</v>
      </c>
      <c r="E519" s="80" t="s">
        <v>1209</v>
      </c>
      <c r="F519" s="78">
        <v>243280</v>
      </c>
      <c r="G519" s="78" t="s">
        <v>1514</v>
      </c>
    </row>
    <row r="520" spans="1:7" x14ac:dyDescent="0.25">
      <c r="A520" s="5" t="s">
        <v>1512</v>
      </c>
      <c r="B520" s="78">
        <f t="shared" si="8"/>
        <v>243.79</v>
      </c>
      <c r="C520" s="78" t="s">
        <v>1468</v>
      </c>
      <c r="D520" s="7" t="s">
        <v>578</v>
      </c>
      <c r="E520" s="80" t="s">
        <v>1209</v>
      </c>
      <c r="F520" s="78">
        <v>243790</v>
      </c>
      <c r="G520" s="78" t="s">
        <v>1514</v>
      </c>
    </row>
    <row r="521" spans="1:7" x14ac:dyDescent="0.25">
      <c r="A521" s="5" t="s">
        <v>1512</v>
      </c>
      <c r="B521" s="78">
        <f t="shared" si="8"/>
        <v>244.27600000000001</v>
      </c>
      <c r="C521" s="78" t="s">
        <v>1469</v>
      </c>
      <c r="D521" s="7" t="s">
        <v>577</v>
      </c>
      <c r="E521" s="80" t="s">
        <v>1209</v>
      </c>
      <c r="F521" s="78">
        <v>244276</v>
      </c>
      <c r="G521" s="78" t="s">
        <v>1514</v>
      </c>
    </row>
    <row r="522" spans="1:7" x14ac:dyDescent="0.25">
      <c r="A522" s="5" t="s">
        <v>1512</v>
      </c>
      <c r="B522" s="78">
        <f t="shared" si="8"/>
        <v>244.786</v>
      </c>
      <c r="C522" s="78" t="s">
        <v>1470</v>
      </c>
      <c r="D522" s="7" t="s">
        <v>576</v>
      </c>
      <c r="E522" s="80" t="s">
        <v>1209</v>
      </c>
      <c r="F522" s="78">
        <v>244786</v>
      </c>
      <c r="G522" s="78" t="s">
        <v>1514</v>
      </c>
    </row>
    <row r="523" spans="1:7" x14ac:dyDescent="0.25">
      <c r="A523" s="5" t="s">
        <v>1512</v>
      </c>
      <c r="B523" s="78">
        <f t="shared" si="8"/>
        <v>245.27500000000001</v>
      </c>
      <c r="C523" s="78" t="s">
        <v>1471</v>
      </c>
      <c r="D523" s="7" t="s">
        <v>575</v>
      </c>
      <c r="E523" s="80" t="s">
        <v>1209</v>
      </c>
      <c r="F523" s="78">
        <v>245275</v>
      </c>
      <c r="G523" s="78" t="s">
        <v>1514</v>
      </c>
    </row>
    <row r="524" spans="1:7" x14ac:dyDescent="0.25">
      <c r="A524" s="5" t="s">
        <v>1512</v>
      </c>
      <c r="B524" s="78">
        <f t="shared" si="8"/>
        <v>245.78200000000001</v>
      </c>
      <c r="C524" s="78" t="s">
        <v>1472</v>
      </c>
      <c r="D524" s="7" t="s">
        <v>574</v>
      </c>
      <c r="E524" s="80" t="s">
        <v>1209</v>
      </c>
      <c r="F524" s="78">
        <v>245782</v>
      </c>
      <c r="G524" s="78" t="s">
        <v>1514</v>
      </c>
    </row>
    <row r="525" spans="1:7" x14ac:dyDescent="0.25">
      <c r="A525" s="5" t="s">
        <v>1512</v>
      </c>
      <c r="B525" s="78">
        <f t="shared" si="8"/>
        <v>246.273</v>
      </c>
      <c r="C525" s="78" t="s">
        <v>1473</v>
      </c>
      <c r="D525" s="7" t="s">
        <v>573</v>
      </c>
      <c r="E525" s="80" t="s">
        <v>1209</v>
      </c>
      <c r="F525" s="78">
        <v>246273</v>
      </c>
      <c r="G525" s="78" t="s">
        <v>1514</v>
      </c>
    </row>
    <row r="526" spans="1:7" x14ac:dyDescent="0.25">
      <c r="A526" s="5" t="s">
        <v>1512</v>
      </c>
      <c r="B526" s="78">
        <f t="shared" si="8"/>
        <v>246.78100000000001</v>
      </c>
      <c r="C526" s="78" t="s">
        <v>1474</v>
      </c>
      <c r="D526" s="7" t="s">
        <v>572</v>
      </c>
      <c r="E526" s="80" t="s">
        <v>1209</v>
      </c>
      <c r="F526" s="78">
        <v>246781</v>
      </c>
      <c r="G526" s="78" t="s">
        <v>1514</v>
      </c>
    </row>
    <row r="527" spans="1:7" x14ac:dyDescent="0.25">
      <c r="A527" s="5" t="s">
        <v>1512</v>
      </c>
      <c r="B527" s="78">
        <f t="shared" si="8"/>
        <v>247.27</v>
      </c>
      <c r="C527" s="78" t="s">
        <v>1475</v>
      </c>
      <c r="D527" s="7" t="s">
        <v>571</v>
      </c>
      <c r="E527" s="80" t="s">
        <v>1209</v>
      </c>
      <c r="F527" s="78">
        <v>247270</v>
      </c>
      <c r="G527" s="78" t="s">
        <v>1514</v>
      </c>
    </row>
    <row r="528" spans="1:7" x14ac:dyDescent="0.25">
      <c r="A528" s="5" t="s">
        <v>1512</v>
      </c>
      <c r="B528" s="78">
        <f t="shared" si="8"/>
        <v>247.77500000000001</v>
      </c>
      <c r="C528" s="78" t="s">
        <v>1476</v>
      </c>
      <c r="D528" s="7" t="s">
        <v>570</v>
      </c>
      <c r="E528" s="80" t="s">
        <v>1209</v>
      </c>
      <c r="F528" s="78">
        <v>247775</v>
      </c>
      <c r="G528" s="78" t="s">
        <v>1514</v>
      </c>
    </row>
    <row r="529" spans="1:7" x14ac:dyDescent="0.25">
      <c r="A529" s="5" t="s">
        <v>1512</v>
      </c>
      <c r="B529" s="78">
        <f t="shared" si="8"/>
        <v>248.27199999999999</v>
      </c>
      <c r="C529" s="78" t="s">
        <v>1477</v>
      </c>
      <c r="D529" s="7" t="s">
        <v>569</v>
      </c>
      <c r="E529" s="80" t="s">
        <v>1209</v>
      </c>
      <c r="F529" s="78">
        <v>248272</v>
      </c>
      <c r="G529" s="78" t="s">
        <v>1514</v>
      </c>
    </row>
    <row r="530" spans="1:7" x14ac:dyDescent="0.25">
      <c r="A530" s="5" t="s">
        <v>1512</v>
      </c>
      <c r="B530" s="78">
        <f t="shared" si="8"/>
        <v>248.76</v>
      </c>
      <c r="C530" s="78" t="s">
        <v>1478</v>
      </c>
      <c r="D530" s="7" t="s">
        <v>568</v>
      </c>
      <c r="E530" s="80" t="s">
        <v>1209</v>
      </c>
      <c r="F530" s="78">
        <v>248760</v>
      </c>
      <c r="G530" s="78" t="s">
        <v>1514</v>
      </c>
    </row>
    <row r="531" spans="1:7" x14ac:dyDescent="0.25">
      <c r="A531" s="5" t="s">
        <v>1512</v>
      </c>
      <c r="B531" s="78">
        <f t="shared" si="8"/>
        <v>249.26</v>
      </c>
      <c r="C531" s="78" t="s">
        <v>1479</v>
      </c>
      <c r="D531" s="7" t="s">
        <v>567</v>
      </c>
      <c r="E531" s="80" t="s">
        <v>1209</v>
      </c>
      <c r="F531" s="78">
        <v>249260</v>
      </c>
      <c r="G531" s="78" t="s">
        <v>1514</v>
      </c>
    </row>
    <row r="532" spans="1:7" x14ac:dyDescent="0.25">
      <c r="A532" s="5" t="s">
        <v>1512</v>
      </c>
      <c r="B532" s="78">
        <f t="shared" si="8"/>
        <v>249.75800000000001</v>
      </c>
      <c r="C532" s="78" t="s">
        <v>1480</v>
      </c>
      <c r="D532" s="7" t="s">
        <v>566</v>
      </c>
      <c r="E532" s="80" t="s">
        <v>1209</v>
      </c>
      <c r="F532" s="78">
        <v>249758</v>
      </c>
      <c r="G532" s="78" t="s">
        <v>1514</v>
      </c>
    </row>
    <row r="533" spans="1:7" x14ac:dyDescent="0.25">
      <c r="A533" s="5" t="s">
        <v>1512</v>
      </c>
      <c r="B533" s="78">
        <f t="shared" si="8"/>
        <v>250.245</v>
      </c>
      <c r="C533" s="78" t="s">
        <v>1481</v>
      </c>
      <c r="D533" s="7" t="s">
        <v>565</v>
      </c>
      <c r="E533" s="80" t="s">
        <v>1209</v>
      </c>
      <c r="F533" s="78">
        <v>250245</v>
      </c>
      <c r="G533" s="78" t="s">
        <v>1514</v>
      </c>
    </row>
    <row r="534" spans="1:7" x14ac:dyDescent="0.25">
      <c r="A534" s="5" t="s">
        <v>1512</v>
      </c>
      <c r="B534" s="78">
        <f t="shared" si="8"/>
        <v>250.66499999999999</v>
      </c>
      <c r="C534" s="78" t="s">
        <v>1482</v>
      </c>
      <c r="D534" s="7" t="s">
        <v>564</v>
      </c>
      <c r="E534" s="80" t="s">
        <v>1209</v>
      </c>
      <c r="F534" s="78">
        <v>250665</v>
      </c>
      <c r="G534" s="78" t="s">
        <v>1517</v>
      </c>
    </row>
    <row r="535" spans="1:7" x14ac:dyDescent="0.25">
      <c r="A535" s="5" t="s">
        <v>1512</v>
      </c>
      <c r="B535" s="78">
        <f t="shared" si="8"/>
        <v>251.14260999999999</v>
      </c>
      <c r="C535" s="78" t="s">
        <v>1483</v>
      </c>
      <c r="D535" s="7" t="s">
        <v>563</v>
      </c>
      <c r="E535" s="80" t="s">
        <v>1209</v>
      </c>
      <c r="F535" s="78">
        <v>251142.61</v>
      </c>
      <c r="G535" s="78" t="s">
        <v>1517</v>
      </c>
    </row>
    <row r="536" spans="1:7" x14ac:dyDescent="0.25">
      <c r="A536" s="5" t="s">
        <v>1512</v>
      </c>
      <c r="B536" s="78">
        <f t="shared" si="8"/>
        <v>251.66300000000001</v>
      </c>
      <c r="C536" s="78" t="s">
        <v>1484</v>
      </c>
      <c r="D536" s="7" t="s">
        <v>562</v>
      </c>
      <c r="E536" s="80" t="s">
        <v>1209</v>
      </c>
      <c r="F536" s="78">
        <v>251663</v>
      </c>
      <c r="G536" s="78" t="s">
        <v>1516</v>
      </c>
    </row>
    <row r="537" spans="1:7" x14ac:dyDescent="0.25">
      <c r="A537" s="5" t="s">
        <v>1512</v>
      </c>
      <c r="B537" s="78">
        <f t="shared" si="8"/>
        <v>252.142</v>
      </c>
      <c r="C537" s="78" t="s">
        <v>1485</v>
      </c>
      <c r="D537" s="7" t="s">
        <v>561</v>
      </c>
      <c r="E537" s="80" t="s">
        <v>1209</v>
      </c>
      <c r="F537" s="78">
        <v>252142</v>
      </c>
      <c r="G537" s="78" t="s">
        <v>1514</v>
      </c>
    </row>
    <row r="538" spans="1:7" x14ac:dyDescent="0.25">
      <c r="A538" s="5" t="s">
        <v>1512</v>
      </c>
      <c r="B538" s="78">
        <f t="shared" si="8"/>
        <v>252.64699999999999</v>
      </c>
      <c r="C538" s="78" t="s">
        <v>1486</v>
      </c>
      <c r="D538" s="7" t="s">
        <v>560</v>
      </c>
      <c r="E538" s="80" t="s">
        <v>1209</v>
      </c>
      <c r="F538" s="78">
        <v>252647</v>
      </c>
      <c r="G538" s="78" t="s">
        <v>1514</v>
      </c>
    </row>
    <row r="539" spans="1:7" x14ac:dyDescent="0.25">
      <c r="A539" s="5" t="s">
        <v>1512</v>
      </c>
      <c r="B539" s="78">
        <f t="shared" si="8"/>
        <v>253.14099999999999</v>
      </c>
      <c r="C539" s="78" t="s">
        <v>1487</v>
      </c>
      <c r="D539" s="7" t="s">
        <v>559</v>
      </c>
      <c r="E539" s="80" t="s">
        <v>1209</v>
      </c>
      <c r="F539" s="78">
        <v>253141</v>
      </c>
      <c r="G539" s="78" t="s">
        <v>1514</v>
      </c>
    </row>
    <row r="540" spans="1:7" x14ac:dyDescent="0.25">
      <c r="A540" s="5" t="s">
        <v>1512</v>
      </c>
      <c r="B540" s="78">
        <f t="shared" si="8"/>
        <v>253.63399999999999</v>
      </c>
      <c r="C540" s="78" t="s">
        <v>1488</v>
      </c>
      <c r="D540" s="7" t="s">
        <v>558</v>
      </c>
      <c r="E540" s="80" t="s">
        <v>1209</v>
      </c>
      <c r="F540" s="78">
        <v>253634</v>
      </c>
      <c r="G540" s="78" t="s">
        <v>1514</v>
      </c>
    </row>
    <row r="541" spans="1:7" x14ac:dyDescent="0.25">
      <c r="A541" s="5" t="s">
        <v>1512</v>
      </c>
      <c r="B541" s="78">
        <f t="shared" si="8"/>
        <v>254.12899999999999</v>
      </c>
      <c r="C541" s="78" t="s">
        <v>1489</v>
      </c>
      <c r="D541" s="7" t="s">
        <v>557</v>
      </c>
      <c r="E541" s="80" t="s">
        <v>1209</v>
      </c>
      <c r="F541" s="78">
        <v>254129</v>
      </c>
      <c r="G541" s="78" t="s">
        <v>1514</v>
      </c>
    </row>
    <row r="542" spans="1:7" x14ac:dyDescent="0.25">
      <c r="A542" s="5" t="s">
        <v>1512</v>
      </c>
      <c r="B542" s="78">
        <f t="shared" si="8"/>
        <v>254.62899999999999</v>
      </c>
      <c r="C542" s="78" t="s">
        <v>1490</v>
      </c>
      <c r="D542" s="7" t="s">
        <v>556</v>
      </c>
      <c r="E542" s="80" t="s">
        <v>1209</v>
      </c>
      <c r="F542" s="78">
        <v>254629</v>
      </c>
      <c r="G542" s="78" t="s">
        <v>1514</v>
      </c>
    </row>
    <row r="543" spans="1:7" x14ac:dyDescent="0.25">
      <c r="A543" s="5" t="s">
        <v>1512</v>
      </c>
      <c r="B543" s="78">
        <f t="shared" si="8"/>
        <v>255.119</v>
      </c>
      <c r="C543" s="78" t="s">
        <v>1491</v>
      </c>
      <c r="D543" s="7" t="s">
        <v>555</v>
      </c>
      <c r="E543" s="80" t="s">
        <v>1209</v>
      </c>
      <c r="F543" s="78">
        <v>255119</v>
      </c>
      <c r="G543" s="78" t="s">
        <v>1514</v>
      </c>
    </row>
    <row r="544" spans="1:7" x14ac:dyDescent="0.25">
      <c r="A544" s="5" t="s">
        <v>1512</v>
      </c>
      <c r="B544" s="78">
        <f t="shared" si="8"/>
        <v>255.624</v>
      </c>
      <c r="C544" s="78" t="s">
        <v>1492</v>
      </c>
      <c r="D544" s="7" t="s">
        <v>554</v>
      </c>
      <c r="E544" s="80" t="s">
        <v>1209</v>
      </c>
      <c r="F544" s="78">
        <v>255624</v>
      </c>
      <c r="G544" s="78" t="s">
        <v>1514</v>
      </c>
    </row>
    <row r="545" spans="1:7" x14ac:dyDescent="0.25">
      <c r="A545" s="5" t="s">
        <v>1512</v>
      </c>
      <c r="B545" s="78">
        <f t="shared" si="8"/>
        <v>256.06887999999998</v>
      </c>
      <c r="C545" s="78" t="s">
        <v>1493</v>
      </c>
      <c r="D545" s="7" t="s">
        <v>553</v>
      </c>
      <c r="E545" s="80" t="s">
        <v>1209</v>
      </c>
      <c r="F545" s="78">
        <v>256068.88</v>
      </c>
      <c r="G545" s="78" t="s">
        <v>1515</v>
      </c>
    </row>
    <row r="546" spans="1:7" x14ac:dyDescent="0.25">
      <c r="A546" s="5" t="s">
        <v>1512</v>
      </c>
      <c r="B546" s="78">
        <f t="shared" si="8"/>
        <v>256.53399999999999</v>
      </c>
      <c r="C546" s="78" t="s">
        <v>1494</v>
      </c>
      <c r="D546" s="7" t="s">
        <v>552</v>
      </c>
      <c r="E546" s="80" t="s">
        <v>1209</v>
      </c>
      <c r="F546" s="78">
        <v>256534</v>
      </c>
      <c r="G546" s="78" t="s">
        <v>1514</v>
      </c>
    </row>
    <row r="547" spans="1:7" x14ac:dyDescent="0.25">
      <c r="A547" s="5" t="s">
        <v>1512</v>
      </c>
      <c r="B547" s="78">
        <f t="shared" si="8"/>
        <v>257.04399999999998</v>
      </c>
      <c r="C547" s="78" t="s">
        <v>1495</v>
      </c>
      <c r="D547" s="7" t="s">
        <v>551</v>
      </c>
      <c r="E547" s="80" t="s">
        <v>1209</v>
      </c>
      <c r="F547" s="78">
        <v>257044</v>
      </c>
      <c r="G547" s="78" t="s">
        <v>1514</v>
      </c>
    </row>
    <row r="548" spans="1:7" x14ac:dyDescent="0.25">
      <c r="A548" s="5" t="s">
        <v>1512</v>
      </c>
      <c r="B548" s="78">
        <f t="shared" si="8"/>
        <v>257.49400000000003</v>
      </c>
      <c r="C548" s="78" t="s">
        <v>1496</v>
      </c>
      <c r="D548" s="7" t="s">
        <v>550</v>
      </c>
      <c r="E548" s="80" t="s">
        <v>1209</v>
      </c>
      <c r="F548" s="78">
        <v>257494</v>
      </c>
      <c r="G548" s="78" t="s">
        <v>1514</v>
      </c>
    </row>
    <row r="549" spans="1:7" x14ac:dyDescent="0.25">
      <c r="A549" s="5" t="s">
        <v>1512</v>
      </c>
      <c r="B549" s="78">
        <f t="shared" si="8"/>
        <v>257.93900000000002</v>
      </c>
      <c r="C549" s="78" t="s">
        <v>1497</v>
      </c>
      <c r="D549" s="7" t="s">
        <v>549</v>
      </c>
      <c r="E549" s="80" t="s">
        <v>1209</v>
      </c>
      <c r="F549" s="78">
        <v>257939</v>
      </c>
      <c r="G549" s="78" t="s">
        <v>1514</v>
      </c>
    </row>
    <row r="550" spans="1:7" x14ac:dyDescent="0.25">
      <c r="A550" s="5" t="s">
        <v>1512</v>
      </c>
      <c r="B550" s="78">
        <f t="shared" si="8"/>
        <v>258.43700999999999</v>
      </c>
      <c r="C550" s="78" t="s">
        <v>1498</v>
      </c>
      <c r="D550" s="7" t="s">
        <v>548</v>
      </c>
      <c r="E550" s="80" t="s">
        <v>1209</v>
      </c>
      <c r="F550" s="78">
        <v>258437.01</v>
      </c>
      <c r="G550" s="78" t="s">
        <v>1515</v>
      </c>
    </row>
    <row r="551" spans="1:7" x14ac:dyDescent="0.25">
      <c r="A551" s="5" t="s">
        <v>1512</v>
      </c>
      <c r="B551" s="78">
        <f t="shared" si="8"/>
        <v>258.91206</v>
      </c>
      <c r="C551" s="78" t="s">
        <v>1499</v>
      </c>
      <c r="D551" s="7" t="s">
        <v>547</v>
      </c>
      <c r="E551" s="80" t="s">
        <v>1209</v>
      </c>
      <c r="F551" s="78">
        <v>258912.06</v>
      </c>
      <c r="G551" s="78" t="s">
        <v>1514</v>
      </c>
    </row>
    <row r="552" spans="1:7" x14ac:dyDescent="0.25">
      <c r="A552" s="5" t="s">
        <v>1512</v>
      </c>
      <c r="B552" s="78">
        <f t="shared" si="8"/>
        <v>259.41590000000002</v>
      </c>
      <c r="C552" s="78" t="s">
        <v>1500</v>
      </c>
      <c r="D552" s="7" t="s">
        <v>546</v>
      </c>
      <c r="E552" s="80" t="s">
        <v>1209</v>
      </c>
      <c r="F552" s="78">
        <v>259415.9</v>
      </c>
      <c r="G552" s="78" t="s">
        <v>1513</v>
      </c>
    </row>
    <row r="553" spans="1:7" x14ac:dyDescent="0.25">
      <c r="A553" s="5" t="s">
        <v>1512</v>
      </c>
      <c r="B553" s="78">
        <f t="shared" si="8"/>
        <v>259.55171999999999</v>
      </c>
      <c r="C553" s="78" t="s">
        <v>1501</v>
      </c>
      <c r="D553" s="7" t="s">
        <v>545</v>
      </c>
      <c r="E553" s="80" t="s">
        <v>1209</v>
      </c>
      <c r="F553" s="78">
        <v>259551.72</v>
      </c>
      <c r="G553" s="78" t="s">
        <v>1513</v>
      </c>
    </row>
    <row r="554" spans="1:7" x14ac:dyDescent="0.25">
      <c r="A554" s="5" t="s">
        <v>1512</v>
      </c>
      <c r="B554" s="78">
        <f t="shared" si="8"/>
        <v>259.95935000000003</v>
      </c>
      <c r="C554" s="78" t="s">
        <v>1502</v>
      </c>
      <c r="D554" s="7" t="s">
        <v>544</v>
      </c>
      <c r="E554" s="80" t="s">
        <v>1209</v>
      </c>
      <c r="F554" s="90">
        <v>259959.35</v>
      </c>
      <c r="G554" s="78" t="s">
        <v>1514</v>
      </c>
    </row>
    <row r="555" spans="1:7" x14ac:dyDescent="0.25">
      <c r="A555" s="5" t="s">
        <v>1512</v>
      </c>
      <c r="B555" s="78">
        <f t="shared" si="8"/>
        <v>260.06628999999998</v>
      </c>
      <c r="C555" s="78" t="s">
        <v>1503</v>
      </c>
      <c r="D555" s="7" t="s">
        <v>543</v>
      </c>
      <c r="E555" s="80" t="s">
        <v>1209</v>
      </c>
      <c r="F555" s="78">
        <v>260066.29</v>
      </c>
      <c r="G555" s="78" t="s">
        <v>1514</v>
      </c>
    </row>
    <row r="556" spans="1:7" x14ac:dyDescent="0.25">
      <c r="A556" s="5" t="s">
        <v>1512</v>
      </c>
      <c r="B556" s="78">
        <f t="shared" si="8"/>
        <v>260.56031000000002</v>
      </c>
      <c r="C556" s="78" t="s">
        <v>1504</v>
      </c>
      <c r="D556" s="7" t="s">
        <v>542</v>
      </c>
      <c r="E556" s="80" t="s">
        <v>1209</v>
      </c>
      <c r="F556" s="78">
        <v>260560.31</v>
      </c>
      <c r="G556" s="78" t="s">
        <v>1514</v>
      </c>
    </row>
    <row r="557" spans="1:7" x14ac:dyDescent="0.25">
      <c r="A557" s="5" t="s">
        <v>1512</v>
      </c>
      <c r="B557" s="78">
        <f t="shared" si="8"/>
        <v>261.012</v>
      </c>
      <c r="C557" s="78" t="s">
        <v>1505</v>
      </c>
      <c r="D557" s="7" t="s">
        <v>541</v>
      </c>
      <c r="E557" s="80" t="s">
        <v>1209</v>
      </c>
      <c r="F557" s="78">
        <v>261012</v>
      </c>
      <c r="G557" s="78" t="s">
        <v>1514</v>
      </c>
    </row>
    <row r="558" spans="1:7" x14ac:dyDescent="0.25">
      <c r="A558" s="5" t="s">
        <v>1512</v>
      </c>
      <c r="B558" s="78">
        <f t="shared" si="8"/>
        <v>261.46664000000004</v>
      </c>
      <c r="C558" s="78" t="s">
        <v>1506</v>
      </c>
      <c r="D558" s="7" t="s">
        <v>540</v>
      </c>
      <c r="E558" s="80" t="s">
        <v>1209</v>
      </c>
      <c r="F558" s="78">
        <v>261466.64</v>
      </c>
      <c r="G558" s="78" t="s">
        <v>1514</v>
      </c>
    </row>
    <row r="559" spans="1:7" x14ac:dyDescent="0.25">
      <c r="A559" s="5" t="s">
        <v>1512</v>
      </c>
      <c r="B559" s="78">
        <f t="shared" si="8"/>
        <v>261.65600000000001</v>
      </c>
      <c r="C559" s="78" t="s">
        <v>1507</v>
      </c>
      <c r="D559" s="7" t="s">
        <v>539</v>
      </c>
      <c r="E559" s="80" t="s">
        <v>1209</v>
      </c>
      <c r="F559" s="78">
        <v>261656</v>
      </c>
      <c r="G559" s="78" t="s">
        <v>1514</v>
      </c>
    </row>
    <row r="560" spans="1:7" x14ac:dyDescent="0.25">
      <c r="A560" s="5" t="s">
        <v>1512</v>
      </c>
      <c r="B560" s="78">
        <f t="shared" si="8"/>
        <v>262.16000000000003</v>
      </c>
      <c r="C560" s="78" t="s">
        <v>1508</v>
      </c>
      <c r="D560" s="7" t="s">
        <v>538</v>
      </c>
      <c r="E560" s="80" t="s">
        <v>1209</v>
      </c>
      <c r="F560" s="78">
        <v>262160</v>
      </c>
      <c r="G560" s="78" t="s">
        <v>1514</v>
      </c>
    </row>
    <row r="561" spans="1:7" x14ac:dyDescent="0.25">
      <c r="A561" s="5" t="s">
        <v>1512</v>
      </c>
      <c r="B561" s="78">
        <f t="shared" si="8"/>
        <v>262.60500000000002</v>
      </c>
      <c r="C561" s="78" t="s">
        <v>1509</v>
      </c>
      <c r="D561" s="7" t="s">
        <v>537</v>
      </c>
      <c r="E561" s="80" t="s">
        <v>1209</v>
      </c>
      <c r="F561" s="78">
        <v>262605</v>
      </c>
      <c r="G561" s="78" t="s">
        <v>1514</v>
      </c>
    </row>
    <row r="562" spans="1:7" x14ac:dyDescent="0.25">
      <c r="A562" s="5" t="s">
        <v>1512</v>
      </c>
      <c r="B562" s="78">
        <f t="shared" si="8"/>
        <v>262.88175999999999</v>
      </c>
      <c r="C562" s="78" t="s">
        <v>1510</v>
      </c>
      <c r="D562" s="7" t="s">
        <v>536</v>
      </c>
      <c r="E562" s="80" t="s">
        <v>1209</v>
      </c>
      <c r="F562" s="78">
        <v>262881.76</v>
      </c>
      <c r="G562" s="78" t="s">
        <v>1513</v>
      </c>
    </row>
    <row r="563" spans="1:7" x14ac:dyDescent="0.25">
      <c r="A563" s="5" t="s">
        <v>1512</v>
      </c>
      <c r="B563" s="78">
        <f t="shared" si="8"/>
        <v>262.97271999999998</v>
      </c>
      <c r="C563" s="78" t="s">
        <v>1220</v>
      </c>
      <c r="D563" s="7" t="s">
        <v>535</v>
      </c>
      <c r="F563" s="78">
        <v>262972.71999999997</v>
      </c>
    </row>
  </sheetData>
  <dataValidations count="3">
    <dataValidation type="textLength" allowBlank="1" showInputMessage="1" showErrorMessage="1" sqref="IP1:IQ1 SL1:SM1 ACH1:ACI1 AMD1:AME1 AVZ1:AWA1 BFV1:BFW1 BPR1:BPS1 BZN1:BZO1 CJJ1:CJK1 CTF1:CTG1 DDB1:DDC1 DMX1:DMY1 DWT1:DWU1 EGP1:EGQ1 EQL1:EQM1 FAH1:FAI1 FKD1:FKE1 FTZ1:FUA1 GDV1:GDW1 GNR1:GNS1 GXN1:GXO1 HHJ1:HHK1 HRF1:HRG1 IBB1:IBC1 IKX1:IKY1 IUT1:IUU1 JEP1:JEQ1 JOL1:JOM1 JYH1:JYI1 KID1:KIE1 KRZ1:KSA1 LBV1:LBW1 LLR1:LLS1 LVN1:LVO1 MFJ1:MFK1 MPF1:MPG1 MZB1:MZC1 NIX1:NIY1 NST1:NSU1 OCP1:OCQ1 OML1:OMM1 OWH1:OWI1 PGD1:PGE1 PPZ1:PQA1 PZV1:PZW1 QJR1:QJS1 QTN1:QTO1 RDJ1:RDK1 RNF1:RNG1 RXB1:RXC1 SGX1:SGY1 SQT1:SQU1 TAP1:TAQ1 TKL1:TKM1 TUH1:TUI1 UED1:UEE1 UNZ1:UOA1 UXV1:UXW1 VHR1:VHS1 VRN1:VRO1 WBJ1:WBK1 WLF1:WLG1 WVB1:WVC1 IP65290:IQ65290 SL65290:SM65290 ACH65290:ACI65290 AMD65290:AME65290 AVZ65290:AWA65290 BFV65290:BFW65290 BPR65290:BPS65290 BZN65290:BZO65290 CJJ65290:CJK65290 CTF65290:CTG65290 DDB65290:DDC65290 DMX65290:DMY65290 DWT65290:DWU65290 EGP65290:EGQ65290 EQL65290:EQM65290 FAH65290:FAI65290 FKD65290:FKE65290 FTZ65290:FUA65290 GDV65290:GDW65290 GNR65290:GNS65290 GXN65290:GXO65290 HHJ65290:HHK65290 HRF65290:HRG65290 IBB65290:IBC65290 IKX65290:IKY65290 IUT65290:IUU65290 JEP65290:JEQ65290 JOL65290:JOM65290 JYH65290:JYI65290 KID65290:KIE65290 KRZ65290:KSA65290 LBV65290:LBW65290 LLR65290:LLS65290 LVN65290:LVO65290 MFJ65290:MFK65290 MPF65290:MPG65290 MZB65290:MZC65290 NIX65290:NIY65290 NST65290:NSU65290 OCP65290:OCQ65290 OML65290:OMM65290 OWH65290:OWI65290 PGD65290:PGE65290 PPZ65290:PQA65290 PZV65290:PZW65290 QJR65290:QJS65290 QTN65290:QTO65290 RDJ65290:RDK65290 RNF65290:RNG65290 RXB65290:RXC65290 SGX65290:SGY65290 SQT65290:SQU65290 TAP65290:TAQ65290 TKL65290:TKM65290 TUH65290:TUI65290 UED65290:UEE65290 UNZ65290:UOA65290 UXV65290:UXW65290 VHR65290:VHS65290 VRN65290:VRO65290 WBJ65290:WBK65290 WLF65290:WLG65290 WVB65290:WVC65290 IP130826:IQ130826 SL130826:SM130826 ACH130826:ACI130826 AMD130826:AME130826 AVZ130826:AWA130826 BFV130826:BFW130826 BPR130826:BPS130826 BZN130826:BZO130826 CJJ130826:CJK130826 CTF130826:CTG130826 DDB130826:DDC130826 DMX130826:DMY130826 DWT130826:DWU130826 EGP130826:EGQ130826 EQL130826:EQM130826 FAH130826:FAI130826 FKD130826:FKE130826 FTZ130826:FUA130826 GDV130826:GDW130826 GNR130826:GNS130826 GXN130826:GXO130826 HHJ130826:HHK130826 HRF130826:HRG130826 IBB130826:IBC130826 IKX130826:IKY130826 IUT130826:IUU130826 JEP130826:JEQ130826 JOL130826:JOM130826 JYH130826:JYI130826 KID130826:KIE130826 KRZ130826:KSA130826 LBV130826:LBW130826 LLR130826:LLS130826 LVN130826:LVO130826 MFJ130826:MFK130826 MPF130826:MPG130826 MZB130826:MZC130826 NIX130826:NIY130826 NST130826:NSU130826 OCP130826:OCQ130826 OML130826:OMM130826 OWH130826:OWI130826 PGD130826:PGE130826 PPZ130826:PQA130826 PZV130826:PZW130826 QJR130826:QJS130826 QTN130826:QTO130826 RDJ130826:RDK130826 RNF130826:RNG130826 RXB130826:RXC130826 SGX130826:SGY130826 SQT130826:SQU130826 TAP130826:TAQ130826 TKL130826:TKM130826 TUH130826:TUI130826 UED130826:UEE130826 UNZ130826:UOA130826 UXV130826:UXW130826 VHR130826:VHS130826 VRN130826:VRO130826 WBJ130826:WBK130826 WLF130826:WLG130826 WVB130826:WVC130826 IP196362:IQ196362 SL196362:SM196362 ACH196362:ACI196362 AMD196362:AME196362 AVZ196362:AWA196362 BFV196362:BFW196362 BPR196362:BPS196362 BZN196362:BZO196362 CJJ196362:CJK196362 CTF196362:CTG196362 DDB196362:DDC196362 DMX196362:DMY196362 DWT196362:DWU196362 EGP196362:EGQ196362 EQL196362:EQM196362 FAH196362:FAI196362 FKD196362:FKE196362 FTZ196362:FUA196362 GDV196362:GDW196362 GNR196362:GNS196362 GXN196362:GXO196362 HHJ196362:HHK196362 HRF196362:HRG196362 IBB196362:IBC196362 IKX196362:IKY196362 IUT196362:IUU196362 JEP196362:JEQ196362 JOL196362:JOM196362 JYH196362:JYI196362 KID196362:KIE196362 KRZ196362:KSA196362 LBV196362:LBW196362 LLR196362:LLS196362 LVN196362:LVO196362 MFJ196362:MFK196362 MPF196362:MPG196362 MZB196362:MZC196362 NIX196362:NIY196362 NST196362:NSU196362 OCP196362:OCQ196362 OML196362:OMM196362 OWH196362:OWI196362 PGD196362:PGE196362 PPZ196362:PQA196362 PZV196362:PZW196362 QJR196362:QJS196362 QTN196362:QTO196362 RDJ196362:RDK196362 RNF196362:RNG196362 RXB196362:RXC196362 SGX196362:SGY196362 SQT196362:SQU196362 TAP196362:TAQ196362 TKL196362:TKM196362 TUH196362:TUI196362 UED196362:UEE196362 UNZ196362:UOA196362 UXV196362:UXW196362 VHR196362:VHS196362 VRN196362:VRO196362 WBJ196362:WBK196362 WLF196362:WLG196362 WVB196362:WVC196362 IP261898:IQ261898 SL261898:SM261898 ACH261898:ACI261898 AMD261898:AME261898 AVZ261898:AWA261898 BFV261898:BFW261898 BPR261898:BPS261898 BZN261898:BZO261898 CJJ261898:CJK261898 CTF261898:CTG261898 DDB261898:DDC261898 DMX261898:DMY261898 DWT261898:DWU261898 EGP261898:EGQ261898 EQL261898:EQM261898 FAH261898:FAI261898 FKD261898:FKE261898 FTZ261898:FUA261898 GDV261898:GDW261898 GNR261898:GNS261898 GXN261898:GXO261898 HHJ261898:HHK261898 HRF261898:HRG261898 IBB261898:IBC261898 IKX261898:IKY261898 IUT261898:IUU261898 JEP261898:JEQ261898 JOL261898:JOM261898 JYH261898:JYI261898 KID261898:KIE261898 KRZ261898:KSA261898 LBV261898:LBW261898 LLR261898:LLS261898 LVN261898:LVO261898 MFJ261898:MFK261898 MPF261898:MPG261898 MZB261898:MZC261898 NIX261898:NIY261898 NST261898:NSU261898 OCP261898:OCQ261898 OML261898:OMM261898 OWH261898:OWI261898 PGD261898:PGE261898 PPZ261898:PQA261898 PZV261898:PZW261898 QJR261898:QJS261898 QTN261898:QTO261898 RDJ261898:RDK261898 RNF261898:RNG261898 RXB261898:RXC261898 SGX261898:SGY261898 SQT261898:SQU261898 TAP261898:TAQ261898 TKL261898:TKM261898 TUH261898:TUI261898 UED261898:UEE261898 UNZ261898:UOA261898 UXV261898:UXW261898 VHR261898:VHS261898 VRN261898:VRO261898 WBJ261898:WBK261898 WLF261898:WLG261898 WVB261898:WVC261898 IP327434:IQ327434 SL327434:SM327434 ACH327434:ACI327434 AMD327434:AME327434 AVZ327434:AWA327434 BFV327434:BFW327434 BPR327434:BPS327434 BZN327434:BZO327434 CJJ327434:CJK327434 CTF327434:CTG327434 DDB327434:DDC327434 DMX327434:DMY327434 DWT327434:DWU327434 EGP327434:EGQ327434 EQL327434:EQM327434 FAH327434:FAI327434 FKD327434:FKE327434 FTZ327434:FUA327434 GDV327434:GDW327434 GNR327434:GNS327434 GXN327434:GXO327434 HHJ327434:HHK327434 HRF327434:HRG327434 IBB327434:IBC327434 IKX327434:IKY327434 IUT327434:IUU327434 JEP327434:JEQ327434 JOL327434:JOM327434 JYH327434:JYI327434 KID327434:KIE327434 KRZ327434:KSA327434 LBV327434:LBW327434 LLR327434:LLS327434 LVN327434:LVO327434 MFJ327434:MFK327434 MPF327434:MPG327434 MZB327434:MZC327434 NIX327434:NIY327434 NST327434:NSU327434 OCP327434:OCQ327434 OML327434:OMM327434 OWH327434:OWI327434 PGD327434:PGE327434 PPZ327434:PQA327434 PZV327434:PZW327434 QJR327434:QJS327434 QTN327434:QTO327434 RDJ327434:RDK327434 RNF327434:RNG327434 RXB327434:RXC327434 SGX327434:SGY327434 SQT327434:SQU327434 TAP327434:TAQ327434 TKL327434:TKM327434 TUH327434:TUI327434 UED327434:UEE327434 UNZ327434:UOA327434 UXV327434:UXW327434 VHR327434:VHS327434 VRN327434:VRO327434 WBJ327434:WBK327434 WLF327434:WLG327434 WVB327434:WVC327434 IP392970:IQ392970 SL392970:SM392970 ACH392970:ACI392970 AMD392970:AME392970 AVZ392970:AWA392970 BFV392970:BFW392970 BPR392970:BPS392970 BZN392970:BZO392970 CJJ392970:CJK392970 CTF392970:CTG392970 DDB392970:DDC392970 DMX392970:DMY392970 DWT392970:DWU392970 EGP392970:EGQ392970 EQL392970:EQM392970 FAH392970:FAI392970 FKD392970:FKE392970 FTZ392970:FUA392970 GDV392970:GDW392970 GNR392970:GNS392970 GXN392970:GXO392970 HHJ392970:HHK392970 HRF392970:HRG392970 IBB392970:IBC392970 IKX392970:IKY392970 IUT392970:IUU392970 JEP392970:JEQ392970 JOL392970:JOM392970 JYH392970:JYI392970 KID392970:KIE392970 KRZ392970:KSA392970 LBV392970:LBW392970 LLR392970:LLS392970 LVN392970:LVO392970 MFJ392970:MFK392970 MPF392970:MPG392970 MZB392970:MZC392970 NIX392970:NIY392970 NST392970:NSU392970 OCP392970:OCQ392970 OML392970:OMM392970 OWH392970:OWI392970 PGD392970:PGE392970 PPZ392970:PQA392970 PZV392970:PZW392970 QJR392970:QJS392970 QTN392970:QTO392970 RDJ392970:RDK392970 RNF392970:RNG392970 RXB392970:RXC392970 SGX392970:SGY392970 SQT392970:SQU392970 TAP392970:TAQ392970 TKL392970:TKM392970 TUH392970:TUI392970 UED392970:UEE392970 UNZ392970:UOA392970 UXV392970:UXW392970 VHR392970:VHS392970 VRN392970:VRO392970 WBJ392970:WBK392970 WLF392970:WLG392970 WVB392970:WVC392970 IP458506:IQ458506 SL458506:SM458506 ACH458506:ACI458506 AMD458506:AME458506 AVZ458506:AWA458506 BFV458506:BFW458506 BPR458506:BPS458506 BZN458506:BZO458506 CJJ458506:CJK458506 CTF458506:CTG458506 DDB458506:DDC458506 DMX458506:DMY458506 DWT458506:DWU458506 EGP458506:EGQ458506 EQL458506:EQM458506 FAH458506:FAI458506 FKD458506:FKE458506 FTZ458506:FUA458506 GDV458506:GDW458506 GNR458506:GNS458506 GXN458506:GXO458506 HHJ458506:HHK458506 HRF458506:HRG458506 IBB458506:IBC458506 IKX458506:IKY458506 IUT458506:IUU458506 JEP458506:JEQ458506 JOL458506:JOM458506 JYH458506:JYI458506 KID458506:KIE458506 KRZ458506:KSA458506 LBV458506:LBW458506 LLR458506:LLS458506 LVN458506:LVO458506 MFJ458506:MFK458506 MPF458506:MPG458506 MZB458506:MZC458506 NIX458506:NIY458506 NST458506:NSU458506 OCP458506:OCQ458506 OML458506:OMM458506 OWH458506:OWI458506 PGD458506:PGE458506 PPZ458506:PQA458506 PZV458506:PZW458506 QJR458506:QJS458506 QTN458506:QTO458506 RDJ458506:RDK458506 RNF458506:RNG458506 RXB458506:RXC458506 SGX458506:SGY458506 SQT458506:SQU458506 TAP458506:TAQ458506 TKL458506:TKM458506 TUH458506:TUI458506 UED458506:UEE458506 UNZ458506:UOA458506 UXV458506:UXW458506 VHR458506:VHS458506 VRN458506:VRO458506 WBJ458506:WBK458506 WLF458506:WLG458506 WVB458506:WVC458506 IP524042:IQ524042 SL524042:SM524042 ACH524042:ACI524042 AMD524042:AME524042 AVZ524042:AWA524042 BFV524042:BFW524042 BPR524042:BPS524042 BZN524042:BZO524042 CJJ524042:CJK524042 CTF524042:CTG524042 DDB524042:DDC524042 DMX524042:DMY524042 DWT524042:DWU524042 EGP524042:EGQ524042 EQL524042:EQM524042 FAH524042:FAI524042 FKD524042:FKE524042 FTZ524042:FUA524042 GDV524042:GDW524042 GNR524042:GNS524042 GXN524042:GXO524042 HHJ524042:HHK524042 HRF524042:HRG524042 IBB524042:IBC524042 IKX524042:IKY524042 IUT524042:IUU524042 JEP524042:JEQ524042 JOL524042:JOM524042 JYH524042:JYI524042 KID524042:KIE524042 KRZ524042:KSA524042 LBV524042:LBW524042 LLR524042:LLS524042 LVN524042:LVO524042 MFJ524042:MFK524042 MPF524042:MPG524042 MZB524042:MZC524042 NIX524042:NIY524042 NST524042:NSU524042 OCP524042:OCQ524042 OML524042:OMM524042 OWH524042:OWI524042 PGD524042:PGE524042 PPZ524042:PQA524042 PZV524042:PZW524042 QJR524042:QJS524042 QTN524042:QTO524042 RDJ524042:RDK524042 RNF524042:RNG524042 RXB524042:RXC524042 SGX524042:SGY524042 SQT524042:SQU524042 TAP524042:TAQ524042 TKL524042:TKM524042 TUH524042:TUI524042 UED524042:UEE524042 UNZ524042:UOA524042 UXV524042:UXW524042 VHR524042:VHS524042 VRN524042:VRO524042 WBJ524042:WBK524042 WLF524042:WLG524042 WVB524042:WVC524042 IP589578:IQ589578 SL589578:SM589578 ACH589578:ACI589578 AMD589578:AME589578 AVZ589578:AWA589578 BFV589578:BFW589578 BPR589578:BPS589578 BZN589578:BZO589578 CJJ589578:CJK589578 CTF589578:CTG589578 DDB589578:DDC589578 DMX589578:DMY589578 DWT589578:DWU589578 EGP589578:EGQ589578 EQL589578:EQM589578 FAH589578:FAI589578 FKD589578:FKE589578 FTZ589578:FUA589578 GDV589578:GDW589578 GNR589578:GNS589578 GXN589578:GXO589578 HHJ589578:HHK589578 HRF589578:HRG589578 IBB589578:IBC589578 IKX589578:IKY589578 IUT589578:IUU589578 JEP589578:JEQ589578 JOL589578:JOM589578 JYH589578:JYI589578 KID589578:KIE589578 KRZ589578:KSA589578 LBV589578:LBW589578 LLR589578:LLS589578 LVN589578:LVO589578 MFJ589578:MFK589578 MPF589578:MPG589578 MZB589578:MZC589578 NIX589578:NIY589578 NST589578:NSU589578 OCP589578:OCQ589578 OML589578:OMM589578 OWH589578:OWI589578 PGD589578:PGE589578 PPZ589578:PQA589578 PZV589578:PZW589578 QJR589578:QJS589578 QTN589578:QTO589578 RDJ589578:RDK589578 RNF589578:RNG589578 RXB589578:RXC589578 SGX589578:SGY589578 SQT589578:SQU589578 TAP589578:TAQ589578 TKL589578:TKM589578 TUH589578:TUI589578 UED589578:UEE589578 UNZ589578:UOA589578 UXV589578:UXW589578 VHR589578:VHS589578 VRN589578:VRO589578 WBJ589578:WBK589578 WLF589578:WLG589578 WVB589578:WVC589578 IP655114:IQ655114 SL655114:SM655114 ACH655114:ACI655114 AMD655114:AME655114 AVZ655114:AWA655114 BFV655114:BFW655114 BPR655114:BPS655114 BZN655114:BZO655114 CJJ655114:CJK655114 CTF655114:CTG655114 DDB655114:DDC655114 DMX655114:DMY655114 DWT655114:DWU655114 EGP655114:EGQ655114 EQL655114:EQM655114 FAH655114:FAI655114 FKD655114:FKE655114 FTZ655114:FUA655114 GDV655114:GDW655114 GNR655114:GNS655114 GXN655114:GXO655114 HHJ655114:HHK655114 HRF655114:HRG655114 IBB655114:IBC655114 IKX655114:IKY655114 IUT655114:IUU655114 JEP655114:JEQ655114 JOL655114:JOM655114 JYH655114:JYI655114 KID655114:KIE655114 KRZ655114:KSA655114 LBV655114:LBW655114 LLR655114:LLS655114 LVN655114:LVO655114 MFJ655114:MFK655114 MPF655114:MPG655114 MZB655114:MZC655114 NIX655114:NIY655114 NST655114:NSU655114 OCP655114:OCQ655114 OML655114:OMM655114 OWH655114:OWI655114 PGD655114:PGE655114 PPZ655114:PQA655114 PZV655114:PZW655114 QJR655114:QJS655114 QTN655114:QTO655114 RDJ655114:RDK655114 RNF655114:RNG655114 RXB655114:RXC655114 SGX655114:SGY655114 SQT655114:SQU655114 TAP655114:TAQ655114 TKL655114:TKM655114 TUH655114:TUI655114 UED655114:UEE655114 UNZ655114:UOA655114 UXV655114:UXW655114 VHR655114:VHS655114 VRN655114:VRO655114 WBJ655114:WBK655114 WLF655114:WLG655114 WVB655114:WVC655114 IP720650:IQ720650 SL720650:SM720650 ACH720650:ACI720650 AMD720650:AME720650 AVZ720650:AWA720650 BFV720650:BFW720650 BPR720650:BPS720650 BZN720650:BZO720650 CJJ720650:CJK720650 CTF720650:CTG720650 DDB720650:DDC720650 DMX720650:DMY720650 DWT720650:DWU720650 EGP720650:EGQ720650 EQL720650:EQM720650 FAH720650:FAI720650 FKD720650:FKE720650 FTZ720650:FUA720650 GDV720650:GDW720650 GNR720650:GNS720650 GXN720650:GXO720650 HHJ720650:HHK720650 HRF720650:HRG720650 IBB720650:IBC720650 IKX720650:IKY720650 IUT720650:IUU720650 JEP720650:JEQ720650 JOL720650:JOM720650 JYH720650:JYI720650 KID720650:KIE720650 KRZ720650:KSA720650 LBV720650:LBW720650 LLR720650:LLS720650 LVN720650:LVO720650 MFJ720650:MFK720650 MPF720650:MPG720650 MZB720650:MZC720650 NIX720650:NIY720650 NST720650:NSU720650 OCP720650:OCQ720650 OML720650:OMM720650 OWH720650:OWI720650 PGD720650:PGE720650 PPZ720650:PQA720650 PZV720650:PZW720650 QJR720650:QJS720650 QTN720650:QTO720650 RDJ720650:RDK720650 RNF720650:RNG720650 RXB720650:RXC720650 SGX720650:SGY720650 SQT720650:SQU720650 TAP720650:TAQ720650 TKL720650:TKM720650 TUH720650:TUI720650 UED720650:UEE720650 UNZ720650:UOA720650 UXV720650:UXW720650 VHR720650:VHS720650 VRN720650:VRO720650 WBJ720650:WBK720650 WLF720650:WLG720650 WVB720650:WVC720650 IP786186:IQ786186 SL786186:SM786186 ACH786186:ACI786186 AMD786186:AME786186 AVZ786186:AWA786186 BFV786186:BFW786186 BPR786186:BPS786186 BZN786186:BZO786186 CJJ786186:CJK786186 CTF786186:CTG786186 DDB786186:DDC786186 DMX786186:DMY786186 DWT786186:DWU786186 EGP786186:EGQ786186 EQL786186:EQM786186 FAH786186:FAI786186 FKD786186:FKE786186 FTZ786186:FUA786186 GDV786186:GDW786186 GNR786186:GNS786186 GXN786186:GXO786186 HHJ786186:HHK786186 HRF786186:HRG786186 IBB786186:IBC786186 IKX786186:IKY786186 IUT786186:IUU786186 JEP786186:JEQ786186 JOL786186:JOM786186 JYH786186:JYI786186 KID786186:KIE786186 KRZ786186:KSA786186 LBV786186:LBW786186 LLR786186:LLS786186 LVN786186:LVO786186 MFJ786186:MFK786186 MPF786186:MPG786186 MZB786186:MZC786186 NIX786186:NIY786186 NST786186:NSU786186 OCP786186:OCQ786186 OML786186:OMM786186 OWH786186:OWI786186 PGD786186:PGE786186 PPZ786186:PQA786186 PZV786186:PZW786186 QJR786186:QJS786186 QTN786186:QTO786186 RDJ786186:RDK786186 RNF786186:RNG786186 RXB786186:RXC786186 SGX786186:SGY786186 SQT786186:SQU786186 TAP786186:TAQ786186 TKL786186:TKM786186 TUH786186:TUI786186 UED786186:UEE786186 UNZ786186:UOA786186 UXV786186:UXW786186 VHR786186:VHS786186 VRN786186:VRO786186 WBJ786186:WBK786186 WLF786186:WLG786186 WVB786186:WVC786186 IP851722:IQ851722 SL851722:SM851722 ACH851722:ACI851722 AMD851722:AME851722 AVZ851722:AWA851722 BFV851722:BFW851722 BPR851722:BPS851722 BZN851722:BZO851722 CJJ851722:CJK851722 CTF851722:CTG851722 DDB851722:DDC851722 DMX851722:DMY851722 DWT851722:DWU851722 EGP851722:EGQ851722 EQL851722:EQM851722 FAH851722:FAI851722 FKD851722:FKE851722 FTZ851722:FUA851722 GDV851722:GDW851722 GNR851722:GNS851722 GXN851722:GXO851722 HHJ851722:HHK851722 HRF851722:HRG851722 IBB851722:IBC851722 IKX851722:IKY851722 IUT851722:IUU851722 JEP851722:JEQ851722 JOL851722:JOM851722 JYH851722:JYI851722 KID851722:KIE851722 KRZ851722:KSA851722 LBV851722:LBW851722 LLR851722:LLS851722 LVN851722:LVO851722 MFJ851722:MFK851722 MPF851722:MPG851722 MZB851722:MZC851722 NIX851722:NIY851722 NST851722:NSU851722 OCP851722:OCQ851722 OML851722:OMM851722 OWH851722:OWI851722 PGD851722:PGE851722 PPZ851722:PQA851722 PZV851722:PZW851722 QJR851722:QJS851722 QTN851722:QTO851722 RDJ851722:RDK851722 RNF851722:RNG851722 RXB851722:RXC851722 SGX851722:SGY851722 SQT851722:SQU851722 TAP851722:TAQ851722 TKL851722:TKM851722 TUH851722:TUI851722 UED851722:UEE851722 UNZ851722:UOA851722 UXV851722:UXW851722 VHR851722:VHS851722 VRN851722:VRO851722 WBJ851722:WBK851722 WLF851722:WLG851722 WVB851722:WVC851722 IP917258:IQ917258 SL917258:SM917258 ACH917258:ACI917258 AMD917258:AME917258 AVZ917258:AWA917258 BFV917258:BFW917258 BPR917258:BPS917258 BZN917258:BZO917258 CJJ917258:CJK917258 CTF917258:CTG917258 DDB917258:DDC917258 DMX917258:DMY917258 DWT917258:DWU917258 EGP917258:EGQ917258 EQL917258:EQM917258 FAH917258:FAI917258 FKD917258:FKE917258 FTZ917258:FUA917258 GDV917258:GDW917258 GNR917258:GNS917258 GXN917258:GXO917258 HHJ917258:HHK917258 HRF917258:HRG917258 IBB917258:IBC917258 IKX917258:IKY917258 IUT917258:IUU917258 JEP917258:JEQ917258 JOL917258:JOM917258 JYH917258:JYI917258 KID917258:KIE917258 KRZ917258:KSA917258 LBV917258:LBW917258 LLR917258:LLS917258 LVN917258:LVO917258 MFJ917258:MFK917258 MPF917258:MPG917258 MZB917258:MZC917258 NIX917258:NIY917258 NST917258:NSU917258 OCP917258:OCQ917258 OML917258:OMM917258 OWH917258:OWI917258 PGD917258:PGE917258 PPZ917258:PQA917258 PZV917258:PZW917258 QJR917258:QJS917258 QTN917258:QTO917258 RDJ917258:RDK917258 RNF917258:RNG917258 RXB917258:RXC917258 SGX917258:SGY917258 SQT917258:SQU917258 TAP917258:TAQ917258 TKL917258:TKM917258 TUH917258:TUI917258 UED917258:UEE917258 UNZ917258:UOA917258 UXV917258:UXW917258 VHR917258:VHS917258 VRN917258:VRO917258 WBJ917258:WBK917258 WLF917258:WLG917258 WVB917258:WVC917258 IP982794:IQ982794 SL982794:SM982794 ACH982794:ACI982794 AMD982794:AME982794 AVZ982794:AWA982794 BFV982794:BFW982794 BPR982794:BPS982794 BZN982794:BZO982794 CJJ982794:CJK982794 CTF982794:CTG982794 DDB982794:DDC982794 DMX982794:DMY982794 DWT982794:DWU982794 EGP982794:EGQ982794 EQL982794:EQM982794 FAH982794:FAI982794 FKD982794:FKE982794 FTZ982794:FUA982794 GDV982794:GDW982794 GNR982794:GNS982794 GXN982794:GXO982794 HHJ982794:HHK982794 HRF982794:HRG982794 IBB982794:IBC982794 IKX982794:IKY982794 IUT982794:IUU982794 JEP982794:JEQ982794 JOL982794:JOM982794 JYH982794:JYI982794 KID982794:KIE982794 KRZ982794:KSA982794 LBV982794:LBW982794 LLR982794:LLS982794 LVN982794:LVO982794 MFJ982794:MFK982794 MPF982794:MPG982794 MZB982794:MZC982794 NIX982794:NIY982794 NST982794:NSU982794 OCP982794:OCQ982794 OML982794:OMM982794 OWH982794:OWI982794 PGD982794:PGE982794 PPZ982794:PQA982794 PZV982794:PZW982794 QJR982794:QJS982794 QTN982794:QTO982794 RDJ982794:RDK982794 RNF982794:RNG982794 RXB982794:RXC982794 SGX982794:SGY982794 SQT982794:SQU982794 TAP982794:TAQ982794 TKL982794:TKM982794 TUH982794:TUI982794 UED982794:UEE982794 UNZ982794:UOA982794 UXV982794:UXW982794 VHR982794:VHS982794 VRN982794:VRO982794 WBJ982794:WBK982794 WLF982794:WLG982794 WVB982794:WVC982794" xr:uid="{97A07383-A3BA-4955-9353-2B536B733851}">
      <formula1>0</formula1>
      <formula2>50</formula2>
    </dataValidation>
    <dataValidation type="textLength" allowBlank="1" showInputMessage="1" showErrorMessage="1" sqref="WUT982794:WUU982794 IH1:II1 SD1:SE1 ABZ1:ACA1 ALV1:ALW1 AVR1:AVS1 BFN1:BFO1 BPJ1:BPK1 BZF1:BZG1 CJB1:CJC1 CSX1:CSY1 DCT1:DCU1 DMP1:DMQ1 DWL1:DWM1 EGH1:EGI1 EQD1:EQE1 EZZ1:FAA1 FJV1:FJW1 FTR1:FTS1 GDN1:GDO1 GNJ1:GNK1 GXF1:GXG1 HHB1:HHC1 HQX1:HQY1 IAT1:IAU1 IKP1:IKQ1 IUL1:IUM1 JEH1:JEI1 JOD1:JOE1 JXZ1:JYA1 KHV1:KHW1 KRR1:KRS1 LBN1:LBO1 LLJ1:LLK1 LVF1:LVG1 MFB1:MFC1 MOX1:MOY1 MYT1:MYU1 NIP1:NIQ1 NSL1:NSM1 OCH1:OCI1 OMD1:OME1 OVZ1:OWA1 PFV1:PFW1 PPR1:PPS1 PZN1:PZO1 QJJ1:QJK1 QTF1:QTG1 RDB1:RDC1 RMX1:RMY1 RWT1:RWU1 SGP1:SGQ1 SQL1:SQM1 TAH1:TAI1 TKD1:TKE1 TTZ1:TUA1 UDV1:UDW1 UNR1:UNS1 UXN1:UXO1 VHJ1:VHK1 VRF1:VRG1 WBB1:WBC1 WKX1:WKY1 WUT1:WUU1 A65290:B65290 IH65290:II65290 SD65290:SE65290 ABZ65290:ACA65290 ALV65290:ALW65290 AVR65290:AVS65290 BFN65290:BFO65290 BPJ65290:BPK65290 BZF65290:BZG65290 CJB65290:CJC65290 CSX65290:CSY65290 DCT65290:DCU65290 DMP65290:DMQ65290 DWL65290:DWM65290 EGH65290:EGI65290 EQD65290:EQE65290 EZZ65290:FAA65290 FJV65290:FJW65290 FTR65290:FTS65290 GDN65290:GDO65290 GNJ65290:GNK65290 GXF65290:GXG65290 HHB65290:HHC65290 HQX65290:HQY65290 IAT65290:IAU65290 IKP65290:IKQ65290 IUL65290:IUM65290 JEH65290:JEI65290 JOD65290:JOE65290 JXZ65290:JYA65290 KHV65290:KHW65290 KRR65290:KRS65290 LBN65290:LBO65290 LLJ65290:LLK65290 LVF65290:LVG65290 MFB65290:MFC65290 MOX65290:MOY65290 MYT65290:MYU65290 NIP65290:NIQ65290 NSL65290:NSM65290 OCH65290:OCI65290 OMD65290:OME65290 OVZ65290:OWA65290 PFV65290:PFW65290 PPR65290:PPS65290 PZN65290:PZO65290 QJJ65290:QJK65290 QTF65290:QTG65290 RDB65290:RDC65290 RMX65290:RMY65290 RWT65290:RWU65290 SGP65290:SGQ65290 SQL65290:SQM65290 TAH65290:TAI65290 TKD65290:TKE65290 TTZ65290:TUA65290 UDV65290:UDW65290 UNR65290:UNS65290 UXN65290:UXO65290 VHJ65290:VHK65290 VRF65290:VRG65290 WBB65290:WBC65290 WKX65290:WKY65290 WUT65290:WUU65290 A130826:B130826 IH130826:II130826 SD130826:SE130826 ABZ130826:ACA130826 ALV130826:ALW130826 AVR130826:AVS130826 BFN130826:BFO130826 BPJ130826:BPK130826 BZF130826:BZG130826 CJB130826:CJC130826 CSX130826:CSY130826 DCT130826:DCU130826 DMP130826:DMQ130826 DWL130826:DWM130826 EGH130826:EGI130826 EQD130826:EQE130826 EZZ130826:FAA130826 FJV130826:FJW130826 FTR130826:FTS130826 GDN130826:GDO130826 GNJ130826:GNK130826 GXF130826:GXG130826 HHB130826:HHC130826 HQX130826:HQY130826 IAT130826:IAU130826 IKP130826:IKQ130826 IUL130826:IUM130826 JEH130826:JEI130826 JOD130826:JOE130826 JXZ130826:JYA130826 KHV130826:KHW130826 KRR130826:KRS130826 LBN130826:LBO130826 LLJ130826:LLK130826 LVF130826:LVG130826 MFB130826:MFC130826 MOX130826:MOY130826 MYT130826:MYU130826 NIP130826:NIQ130826 NSL130826:NSM130826 OCH130826:OCI130826 OMD130826:OME130826 OVZ130826:OWA130826 PFV130826:PFW130826 PPR130826:PPS130826 PZN130826:PZO130826 QJJ130826:QJK130826 QTF130826:QTG130826 RDB130826:RDC130826 RMX130826:RMY130826 RWT130826:RWU130826 SGP130826:SGQ130826 SQL130826:SQM130826 TAH130826:TAI130826 TKD130826:TKE130826 TTZ130826:TUA130826 UDV130826:UDW130826 UNR130826:UNS130826 UXN130826:UXO130826 VHJ130826:VHK130826 VRF130826:VRG130826 WBB130826:WBC130826 WKX130826:WKY130826 WUT130826:WUU130826 A196362:B196362 IH196362:II196362 SD196362:SE196362 ABZ196362:ACA196362 ALV196362:ALW196362 AVR196362:AVS196362 BFN196362:BFO196362 BPJ196362:BPK196362 BZF196362:BZG196362 CJB196362:CJC196362 CSX196362:CSY196362 DCT196362:DCU196362 DMP196362:DMQ196362 DWL196362:DWM196362 EGH196362:EGI196362 EQD196362:EQE196362 EZZ196362:FAA196362 FJV196362:FJW196362 FTR196362:FTS196362 GDN196362:GDO196362 GNJ196362:GNK196362 GXF196362:GXG196362 HHB196362:HHC196362 HQX196362:HQY196362 IAT196362:IAU196362 IKP196362:IKQ196362 IUL196362:IUM196362 JEH196362:JEI196362 JOD196362:JOE196362 JXZ196362:JYA196362 KHV196362:KHW196362 KRR196362:KRS196362 LBN196362:LBO196362 LLJ196362:LLK196362 LVF196362:LVG196362 MFB196362:MFC196362 MOX196362:MOY196362 MYT196362:MYU196362 NIP196362:NIQ196362 NSL196362:NSM196362 OCH196362:OCI196362 OMD196362:OME196362 OVZ196362:OWA196362 PFV196362:PFW196362 PPR196362:PPS196362 PZN196362:PZO196362 QJJ196362:QJK196362 QTF196362:QTG196362 RDB196362:RDC196362 RMX196362:RMY196362 RWT196362:RWU196362 SGP196362:SGQ196362 SQL196362:SQM196362 TAH196362:TAI196362 TKD196362:TKE196362 TTZ196362:TUA196362 UDV196362:UDW196362 UNR196362:UNS196362 UXN196362:UXO196362 VHJ196362:VHK196362 VRF196362:VRG196362 WBB196362:WBC196362 WKX196362:WKY196362 WUT196362:WUU196362 A261898:B261898 IH261898:II261898 SD261898:SE261898 ABZ261898:ACA261898 ALV261898:ALW261898 AVR261898:AVS261898 BFN261898:BFO261898 BPJ261898:BPK261898 BZF261898:BZG261898 CJB261898:CJC261898 CSX261898:CSY261898 DCT261898:DCU261898 DMP261898:DMQ261898 DWL261898:DWM261898 EGH261898:EGI261898 EQD261898:EQE261898 EZZ261898:FAA261898 FJV261898:FJW261898 FTR261898:FTS261898 GDN261898:GDO261898 GNJ261898:GNK261898 GXF261898:GXG261898 HHB261898:HHC261898 HQX261898:HQY261898 IAT261898:IAU261898 IKP261898:IKQ261898 IUL261898:IUM261898 JEH261898:JEI261898 JOD261898:JOE261898 JXZ261898:JYA261898 KHV261898:KHW261898 KRR261898:KRS261898 LBN261898:LBO261898 LLJ261898:LLK261898 LVF261898:LVG261898 MFB261898:MFC261898 MOX261898:MOY261898 MYT261898:MYU261898 NIP261898:NIQ261898 NSL261898:NSM261898 OCH261898:OCI261898 OMD261898:OME261898 OVZ261898:OWA261898 PFV261898:PFW261898 PPR261898:PPS261898 PZN261898:PZO261898 QJJ261898:QJK261898 QTF261898:QTG261898 RDB261898:RDC261898 RMX261898:RMY261898 RWT261898:RWU261898 SGP261898:SGQ261898 SQL261898:SQM261898 TAH261898:TAI261898 TKD261898:TKE261898 TTZ261898:TUA261898 UDV261898:UDW261898 UNR261898:UNS261898 UXN261898:UXO261898 VHJ261898:VHK261898 VRF261898:VRG261898 WBB261898:WBC261898 WKX261898:WKY261898 WUT261898:WUU261898 A327434:B327434 IH327434:II327434 SD327434:SE327434 ABZ327434:ACA327434 ALV327434:ALW327434 AVR327434:AVS327434 BFN327434:BFO327434 BPJ327434:BPK327434 BZF327434:BZG327434 CJB327434:CJC327434 CSX327434:CSY327434 DCT327434:DCU327434 DMP327434:DMQ327434 DWL327434:DWM327434 EGH327434:EGI327434 EQD327434:EQE327434 EZZ327434:FAA327434 FJV327434:FJW327434 FTR327434:FTS327434 GDN327434:GDO327434 GNJ327434:GNK327434 GXF327434:GXG327434 HHB327434:HHC327434 HQX327434:HQY327434 IAT327434:IAU327434 IKP327434:IKQ327434 IUL327434:IUM327434 JEH327434:JEI327434 JOD327434:JOE327434 JXZ327434:JYA327434 KHV327434:KHW327434 KRR327434:KRS327434 LBN327434:LBO327434 LLJ327434:LLK327434 LVF327434:LVG327434 MFB327434:MFC327434 MOX327434:MOY327434 MYT327434:MYU327434 NIP327434:NIQ327434 NSL327434:NSM327434 OCH327434:OCI327434 OMD327434:OME327434 OVZ327434:OWA327434 PFV327434:PFW327434 PPR327434:PPS327434 PZN327434:PZO327434 QJJ327434:QJK327434 QTF327434:QTG327434 RDB327434:RDC327434 RMX327434:RMY327434 RWT327434:RWU327434 SGP327434:SGQ327434 SQL327434:SQM327434 TAH327434:TAI327434 TKD327434:TKE327434 TTZ327434:TUA327434 UDV327434:UDW327434 UNR327434:UNS327434 UXN327434:UXO327434 VHJ327434:VHK327434 VRF327434:VRG327434 WBB327434:WBC327434 WKX327434:WKY327434 WUT327434:WUU327434 A392970:B392970 IH392970:II392970 SD392970:SE392970 ABZ392970:ACA392970 ALV392970:ALW392970 AVR392970:AVS392970 BFN392970:BFO392970 BPJ392970:BPK392970 BZF392970:BZG392970 CJB392970:CJC392970 CSX392970:CSY392970 DCT392970:DCU392970 DMP392970:DMQ392970 DWL392970:DWM392970 EGH392970:EGI392970 EQD392970:EQE392970 EZZ392970:FAA392970 FJV392970:FJW392970 FTR392970:FTS392970 GDN392970:GDO392970 GNJ392970:GNK392970 GXF392970:GXG392970 HHB392970:HHC392970 HQX392970:HQY392970 IAT392970:IAU392970 IKP392970:IKQ392970 IUL392970:IUM392970 JEH392970:JEI392970 JOD392970:JOE392970 JXZ392970:JYA392970 KHV392970:KHW392970 KRR392970:KRS392970 LBN392970:LBO392970 LLJ392970:LLK392970 LVF392970:LVG392970 MFB392970:MFC392970 MOX392970:MOY392970 MYT392970:MYU392970 NIP392970:NIQ392970 NSL392970:NSM392970 OCH392970:OCI392970 OMD392970:OME392970 OVZ392970:OWA392970 PFV392970:PFW392970 PPR392970:PPS392970 PZN392970:PZO392970 QJJ392970:QJK392970 QTF392970:QTG392970 RDB392970:RDC392970 RMX392970:RMY392970 RWT392970:RWU392970 SGP392970:SGQ392970 SQL392970:SQM392970 TAH392970:TAI392970 TKD392970:TKE392970 TTZ392970:TUA392970 UDV392970:UDW392970 UNR392970:UNS392970 UXN392970:UXO392970 VHJ392970:VHK392970 VRF392970:VRG392970 WBB392970:WBC392970 WKX392970:WKY392970 WUT392970:WUU392970 A458506:B458506 IH458506:II458506 SD458506:SE458506 ABZ458506:ACA458506 ALV458506:ALW458506 AVR458506:AVS458506 BFN458506:BFO458506 BPJ458506:BPK458506 BZF458506:BZG458506 CJB458506:CJC458506 CSX458506:CSY458506 DCT458506:DCU458506 DMP458506:DMQ458506 DWL458506:DWM458506 EGH458506:EGI458506 EQD458506:EQE458506 EZZ458506:FAA458506 FJV458506:FJW458506 FTR458506:FTS458506 GDN458506:GDO458506 GNJ458506:GNK458506 GXF458506:GXG458506 HHB458506:HHC458506 HQX458506:HQY458506 IAT458506:IAU458506 IKP458506:IKQ458506 IUL458506:IUM458506 JEH458506:JEI458506 JOD458506:JOE458506 JXZ458506:JYA458506 KHV458506:KHW458506 KRR458506:KRS458506 LBN458506:LBO458506 LLJ458506:LLK458506 LVF458506:LVG458506 MFB458506:MFC458506 MOX458506:MOY458506 MYT458506:MYU458506 NIP458506:NIQ458506 NSL458506:NSM458506 OCH458506:OCI458506 OMD458506:OME458506 OVZ458506:OWA458506 PFV458506:PFW458506 PPR458506:PPS458506 PZN458506:PZO458506 QJJ458506:QJK458506 QTF458506:QTG458506 RDB458506:RDC458506 RMX458506:RMY458506 RWT458506:RWU458506 SGP458506:SGQ458506 SQL458506:SQM458506 TAH458506:TAI458506 TKD458506:TKE458506 TTZ458506:TUA458506 UDV458506:UDW458506 UNR458506:UNS458506 UXN458506:UXO458506 VHJ458506:VHK458506 VRF458506:VRG458506 WBB458506:WBC458506 WKX458506:WKY458506 WUT458506:WUU458506 A524042:B524042 IH524042:II524042 SD524042:SE524042 ABZ524042:ACA524042 ALV524042:ALW524042 AVR524042:AVS524042 BFN524042:BFO524042 BPJ524042:BPK524042 BZF524042:BZG524042 CJB524042:CJC524042 CSX524042:CSY524042 DCT524042:DCU524042 DMP524042:DMQ524042 DWL524042:DWM524042 EGH524042:EGI524042 EQD524042:EQE524042 EZZ524042:FAA524042 FJV524042:FJW524042 FTR524042:FTS524042 GDN524042:GDO524042 GNJ524042:GNK524042 GXF524042:GXG524042 HHB524042:HHC524042 HQX524042:HQY524042 IAT524042:IAU524042 IKP524042:IKQ524042 IUL524042:IUM524042 JEH524042:JEI524042 JOD524042:JOE524042 JXZ524042:JYA524042 KHV524042:KHW524042 KRR524042:KRS524042 LBN524042:LBO524042 LLJ524042:LLK524042 LVF524042:LVG524042 MFB524042:MFC524042 MOX524042:MOY524042 MYT524042:MYU524042 NIP524042:NIQ524042 NSL524042:NSM524042 OCH524042:OCI524042 OMD524042:OME524042 OVZ524042:OWA524042 PFV524042:PFW524042 PPR524042:PPS524042 PZN524042:PZO524042 QJJ524042:QJK524042 QTF524042:QTG524042 RDB524042:RDC524042 RMX524042:RMY524042 RWT524042:RWU524042 SGP524042:SGQ524042 SQL524042:SQM524042 TAH524042:TAI524042 TKD524042:TKE524042 TTZ524042:TUA524042 UDV524042:UDW524042 UNR524042:UNS524042 UXN524042:UXO524042 VHJ524042:VHK524042 VRF524042:VRG524042 WBB524042:WBC524042 WKX524042:WKY524042 WUT524042:WUU524042 A589578:B589578 IH589578:II589578 SD589578:SE589578 ABZ589578:ACA589578 ALV589578:ALW589578 AVR589578:AVS589578 BFN589578:BFO589578 BPJ589578:BPK589578 BZF589578:BZG589578 CJB589578:CJC589578 CSX589578:CSY589578 DCT589578:DCU589578 DMP589578:DMQ589578 DWL589578:DWM589578 EGH589578:EGI589578 EQD589578:EQE589578 EZZ589578:FAA589578 FJV589578:FJW589578 FTR589578:FTS589578 GDN589578:GDO589578 GNJ589578:GNK589578 GXF589578:GXG589578 HHB589578:HHC589578 HQX589578:HQY589578 IAT589578:IAU589578 IKP589578:IKQ589578 IUL589578:IUM589578 JEH589578:JEI589578 JOD589578:JOE589578 JXZ589578:JYA589578 KHV589578:KHW589578 KRR589578:KRS589578 LBN589578:LBO589578 LLJ589578:LLK589578 LVF589578:LVG589578 MFB589578:MFC589578 MOX589578:MOY589578 MYT589578:MYU589578 NIP589578:NIQ589578 NSL589578:NSM589578 OCH589578:OCI589578 OMD589578:OME589578 OVZ589578:OWA589578 PFV589578:PFW589578 PPR589578:PPS589578 PZN589578:PZO589578 QJJ589578:QJK589578 QTF589578:QTG589578 RDB589578:RDC589578 RMX589578:RMY589578 RWT589578:RWU589578 SGP589578:SGQ589578 SQL589578:SQM589578 TAH589578:TAI589578 TKD589578:TKE589578 TTZ589578:TUA589578 UDV589578:UDW589578 UNR589578:UNS589578 UXN589578:UXO589578 VHJ589578:VHK589578 VRF589578:VRG589578 WBB589578:WBC589578 WKX589578:WKY589578 WUT589578:WUU589578 A655114:B655114 IH655114:II655114 SD655114:SE655114 ABZ655114:ACA655114 ALV655114:ALW655114 AVR655114:AVS655114 BFN655114:BFO655114 BPJ655114:BPK655114 BZF655114:BZG655114 CJB655114:CJC655114 CSX655114:CSY655114 DCT655114:DCU655114 DMP655114:DMQ655114 DWL655114:DWM655114 EGH655114:EGI655114 EQD655114:EQE655114 EZZ655114:FAA655114 FJV655114:FJW655114 FTR655114:FTS655114 GDN655114:GDO655114 GNJ655114:GNK655114 GXF655114:GXG655114 HHB655114:HHC655114 HQX655114:HQY655114 IAT655114:IAU655114 IKP655114:IKQ655114 IUL655114:IUM655114 JEH655114:JEI655114 JOD655114:JOE655114 JXZ655114:JYA655114 KHV655114:KHW655114 KRR655114:KRS655114 LBN655114:LBO655114 LLJ655114:LLK655114 LVF655114:LVG655114 MFB655114:MFC655114 MOX655114:MOY655114 MYT655114:MYU655114 NIP655114:NIQ655114 NSL655114:NSM655114 OCH655114:OCI655114 OMD655114:OME655114 OVZ655114:OWA655114 PFV655114:PFW655114 PPR655114:PPS655114 PZN655114:PZO655114 QJJ655114:QJK655114 QTF655114:QTG655114 RDB655114:RDC655114 RMX655114:RMY655114 RWT655114:RWU655114 SGP655114:SGQ655114 SQL655114:SQM655114 TAH655114:TAI655114 TKD655114:TKE655114 TTZ655114:TUA655114 UDV655114:UDW655114 UNR655114:UNS655114 UXN655114:UXO655114 VHJ655114:VHK655114 VRF655114:VRG655114 WBB655114:WBC655114 WKX655114:WKY655114 WUT655114:WUU655114 A720650:B720650 IH720650:II720650 SD720650:SE720650 ABZ720650:ACA720650 ALV720650:ALW720650 AVR720650:AVS720650 BFN720650:BFO720650 BPJ720650:BPK720650 BZF720650:BZG720650 CJB720650:CJC720650 CSX720650:CSY720650 DCT720650:DCU720650 DMP720650:DMQ720650 DWL720650:DWM720650 EGH720650:EGI720650 EQD720650:EQE720650 EZZ720650:FAA720650 FJV720650:FJW720650 FTR720650:FTS720650 GDN720650:GDO720650 GNJ720650:GNK720650 GXF720650:GXG720650 HHB720650:HHC720650 HQX720650:HQY720650 IAT720650:IAU720650 IKP720650:IKQ720650 IUL720650:IUM720650 JEH720650:JEI720650 JOD720650:JOE720650 JXZ720650:JYA720650 KHV720650:KHW720650 KRR720650:KRS720650 LBN720650:LBO720650 LLJ720650:LLK720650 LVF720650:LVG720650 MFB720650:MFC720650 MOX720650:MOY720650 MYT720650:MYU720650 NIP720650:NIQ720650 NSL720650:NSM720650 OCH720650:OCI720650 OMD720650:OME720650 OVZ720650:OWA720650 PFV720650:PFW720650 PPR720650:PPS720650 PZN720650:PZO720650 QJJ720650:QJK720650 QTF720650:QTG720650 RDB720650:RDC720650 RMX720650:RMY720650 RWT720650:RWU720650 SGP720650:SGQ720650 SQL720650:SQM720650 TAH720650:TAI720650 TKD720650:TKE720650 TTZ720650:TUA720650 UDV720650:UDW720650 UNR720650:UNS720650 UXN720650:UXO720650 VHJ720650:VHK720650 VRF720650:VRG720650 WBB720650:WBC720650 WKX720650:WKY720650 WUT720650:WUU720650 A786186:B786186 IH786186:II786186 SD786186:SE786186 ABZ786186:ACA786186 ALV786186:ALW786186 AVR786186:AVS786186 BFN786186:BFO786186 BPJ786186:BPK786186 BZF786186:BZG786186 CJB786186:CJC786186 CSX786186:CSY786186 DCT786186:DCU786186 DMP786186:DMQ786186 DWL786186:DWM786186 EGH786186:EGI786186 EQD786186:EQE786186 EZZ786186:FAA786186 FJV786186:FJW786186 FTR786186:FTS786186 GDN786186:GDO786186 GNJ786186:GNK786186 GXF786186:GXG786186 HHB786186:HHC786186 HQX786186:HQY786186 IAT786186:IAU786186 IKP786186:IKQ786186 IUL786186:IUM786186 JEH786186:JEI786186 JOD786186:JOE786186 JXZ786186:JYA786186 KHV786186:KHW786186 KRR786186:KRS786186 LBN786186:LBO786186 LLJ786186:LLK786186 LVF786186:LVG786186 MFB786186:MFC786186 MOX786186:MOY786186 MYT786186:MYU786186 NIP786186:NIQ786186 NSL786186:NSM786186 OCH786186:OCI786186 OMD786186:OME786186 OVZ786186:OWA786186 PFV786186:PFW786186 PPR786186:PPS786186 PZN786186:PZO786186 QJJ786186:QJK786186 QTF786186:QTG786186 RDB786186:RDC786186 RMX786186:RMY786186 RWT786186:RWU786186 SGP786186:SGQ786186 SQL786186:SQM786186 TAH786186:TAI786186 TKD786186:TKE786186 TTZ786186:TUA786186 UDV786186:UDW786186 UNR786186:UNS786186 UXN786186:UXO786186 VHJ786186:VHK786186 VRF786186:VRG786186 WBB786186:WBC786186 WKX786186:WKY786186 WUT786186:WUU786186 A851722:B851722 IH851722:II851722 SD851722:SE851722 ABZ851722:ACA851722 ALV851722:ALW851722 AVR851722:AVS851722 BFN851722:BFO851722 BPJ851722:BPK851722 BZF851722:BZG851722 CJB851722:CJC851722 CSX851722:CSY851722 DCT851722:DCU851722 DMP851722:DMQ851722 DWL851722:DWM851722 EGH851722:EGI851722 EQD851722:EQE851722 EZZ851722:FAA851722 FJV851722:FJW851722 FTR851722:FTS851722 GDN851722:GDO851722 GNJ851722:GNK851722 GXF851722:GXG851722 HHB851722:HHC851722 HQX851722:HQY851722 IAT851722:IAU851722 IKP851722:IKQ851722 IUL851722:IUM851722 JEH851722:JEI851722 JOD851722:JOE851722 JXZ851722:JYA851722 KHV851722:KHW851722 KRR851722:KRS851722 LBN851722:LBO851722 LLJ851722:LLK851722 LVF851722:LVG851722 MFB851722:MFC851722 MOX851722:MOY851722 MYT851722:MYU851722 NIP851722:NIQ851722 NSL851722:NSM851722 OCH851722:OCI851722 OMD851722:OME851722 OVZ851722:OWA851722 PFV851722:PFW851722 PPR851722:PPS851722 PZN851722:PZO851722 QJJ851722:QJK851722 QTF851722:QTG851722 RDB851722:RDC851722 RMX851722:RMY851722 RWT851722:RWU851722 SGP851722:SGQ851722 SQL851722:SQM851722 TAH851722:TAI851722 TKD851722:TKE851722 TTZ851722:TUA851722 UDV851722:UDW851722 UNR851722:UNS851722 UXN851722:UXO851722 VHJ851722:VHK851722 VRF851722:VRG851722 WBB851722:WBC851722 WKX851722:WKY851722 WUT851722:WUU851722 A917258:B917258 IH917258:II917258 SD917258:SE917258 ABZ917258:ACA917258 ALV917258:ALW917258 AVR917258:AVS917258 BFN917258:BFO917258 BPJ917258:BPK917258 BZF917258:BZG917258 CJB917258:CJC917258 CSX917258:CSY917258 DCT917258:DCU917258 DMP917258:DMQ917258 DWL917258:DWM917258 EGH917258:EGI917258 EQD917258:EQE917258 EZZ917258:FAA917258 FJV917258:FJW917258 FTR917258:FTS917258 GDN917258:GDO917258 GNJ917258:GNK917258 GXF917258:GXG917258 HHB917258:HHC917258 HQX917258:HQY917258 IAT917258:IAU917258 IKP917258:IKQ917258 IUL917258:IUM917258 JEH917258:JEI917258 JOD917258:JOE917258 JXZ917258:JYA917258 KHV917258:KHW917258 KRR917258:KRS917258 LBN917258:LBO917258 LLJ917258:LLK917258 LVF917258:LVG917258 MFB917258:MFC917258 MOX917258:MOY917258 MYT917258:MYU917258 NIP917258:NIQ917258 NSL917258:NSM917258 OCH917258:OCI917258 OMD917258:OME917258 OVZ917258:OWA917258 PFV917258:PFW917258 PPR917258:PPS917258 PZN917258:PZO917258 QJJ917258:QJK917258 QTF917258:QTG917258 RDB917258:RDC917258 RMX917258:RMY917258 RWT917258:RWU917258 SGP917258:SGQ917258 SQL917258:SQM917258 TAH917258:TAI917258 TKD917258:TKE917258 TTZ917258:TUA917258 UDV917258:UDW917258 UNR917258:UNS917258 UXN917258:UXO917258 VHJ917258:VHK917258 VRF917258:VRG917258 WBB917258:WBC917258 WKX917258:WKY917258 WUT917258:WUU917258 A982794:B982794 IH982794:II982794 SD982794:SE982794 ABZ982794:ACA982794 ALV982794:ALW982794 AVR982794:AVS982794 BFN982794:BFO982794 BPJ982794:BPK982794 BZF982794:BZG982794 CJB982794:CJC982794 CSX982794:CSY982794 DCT982794:DCU982794 DMP982794:DMQ982794 DWL982794:DWM982794 EGH982794:EGI982794 EQD982794:EQE982794 EZZ982794:FAA982794 FJV982794:FJW982794 FTR982794:FTS982794 GDN982794:GDO982794 GNJ982794:GNK982794 GXF982794:GXG982794 HHB982794:HHC982794 HQX982794:HQY982794 IAT982794:IAU982794 IKP982794:IKQ982794 IUL982794:IUM982794 JEH982794:JEI982794 JOD982794:JOE982794 JXZ982794:JYA982794 KHV982794:KHW982794 KRR982794:KRS982794 LBN982794:LBO982794 LLJ982794:LLK982794 LVF982794:LVG982794 MFB982794:MFC982794 MOX982794:MOY982794 MYT982794:MYU982794 NIP982794:NIQ982794 NSL982794:NSM982794 OCH982794:OCI982794 OMD982794:OME982794 OVZ982794:OWA982794 PFV982794:PFW982794 PPR982794:PPS982794 PZN982794:PZO982794 QJJ982794:QJK982794 QTF982794:QTG982794 RDB982794:RDC982794 RMX982794:RMY982794 RWT982794:RWU982794 SGP982794:SGQ982794 SQL982794:SQM982794 TAH982794:TAI982794 TKD982794:TKE982794 TTZ982794:TUA982794 UDV982794:UDW982794 UNR982794:UNS982794 UXN982794:UXO982794 VHJ982794:VHK982794 VRF982794:VRG982794 WBB982794:WBC982794 WKX982794:WKY982794 A1:B1" xr:uid="{624B9ABC-A8AD-47BF-A084-C5A1C9B6CA46}">
      <formula1>0</formula1>
      <formula2>60</formula2>
    </dataValidation>
    <dataValidation type="textLength" allowBlank="1" showInputMessage="1" showErrorMessage="1" sqref="WUV982794:WVA982794 IJ1:IO1 SF1:SK1 ACB1:ACG1 ALX1:AMC1 AVT1:AVY1 BFP1:BFU1 BPL1:BPQ1 BZH1:BZM1 CJD1:CJI1 CSZ1:CTE1 DCV1:DDA1 DMR1:DMW1 DWN1:DWS1 EGJ1:EGO1 EQF1:EQK1 FAB1:FAG1 FJX1:FKC1 FTT1:FTY1 GDP1:GDU1 GNL1:GNQ1 GXH1:GXM1 HHD1:HHI1 HQZ1:HRE1 IAV1:IBA1 IKR1:IKW1 IUN1:IUS1 JEJ1:JEO1 JOF1:JOK1 JYB1:JYG1 KHX1:KIC1 KRT1:KRY1 LBP1:LBU1 LLL1:LLQ1 LVH1:LVM1 MFD1:MFI1 MOZ1:MPE1 MYV1:MZA1 NIR1:NIW1 NSN1:NSS1 OCJ1:OCO1 OMF1:OMK1 OWB1:OWG1 PFX1:PGC1 PPT1:PPY1 PZP1:PZU1 QJL1:QJQ1 QTH1:QTM1 RDD1:RDI1 RMZ1:RNE1 RWV1:RXA1 SGR1:SGW1 SQN1:SQS1 TAJ1:TAO1 TKF1:TKK1 TUB1:TUG1 UDX1:UEC1 UNT1:UNY1 UXP1:UXU1 VHL1:VHQ1 VRH1:VRM1 WBD1:WBI1 WKZ1:WLE1 WUV1:WVA1 C65290:E65290 IJ65290:IO65290 SF65290:SK65290 ACB65290:ACG65290 ALX65290:AMC65290 AVT65290:AVY65290 BFP65290:BFU65290 BPL65290:BPQ65290 BZH65290:BZM65290 CJD65290:CJI65290 CSZ65290:CTE65290 DCV65290:DDA65290 DMR65290:DMW65290 DWN65290:DWS65290 EGJ65290:EGO65290 EQF65290:EQK65290 FAB65290:FAG65290 FJX65290:FKC65290 FTT65290:FTY65290 GDP65290:GDU65290 GNL65290:GNQ65290 GXH65290:GXM65290 HHD65290:HHI65290 HQZ65290:HRE65290 IAV65290:IBA65290 IKR65290:IKW65290 IUN65290:IUS65290 JEJ65290:JEO65290 JOF65290:JOK65290 JYB65290:JYG65290 KHX65290:KIC65290 KRT65290:KRY65290 LBP65290:LBU65290 LLL65290:LLQ65290 LVH65290:LVM65290 MFD65290:MFI65290 MOZ65290:MPE65290 MYV65290:MZA65290 NIR65290:NIW65290 NSN65290:NSS65290 OCJ65290:OCO65290 OMF65290:OMK65290 OWB65290:OWG65290 PFX65290:PGC65290 PPT65290:PPY65290 PZP65290:PZU65290 QJL65290:QJQ65290 QTH65290:QTM65290 RDD65290:RDI65290 RMZ65290:RNE65290 RWV65290:RXA65290 SGR65290:SGW65290 SQN65290:SQS65290 TAJ65290:TAO65290 TKF65290:TKK65290 TUB65290:TUG65290 UDX65290:UEC65290 UNT65290:UNY65290 UXP65290:UXU65290 VHL65290:VHQ65290 VRH65290:VRM65290 WBD65290:WBI65290 WKZ65290:WLE65290 WUV65290:WVA65290 C130826:E130826 IJ130826:IO130826 SF130826:SK130826 ACB130826:ACG130826 ALX130826:AMC130826 AVT130826:AVY130826 BFP130826:BFU130826 BPL130826:BPQ130826 BZH130826:BZM130826 CJD130826:CJI130826 CSZ130826:CTE130826 DCV130826:DDA130826 DMR130826:DMW130826 DWN130826:DWS130826 EGJ130826:EGO130826 EQF130826:EQK130826 FAB130826:FAG130826 FJX130826:FKC130826 FTT130826:FTY130826 GDP130826:GDU130826 GNL130826:GNQ130826 GXH130826:GXM130826 HHD130826:HHI130826 HQZ130826:HRE130826 IAV130826:IBA130826 IKR130826:IKW130826 IUN130826:IUS130826 JEJ130826:JEO130826 JOF130826:JOK130826 JYB130826:JYG130826 KHX130826:KIC130826 KRT130826:KRY130826 LBP130826:LBU130826 LLL130826:LLQ130826 LVH130826:LVM130826 MFD130826:MFI130826 MOZ130826:MPE130826 MYV130826:MZA130826 NIR130826:NIW130826 NSN130826:NSS130826 OCJ130826:OCO130826 OMF130826:OMK130826 OWB130826:OWG130826 PFX130826:PGC130826 PPT130826:PPY130826 PZP130826:PZU130826 QJL130826:QJQ130826 QTH130826:QTM130826 RDD130826:RDI130826 RMZ130826:RNE130826 RWV130826:RXA130826 SGR130826:SGW130826 SQN130826:SQS130826 TAJ130826:TAO130826 TKF130826:TKK130826 TUB130826:TUG130826 UDX130826:UEC130826 UNT130826:UNY130826 UXP130826:UXU130826 VHL130826:VHQ130826 VRH130826:VRM130826 WBD130826:WBI130826 WKZ130826:WLE130826 WUV130826:WVA130826 C196362:E196362 IJ196362:IO196362 SF196362:SK196362 ACB196362:ACG196362 ALX196362:AMC196362 AVT196362:AVY196362 BFP196362:BFU196362 BPL196362:BPQ196362 BZH196362:BZM196362 CJD196362:CJI196362 CSZ196362:CTE196362 DCV196362:DDA196362 DMR196362:DMW196362 DWN196362:DWS196362 EGJ196362:EGO196362 EQF196362:EQK196362 FAB196362:FAG196362 FJX196362:FKC196362 FTT196362:FTY196362 GDP196362:GDU196362 GNL196362:GNQ196362 GXH196362:GXM196362 HHD196362:HHI196362 HQZ196362:HRE196362 IAV196362:IBA196362 IKR196362:IKW196362 IUN196362:IUS196362 JEJ196362:JEO196362 JOF196362:JOK196362 JYB196362:JYG196362 KHX196362:KIC196362 KRT196362:KRY196362 LBP196362:LBU196362 LLL196362:LLQ196362 LVH196362:LVM196362 MFD196362:MFI196362 MOZ196362:MPE196362 MYV196362:MZA196362 NIR196362:NIW196362 NSN196362:NSS196362 OCJ196362:OCO196362 OMF196362:OMK196362 OWB196362:OWG196362 PFX196362:PGC196362 PPT196362:PPY196362 PZP196362:PZU196362 QJL196362:QJQ196362 QTH196362:QTM196362 RDD196362:RDI196362 RMZ196362:RNE196362 RWV196362:RXA196362 SGR196362:SGW196362 SQN196362:SQS196362 TAJ196362:TAO196362 TKF196362:TKK196362 TUB196362:TUG196362 UDX196362:UEC196362 UNT196362:UNY196362 UXP196362:UXU196362 VHL196362:VHQ196362 VRH196362:VRM196362 WBD196362:WBI196362 WKZ196362:WLE196362 WUV196362:WVA196362 C261898:E261898 IJ261898:IO261898 SF261898:SK261898 ACB261898:ACG261898 ALX261898:AMC261898 AVT261898:AVY261898 BFP261898:BFU261898 BPL261898:BPQ261898 BZH261898:BZM261898 CJD261898:CJI261898 CSZ261898:CTE261898 DCV261898:DDA261898 DMR261898:DMW261898 DWN261898:DWS261898 EGJ261898:EGO261898 EQF261898:EQK261898 FAB261898:FAG261898 FJX261898:FKC261898 FTT261898:FTY261898 GDP261898:GDU261898 GNL261898:GNQ261898 GXH261898:GXM261898 HHD261898:HHI261898 HQZ261898:HRE261898 IAV261898:IBA261898 IKR261898:IKW261898 IUN261898:IUS261898 JEJ261898:JEO261898 JOF261898:JOK261898 JYB261898:JYG261898 KHX261898:KIC261898 KRT261898:KRY261898 LBP261898:LBU261898 LLL261898:LLQ261898 LVH261898:LVM261898 MFD261898:MFI261898 MOZ261898:MPE261898 MYV261898:MZA261898 NIR261898:NIW261898 NSN261898:NSS261898 OCJ261898:OCO261898 OMF261898:OMK261898 OWB261898:OWG261898 PFX261898:PGC261898 PPT261898:PPY261898 PZP261898:PZU261898 QJL261898:QJQ261898 QTH261898:QTM261898 RDD261898:RDI261898 RMZ261898:RNE261898 RWV261898:RXA261898 SGR261898:SGW261898 SQN261898:SQS261898 TAJ261898:TAO261898 TKF261898:TKK261898 TUB261898:TUG261898 UDX261898:UEC261898 UNT261898:UNY261898 UXP261898:UXU261898 VHL261898:VHQ261898 VRH261898:VRM261898 WBD261898:WBI261898 WKZ261898:WLE261898 WUV261898:WVA261898 C327434:E327434 IJ327434:IO327434 SF327434:SK327434 ACB327434:ACG327434 ALX327434:AMC327434 AVT327434:AVY327434 BFP327434:BFU327434 BPL327434:BPQ327434 BZH327434:BZM327434 CJD327434:CJI327434 CSZ327434:CTE327434 DCV327434:DDA327434 DMR327434:DMW327434 DWN327434:DWS327434 EGJ327434:EGO327434 EQF327434:EQK327434 FAB327434:FAG327434 FJX327434:FKC327434 FTT327434:FTY327434 GDP327434:GDU327434 GNL327434:GNQ327434 GXH327434:GXM327434 HHD327434:HHI327434 HQZ327434:HRE327434 IAV327434:IBA327434 IKR327434:IKW327434 IUN327434:IUS327434 JEJ327434:JEO327434 JOF327434:JOK327434 JYB327434:JYG327434 KHX327434:KIC327434 KRT327434:KRY327434 LBP327434:LBU327434 LLL327434:LLQ327434 LVH327434:LVM327434 MFD327434:MFI327434 MOZ327434:MPE327434 MYV327434:MZA327434 NIR327434:NIW327434 NSN327434:NSS327434 OCJ327434:OCO327434 OMF327434:OMK327434 OWB327434:OWG327434 PFX327434:PGC327434 PPT327434:PPY327434 PZP327434:PZU327434 QJL327434:QJQ327434 QTH327434:QTM327434 RDD327434:RDI327434 RMZ327434:RNE327434 RWV327434:RXA327434 SGR327434:SGW327434 SQN327434:SQS327434 TAJ327434:TAO327434 TKF327434:TKK327434 TUB327434:TUG327434 UDX327434:UEC327434 UNT327434:UNY327434 UXP327434:UXU327434 VHL327434:VHQ327434 VRH327434:VRM327434 WBD327434:WBI327434 WKZ327434:WLE327434 WUV327434:WVA327434 C392970:E392970 IJ392970:IO392970 SF392970:SK392970 ACB392970:ACG392970 ALX392970:AMC392970 AVT392970:AVY392970 BFP392970:BFU392970 BPL392970:BPQ392970 BZH392970:BZM392970 CJD392970:CJI392970 CSZ392970:CTE392970 DCV392970:DDA392970 DMR392970:DMW392970 DWN392970:DWS392970 EGJ392970:EGO392970 EQF392970:EQK392970 FAB392970:FAG392970 FJX392970:FKC392970 FTT392970:FTY392970 GDP392970:GDU392970 GNL392970:GNQ392970 GXH392970:GXM392970 HHD392970:HHI392970 HQZ392970:HRE392970 IAV392970:IBA392970 IKR392970:IKW392970 IUN392970:IUS392970 JEJ392970:JEO392970 JOF392970:JOK392970 JYB392970:JYG392970 KHX392970:KIC392970 KRT392970:KRY392970 LBP392970:LBU392970 LLL392970:LLQ392970 LVH392970:LVM392970 MFD392970:MFI392970 MOZ392970:MPE392970 MYV392970:MZA392970 NIR392970:NIW392970 NSN392970:NSS392970 OCJ392970:OCO392970 OMF392970:OMK392970 OWB392970:OWG392970 PFX392970:PGC392970 PPT392970:PPY392970 PZP392970:PZU392970 QJL392970:QJQ392970 QTH392970:QTM392970 RDD392970:RDI392970 RMZ392970:RNE392970 RWV392970:RXA392970 SGR392970:SGW392970 SQN392970:SQS392970 TAJ392970:TAO392970 TKF392970:TKK392970 TUB392970:TUG392970 UDX392970:UEC392970 UNT392970:UNY392970 UXP392970:UXU392970 VHL392970:VHQ392970 VRH392970:VRM392970 WBD392970:WBI392970 WKZ392970:WLE392970 WUV392970:WVA392970 C458506:E458506 IJ458506:IO458506 SF458506:SK458506 ACB458506:ACG458506 ALX458506:AMC458506 AVT458506:AVY458506 BFP458506:BFU458506 BPL458506:BPQ458506 BZH458506:BZM458506 CJD458506:CJI458506 CSZ458506:CTE458506 DCV458506:DDA458506 DMR458506:DMW458506 DWN458506:DWS458506 EGJ458506:EGO458506 EQF458506:EQK458506 FAB458506:FAG458506 FJX458506:FKC458506 FTT458506:FTY458506 GDP458506:GDU458506 GNL458506:GNQ458506 GXH458506:GXM458506 HHD458506:HHI458506 HQZ458506:HRE458506 IAV458506:IBA458506 IKR458506:IKW458506 IUN458506:IUS458506 JEJ458506:JEO458506 JOF458506:JOK458506 JYB458506:JYG458506 KHX458506:KIC458506 KRT458506:KRY458506 LBP458506:LBU458506 LLL458506:LLQ458506 LVH458506:LVM458506 MFD458506:MFI458506 MOZ458506:MPE458506 MYV458506:MZA458506 NIR458506:NIW458506 NSN458506:NSS458506 OCJ458506:OCO458506 OMF458506:OMK458506 OWB458506:OWG458506 PFX458506:PGC458506 PPT458506:PPY458506 PZP458506:PZU458506 QJL458506:QJQ458506 QTH458506:QTM458506 RDD458506:RDI458506 RMZ458506:RNE458506 RWV458506:RXA458506 SGR458506:SGW458506 SQN458506:SQS458506 TAJ458506:TAO458506 TKF458506:TKK458506 TUB458506:TUG458506 UDX458506:UEC458506 UNT458506:UNY458506 UXP458506:UXU458506 VHL458506:VHQ458506 VRH458506:VRM458506 WBD458506:WBI458506 WKZ458506:WLE458506 WUV458506:WVA458506 C524042:E524042 IJ524042:IO524042 SF524042:SK524042 ACB524042:ACG524042 ALX524042:AMC524042 AVT524042:AVY524042 BFP524042:BFU524042 BPL524042:BPQ524042 BZH524042:BZM524042 CJD524042:CJI524042 CSZ524042:CTE524042 DCV524042:DDA524042 DMR524042:DMW524042 DWN524042:DWS524042 EGJ524042:EGO524042 EQF524042:EQK524042 FAB524042:FAG524042 FJX524042:FKC524042 FTT524042:FTY524042 GDP524042:GDU524042 GNL524042:GNQ524042 GXH524042:GXM524042 HHD524042:HHI524042 HQZ524042:HRE524042 IAV524042:IBA524042 IKR524042:IKW524042 IUN524042:IUS524042 JEJ524042:JEO524042 JOF524042:JOK524042 JYB524042:JYG524042 KHX524042:KIC524042 KRT524042:KRY524042 LBP524042:LBU524042 LLL524042:LLQ524042 LVH524042:LVM524042 MFD524042:MFI524042 MOZ524042:MPE524042 MYV524042:MZA524042 NIR524042:NIW524042 NSN524042:NSS524042 OCJ524042:OCO524042 OMF524042:OMK524042 OWB524042:OWG524042 PFX524042:PGC524042 PPT524042:PPY524042 PZP524042:PZU524042 QJL524042:QJQ524042 QTH524042:QTM524042 RDD524042:RDI524042 RMZ524042:RNE524042 RWV524042:RXA524042 SGR524042:SGW524042 SQN524042:SQS524042 TAJ524042:TAO524042 TKF524042:TKK524042 TUB524042:TUG524042 UDX524042:UEC524042 UNT524042:UNY524042 UXP524042:UXU524042 VHL524042:VHQ524042 VRH524042:VRM524042 WBD524042:WBI524042 WKZ524042:WLE524042 WUV524042:WVA524042 C589578:E589578 IJ589578:IO589578 SF589578:SK589578 ACB589578:ACG589578 ALX589578:AMC589578 AVT589578:AVY589578 BFP589578:BFU589578 BPL589578:BPQ589578 BZH589578:BZM589578 CJD589578:CJI589578 CSZ589578:CTE589578 DCV589578:DDA589578 DMR589578:DMW589578 DWN589578:DWS589578 EGJ589578:EGO589578 EQF589578:EQK589578 FAB589578:FAG589578 FJX589578:FKC589578 FTT589578:FTY589578 GDP589578:GDU589578 GNL589578:GNQ589578 GXH589578:GXM589578 HHD589578:HHI589578 HQZ589578:HRE589578 IAV589578:IBA589578 IKR589578:IKW589578 IUN589578:IUS589578 JEJ589578:JEO589578 JOF589578:JOK589578 JYB589578:JYG589578 KHX589578:KIC589578 KRT589578:KRY589578 LBP589578:LBU589578 LLL589578:LLQ589578 LVH589578:LVM589578 MFD589578:MFI589578 MOZ589578:MPE589578 MYV589578:MZA589578 NIR589578:NIW589578 NSN589578:NSS589578 OCJ589578:OCO589578 OMF589578:OMK589578 OWB589578:OWG589578 PFX589578:PGC589578 PPT589578:PPY589578 PZP589578:PZU589578 QJL589578:QJQ589578 QTH589578:QTM589578 RDD589578:RDI589578 RMZ589578:RNE589578 RWV589578:RXA589578 SGR589578:SGW589578 SQN589578:SQS589578 TAJ589578:TAO589578 TKF589578:TKK589578 TUB589578:TUG589578 UDX589578:UEC589578 UNT589578:UNY589578 UXP589578:UXU589578 VHL589578:VHQ589578 VRH589578:VRM589578 WBD589578:WBI589578 WKZ589578:WLE589578 WUV589578:WVA589578 C655114:E655114 IJ655114:IO655114 SF655114:SK655114 ACB655114:ACG655114 ALX655114:AMC655114 AVT655114:AVY655114 BFP655114:BFU655114 BPL655114:BPQ655114 BZH655114:BZM655114 CJD655114:CJI655114 CSZ655114:CTE655114 DCV655114:DDA655114 DMR655114:DMW655114 DWN655114:DWS655114 EGJ655114:EGO655114 EQF655114:EQK655114 FAB655114:FAG655114 FJX655114:FKC655114 FTT655114:FTY655114 GDP655114:GDU655114 GNL655114:GNQ655114 GXH655114:GXM655114 HHD655114:HHI655114 HQZ655114:HRE655114 IAV655114:IBA655114 IKR655114:IKW655114 IUN655114:IUS655114 JEJ655114:JEO655114 JOF655114:JOK655114 JYB655114:JYG655114 KHX655114:KIC655114 KRT655114:KRY655114 LBP655114:LBU655114 LLL655114:LLQ655114 LVH655114:LVM655114 MFD655114:MFI655114 MOZ655114:MPE655114 MYV655114:MZA655114 NIR655114:NIW655114 NSN655114:NSS655114 OCJ655114:OCO655114 OMF655114:OMK655114 OWB655114:OWG655114 PFX655114:PGC655114 PPT655114:PPY655114 PZP655114:PZU655114 QJL655114:QJQ655114 QTH655114:QTM655114 RDD655114:RDI655114 RMZ655114:RNE655114 RWV655114:RXA655114 SGR655114:SGW655114 SQN655114:SQS655114 TAJ655114:TAO655114 TKF655114:TKK655114 TUB655114:TUG655114 UDX655114:UEC655114 UNT655114:UNY655114 UXP655114:UXU655114 VHL655114:VHQ655114 VRH655114:VRM655114 WBD655114:WBI655114 WKZ655114:WLE655114 WUV655114:WVA655114 C720650:E720650 IJ720650:IO720650 SF720650:SK720650 ACB720650:ACG720650 ALX720650:AMC720650 AVT720650:AVY720650 BFP720650:BFU720650 BPL720650:BPQ720650 BZH720650:BZM720650 CJD720650:CJI720650 CSZ720650:CTE720650 DCV720650:DDA720650 DMR720650:DMW720650 DWN720650:DWS720650 EGJ720650:EGO720650 EQF720650:EQK720650 FAB720650:FAG720650 FJX720650:FKC720650 FTT720650:FTY720650 GDP720650:GDU720650 GNL720650:GNQ720650 GXH720650:GXM720650 HHD720650:HHI720650 HQZ720650:HRE720650 IAV720650:IBA720650 IKR720650:IKW720650 IUN720650:IUS720650 JEJ720650:JEO720650 JOF720650:JOK720650 JYB720650:JYG720650 KHX720650:KIC720650 KRT720650:KRY720650 LBP720650:LBU720650 LLL720650:LLQ720650 LVH720650:LVM720650 MFD720650:MFI720650 MOZ720650:MPE720650 MYV720650:MZA720650 NIR720650:NIW720650 NSN720650:NSS720650 OCJ720650:OCO720650 OMF720650:OMK720650 OWB720650:OWG720650 PFX720650:PGC720650 PPT720650:PPY720650 PZP720650:PZU720650 QJL720650:QJQ720650 QTH720650:QTM720650 RDD720650:RDI720650 RMZ720650:RNE720650 RWV720650:RXA720650 SGR720650:SGW720650 SQN720650:SQS720650 TAJ720650:TAO720650 TKF720650:TKK720650 TUB720650:TUG720650 UDX720650:UEC720650 UNT720650:UNY720650 UXP720650:UXU720650 VHL720650:VHQ720650 VRH720650:VRM720650 WBD720650:WBI720650 WKZ720650:WLE720650 WUV720650:WVA720650 C786186:E786186 IJ786186:IO786186 SF786186:SK786186 ACB786186:ACG786186 ALX786186:AMC786186 AVT786186:AVY786186 BFP786186:BFU786186 BPL786186:BPQ786186 BZH786186:BZM786186 CJD786186:CJI786186 CSZ786186:CTE786186 DCV786186:DDA786186 DMR786186:DMW786186 DWN786186:DWS786186 EGJ786186:EGO786186 EQF786186:EQK786186 FAB786186:FAG786186 FJX786186:FKC786186 FTT786186:FTY786186 GDP786186:GDU786186 GNL786186:GNQ786186 GXH786186:GXM786186 HHD786186:HHI786186 HQZ786186:HRE786186 IAV786186:IBA786186 IKR786186:IKW786186 IUN786186:IUS786186 JEJ786186:JEO786186 JOF786186:JOK786186 JYB786186:JYG786186 KHX786186:KIC786186 KRT786186:KRY786186 LBP786186:LBU786186 LLL786186:LLQ786186 LVH786186:LVM786186 MFD786186:MFI786186 MOZ786186:MPE786186 MYV786186:MZA786186 NIR786186:NIW786186 NSN786186:NSS786186 OCJ786186:OCO786186 OMF786186:OMK786186 OWB786186:OWG786186 PFX786186:PGC786186 PPT786186:PPY786186 PZP786186:PZU786186 QJL786186:QJQ786186 QTH786186:QTM786186 RDD786186:RDI786186 RMZ786186:RNE786186 RWV786186:RXA786186 SGR786186:SGW786186 SQN786186:SQS786186 TAJ786186:TAO786186 TKF786186:TKK786186 TUB786186:TUG786186 UDX786186:UEC786186 UNT786186:UNY786186 UXP786186:UXU786186 VHL786186:VHQ786186 VRH786186:VRM786186 WBD786186:WBI786186 WKZ786186:WLE786186 WUV786186:WVA786186 C851722:E851722 IJ851722:IO851722 SF851722:SK851722 ACB851722:ACG851722 ALX851722:AMC851722 AVT851722:AVY851722 BFP851722:BFU851722 BPL851722:BPQ851722 BZH851722:BZM851722 CJD851722:CJI851722 CSZ851722:CTE851722 DCV851722:DDA851722 DMR851722:DMW851722 DWN851722:DWS851722 EGJ851722:EGO851722 EQF851722:EQK851722 FAB851722:FAG851722 FJX851722:FKC851722 FTT851722:FTY851722 GDP851722:GDU851722 GNL851722:GNQ851722 GXH851722:GXM851722 HHD851722:HHI851722 HQZ851722:HRE851722 IAV851722:IBA851722 IKR851722:IKW851722 IUN851722:IUS851722 JEJ851722:JEO851722 JOF851722:JOK851722 JYB851722:JYG851722 KHX851722:KIC851722 KRT851722:KRY851722 LBP851722:LBU851722 LLL851722:LLQ851722 LVH851722:LVM851722 MFD851722:MFI851722 MOZ851722:MPE851722 MYV851722:MZA851722 NIR851722:NIW851722 NSN851722:NSS851722 OCJ851722:OCO851722 OMF851722:OMK851722 OWB851722:OWG851722 PFX851722:PGC851722 PPT851722:PPY851722 PZP851722:PZU851722 QJL851722:QJQ851722 QTH851722:QTM851722 RDD851722:RDI851722 RMZ851722:RNE851722 RWV851722:RXA851722 SGR851722:SGW851722 SQN851722:SQS851722 TAJ851722:TAO851722 TKF851722:TKK851722 TUB851722:TUG851722 UDX851722:UEC851722 UNT851722:UNY851722 UXP851722:UXU851722 VHL851722:VHQ851722 VRH851722:VRM851722 WBD851722:WBI851722 WKZ851722:WLE851722 WUV851722:WVA851722 C917258:E917258 IJ917258:IO917258 SF917258:SK917258 ACB917258:ACG917258 ALX917258:AMC917258 AVT917258:AVY917258 BFP917258:BFU917258 BPL917258:BPQ917258 BZH917258:BZM917258 CJD917258:CJI917258 CSZ917258:CTE917258 DCV917258:DDA917258 DMR917258:DMW917258 DWN917258:DWS917258 EGJ917258:EGO917258 EQF917258:EQK917258 FAB917258:FAG917258 FJX917258:FKC917258 FTT917258:FTY917258 GDP917258:GDU917258 GNL917258:GNQ917258 GXH917258:GXM917258 HHD917258:HHI917258 HQZ917258:HRE917258 IAV917258:IBA917258 IKR917258:IKW917258 IUN917258:IUS917258 JEJ917258:JEO917258 JOF917258:JOK917258 JYB917258:JYG917258 KHX917258:KIC917258 KRT917258:KRY917258 LBP917258:LBU917258 LLL917258:LLQ917258 LVH917258:LVM917258 MFD917258:MFI917258 MOZ917258:MPE917258 MYV917258:MZA917258 NIR917258:NIW917258 NSN917258:NSS917258 OCJ917258:OCO917258 OMF917258:OMK917258 OWB917258:OWG917258 PFX917258:PGC917258 PPT917258:PPY917258 PZP917258:PZU917258 QJL917258:QJQ917258 QTH917258:QTM917258 RDD917258:RDI917258 RMZ917258:RNE917258 RWV917258:RXA917258 SGR917258:SGW917258 SQN917258:SQS917258 TAJ917258:TAO917258 TKF917258:TKK917258 TUB917258:TUG917258 UDX917258:UEC917258 UNT917258:UNY917258 UXP917258:UXU917258 VHL917258:VHQ917258 VRH917258:VRM917258 WBD917258:WBI917258 WKZ917258:WLE917258 WUV917258:WVA917258 C982794:E982794 IJ982794:IO982794 SF982794:SK982794 ACB982794:ACG982794 ALX982794:AMC982794 AVT982794:AVY982794 BFP982794:BFU982794 BPL982794:BPQ982794 BZH982794:BZM982794 CJD982794:CJI982794 CSZ982794:CTE982794 DCV982794:DDA982794 DMR982794:DMW982794 DWN982794:DWS982794 EGJ982794:EGO982794 EQF982794:EQK982794 FAB982794:FAG982794 FJX982794:FKC982794 FTT982794:FTY982794 GDP982794:GDU982794 GNL982794:GNQ982794 GXH982794:GXM982794 HHD982794:HHI982794 HQZ982794:HRE982794 IAV982794:IBA982794 IKR982794:IKW982794 IUN982794:IUS982794 JEJ982794:JEO982794 JOF982794:JOK982794 JYB982794:JYG982794 KHX982794:KIC982794 KRT982794:KRY982794 LBP982794:LBU982794 LLL982794:LLQ982794 LVH982794:LVM982794 MFD982794:MFI982794 MOZ982794:MPE982794 MYV982794:MZA982794 NIR982794:NIW982794 NSN982794:NSS982794 OCJ982794:OCO982794 OMF982794:OMK982794 OWB982794:OWG982794 PFX982794:PGC982794 PPT982794:PPY982794 PZP982794:PZU982794 QJL982794:QJQ982794 QTH982794:QTM982794 RDD982794:RDI982794 RMZ982794:RNE982794 RWV982794:RXA982794 SGR982794:SGW982794 SQN982794:SQS982794 TAJ982794:TAO982794 TKF982794:TKK982794 TUB982794:TUG982794 UDX982794:UEC982794 UNT982794:UNY982794 UXP982794:UXU982794 VHL982794:VHQ982794 VRH982794:VRM982794 WBD982794:WBI982794 WKZ982794:WLE982794 C1:E1" xr:uid="{A02A037B-A7ED-415D-8950-405467DE9523}">
      <formula1>0</formula1>
      <formula2>30</formula2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E5C7-90C3-4CC8-9E3D-BBA79E4389DF}">
  <dimension ref="A1:E15"/>
  <sheetViews>
    <sheetView topLeftCell="A12" zoomScale="130" zoomScaleNormal="130" workbookViewId="0">
      <selection activeCell="G14" sqref="G14"/>
    </sheetView>
  </sheetViews>
  <sheetFormatPr defaultRowHeight="15" x14ac:dyDescent="0.25"/>
  <cols>
    <col min="2" max="2" width="24.42578125" customWidth="1"/>
    <col min="3" max="3" width="15.7109375" customWidth="1"/>
    <col min="4" max="4" width="17.42578125" customWidth="1"/>
    <col min="5" max="5" width="73.85546875" bestFit="1" customWidth="1"/>
    <col min="7" max="7" width="19.42578125" customWidth="1"/>
  </cols>
  <sheetData>
    <row r="1" spans="1:5" x14ac:dyDescent="0.25">
      <c r="A1" s="84" t="s">
        <v>1188</v>
      </c>
      <c r="B1" s="84" t="s">
        <v>1189</v>
      </c>
      <c r="C1" s="85" t="s">
        <v>1190</v>
      </c>
      <c r="D1" s="85" t="s">
        <v>1191</v>
      </c>
      <c r="E1" t="s">
        <v>1210</v>
      </c>
    </row>
    <row r="2" spans="1:5" ht="85.15" customHeight="1" x14ac:dyDescent="0.25">
      <c r="A2" s="84" t="s">
        <v>1173</v>
      </c>
      <c r="B2" s="86"/>
      <c r="C2" s="84" t="s">
        <v>1192</v>
      </c>
      <c r="D2" s="84" t="s">
        <v>1193</v>
      </c>
      <c r="E2" t="s">
        <v>1519</v>
      </c>
    </row>
    <row r="3" spans="1:5" ht="85.15" customHeight="1" x14ac:dyDescent="0.25">
      <c r="A3" s="84" t="s">
        <v>1174</v>
      </c>
      <c r="B3" s="86"/>
      <c r="C3" s="84" t="s">
        <v>950</v>
      </c>
      <c r="D3" s="87" t="s">
        <v>1194</v>
      </c>
      <c r="E3" s="86" t="s">
        <v>1520</v>
      </c>
    </row>
    <row r="4" spans="1:5" ht="85.15" customHeight="1" x14ac:dyDescent="0.25">
      <c r="A4" s="84" t="s">
        <v>1175</v>
      </c>
      <c r="B4" s="86"/>
      <c r="C4" s="84" t="s">
        <v>1195</v>
      </c>
      <c r="D4" s="84" t="s">
        <v>1196</v>
      </c>
      <c r="E4" s="86" t="s">
        <v>1521</v>
      </c>
    </row>
    <row r="5" spans="1:5" ht="85.15" customHeight="1" x14ac:dyDescent="0.25">
      <c r="A5" s="84" t="s">
        <v>1176</v>
      </c>
      <c r="B5" s="86"/>
      <c r="C5" s="84" t="s">
        <v>1037</v>
      </c>
      <c r="D5" s="84" t="s">
        <v>1197</v>
      </c>
      <c r="E5" s="86" t="s">
        <v>1522</v>
      </c>
    </row>
    <row r="6" spans="1:5" ht="85.15" customHeight="1" x14ac:dyDescent="0.25">
      <c r="A6" s="84" t="s">
        <v>1177</v>
      </c>
      <c r="B6" s="86"/>
      <c r="C6" s="84" t="s">
        <v>1198</v>
      </c>
      <c r="D6" s="84" t="s">
        <v>1199</v>
      </c>
      <c r="E6" s="86" t="s">
        <v>1523</v>
      </c>
    </row>
    <row r="7" spans="1:5" ht="85.15" customHeight="1" x14ac:dyDescent="0.25">
      <c r="A7" s="84" t="s">
        <v>1178</v>
      </c>
      <c r="B7" s="86"/>
      <c r="C7" s="84" t="s">
        <v>1123</v>
      </c>
      <c r="D7" s="84" t="s">
        <v>1200</v>
      </c>
      <c r="E7" s="86" t="s">
        <v>1524</v>
      </c>
    </row>
    <row r="8" spans="1:5" ht="85.15" customHeight="1" x14ac:dyDescent="0.25">
      <c r="A8" s="84" t="s">
        <v>1179</v>
      </c>
      <c r="B8" s="86"/>
      <c r="C8" s="84" t="s">
        <v>1201</v>
      </c>
      <c r="D8" s="84" t="s">
        <v>1202</v>
      </c>
      <c r="E8" s="86" t="s">
        <v>1525</v>
      </c>
    </row>
    <row r="9" spans="1:5" ht="85.15" customHeight="1" x14ac:dyDescent="0.25">
      <c r="A9" s="84" t="s">
        <v>1203</v>
      </c>
      <c r="B9" s="86"/>
      <c r="C9" s="84" t="s">
        <v>1192</v>
      </c>
      <c r="D9" s="84" t="s">
        <v>1193</v>
      </c>
      <c r="E9" s="86" t="s">
        <v>1526</v>
      </c>
    </row>
    <row r="10" spans="1:5" ht="85.15" customHeight="1" x14ac:dyDescent="0.25">
      <c r="A10" s="84" t="s">
        <v>1204</v>
      </c>
      <c r="B10" s="86"/>
      <c r="C10" s="84" t="s">
        <v>950</v>
      </c>
      <c r="D10" s="87" t="s">
        <v>1194</v>
      </c>
      <c r="E10" s="86" t="s">
        <v>1527</v>
      </c>
    </row>
    <row r="11" spans="1:5" ht="85.15" customHeight="1" x14ac:dyDescent="0.25">
      <c r="A11" s="84" t="s">
        <v>1205</v>
      </c>
      <c r="B11" s="86"/>
      <c r="C11" s="84" t="s">
        <v>1195</v>
      </c>
      <c r="D11" s="84" t="s">
        <v>1196</v>
      </c>
      <c r="E11" s="86" t="s">
        <v>1528</v>
      </c>
    </row>
    <row r="12" spans="1:5" ht="85.15" customHeight="1" x14ac:dyDescent="0.25">
      <c r="A12" s="84" t="s">
        <v>1206</v>
      </c>
      <c r="B12" s="86"/>
      <c r="C12" s="84" t="s">
        <v>1037</v>
      </c>
      <c r="D12" s="84" t="s">
        <v>1197</v>
      </c>
      <c r="E12" s="86" t="s">
        <v>1529</v>
      </c>
    </row>
    <row r="13" spans="1:5" ht="85.15" customHeight="1" x14ac:dyDescent="0.25">
      <c r="A13" s="84" t="s">
        <v>1207</v>
      </c>
      <c r="B13" s="86"/>
      <c r="C13" s="84" t="s">
        <v>1198</v>
      </c>
      <c r="D13" s="84" t="s">
        <v>1199</v>
      </c>
      <c r="E13" s="86" t="s">
        <v>1530</v>
      </c>
    </row>
    <row r="14" spans="1:5" ht="85.15" customHeight="1" x14ac:dyDescent="0.25">
      <c r="A14" s="84" t="s">
        <v>1208</v>
      </c>
      <c r="B14" s="86"/>
      <c r="C14" s="84" t="s">
        <v>1123</v>
      </c>
      <c r="D14" s="84" t="s">
        <v>1200</v>
      </c>
      <c r="E14" s="86" t="s">
        <v>1531</v>
      </c>
    </row>
    <row r="15" spans="1:5" ht="85.15" customHeight="1" x14ac:dyDescent="0.25">
      <c r="A15" s="84" t="s">
        <v>1209</v>
      </c>
      <c r="B15" s="86"/>
      <c r="C15" s="84" t="s">
        <v>1201</v>
      </c>
      <c r="D15" s="84" t="s">
        <v>1202</v>
      </c>
      <c r="E15" s="86" t="s">
        <v>1532</v>
      </c>
    </row>
  </sheetData>
  <pageMargins left="0.511811024" right="0.511811024" top="0.78740157499999996" bottom="0.78740157499999996" header="0.31496062000000002" footer="0.31496062000000002"/>
  <drawing r:id="rId1"/>
</worksheet>
</file>

<file path=docMetadata/LabelInfo.xml><?xml version="1.0" encoding="utf-8"?>
<clbl:labelList xmlns:clbl="http://schemas.microsoft.com/office/2020/mipLabelMetadata">
  <clbl:label id="{59c74747-83cc-460d-85d3-019f41c6d39e}" enabled="1" method="Privileged" siteId="{5e07ae6e-562b-416d-84a3-21f574a3a4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DADOS</vt:lpstr>
      <vt:lpstr>KM_LT</vt:lpstr>
      <vt:lpstr>LT SMSD</vt:lpstr>
      <vt:lpstr>LT SDRDE</vt:lpstr>
      <vt:lpstr>LT RDEBJD</vt:lpstr>
      <vt:lpstr>LT BJDBJS</vt:lpstr>
      <vt:lpstr>LT BJDICA</vt:lpstr>
      <vt:lpstr>LT ICASPU</vt:lpstr>
      <vt:lpstr>LT CMDSPU</vt:lpstr>
      <vt:lpstr>LT IZCO2</vt:lpstr>
      <vt:lpstr>LT COMC2</vt:lpstr>
      <vt:lpstr>LT GUMC2</vt:lpstr>
      <vt:lpstr>LT SMGU2</vt:lpstr>
      <vt:lpstr>LT SMSB3</vt:lpstr>
      <vt:lpstr>LT JUJB C1</vt:lpstr>
      <vt:lpstr>LT JUJB C2</vt:lpstr>
      <vt:lpstr>LT BNNM C1</vt:lpstr>
      <vt:lpstr>LT BNNM C2</vt:lpstr>
      <vt:lpstr>Torres JBJU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Glenio Emerich Sathler</dc:creator>
  <cp:lastModifiedBy>Hernandes Ribeiro Cruz</cp:lastModifiedBy>
  <dcterms:created xsi:type="dcterms:W3CDTF">2016-09-05T18:16:59Z</dcterms:created>
  <dcterms:modified xsi:type="dcterms:W3CDTF">2025-11-30T20:47:05Z</dcterms:modified>
</cp:coreProperties>
</file>